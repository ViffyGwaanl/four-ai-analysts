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说明" sheetId="1" r:id="rId1"/>
    <sheet name="假设" sheetId="2" r:id="rId2"/>
    <sheet name="关键数字" sheetId="3" r:id="rId3"/>
    <sheet name="SpaceX财务" sheetId="4" r:id="rId4"/>
    <sheet name="特斯拉财务" sheetId="5" r:id="rId5"/>
    <sheet name="市场数据" sheetId="6" r:id="rId6"/>
    <sheet name="合并备考" sheetId="7" r:id="rId7"/>
    <sheet name="关联交易" sheetId="8" r:id="rId8"/>
    <sheet name="换股比例" sheetId="9" r:id="rId9"/>
    <sheet name="敏感性" sheetId="10" r:id="rId10"/>
    <sheet name="校验" sheetId="11" r:id="rId11"/>
  </sheets>
  <definedNames>
    <definedName name="ACQ">'假设'!$D$5</definedName>
    <definedName name="DATE_P">'假设'!$D$7</definedName>
    <definedName name="DATE_U">'假设'!$D$6</definedName>
    <definedName name="EBITDA_BASIS">'假设'!$D$11</definedName>
    <definedName name="M_S_A">'换股比例'!$C$10</definedName>
    <definedName name="M_S_ALL">'换股比例'!$C$20</definedName>
    <definedName name="M_S_B">'换股比例'!$C$11</definedName>
    <definedName name="M_S_OPT">'换股比例'!$C$13</definedName>
    <definedName name="M_S_RS">'换股比例'!$C$12</definedName>
    <definedName name="M_T_ALL">'换股比例'!$C$21</definedName>
    <definedName name="M_T_BEN">'换股比例'!$C$14</definedName>
    <definedName name="M_T_RS18">'换股比例'!$C$15</definedName>
    <definedName name="M_T_RS25">'换股比例'!$C$16</definedName>
    <definedName name="N_S">'换股比例'!$C$18</definedName>
    <definedName name="N_S_A">'换股比例'!$C$7</definedName>
    <definedName name="N_S_B">'换股比例'!$C$8</definedName>
    <definedName name="N_S_EX">'换股比例'!$C$19</definedName>
    <definedName name="N_T">'换股比例'!$C$6</definedName>
    <definedName name="N_T_PRX">'换股比例'!$C$17</definedName>
    <definedName name="P_S_P">'市场数据'!$C$20</definedName>
    <definedName name="P_S_U">'市场数据'!$C$10</definedName>
    <definedName name="P_S_VWAP">'市场数据'!$C$14</definedName>
    <definedName name="P_T_P">'市场数据'!$C$19</definedName>
    <definedName name="P_T_U">'市场数据'!$C$9</definedName>
    <definedName name="P_T_VWAP">'市场数据'!$C$13</definedName>
    <definedName name="PPA_INT_SHARE">'假设'!$D$14</definedName>
    <definedName name="PPA_LIFE">'假设'!$D$15</definedName>
    <definedName name="PREM">'假设'!$D$10</definedName>
    <definedName name="PS_M1">'换股比例'!$D$55</definedName>
    <definedName name="PS_M2">'换股比例'!$D$56</definedName>
    <definedName name="PS_M3">'换股比例'!$D$57</definedName>
    <definedName name="PS_M4">'换股比例'!$D$58</definedName>
    <definedName name="PS_M5">'换股比例'!$D$59</definedName>
    <definedName name="PT_M1">'换股比例'!$C$55</definedName>
    <definedName name="PT_M2">'换股比例'!$C$56</definedName>
    <definedName name="PT_M3">'换股比例'!$C$57</definedName>
    <definedName name="PT_M4">'换股比例'!$C$58</definedName>
    <definedName name="PT_M5">'换股比例'!$C$59</definedName>
    <definedName name="Q4_RP_SHARE">'假设'!$D$12</definedName>
    <definedName name="R_M1">'换股比例'!$G$55</definedName>
    <definedName name="R_M2">'换股比例'!$G$56</definedName>
    <definedName name="R_M3">'换股比例'!$G$57</definedName>
    <definedName name="R_M4">'换股比例'!$G$58</definedName>
    <definedName name="R_M5">'换股比例'!$G$59</definedName>
    <definedName name="RP_RP_AR">'关联交易'!$E$12</definedName>
    <definedName name="RP_RP_COGS_9M26">'关联交易'!$E$9</definedName>
    <definedName name="RP_RP_COGS_FY25">'关联交易'!$E$7</definedName>
    <definedName name="RP_RP_COGS_Q326">'关联交易'!$E$11</definedName>
    <definedName name="RP_RP_DR">'关联交易'!$E$13</definedName>
    <definedName name="RP_RP_INV_COST">'关联交易'!$E$15</definedName>
    <definedName name="RP_RP_INV_FV">'关联交易'!$E$14</definedName>
    <definedName name="RP_RP_REV_9M26">'关联交易'!$E$8</definedName>
    <definedName name="RP_RP_REV_FY25">'关联交易'!$E$6</definedName>
    <definedName name="RP_RP_REV_Q326">'关联交易'!$E$10</definedName>
    <definedName name="RUNRATE_X">'假设'!$D$16</definedName>
    <definedName name="TAX_ELIM">'假设'!$D$13</definedName>
    <definedName name="VWAP_N">'假设'!$D$8</definedName>
    <definedName name="VWAP_TXT">'假设'!$D$9</definedName>
    <definedName name="X_TS_SPCX">'换股比例'!$C$9</definedName>
  </definedNames>
  <calcPr calcId="124519" fullCalcOnLoad="1"/>
</workbook>
</file>

<file path=xl/comments1.xml><?xml version="1.0" encoding="utf-8"?>
<comments xmlns="http://schemas.openxmlformats.org/spreadsheetml/2006/main">
  <authors>
    <author>出处</author>
  </authors>
  <commentList>
    <comment ref="C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2025；行：Revenue</t>
        </r>
      </text>
    </comment>
    <comment ref="D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列；行：Revenue</t>
        </r>
      </text>
    </comment>
    <comment ref="E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2026；行：Revenue</t>
        </r>
      </text>
    </comment>
    <comment ref="F7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2026；行：Revenue</t>
        </r>
      </text>
    </comment>
    <comment ref="G7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2026；行：Revenue</t>
        </r>
      </text>
    </comment>
    <comment ref="H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2026；行：Revenue</t>
        </r>
      </text>
    </comment>
    <comment ref="I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2026；行：Revenue</t>
        </r>
      </text>
    </comment>
    <comment ref="C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2025；行：Cost of revenue</t>
        </r>
      </text>
    </comment>
    <comment ref="D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列；行：Cost of revenue</t>
        </r>
      </text>
    </comment>
    <comment ref="E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2026；行：Cost of revenue</t>
        </r>
      </text>
    </comment>
    <comment ref="F8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2026；行：Cost of revenue</t>
        </r>
      </text>
    </comment>
    <comment ref="G8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2026；行：Cost of revenue</t>
        </r>
      </text>
    </comment>
    <comment ref="H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2026；行：Cost of revenue</t>
        </r>
      </text>
    </comment>
    <comment ref="I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2026；行：Cost of revenue</t>
        </r>
      </text>
    </comment>
    <comment ref="C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2025；行：Research and development</t>
        </r>
      </text>
    </comment>
    <comment ref="D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列；行：Research and development</t>
        </r>
      </text>
    </comment>
    <comment ref="E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2026；行：Research and development</t>
        </r>
      </text>
    </comment>
    <comment ref="F9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2026；行：Research and development</t>
        </r>
      </text>
    </comment>
    <comment ref="G9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2026；行：Research and development</t>
        </r>
      </text>
    </comment>
    <comment ref="H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2026；行：Research and development</t>
        </r>
      </text>
    </comment>
    <comment ref="I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2026；行：Research and development</t>
        </r>
      </text>
    </comment>
    <comment ref="C1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2025；行：Selling, general, and administrative</t>
        </r>
      </text>
    </comment>
    <comment ref="D1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列；行：Selling, general, and administrative</t>
        </r>
      </text>
    </comment>
    <comment ref="E1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2026；行：Selling, general, and administrative</t>
        </r>
      </text>
    </comment>
    <comment ref="F10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2026；行：Selling, general, and administrative</t>
        </r>
      </text>
    </comment>
    <comment ref="G10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2026；行：Selling, general, and administrative</t>
        </r>
      </text>
    </comment>
    <comment ref="H1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2026；行：Selling, general, and administrative</t>
        </r>
      </text>
    </comment>
    <comment ref="I1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2026；行：Selling, general, and administrative</t>
        </r>
      </text>
    </comment>
    <comment ref="C1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2025；行：Restructuring charges (credits)</t>
        </r>
      </text>
    </comment>
    <comment ref="D1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列；行：Restructuring charges (credits)</t>
        </r>
      </text>
    </comment>
    <comment ref="E1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2026；行：Restructuring charges (credits)</t>
        </r>
      </text>
    </comment>
    <comment ref="F11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2026；行：Restructuring charges (credits)</t>
        </r>
      </text>
    </comment>
    <comment ref="G11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2026；行：Restructuring charges (credits)</t>
        </r>
      </text>
    </comment>
    <comment ref="H1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2026；行：Restructuring charges (credits)</t>
        </r>
      </text>
    </comment>
    <comment ref="I1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2026；行：Restructuring charges (credits)</t>
        </r>
      </text>
    </comment>
    <comment ref="C1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2025；行：Impairment</t>
        </r>
      </text>
    </comment>
    <comment ref="D1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列；行：Impairment</t>
        </r>
      </text>
    </comment>
    <comment ref="E1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2026；行：Impairment</t>
        </r>
      </text>
    </comment>
    <comment ref="F12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2026；行：Impairment</t>
        </r>
      </text>
    </comment>
    <comment ref="G12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2026；行：Impairment</t>
        </r>
      </text>
    </comment>
    <comment ref="H1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2026；行：Impairment</t>
        </r>
      </text>
    </comment>
    <comment ref="I1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2026；行：Impairment</t>
        </r>
      </text>
    </comment>
    <comment ref="C1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2025；行：Income (loss) from operations</t>
        </r>
      </text>
    </comment>
    <comment ref="D1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列；行：Income (loss) from operations</t>
        </r>
      </text>
    </comment>
    <comment ref="E1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2026；行：Income (loss) from operations</t>
        </r>
      </text>
    </comment>
    <comment ref="F13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2026；行：Income (loss) from operations</t>
        </r>
      </text>
    </comment>
    <comment ref="G13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2026；行：Income (loss) from operations</t>
        </r>
      </text>
    </comment>
    <comment ref="H1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2026；行：Income (loss) from operations</t>
        </r>
      </text>
    </comment>
    <comment ref="I1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2026；行：Income (loss) from operations</t>
        </r>
      </text>
    </comment>
    <comment ref="C1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2025；行：Interest expense</t>
        </r>
      </text>
    </comment>
    <comment ref="D1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列；行：Interest expense</t>
        </r>
      </text>
    </comment>
    <comment ref="E1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2026；行：Interest expense</t>
        </r>
      </text>
    </comment>
    <comment ref="F14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2026；行：Interest expense</t>
        </r>
      </text>
    </comment>
    <comment ref="G14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2026；行：Interest expense</t>
        </r>
      </text>
    </comment>
    <comment ref="H1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2026；行：Interest expense</t>
        </r>
      </text>
    </comment>
    <comment ref="I1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2026；行：Interest expense</t>
        </r>
      </text>
    </comment>
    <comment ref="C1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2025；行：Interest income</t>
        </r>
      </text>
    </comment>
    <comment ref="D1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列；行：Interest income</t>
        </r>
      </text>
    </comment>
    <comment ref="E1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2026；行：Interest income</t>
        </r>
      </text>
    </comment>
    <comment ref="F15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2026；行：Interest income</t>
        </r>
      </text>
    </comment>
    <comment ref="G15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2026；行：Interest income</t>
        </r>
      </text>
    </comment>
    <comment ref="H1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2026；行：Interest income</t>
        </r>
      </text>
    </comment>
    <comment ref="I1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2026；行：Interest income</t>
        </r>
      </text>
    </comment>
    <comment ref="C16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2025；行：Other income (expense), net</t>
        </r>
      </text>
    </comment>
    <comment ref="D16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列；行：Other income (expense), net</t>
        </r>
      </text>
    </comment>
    <comment ref="E16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2026；行：Other income (expense), net</t>
        </r>
      </text>
    </comment>
    <comment ref="F16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2026；行：Other income (expense), net</t>
        </r>
      </text>
    </comment>
    <comment ref="G16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2026；行：Other income (expense), net</t>
        </r>
      </text>
    </comment>
    <comment ref="H16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2026；行：Other income (expense), net</t>
        </r>
      </text>
    </comment>
    <comment ref="I16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2026；行：Other income (expense), net</t>
        </r>
      </text>
    </comment>
    <comment ref="C1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2025；行：Income (loss) before income taxes</t>
        </r>
      </text>
    </comment>
    <comment ref="D1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列；行：Income (loss) before income taxes</t>
        </r>
      </text>
    </comment>
    <comment ref="E1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2026；行：Income (loss) before income taxes</t>
        </r>
      </text>
    </comment>
    <comment ref="F17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2026；行：Income (loss) before income taxes</t>
        </r>
      </text>
    </comment>
    <comment ref="G17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2026；行：Income (loss) before income taxes</t>
        </r>
      </text>
    </comment>
    <comment ref="H1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2026；行：Income (loss) before income taxes</t>
        </r>
      </text>
    </comment>
    <comment ref="I1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2026；行：Income (loss) before income taxes</t>
        </r>
      </text>
    </comment>
    <comment ref="C1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2025；行：Provision for (benefit from) income taxes</t>
        </r>
      </text>
    </comment>
    <comment ref="D1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列；行：Provision for (benefit from) income taxes</t>
        </r>
      </text>
    </comment>
    <comment ref="E1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2026；行：Provision for (benefit from) income taxes</t>
        </r>
      </text>
    </comment>
    <comment ref="F18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2026；行：Provision for (benefit from) income taxes</t>
        </r>
      </text>
    </comment>
    <comment ref="G18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2026；行：Provision for (benefit from) income taxes</t>
        </r>
      </text>
    </comment>
    <comment ref="H1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2026；行：Provision for (benefit from) income taxes</t>
        </r>
      </text>
    </comment>
    <comment ref="I1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2026；行：Provision for (benefit from) income taxes</t>
        </r>
      </text>
    </comment>
    <comment ref="C1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2025；行：Net income (loss)</t>
        </r>
      </text>
    </comment>
    <comment ref="D1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列；行：Net income (loss)</t>
        </r>
      </text>
    </comment>
    <comment ref="E1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2026；行：Net income (loss)</t>
        </r>
      </text>
    </comment>
    <comment ref="F19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2026；行：Net income (loss)</t>
        </r>
      </text>
    </comment>
    <comment ref="G19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2026；行：Net income (loss)</t>
        </r>
      </text>
    </comment>
    <comment ref="H1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2026；行：Net income (loss)</t>
        </r>
      </text>
    </comment>
    <comment ref="I1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2026；行：Net income (loss)</t>
        </r>
      </text>
    </comment>
    <comment ref="C2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2025；行：Depreciation and amortization (Adj. EBITDA reconciliation)</t>
        </r>
      </text>
    </comment>
    <comment ref="D2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列；行：Depreciation and amortization (Adj. EBITDA reconciliation)</t>
        </r>
      </text>
    </comment>
    <comment ref="E2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2026；行：Depreciation and amortization (Adj. EBITDA reconciliation)</t>
        </r>
      </text>
    </comment>
    <comment ref="F20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2026；行：Depreciation and amortization (Adj. EBITDA reconciliation)</t>
        </r>
      </text>
    </comment>
    <comment ref="G20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2026；行：Depreciation and amortization (Adj. EBITDA reconciliation)</t>
        </r>
      </text>
    </comment>
    <comment ref="H2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2026；行：Depreciation and amortization (Adj. EBITDA reconciliation)</t>
        </r>
      </text>
    </comment>
    <comment ref="I2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2026；行：Depreciation and amortization (Adj. EBITDA reconciliation)</t>
        </r>
      </text>
    </comment>
    <comment ref="C2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2025；行：Share-based compensation</t>
        </r>
      </text>
    </comment>
    <comment ref="D2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列；行：Share-based compensation</t>
        </r>
      </text>
    </comment>
    <comment ref="E2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2026；行：Share-based compensation</t>
        </r>
      </text>
    </comment>
    <comment ref="F21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2026；行：Share-based compensation</t>
        </r>
      </text>
    </comment>
    <comment ref="G21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2026；行：Share-based compensation</t>
        </r>
      </text>
    </comment>
    <comment ref="H2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2026；行：Share-based compensation</t>
        </r>
      </text>
    </comment>
    <comment ref="I2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2026；行：Share-based compensation</t>
        </r>
      </text>
    </comment>
    <comment ref="C2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2025；行：Share-based compensation related to acquisitions</t>
        </r>
      </text>
    </comment>
    <comment ref="D2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列；行：Share-based compensation related to acquisitions</t>
        </r>
      </text>
    </comment>
    <comment ref="E2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2026；行：Share-based compensation related to acquisitions</t>
        </r>
      </text>
    </comment>
    <comment ref="F22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2026；行：Share-based compensation related to acquisitions</t>
        </r>
      </text>
    </comment>
    <comment ref="G22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2026；行：Share-based compensation related to acquisitions</t>
        </r>
      </text>
    </comment>
    <comment ref="H2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2026；行：Share-based compensation related to acquisitions</t>
        </r>
      </text>
    </comment>
    <comment ref="I2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2026；行：Share-based compensation related to acquisitions</t>
        </r>
      </text>
    </comment>
    <comment ref="C2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2025；行：Acquisition-related costs</t>
        </r>
      </text>
    </comment>
    <comment ref="D2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列；行：Acquisition-related costs</t>
        </r>
      </text>
    </comment>
    <comment ref="E2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2026；行：Acquisition-related costs</t>
        </r>
      </text>
    </comment>
    <comment ref="F23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2026；行：Acquisition-related costs</t>
        </r>
      </text>
    </comment>
    <comment ref="G23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2026；行：Acquisition-related costs</t>
        </r>
      </text>
    </comment>
    <comment ref="H2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2026；行：Acquisition-related costs</t>
        </r>
      </text>
    </comment>
    <comment ref="I2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2026；行：Acquisition-related costs</t>
        </r>
      </text>
    </comment>
    <comment ref="C2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经审计合并经营报表（F-5）及调整后EBITDA调节表（MD&amp;A“Non-GAAP Financial Measures”）· Year Ended December 31, 2025；行：Adjusted EBITDA</t>
        </r>
      </text>
    </comment>
    <comment ref="D2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Nine Months Ended September 30, 2025 列；行：Adjusted EBITDA</t>
        </r>
      </text>
    </comment>
    <comment ref="E2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未经审计合并经营报表（F-64）及调整后EBITDA调节表 · Three Months Ended March 31, 2026；行：Adjusted EBITDA</t>
        </r>
      </text>
    </comment>
    <comment ref="F24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及 MD&amp;A Non-GAAP 调节表 · Three Months Ended June 30, 2026；行：Adjusted EBITDA</t>
        </r>
      </text>
    </comment>
    <comment ref="G24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Operations / Cash Flows 及 Non-GAAP 调节表 · Six Months Ended June 30, 2026；行：Adjusted EBITDA</t>
        </r>
      </text>
    </comment>
    <comment ref="H2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及 Reconciliation of Net Income (Loss) to Adjusted EBITDA · Three Months Ended September 30, 2026；行：Adjusted EBITDA</t>
        </r>
      </text>
    </comment>
    <comment ref="I2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Operations / Cash Flows 及调节表 · Nine Months Ended September 30, 2026；行：Adjusted EBITDA</t>
        </r>
      </text>
    </comment>
    <comment ref="C3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经审计合并现金流量表（F-8）· Year Ended December 31, 2025；行：Net cash provided by operating activities</t>
        </r>
      </text>
    </comment>
    <comment ref="D3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Cash Flows · Nine Months Ended September 30, 2025 列；行：Net cash provided by operating activities</t>
        </r>
      </text>
    </comment>
    <comment ref="E3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未经审计合并现金流量表（F-67）· Three Months Ended March 31, 2026；行：Net cash provided by operating activities</t>
        </r>
      </text>
    </comment>
    <comment ref="G32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Cash Flows · Six Months Ended June 30, 2026；行：Net cash provided by operating activities</t>
        </r>
      </text>
    </comment>
    <comment ref="I3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Cash Flows · Nine Months Ended September 30, 2026；行：Net cash provided by operating activities</t>
        </r>
      </text>
    </comment>
    <comment ref="C3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经审计合并现金流量表（F-8）· Year Ended December 31, 2025；行：Purchases of property, plant, and equipment</t>
        </r>
      </text>
    </comment>
    <comment ref="D3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Cash Flows · Nine Months Ended September 30, 2025 列；行：Purchases of property, plant, and equipment</t>
        </r>
      </text>
    </comment>
    <comment ref="E3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未经审计合并现金流量表（F-67）· Three Months Ended March 31, 2026；行：Purchases of property, plant, and equipment</t>
        </r>
      </text>
    </comment>
    <comment ref="G33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Statements of Cash Flows · Six Months Ended June 30, 2026；行：Purchases of property, plant, and equipment</t>
        </r>
      </text>
    </comment>
    <comment ref="I3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Statements of Cash Flows · Nine Months Ended September 30, 2026；行：Purchases of property, plant, and equipment</t>
        </r>
      </text>
    </comment>
    <comment ref="C3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2025；行：Cash and cash equivalents</t>
        </r>
      </text>
    </comment>
    <comment ref="D3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2026；行：Cash and cash equivalents</t>
        </r>
      </text>
    </comment>
    <comment ref="E37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2026；行：Cash and cash equivalents</t>
        </r>
      </text>
    </comment>
    <comment ref="F3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2026；行：Cash and cash equivalents</t>
        </r>
      </text>
    </comment>
    <comment ref="C3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2025；行：Marketable securities</t>
        </r>
      </text>
    </comment>
    <comment ref="D3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2026；行：Marketable securities</t>
        </r>
      </text>
    </comment>
    <comment ref="E38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2026；行：Marketable securities</t>
        </r>
      </text>
    </comment>
    <comment ref="F3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2026；行：Marketable securities</t>
        </r>
      </text>
    </comment>
    <comment ref="C3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2025；行：Debt and finance leases, current</t>
        </r>
      </text>
    </comment>
    <comment ref="D3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2026；行：Debt and finance leases, current</t>
        </r>
      </text>
    </comment>
    <comment ref="E39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2026；行：Debt and finance leases, current</t>
        </r>
      </text>
    </comment>
    <comment ref="F3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2026；行：Debt and finance leases, current</t>
        </r>
      </text>
    </comment>
    <comment ref="C4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2025；行：Debt and finance leases, net of current</t>
        </r>
      </text>
    </comment>
    <comment ref="D4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2026；行：Debt and finance leases, net of current</t>
        </r>
      </text>
    </comment>
    <comment ref="E40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2026；行：Debt and finance leases, net of current</t>
        </r>
      </text>
    </comment>
    <comment ref="F4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2026；行：Debt and finance leases, net of current</t>
        </r>
      </text>
    </comment>
    <comment ref="C4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2025；行：related party portion, current</t>
        </r>
      </text>
    </comment>
    <comment ref="D4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2026；行：related party portion, current</t>
        </r>
      </text>
    </comment>
    <comment ref="E41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2026；行：related party portion, current</t>
        </r>
      </text>
    </comment>
    <comment ref="F4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2026；行：related party portion, current</t>
        </r>
      </text>
    </comment>
    <comment ref="C4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2025；行：related party portion, non-current</t>
        </r>
      </text>
    </comment>
    <comment ref="D4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2026；行：related party portion, non-current</t>
        </r>
      </text>
    </comment>
    <comment ref="E42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2026；行：related party portion, non-current</t>
        </r>
      </text>
    </comment>
    <comment ref="F4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2026；行：related party portion, non-current</t>
        </r>
      </text>
    </comment>
    <comment ref="C4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2025；行：Total shareholders' equity</t>
        </r>
      </text>
    </comment>
    <comment ref="D4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2026；行：Total shareholders' equity</t>
        </r>
      </text>
    </comment>
    <comment ref="E43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2026；行：Total shareholders' equity</t>
        </r>
      </text>
    </comment>
    <comment ref="F4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2026；行：Total shareholders' equity</t>
        </r>
      </text>
    </comment>
    <comment ref="C4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2025；行：Redeemable convertible preferred stock</t>
        </r>
      </text>
    </comment>
    <comment ref="D4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2026；行：Redeemable convertible preferred stock</t>
        </r>
      </text>
    </comment>
    <comment ref="E44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2026；行：Redeemable convertible preferred stock</t>
        </r>
      </text>
    </comment>
    <comment ref="F4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2026；行：Redeemable convertible preferred stock</t>
        </r>
      </text>
    </comment>
    <comment ref="C4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经审计合并资产负债表（F-4）· December 31, 2025；行：Total assets</t>
        </r>
      </text>
    </comment>
    <comment ref="D4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未经审计合并资产负债表（F-63/F-64）· March 31, 2026；行：Total assets</t>
        </r>
      </text>
    </comment>
    <comment ref="E45" authorId="0">
      <text>
        <r>
          <rPr>
            <sz val="9"/>
            <color indexed="81"/>
            <rFont val="Tahoma"/>
            <family val="2"/>
          </rPr>
          <t>出处：SpaceX_2026Q2季报__spcx-20260630.htm（10-Q） · Consolidated Balance Sheets · June 30, 2026；行：Total assets</t>
        </r>
      </text>
    </comment>
    <comment ref="F4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2026；行：Total assets</t>
        </r>
      </text>
    </comment>
    <comment ref="C4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2025年度；航天（Space） · 分部营收</t>
        </r>
      </text>
    </comment>
    <comment ref="D4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列；航天（Space） · 分部营收</t>
        </r>
      </text>
    </comment>
    <comment ref="E4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2026；航天（Space） · 分部营收</t>
        </r>
      </text>
    </comment>
    <comment ref="F49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2026；航天（Space） · 分部营收</t>
        </r>
      </text>
    </comment>
    <comment ref="G4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2026；航天（Space） · 分部营收</t>
        </r>
      </text>
    </comment>
    <comment ref="H4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列；航天（Space） · 分部营收</t>
        </r>
      </text>
    </comment>
    <comment ref="C5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2025年度；连接（Connectivity / Starlink） · 分部营收</t>
        </r>
      </text>
    </comment>
    <comment ref="D5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列；连接（Connectivity / Starlink） · 分部营收</t>
        </r>
      </text>
    </comment>
    <comment ref="E5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2026；连接（Connectivity / Starlink） · 分部营收</t>
        </r>
      </text>
    </comment>
    <comment ref="F50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2026；连接（Connectivity / Starlink） · 分部营收</t>
        </r>
      </text>
    </comment>
    <comment ref="G5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2026；连接（Connectivity / Starlink） · 分部营收</t>
        </r>
      </text>
    </comment>
    <comment ref="H5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列；连接（Connectivity / Starlink） · 分部营收</t>
        </r>
      </text>
    </comment>
    <comment ref="C5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2025年度；SI（超级智能，原AI分部） · 分部营收</t>
        </r>
      </text>
    </comment>
    <comment ref="D5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列；SI（超级智能，原AI分部） · 分部营收</t>
        </r>
      </text>
    </comment>
    <comment ref="E5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2026；SI（超级智能，原AI分部） · 分部营收</t>
        </r>
      </text>
    </comment>
    <comment ref="F51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2026；SI（超级智能，原AI分部） · 分部营收</t>
        </r>
      </text>
    </comment>
    <comment ref="G5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2026；SI（超级智能，原AI分部） · 分部营收</t>
        </r>
      </text>
    </comment>
    <comment ref="H5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列；SI（超级智能，原AI分部） · 分部营收</t>
        </r>
      </text>
    </comment>
    <comment ref="C5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2025年度；航天（Space） · 分部营业成本</t>
        </r>
      </text>
    </comment>
    <comment ref="D5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列；航天（Space） · 分部营业成本</t>
        </r>
      </text>
    </comment>
    <comment ref="E5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2026；航天（Space） · 分部营业成本</t>
        </r>
      </text>
    </comment>
    <comment ref="F53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2026；航天（Space） · 分部营业成本</t>
        </r>
      </text>
    </comment>
    <comment ref="G5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2026；航天（Space） · 分部营业成本</t>
        </r>
      </text>
    </comment>
    <comment ref="H5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列；航天（Space） · 分部营业成本</t>
        </r>
      </text>
    </comment>
    <comment ref="C5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2025年度；连接（Connectivity / Starlink） · 分部营业成本</t>
        </r>
      </text>
    </comment>
    <comment ref="D5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列；连接（Connectivity / Starlink） · 分部营业成本</t>
        </r>
      </text>
    </comment>
    <comment ref="E54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2026；连接（Connectivity / Starlink） · 分部营业成本</t>
        </r>
      </text>
    </comment>
    <comment ref="F54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2026；连接（Connectivity / Starlink） · 分部营业成本</t>
        </r>
      </text>
    </comment>
    <comment ref="G5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2026；连接（Connectivity / Starlink） · 分部营业成本</t>
        </r>
      </text>
    </comment>
    <comment ref="H5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列；连接（Connectivity / Starlink） · 分部营业成本</t>
        </r>
      </text>
    </comment>
    <comment ref="C5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2025年度；SI（超级智能，原AI分部） · 分部营业成本</t>
        </r>
      </text>
    </comment>
    <comment ref="D5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列；SI（超级智能，原AI分部） · 分部营业成本</t>
        </r>
      </text>
    </comment>
    <comment ref="E5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2026；SI（超级智能，原AI分部） · 分部营业成本</t>
        </r>
      </text>
    </comment>
    <comment ref="F55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2026；SI（超级智能，原AI分部） · 分部营业成本</t>
        </r>
      </text>
    </comment>
    <comment ref="G5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2026；SI（超级智能，原AI分部） · 分部营业成本</t>
        </r>
      </text>
    </comment>
    <comment ref="H5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列；SI（超级智能，原AI分部） · 分部营业成本</t>
        </r>
      </text>
    </comment>
    <comment ref="C5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2025年度；航天（Space） · 分部经营利润</t>
        </r>
      </text>
    </comment>
    <comment ref="D5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列；航天（Space） · 分部经营利润</t>
        </r>
      </text>
    </comment>
    <comment ref="E5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2026；航天（Space） · 分部经营利润</t>
        </r>
      </text>
    </comment>
    <comment ref="F57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2026；航天（Space） · 分部经营利润</t>
        </r>
      </text>
    </comment>
    <comment ref="G5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2026；航天（Space） · 分部经营利润</t>
        </r>
      </text>
    </comment>
    <comment ref="H5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列；航天（Space） · 分部经营利润</t>
        </r>
      </text>
    </comment>
    <comment ref="C5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2025年度；连接（Connectivity / Starlink） · 分部经营利润</t>
        </r>
      </text>
    </comment>
    <comment ref="D5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列；连接（Connectivity / Starlink） · 分部经营利润</t>
        </r>
      </text>
    </comment>
    <comment ref="E58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2026；连接（Connectivity / Starlink） · 分部经营利润</t>
        </r>
      </text>
    </comment>
    <comment ref="F58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2026；连接（Connectivity / Starlink） · 分部经营利润</t>
        </r>
      </text>
    </comment>
    <comment ref="G5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2026；连接（Connectivity / Starlink） · 分部经营利润</t>
        </r>
      </text>
    </comment>
    <comment ref="H5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列；连接（Connectivity / Starlink） · 分部经营利润</t>
        </r>
      </text>
    </comment>
    <comment ref="C5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2025年度；SI（超级智能，原AI分部） · 分部经营利润</t>
        </r>
      </text>
    </comment>
    <comment ref="D5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列；SI（超级智能，原AI分部） · 分部经营利润</t>
        </r>
      </text>
    </comment>
    <comment ref="E5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2026；SI（超级智能，原AI分部） · 分部经营利润</t>
        </r>
      </text>
    </comment>
    <comment ref="F59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2026；SI（超级智能，原AI分部） · 分部经营利润</t>
        </r>
      </text>
    </comment>
    <comment ref="G5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2026；SI（超级智能，原AI分部） · 分部经营利润</t>
        </r>
      </text>
    </comment>
    <comment ref="H5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列；SI（超级智能，原AI分部） · 分部经营利润</t>
        </r>
      </text>
    </comment>
    <comment ref="C6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2025年度；航天（Space） · 分部调整后EBITDA（非GAAP）</t>
        </r>
      </text>
    </comment>
    <comment ref="D6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列；航天（Space） · 分部调整后EBITDA（非GAAP）</t>
        </r>
      </text>
    </comment>
    <comment ref="E6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2026；航天（Space） · 分部调整后EBITDA（非GAAP）</t>
        </r>
      </text>
    </comment>
    <comment ref="F61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2026；航天（Space） · 分部调整后EBITDA（非GAAP）</t>
        </r>
      </text>
    </comment>
    <comment ref="G6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2026；航天（Space） · 分部调整后EBITDA（非GAAP）</t>
        </r>
      </text>
    </comment>
    <comment ref="H6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列；航天（Space） · 分部调整后EBITDA（非GAAP）</t>
        </r>
      </text>
    </comment>
    <comment ref="C6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2025年度；连接（Connectivity / Starlink） · 分部调整后EBITDA（非GAAP）</t>
        </r>
      </text>
    </comment>
    <comment ref="D6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列；连接（Connectivity / Starlink） · 分部调整后EBITDA（非GAAP）</t>
        </r>
      </text>
    </comment>
    <comment ref="E6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2026；连接（Connectivity / Starlink） · 分部调整后EBITDA（非GAAP）</t>
        </r>
      </text>
    </comment>
    <comment ref="F62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2026；连接（Connectivity / Starlink） · 分部调整后EBITDA（非GAAP）</t>
        </r>
      </text>
    </comment>
    <comment ref="G6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2026；连接（Connectivity / Starlink） · 分部调整后EBITDA（非GAAP）</t>
        </r>
      </text>
    </comment>
    <comment ref="H6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列；连接（Connectivity / Starlink） · 分部调整后EBITDA（非GAAP）</t>
        </r>
      </text>
    </comment>
    <comment ref="C6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2025年度；SI（超级智能，原AI分部） · 分部调整后EBITDA（非GAAP）</t>
        </r>
      </text>
    </comment>
    <comment ref="D6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列；SI（超级智能，原AI分部） · 分部调整后EBITDA（非GAAP）</t>
        </r>
      </text>
    </comment>
    <comment ref="E6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2026；SI（超级智能，原AI分部） · 分部调整后EBITDA（非GAAP）</t>
        </r>
      </text>
    </comment>
    <comment ref="F63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2026；SI（超级智能，原AI分部） · 分部调整后EBITDA（非GAAP）</t>
        </r>
      </text>
    </comment>
    <comment ref="G6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2026；SI（超级智能，原AI分部） · 分部调整后EBITDA（非GAAP）</t>
        </r>
      </text>
    </comment>
    <comment ref="H6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列；SI（超级智能，原AI分部） · 分部调整后EBITDA（非GAAP）</t>
        </r>
      </text>
    </comment>
    <comment ref="C6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2025年度；航天（Space） · 分部资本开支</t>
        </r>
      </text>
    </comment>
    <comment ref="D6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列；航天（Space） · 分部资本开支</t>
        </r>
      </text>
    </comment>
    <comment ref="E65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2026；航天（Space） · 分部资本开支</t>
        </r>
      </text>
    </comment>
    <comment ref="F65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2026；航天（Space） · 分部资本开支</t>
        </r>
      </text>
    </comment>
    <comment ref="G6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2026；航天（Space） · 分部资本开支</t>
        </r>
      </text>
    </comment>
    <comment ref="H6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列；航天（Space） · 分部资本开支</t>
        </r>
      </text>
    </comment>
    <comment ref="C66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2025年度；连接（Connectivity / Starlink） · 分部资本开支</t>
        </r>
      </text>
    </comment>
    <comment ref="D66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列；连接（Connectivity / Starlink） · 分部资本开支</t>
        </r>
      </text>
    </comment>
    <comment ref="E66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2026；连接（Connectivity / Starlink） · 分部资本开支</t>
        </r>
      </text>
    </comment>
    <comment ref="F66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2026；连接（Connectivity / Starlink） · 分部资本开支</t>
        </r>
      </text>
    </comment>
    <comment ref="G66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2026；连接（Connectivity / Starlink） · 分部资本开支</t>
        </r>
      </text>
    </comment>
    <comment ref="H66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列；连接（Connectivity / Starlink） · 分部资本开支</t>
        </r>
      </text>
    </comment>
    <comment ref="C6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附注19 Segments（F-58）及 MD&amp;A 分部调整后EBITDA调节表 · 2025年度；SI（超级智能，原AI分部） · 分部资本开支</t>
        </r>
      </text>
    </comment>
    <comment ref="D6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Nine Months Ended September 30, 2025 列；SI（超级智能，原AI分部） · 分部资本开支</t>
        </r>
      </text>
    </comment>
    <comment ref="E67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附注18 Segments（F-95）及 MD&amp;A 分部调节表 · Three Months Ended March 31, 2026；SI（超级智能，原AI分部） · 分部资本开支</t>
        </r>
      </text>
    </comment>
    <comment ref="F67" authorId="0">
      <text>
        <r>
          <rPr>
            <sz val="9"/>
            <color indexed="81"/>
            <rFont val="Tahoma"/>
            <family val="2"/>
          </rPr>
          <t>出处：SpaceX_2026Q2季报__spcx-20260630.htm（10-Q） · 附注18 Segments 及 MD&amp;A 分部调节表 · Three Months Ended June 30, 2026；SI（超级智能，原AI分部） · 分部资本开支</t>
        </r>
      </text>
    </comment>
    <comment ref="G6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及各分部 Operating and Financial Data 表 · Three Months Ended September 30, 2026；SI（超级智能，原AI分部） · 分部资本开支</t>
        </r>
      </text>
    </comment>
    <comment ref="H6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Nine Months Ended September 30, 2026 列；SI（超级智能，原AI分部） · 分部资本开支</t>
        </r>
      </text>
    </comment>
    <comment ref="C7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Connectivity Segment Operating and Financial Data · Q3 2026</t>
        </r>
      </text>
    </comment>
    <comment ref="C7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Connectivity Segment Operating and Financial Data · Q3 2026</t>
        </r>
      </text>
    </comment>
    <comment ref="C7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Connectivity Segment Operating and Financial Data</t>
        </r>
      </text>
    </comment>
    <comment ref="C75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Connectivity Segment Operating and Financial Data</t>
        </r>
      </text>
    </comment>
    <comment ref="C76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Space Segment Operating and Financial Data</t>
        </r>
      </text>
    </comment>
    <comment ref="C7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Space Segment Operating and Financial Data</t>
        </r>
      </text>
    </comment>
    <comment ref="C7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Space Segment Operating and Financial Data</t>
        </r>
      </text>
    </comment>
    <comment ref="C7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Space Segment Operating and Financial Data</t>
        </r>
      </text>
    </comment>
    <comment ref="C8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Space Segment Operating and Financial Data</t>
        </r>
      </text>
    </comment>
    <comment ref="C8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SI Segment Operating and Financial Data</t>
        </r>
      </text>
    </comment>
    <comment ref="C82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SI Segment Operating and Financial Data</t>
        </r>
      </text>
    </comment>
    <comment ref="C83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SI Segment Operating and Financial Data</t>
        </r>
      </text>
    </comment>
    <comment ref="C84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Other Key Business Developments · Cursor Merger</t>
        </r>
      </text>
    </comment>
    <comment ref="C85" authorId="0">
      <text>
        <r>
          <rPr>
            <sz val="9"/>
            <color indexed="81"/>
            <rFont val="Tahoma"/>
            <family val="2"/>
          </rPr>
          <t>出处：SpaceX_2026Q2季报__spcx-20260630.htm（10-Q） · 附注3 Revenue · Backlog</t>
        </r>
      </text>
    </comment>
    <comment ref="C129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Three Months Ended September 30, 2025 列</t>
        </r>
      </text>
    </comment>
    <comment ref="C130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Three Months Ended September 30, 2025 列</t>
        </r>
      </text>
    </comment>
    <comment ref="C131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Third Quarter Financial Highlights · Three Months Ended September 30, 2025 列</t>
        </r>
      </text>
    </comment>
  </commentList>
</comments>
</file>

<file path=xl/comments2.xml><?xml version="1.0" encoding="utf-8"?>
<comments xmlns="http://schemas.openxmlformats.org/spreadsheetml/2006/main">
  <authors>
    <author>出处</author>
  </authors>
  <commentList>
    <comment ref="C7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列；行：Automotive sales</t>
        </r>
      </text>
    </comment>
    <comment ref="D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列；行：Automotive sales</t>
        </r>
      </text>
    </comment>
    <comment ref="E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列；行：Automotive sales</t>
        </r>
      </text>
    </comment>
    <comment ref="F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列；行：Automotive sales</t>
        </r>
      </text>
    </comment>
    <comment ref="G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三个月列一致）；行：Automotive sales</t>
        </r>
      </text>
    </comment>
    <comment ref="H7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2026（仅用于勾稽）；行：Automotive sales</t>
        </r>
      </text>
    </comment>
    <comment ref="C8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列；行：Automotive regulatory credits</t>
        </r>
      </text>
    </comment>
    <comment ref="D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列；行：Automotive regulatory credits</t>
        </r>
      </text>
    </comment>
    <comment ref="E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列；行：Automotive regulatory credits</t>
        </r>
      </text>
    </comment>
    <comment ref="F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列；行：Automotive regulatory credits</t>
        </r>
      </text>
    </comment>
    <comment ref="G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三个月列一致）；行：Automotive regulatory credits</t>
        </r>
      </text>
    </comment>
    <comment ref="H8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2026（仅用于勾稽）；行：Automotive regulatory credits</t>
        </r>
      </text>
    </comment>
    <comment ref="C9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列；行：Automotive leasing</t>
        </r>
      </text>
    </comment>
    <comment ref="D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列；行：Automotive leasing</t>
        </r>
      </text>
    </comment>
    <comment ref="E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列；行：Automotive leasing</t>
        </r>
      </text>
    </comment>
    <comment ref="F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列；行：Automotive leasing</t>
        </r>
      </text>
    </comment>
    <comment ref="G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三个月列一致）；行：Automotive leasing</t>
        </r>
      </text>
    </comment>
    <comment ref="H9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2026（仅用于勾稽）；行：Automotive leasing</t>
        </r>
      </text>
    </comment>
    <comment ref="C10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列；行：Energy generation and storage</t>
        </r>
      </text>
    </comment>
    <comment ref="D1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列；行：Energy generation and storage</t>
        </r>
      </text>
    </comment>
    <comment ref="E1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列；行：Energy generation and storage</t>
        </r>
      </text>
    </comment>
    <comment ref="F1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列；行：Energy generation and storage</t>
        </r>
      </text>
    </comment>
    <comment ref="G1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三个月列一致）；行：Energy generation and storage</t>
        </r>
      </text>
    </comment>
    <comment ref="H10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2026（仅用于勾稽）；行：Energy generation and storage</t>
        </r>
      </text>
    </comment>
    <comment ref="C11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列；行：Services and other</t>
        </r>
      </text>
    </comment>
    <comment ref="D1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列；行：Services and other</t>
        </r>
      </text>
    </comment>
    <comment ref="E1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列；行：Services and other</t>
        </r>
      </text>
    </comment>
    <comment ref="F1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列；行：Services and other</t>
        </r>
      </text>
    </comment>
    <comment ref="G1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三个月列一致）；行：Services and other</t>
        </r>
      </text>
    </comment>
    <comment ref="H11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2026（仅用于勾稽）；行：Services and other</t>
        </r>
      </text>
    </comment>
    <comment ref="C12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列；行：Total revenues</t>
        </r>
      </text>
    </comment>
    <comment ref="D1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列；行：Total revenues</t>
        </r>
      </text>
    </comment>
    <comment ref="E1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列；行：Total revenues</t>
        </r>
      </text>
    </comment>
    <comment ref="F1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列；行：Total revenues</t>
        </r>
      </text>
    </comment>
    <comment ref="G1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三个月列一致）；行：Total revenues</t>
        </r>
      </text>
    </comment>
    <comment ref="H12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2026（仅用于勾稽）；行：Total revenues</t>
        </r>
      </text>
    </comment>
    <comment ref="C13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列；行：Cost of revenues: Automotive sales</t>
        </r>
      </text>
    </comment>
    <comment ref="D1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列；行：Cost of revenues: Automotive sales</t>
        </r>
      </text>
    </comment>
    <comment ref="E1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列；行：Cost of revenues: Automotive sales</t>
        </r>
      </text>
    </comment>
    <comment ref="F1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列；行：Cost of revenues: Automotive sales</t>
        </r>
      </text>
    </comment>
    <comment ref="G1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三个月列一致）；行：Cost of revenues: Automotive sales</t>
        </r>
      </text>
    </comment>
    <comment ref="H13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2026（仅用于勾稽）；行：Cost of revenues: Automotive sales</t>
        </r>
      </text>
    </comment>
    <comment ref="C14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列；行：Cost of revenues: Automotive leasing</t>
        </r>
      </text>
    </comment>
    <comment ref="D1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列；行：Cost of revenues: Automotive leasing</t>
        </r>
      </text>
    </comment>
    <comment ref="E1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列；行：Cost of revenues: Automotive leasing</t>
        </r>
      </text>
    </comment>
    <comment ref="F1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列；行：Cost of revenues: Automotive leasing</t>
        </r>
      </text>
    </comment>
    <comment ref="G1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三个月列一致）；行：Cost of revenues: Automotive leasing</t>
        </r>
      </text>
    </comment>
    <comment ref="H14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2026（仅用于勾稽）；行：Cost of revenues: Automotive leasing</t>
        </r>
      </text>
    </comment>
    <comment ref="C15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列；行：Cost of revenues: Energy generation and storage</t>
        </r>
      </text>
    </comment>
    <comment ref="D1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列；行：Cost of revenues: Energy generation and storage</t>
        </r>
      </text>
    </comment>
    <comment ref="E1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列；行：Cost of revenues: Energy generation and storage</t>
        </r>
      </text>
    </comment>
    <comment ref="F1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列；行：Cost of revenues: Energy generation and storage</t>
        </r>
      </text>
    </comment>
    <comment ref="G1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三个月列一致）；行：Cost of revenues: Energy generation and storage</t>
        </r>
      </text>
    </comment>
    <comment ref="H15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2026（仅用于勾稽）；行：Cost of revenues: Energy generation and storage</t>
        </r>
      </text>
    </comment>
    <comment ref="C16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列；行：Cost of revenues: Services and other</t>
        </r>
      </text>
    </comment>
    <comment ref="D1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列；行：Cost of revenues: Services and other</t>
        </r>
      </text>
    </comment>
    <comment ref="E1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列；行：Cost of revenues: Services and other</t>
        </r>
      </text>
    </comment>
    <comment ref="F1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列；行：Cost of revenues: Services and other</t>
        </r>
      </text>
    </comment>
    <comment ref="G1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三个月列一致）；行：Cost of revenues: Services and other</t>
        </r>
      </text>
    </comment>
    <comment ref="H16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2026（仅用于勾稽）；行：Cost of revenues: Services and other</t>
        </r>
      </text>
    </comment>
    <comment ref="C17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列；行：Total cost of revenues</t>
        </r>
      </text>
    </comment>
    <comment ref="D1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列；行：Total cost of revenues</t>
        </r>
      </text>
    </comment>
    <comment ref="E1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列；行：Total cost of revenues</t>
        </r>
      </text>
    </comment>
    <comment ref="F1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列；行：Total cost of revenues</t>
        </r>
      </text>
    </comment>
    <comment ref="G1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三个月列一致）；行：Total cost of revenues</t>
        </r>
      </text>
    </comment>
    <comment ref="H17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2026（仅用于勾稽）；行：Total cost of revenues</t>
        </r>
      </text>
    </comment>
    <comment ref="C18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列；行：Research and development</t>
        </r>
      </text>
    </comment>
    <comment ref="D1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列；行：Research and development</t>
        </r>
      </text>
    </comment>
    <comment ref="E1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列；行：Research and development</t>
        </r>
      </text>
    </comment>
    <comment ref="F1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列；行：Research and development</t>
        </r>
      </text>
    </comment>
    <comment ref="G1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三个月列一致）；行：Research and development</t>
        </r>
      </text>
    </comment>
    <comment ref="H18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2026（仅用于勾稽）；行：Research and development</t>
        </r>
      </text>
    </comment>
    <comment ref="C19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列；行：Selling, general and administrative</t>
        </r>
      </text>
    </comment>
    <comment ref="D1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列；行：Selling, general and administrative</t>
        </r>
      </text>
    </comment>
    <comment ref="E1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列；行：Selling, general and administrative</t>
        </r>
      </text>
    </comment>
    <comment ref="F1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列；行：Selling, general and administrative</t>
        </r>
      </text>
    </comment>
    <comment ref="G1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三个月列一致）；行：Selling, general and administrative</t>
        </r>
      </text>
    </comment>
    <comment ref="H19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2026（仅用于勾稽）；行：Selling, general and administrative</t>
        </r>
      </text>
    </comment>
    <comment ref="C20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列；行：Restructuring and other</t>
        </r>
      </text>
    </comment>
    <comment ref="D2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列；行：Restructuring and other</t>
        </r>
      </text>
    </comment>
    <comment ref="E2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列；行：Restructuring and other</t>
        </r>
      </text>
    </comment>
    <comment ref="F2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列；行：Restructuring and other</t>
        </r>
      </text>
    </comment>
    <comment ref="G2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三个月列一致）；行：Restructuring and other</t>
        </r>
      </text>
    </comment>
    <comment ref="H20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2026（仅用于勾稽）；行：Restructuring and other</t>
        </r>
      </text>
    </comment>
    <comment ref="C21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列；行：Income from operations</t>
        </r>
      </text>
    </comment>
    <comment ref="D2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列；行：Income from operations</t>
        </r>
      </text>
    </comment>
    <comment ref="E2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列；行：Income from operations</t>
        </r>
      </text>
    </comment>
    <comment ref="F2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列；行：Income from operations</t>
        </r>
      </text>
    </comment>
    <comment ref="G2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三个月列一致）；行：Income from operations</t>
        </r>
      </text>
    </comment>
    <comment ref="H21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2026（仅用于勾稽）；行：Income from operations</t>
        </r>
      </text>
    </comment>
    <comment ref="C22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列；行：Interest income</t>
        </r>
      </text>
    </comment>
    <comment ref="D2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列；行：Interest income</t>
        </r>
      </text>
    </comment>
    <comment ref="E2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列；行：Interest income</t>
        </r>
      </text>
    </comment>
    <comment ref="F2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列；行：Interest income</t>
        </r>
      </text>
    </comment>
    <comment ref="G2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三个月列一致）；行：Interest income</t>
        </r>
      </text>
    </comment>
    <comment ref="H22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2026（仅用于勾稽）；行：Interest income</t>
        </r>
      </text>
    </comment>
    <comment ref="C23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列；行：Interest expense</t>
        </r>
      </text>
    </comment>
    <comment ref="D2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列；行：Interest expense</t>
        </r>
      </text>
    </comment>
    <comment ref="E2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列；行：Interest expense</t>
        </r>
      </text>
    </comment>
    <comment ref="F2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列；行：Interest expense</t>
        </r>
      </text>
    </comment>
    <comment ref="G2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三个月列一致）；行：Interest expense</t>
        </r>
      </text>
    </comment>
    <comment ref="H23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2026（仅用于勾稽）；行：Interest expense</t>
        </r>
      </text>
    </comment>
    <comment ref="C24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列；行：Other (expense) income, net</t>
        </r>
      </text>
    </comment>
    <comment ref="D2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列；行：Other (expense) income, net</t>
        </r>
      </text>
    </comment>
    <comment ref="E2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列；行：Other (expense) income, net</t>
        </r>
      </text>
    </comment>
    <comment ref="F2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列；行：Other (expense) income, net</t>
        </r>
      </text>
    </comment>
    <comment ref="G2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三个月列一致）；行：Other (expense) income, net</t>
        </r>
      </text>
    </comment>
    <comment ref="H24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2026（仅用于勾稽）；行：Other (expense) income, net</t>
        </r>
      </text>
    </comment>
    <comment ref="C25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列；行：Income before income taxes</t>
        </r>
      </text>
    </comment>
    <comment ref="D2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列；行：Income before income taxes</t>
        </r>
      </text>
    </comment>
    <comment ref="E2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列；行：Income before income taxes</t>
        </r>
      </text>
    </comment>
    <comment ref="F2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列；行：Income before income taxes</t>
        </r>
      </text>
    </comment>
    <comment ref="G2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三个月列一致）；行：Income before income taxes</t>
        </r>
      </text>
    </comment>
    <comment ref="H25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2026（仅用于勾稽）；行：Income before income taxes</t>
        </r>
      </text>
    </comment>
    <comment ref="C26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列；行：Provision for income taxes</t>
        </r>
      </text>
    </comment>
    <comment ref="D2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列；行：Provision for income taxes</t>
        </r>
      </text>
    </comment>
    <comment ref="E2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列；行：Provision for income taxes</t>
        </r>
      </text>
    </comment>
    <comment ref="F2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列；行：Provision for income taxes</t>
        </r>
      </text>
    </comment>
    <comment ref="G2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三个月列一致）；行：Provision for income taxes</t>
        </r>
      </text>
    </comment>
    <comment ref="H26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2026（仅用于勾稽）；行：Provision for income taxes</t>
        </r>
      </text>
    </comment>
    <comment ref="C27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列；行：Net income</t>
        </r>
      </text>
    </comment>
    <comment ref="D2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列；行：Net income</t>
        </r>
      </text>
    </comment>
    <comment ref="E2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列；行：Net income</t>
        </r>
      </text>
    </comment>
    <comment ref="F2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列；行：Net income</t>
        </r>
      </text>
    </comment>
    <comment ref="G27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三个月列一致）；行：Net income</t>
        </r>
      </text>
    </comment>
    <comment ref="H27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2026（仅用于勾稽）；行：Net income</t>
        </r>
      </text>
    </comment>
    <comment ref="C28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列；行：Net income attributable to noncontrolling interests</t>
        </r>
      </text>
    </comment>
    <comment ref="D2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列；行：Net income attributable to noncontrolling interests</t>
        </r>
      </text>
    </comment>
    <comment ref="E2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列；行：Net income attributable to noncontrolling interests</t>
        </r>
      </text>
    </comment>
    <comment ref="F2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列；行：Net income attributable to noncontrolling interests</t>
        </r>
      </text>
    </comment>
    <comment ref="G28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三个月列一致）；行：Net income attributable to noncontrolling interests</t>
        </r>
      </text>
    </comment>
    <comment ref="H28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2026（仅用于勾稽）；行：Net income attributable to noncontrolling interests</t>
        </r>
      </text>
    </comment>
    <comment ref="C29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列；行：Net income attributable to common stockholders</t>
        </r>
      </text>
    </comment>
    <comment ref="D2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列；行：Net income attributable to common stockholders</t>
        </r>
      </text>
    </comment>
    <comment ref="E2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列；行：Net income attributable to common stockholders</t>
        </r>
      </text>
    </comment>
    <comment ref="F2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列；行：Net income attributable to common stockholders</t>
        </r>
      </text>
    </comment>
    <comment ref="G2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三个月列一致）；行：Net income attributable to common stockholders</t>
        </r>
      </text>
    </comment>
    <comment ref="H29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2026（仅用于勾稽）；行：Net income attributable to common stockholders</t>
        </r>
      </text>
    </comment>
    <comment ref="C30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列；行：Depreciation, amortization and impairment</t>
        </r>
      </text>
    </comment>
    <comment ref="D3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列；行：Depreciation, amortization and impairment</t>
        </r>
      </text>
    </comment>
    <comment ref="E3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列；行：Depreciation, amortization and impairment</t>
        </r>
      </text>
    </comment>
    <comment ref="F3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列；行：Depreciation, amortization and impairment</t>
        </r>
      </text>
    </comment>
    <comment ref="G3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三个月列一致）；行：Depreciation, amortization and impairment</t>
        </r>
      </text>
    </comment>
    <comment ref="H30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2026（仅用于勾稽）；行：Depreciation, amortization and impairment</t>
        </r>
      </text>
    </comment>
    <comment ref="C31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列；行：Stock-based compensation</t>
        </r>
      </text>
    </comment>
    <comment ref="D3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列；行：Stock-based compensation</t>
        </r>
      </text>
    </comment>
    <comment ref="E3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列；行：Stock-based compensation</t>
        </r>
      </text>
    </comment>
    <comment ref="F3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列；行：Stock-based compensation</t>
        </r>
      </text>
    </comment>
    <comment ref="G3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三个月列一致）；行：Stock-based compensation</t>
        </r>
      </text>
    </comment>
    <comment ref="H31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2026（仅用于勾稽）；行：Stock-based compensation</t>
        </r>
      </text>
    </comment>
    <comment ref="C32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列；行：Digital assets unrealized (gain) loss</t>
        </r>
      </text>
    </comment>
    <comment ref="D3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列；行：Digital assets unrealized (gain) loss</t>
        </r>
      </text>
    </comment>
    <comment ref="E3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列；行：Digital assets unrealized (gain) loss</t>
        </r>
      </text>
    </comment>
    <comment ref="F3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列；行：Digital assets unrealized (gain) loss</t>
        </r>
      </text>
    </comment>
    <comment ref="G3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三个月列一致）；行：Digital assets unrealized (gain) loss</t>
        </r>
      </text>
    </comment>
    <comment ref="H32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2026（仅用于勾稽）；行：Digital assets unrealized (gain) loss</t>
        </r>
      </text>
    </comment>
    <comment ref="C33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列；行：SpaceX equity investment unrealized (gain) loss</t>
        </r>
      </text>
    </comment>
    <comment ref="D3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列；行：SpaceX equity investment unrealized (gain) loss</t>
        </r>
      </text>
    </comment>
    <comment ref="E3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列；行：SpaceX equity investment unrealized (gain) loss</t>
        </r>
      </text>
    </comment>
    <comment ref="F3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列；行：SpaceX equity investment unrealized (gain) loss</t>
        </r>
      </text>
    </comment>
    <comment ref="G3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三个月列一致）；行：SpaceX equity investment unrealized (gain) loss</t>
        </r>
      </text>
    </comment>
    <comment ref="H33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2026（仅用于勾稽）；行：SpaceX equity investment unrealized (gain) loss</t>
        </r>
      </text>
    </comment>
    <comment ref="C34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列；行：SpaceX equity investment unrealized (gain) loss, net of tax</t>
        </r>
      </text>
    </comment>
    <comment ref="D3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列；行：SpaceX equity investment unrealized (gain) loss, net of tax</t>
        </r>
      </text>
    </comment>
    <comment ref="E3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列；行：SpaceX equity investment unrealized (gain) loss, net of tax</t>
        </r>
      </text>
    </comment>
    <comment ref="F3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列；行：SpaceX equity investment unrealized (gain) loss, net of tax</t>
        </r>
      </text>
    </comment>
    <comment ref="G3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三个月列一致）；行：SpaceX equity investment unrealized (gain) loss, net of tax</t>
        </r>
      </text>
    </comment>
    <comment ref="C35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列；行：Adjusted EBITDA</t>
        </r>
      </text>
    </comment>
    <comment ref="D3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列；行：Adjusted EBITDA</t>
        </r>
      </text>
    </comment>
    <comment ref="E3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列；行：Adjusted EBITDA</t>
        </r>
      </text>
    </comment>
    <comment ref="F3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列；行：Adjusted EBITDA</t>
        </r>
      </text>
    </comment>
    <comment ref="G3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三个月列一致）；行：Adjusted EBITDA</t>
        </r>
      </text>
    </comment>
    <comment ref="C45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列；行：Net cash provided by operating activities</t>
        </r>
      </text>
    </comment>
    <comment ref="D4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列；行：Net cash provided by operating activities</t>
        </r>
      </text>
    </comment>
    <comment ref="E4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列；行：Net cash provided by operating activities</t>
        </r>
      </text>
    </comment>
    <comment ref="F4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列；行：Net cash provided by operating activities</t>
        </r>
      </text>
    </comment>
    <comment ref="G4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三个月列一致）；行：Net cash provided by operating activities</t>
        </r>
      </text>
    </comment>
    <comment ref="H45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2026（仅用于勾稽）；行：Net cash provided by operating activities</t>
        </r>
      </text>
    </comment>
    <comment ref="C46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Statements of Operations / Cash Flows（Item 8）；调整后EBITDA取自 Tesla_2026Q3业绩公告__exhibit9914.htm（Q3 2026 Update，附件99.1） 非GAAP调节表 4Q-2025 TTM 列；行：Capital expenditures / Purchases of property and equipment excluding finance leases, net of sales</t>
        </r>
      </text>
    </comment>
    <comment ref="D4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of GAAP to Non-GAAP · Q4-2025 列；行：Capital expenditures / Purchases of property and equipment excluding finance leases, net of sales</t>
        </r>
      </text>
    </comment>
    <comment ref="E4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Q1-2026 列；行：Capital expenditures / Purchases of property and equipment excluding finance leases, net of sales</t>
        </r>
      </text>
    </comment>
    <comment ref="F4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Q2-2026 列；行：Capital expenditures / Purchases of property and equipment excluding finance leases, net of sales</t>
        </r>
      </text>
    </comment>
    <comment ref="G4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Statement of Operations / Cash Flows / Reconciliation · Q3-2026 列（与 10-Q 三个月列一致）；行：Capital expenditures / Purchases of property and equipment excluding finance leases, net of sales</t>
        </r>
      </text>
    </comment>
    <comment ref="H46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Statements of Operations / Cash Flows · Nine Months Ended September 30, 2026（仅用于勾稽）；行：Capital expenditures / Purchases of property and equipment excluding finance leases, net of sales</t>
        </r>
      </text>
    </comment>
    <comment ref="C51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Balance Sheets · December 31, 2025（现金及短期投资=16,513+27,546，取自 Tesla_2026Q3业绩公告__exhibit9914.htm（Q3 2026 Update，附件99.1） 资产负债表合计行）；行：Cash, cash equivalents and short-term investments</t>
        </r>
      </text>
    </comment>
    <comment ref="D5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31-Mar-26 列；行：Cash, cash equivalents and short-term investments</t>
        </r>
      </text>
    </comment>
    <comment ref="E5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30-Jun-26 列；行：Cash, cash equivalents and short-term investments</t>
        </r>
      </text>
    </comment>
    <comment ref="F51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Balance Sheets · September 30, 2026（与 Update 30-Sep-26 列一致）；行：Cash, cash equivalents and short-term investments</t>
        </r>
      </text>
    </comment>
    <comment ref="C52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Balance Sheets · December 31, 2025（现金及短期投资=16,513+27,546，取自 Tesla_2026Q3业绩公告__exhibit9914.htm（Q3 2026 Update，附件99.1） 资产负债表合计行）；行：Current portion of debt and finance leases</t>
        </r>
      </text>
    </comment>
    <comment ref="D5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31-Mar-26 列；行：Current portion of debt and finance leases</t>
        </r>
      </text>
    </comment>
    <comment ref="E5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30-Jun-26 列；行：Current portion of debt and finance leases</t>
        </r>
      </text>
    </comment>
    <comment ref="F52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Balance Sheets · September 30, 2026（与 Update 30-Sep-26 列一致）；行：Current portion of debt and finance leases</t>
        </r>
      </text>
    </comment>
    <comment ref="C53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Balance Sheets · December 31, 2025（现金及短期投资=16,513+27,546，取自 Tesla_2026Q3业绩公告__exhibit9914.htm（Q3 2026 Update，附件99.1） 资产负债表合计行）；行：Debt and finance leases, net of current portion</t>
        </r>
      </text>
    </comment>
    <comment ref="D5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31-Mar-26 列；行：Debt and finance leases, net of current portion</t>
        </r>
      </text>
    </comment>
    <comment ref="E5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30-Jun-26 列；行：Debt and finance leases, net of current portion</t>
        </r>
      </text>
    </comment>
    <comment ref="F53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Balance Sheets · September 30, 2026（与 Update 30-Sep-26 列一致）；行：Debt and finance leases, net of current portion</t>
        </r>
      </text>
    </comment>
    <comment ref="C54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Balance Sheets · December 31, 2025（现金及短期投资=16,513+27,546，取自 Tesla_2026Q3业绩公告__exhibit9914.htm（Q3 2026 Update，附件99.1） 资产负债表合计行）；行：Total stockholders' equity</t>
        </r>
      </text>
    </comment>
    <comment ref="D5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31-Mar-26 列；行：Total stockholders' equity</t>
        </r>
      </text>
    </comment>
    <comment ref="E54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30-Jun-26 列；行：Total stockholders' equity</t>
        </r>
      </text>
    </comment>
    <comment ref="F54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Balance Sheets · September 30, 2026（与 Update 30-Sep-26 列一致）；行：Total stockholders' equity</t>
        </r>
      </text>
    </comment>
    <comment ref="C55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Balance Sheets · December 31, 2025（现金及短期投资=16,513+27,546，取自 Tesla_2026Q3业绩公告__exhibit9914.htm（Q3 2026 Update，附件99.1） 资产负债表合计行）；行：Noncontrolling interests in subsidiaries</t>
        </r>
      </text>
    </comment>
    <comment ref="D5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31-Mar-26 列；行：Noncontrolling interests in subsidiaries</t>
        </r>
      </text>
    </comment>
    <comment ref="E55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30-Jun-26 列；行：Noncontrolling interests in subsidiaries</t>
        </r>
      </text>
    </comment>
    <comment ref="F55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Balance Sheets · September 30, 2026（与 Update 30-Sep-26 列一致）；行：Noncontrolling interests in subsidiaries</t>
        </r>
      </text>
    </comment>
    <comment ref="C56" authorId="0">
      <text>
        <r>
          <rPr>
            <sz val="9"/>
            <color indexed="81"/>
            <rFont val="Tahoma"/>
            <family val="2"/>
          </rPr>
          <t>出处：Tesla_2025年报__tsla-20251231.htm（10-K） · Consolidated Balance Sheets · December 31, 2025（现金及短期投资=16,513+27,546，取自 Tesla_2026Q3业绩公告__exhibit9914.htm（Q3 2026 Update，附件99.1） 资产负债表合计行）；行：Redeemable noncontrolling interests in subsidiaries</t>
        </r>
      </text>
    </comment>
    <comment ref="D5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31-Mar-26 列；行：Redeemable noncontrolling interests in subsidiaries</t>
        </r>
      </text>
    </comment>
    <comment ref="E56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Balance Sheet · 30-Jun-26 列；行：Redeemable noncontrolling interests in subsidiaries</t>
        </r>
      </text>
    </comment>
    <comment ref="F56" authorId="0">
      <text>
        <r>
          <rPr>
            <sz val="9"/>
            <color indexed="81"/>
            <rFont val="Tahoma"/>
            <family val="2"/>
          </rPr>
          <t>出处：Tesla_2026Q3季报__tsla-20260930.htm（10-Q） · Consolidated Balance Sheets · September 30, 2026（与 Update 30-Sep-26 列一致）；行：Redeemable noncontrolling interests in subsidiaries</t>
        </r>
      </text>
    </comment>
    <comment ref="C60" authorId="0">
      <text>
        <r>
          <rPr>
            <sz val="9"/>
            <color indexed="81"/>
            <rFont val="Tahoma"/>
            <family val="2"/>
          </rPr>
          <t>出处：Tesla_2025年报__tsla-20251231.htm（10-K） · 附注16 Segment Reporting · 2025年度</t>
        </r>
      </text>
    </comment>
    <comment ref="D60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2026</t>
        </r>
      </text>
    </comment>
    <comment ref="E60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Nine Months Ended September 30, 2026</t>
        </r>
      </text>
    </comment>
    <comment ref="C61" authorId="0">
      <text>
        <r>
          <rPr>
            <sz val="9"/>
            <color indexed="81"/>
            <rFont val="Tahoma"/>
            <family val="2"/>
          </rPr>
          <t>出处：Tesla_2025年报__tsla-20251231.htm（10-K） · 附注16 Segment Reporting · 2025年度</t>
        </r>
      </text>
    </comment>
    <comment ref="D61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2026</t>
        </r>
      </text>
    </comment>
    <comment ref="E61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Nine Months Ended September 30, 2026</t>
        </r>
      </text>
    </comment>
    <comment ref="C62" authorId="0">
      <text>
        <r>
          <rPr>
            <sz val="9"/>
            <color indexed="81"/>
            <rFont val="Tahoma"/>
            <family val="2"/>
          </rPr>
          <t>出处：Tesla_2025年报__tsla-20251231.htm（10-K） · 附注16 Segment Reporting · 2025年度</t>
        </r>
      </text>
    </comment>
    <comment ref="D62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2026</t>
        </r>
      </text>
    </comment>
    <comment ref="E62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Nine Months Ended September 30, 2026</t>
        </r>
      </text>
    </comment>
    <comment ref="C63" authorId="0">
      <text>
        <r>
          <rPr>
            <sz val="9"/>
            <color indexed="81"/>
            <rFont val="Tahoma"/>
            <family val="2"/>
          </rPr>
          <t>出处：Tesla_2025年报__tsla-20251231.htm（10-K） · 附注16 Segment Reporting · 2025年度</t>
        </r>
      </text>
    </comment>
    <comment ref="D63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2026</t>
        </r>
      </text>
    </comment>
    <comment ref="E63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Nine Months Ended September 30, 2026</t>
        </r>
      </text>
    </comment>
    <comment ref="C64" authorId="0">
      <text>
        <r>
          <rPr>
            <sz val="9"/>
            <color indexed="81"/>
            <rFont val="Tahoma"/>
            <family val="2"/>
          </rPr>
          <t>出处：Tesla_2025年报__tsla-20251231.htm（10-K） · 附注16 Segment Reporting · 2025年度</t>
        </r>
      </text>
    </comment>
    <comment ref="D64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2026</t>
        </r>
      </text>
    </comment>
    <comment ref="E64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Nine Months Ended September 30, 2026</t>
        </r>
      </text>
    </comment>
    <comment ref="C65" authorId="0">
      <text>
        <r>
          <rPr>
            <sz val="9"/>
            <color indexed="81"/>
            <rFont val="Tahoma"/>
            <family val="2"/>
          </rPr>
          <t>出处：Tesla_2025年报__tsla-20251231.htm（10-K） · 附注16 Segment Reporting · 2025年度</t>
        </r>
      </text>
    </comment>
    <comment ref="D65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2026</t>
        </r>
      </text>
    </comment>
    <comment ref="E65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Nine Months Ended September 30, 2026</t>
        </r>
      </text>
    </comment>
    <comment ref="C6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D6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E6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F69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C7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D7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E7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F70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C7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D7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E7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F71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C7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D7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E7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F72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C7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D7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E7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F73" authorId="0">
      <text>
        <r>
          <rPr>
            <sz val="9"/>
            <color indexed="81"/>
            <rFont val="Tahoma"/>
            <family val="2"/>
          </rPr>
          <t>出处：Tesla_2026Q3业绩公告__exhibit9914.htm（Q3 2026 Update，附件99.1） · Operational Summary（各季度列）</t>
        </r>
      </text>
    </comment>
    <comment ref="C107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2025 列</t>
        </r>
      </text>
    </comment>
    <comment ref="C108" authorId="0">
      <text>
        <r>
          <rPr>
            <sz val="9"/>
            <color indexed="81"/>
            <rFont val="Tahoma"/>
            <family val="2"/>
          </rPr>
          <t>出处：Tesla_2026Q3季报__tsla-20260930.htm（10-Q） · 附注14 Segment Reporting · Three Months Ended September 30, 2025 列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24" authorId="0">
      <text>
        <r>
          <rPr>
            <sz val="8"/>
            <color indexed="81"/>
            <rFont val="Tahoma"/>
            <family val="2"/>
          </rPr>
          <t>出处：Nasdaq.com 历史行情接口（api.nasdaq.com/api/quote/{TSLA|SPCX}/historical），访问日期 2026-10-22。</t>
        </r>
      </text>
    </comment>
  </commentList>
</comments>
</file>

<file path=xl/comments4.xml><?xml version="1.0" encoding="utf-8"?>
<comments xmlns="http://schemas.openxmlformats.org/spreadsheetml/2006/main">
  <authors>
    <author>出处</author>
  </authors>
  <commentList>
    <comment ref="E6" authorId="0">
      <text>
        <r>
          <rPr>
            <sz val="9"/>
            <color indexed="81"/>
            <rFont val="Tahoma"/>
            <family val="2"/>
          </rPr>
          <t>出处：Tesla_2025年报__tsla-20251231.htm（10-K） · 附注15 Related Party Transactions：$430 million of revenues</t>
        </r>
      </text>
    </comment>
    <comment ref="E7" authorId="0">
      <text>
        <r>
          <rPr>
            <sz val="9"/>
            <color indexed="81"/>
            <rFont val="Tahoma"/>
            <family val="2"/>
          </rPr>
          <t>出处：Tesla_2025年报__tsla-20251231.htm（10-K） · 附注15：$285 million of cost of revenues</t>
        </r>
      </text>
    </comment>
    <comment ref="E8" authorId="0">
      <text>
        <r>
          <rPr>
            <sz val="9"/>
            <color indexed="81"/>
            <rFont val="Tahoma"/>
            <family val="2"/>
          </rPr>
          <t>出处：Tesla_2026Q3季报__tsla-20260930.htm（10-Q） · 附注13 Related Party Transactions：$626 million of revenues (nine months)</t>
        </r>
      </text>
    </comment>
    <comment ref="E9" authorId="0">
      <text>
        <r>
          <rPr>
            <sz val="9"/>
            <color indexed="81"/>
            <rFont val="Tahoma"/>
            <family val="2"/>
          </rPr>
          <t>出处：Tesla_2026Q3季报__tsla-20260930.htm（10-Q） · 附注13：$478 million of cost of revenues (nine months)</t>
        </r>
      </text>
    </comment>
    <comment ref="E10" authorId="0">
      <text>
        <r>
          <rPr>
            <sz val="9"/>
            <color indexed="81"/>
            <rFont val="Tahoma"/>
            <family val="2"/>
          </rPr>
          <t>出处：Tesla_2026Q3季报__tsla-20260930.htm（10-Q） · 附注13：$221 million (three months)</t>
        </r>
      </text>
    </comment>
    <comment ref="E11" authorId="0">
      <text>
        <r>
          <rPr>
            <sz val="9"/>
            <color indexed="81"/>
            <rFont val="Tahoma"/>
            <family val="2"/>
          </rPr>
          <t>出处：Tesla_2026Q3季报__tsla-20260930.htm（10-Q） · 附注13：$171 million (three months)</t>
        </r>
      </text>
    </comment>
    <comment ref="E12" authorId="0">
      <text>
        <r>
          <rPr>
            <sz val="9"/>
            <color indexed="81"/>
            <rFont val="Tahoma"/>
            <family val="2"/>
          </rPr>
          <t>出处：Tesla_2026Q3季报__tsla-20260930.htm（10-Q） · 附注13：accounts receivable from SpaceX was $729 million</t>
        </r>
      </text>
    </comment>
    <comment ref="E13" authorId="0">
      <text>
        <r>
          <rPr>
            <sz val="9"/>
            <color indexed="81"/>
            <rFont val="Tahoma"/>
            <family val="2"/>
          </rPr>
          <t>出处：Tesla_2026Q3季报__tsla-20260930.htm（10-Q） · 附注13：deferred revenue ... $648 million</t>
        </r>
      </text>
    </comment>
    <comment ref="E14" authorId="0">
      <text>
        <r>
          <rPr>
            <sz val="9"/>
            <color indexed="81"/>
            <rFont val="Tahoma"/>
            <family val="2"/>
          </rPr>
          <t>出处：Tesla_2026Q3季报__tsla-20260930.htm（10-Q） · 附注2 Fair Value：SpaceX equity investment $2,865（Level I）</t>
        </r>
      </text>
    </comment>
    <comment ref="E15" authorId="0">
      <text>
        <r>
          <rPr>
            <sz val="9"/>
            <color indexed="81"/>
            <rFont val="Tahoma"/>
            <family val="2"/>
          </rPr>
          <t>出处：Tesla_2026Q3季报__tsla-20260930.htm（10-Q） · 合并现金流量表：Purchase of SpaceX equity investment (2,002)</t>
        </r>
      </text>
    </comment>
  </commentList>
</comments>
</file>

<file path=xl/comments5.xml><?xml version="1.0" encoding="utf-8"?>
<comments xmlns="http://schemas.openxmlformats.org/spreadsheetml/2006/main">
  <authors>
    <author>出处</author>
  </authors>
  <commentList>
    <comment ref="C6" authorId="0">
      <text>
        <r>
          <rPr>
            <sz val="9"/>
            <color indexed="81"/>
            <rFont val="Tahoma"/>
            <family val="2"/>
          </rPr>
          <t>出处：Tesla_2026Q3季报__tsla-20260930.htm（10-Q） · 封面：As of October 15, 2026, 3,952,757,946 shares outstanding</t>
        </r>
      </text>
    </comment>
    <comment ref="C7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2026：Class A 8,240 shares outstanding（百万股）</t>
        </r>
      </text>
    </comment>
    <comment ref="C8" authorId="0">
      <text>
        <r>
          <rPr>
            <sz val="9"/>
            <color indexed="81"/>
            <rFont val="Tahoma"/>
            <family val="2"/>
          </rPr>
          <t>出处：SpaceX_2026Q3业绩公告__spaceexplorationtechnologi.htm（8-K 附件99.1） · Consolidated Balance Sheets · September 30, 2026：Class B 5,339 shares（百万股）</t>
        </r>
      </text>
    </comment>
    <comment ref="C9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Certain Relationships and Related Person Transactions · Transactions with Tesla：18,990,195 shares（as of May 1, 2026）</t>
        </r>
      </text>
    </comment>
    <comment ref="C10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Security Ownership of Certain Beneficial Owners and Management：849,494,440 Class A</t>
        </r>
      </text>
    </comment>
    <comment ref="C11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Prospectus Summary/Security Ownership：5,219,053,075 Class B（不含3.5亿股期权）</t>
        </r>
      </text>
    </comment>
    <comment ref="C12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Security Ownership 脚注(1)：1,302,072,285 restricted Class B（SpaceX CEO Award 10亿股 + AI CEO Award 3.021亿股）</t>
        </r>
      </text>
    </comment>
    <comment ref="C13" authorId="0">
      <text>
        <r>
          <rPr>
            <sz val="9"/>
            <color indexed="81"/>
            <rFont val="Tahoma"/>
            <family val="2"/>
          </rPr>
          <t>出处：SpaceX_招股书__spaceexplorationtechnologi.htm（424B4，2026-06-11） · Security Ownership 脚注(1)：350,000,000 Class B issuable upon exercise of options</t>
        </r>
      </text>
    </comment>
    <comment ref="C14" authorId="0">
      <text>
        <r>
          <rPr>
            <sz val="9"/>
            <color indexed="81"/>
            <rFont val="Tahoma"/>
            <family val="2"/>
          </rPr>
          <t>出处：Tesla_2026股东大会委托书__tm267596-1_def14a.htm（DEF 14A） · Ownership of Securities（as of September 30, 2026）：699,580,882 shares，19.8%</t>
        </r>
      </text>
    </comment>
    <comment ref="C15" authorId="0">
      <text>
        <r>
          <rPr>
            <sz val="9"/>
            <color indexed="81"/>
            <rFont val="Tahoma"/>
            <family val="2"/>
          </rPr>
          <t>出处：Tesla_2026股东大会委托书__tm267596-1_def14a.htm（DEF 14A） · Ownership of Securities 脚注(2)：286,428,773 shares of restricted stock</t>
        </r>
      </text>
    </comment>
    <comment ref="C16" authorId="0">
      <text>
        <r>
          <rPr>
            <sz val="9"/>
            <color indexed="81"/>
            <rFont val="Tahoma"/>
            <family val="2"/>
          </rPr>
          <t>出处：Tesla_2026股东大会委托书__tm267596-1_def14a.htm（DEF 14A） · Ownership of Securities 脚注(2)；Tesla_2026Q3季报__tsla-20260930.htm（10-Q） 附注9：423,743,904 shares</t>
        </r>
      </text>
    </comment>
    <comment ref="C17" authorId="0">
      <text>
        <r>
          <rPr>
            <sz val="9"/>
            <color indexed="81"/>
            <rFont val="Tahoma"/>
            <family val="2"/>
          </rPr>
          <t>出处：Tesla_2026股东大会委托书__tm267596-1_def14a.htm（DEF 14A） · Ownership of Securities：based on 3,952,648,559 shares outstanding at September 30, 2026</t>
        </r>
      </text>
    </comment>
  </commentList>
</comments>
</file>

<file path=xl/sharedStrings.xml><?xml version="1.0" encoding="utf-8"?>
<sst xmlns="http://schemas.openxmlformats.org/spreadsheetml/2006/main" count="1330" uniqueCount="945">
  <si>
    <t>假设与参数（黄底橙字 = 假设，可直接修改，相关结果自动联动）</t>
  </si>
  <si>
    <t>本表所列均为分析假设，不是披露事实；披露数据见各财务表（蓝底）与市场数据表（绿底）。</t>
  </si>
  <si>
    <t>编号</t>
  </si>
  <si>
    <t>假设项</t>
  </si>
  <si>
    <t>取值</t>
  </si>
  <si>
    <t>单位</t>
  </si>
  <si>
    <t>说明与依据</t>
  </si>
  <si>
    <t>主要影响</t>
  </si>
  <si>
    <t>A01</t>
  </si>
  <si>
    <t>收购方 / 发行新股的存续上市主体</t>
  </si>
  <si>
    <t>SpaceX</t>
  </si>
  <si>
    <t>文本</t>
  </si>
  <si>
    <t>可选“SpaceX”或“特斯拉”。基准情形假设由 SpaceX（市值较大、马斯克以 B 类股控制）发行 A 类股吸收合并特斯拉；溢价给予被收购方股东。</t>
  </si>
  <si>
    <t>换股比例方向、两家股东占比、马斯克持股</t>
  </si>
  <si>
    <t>A02</t>
  </si>
  <si>
    <t>定价基准日（不受影响日）</t>
  </si>
  <si>
    <t>日期</t>
  </si>
  <si>
    <t>马斯克在 2026-10-20 美东 16:30 的 SpaceX 业绩电话会上提及两家特别委员会（任务背景/公开报道），当日收盘（16:00）为消息前最后收盘价，视为不受影响价格。若为非交易日，自动取此前最近交易日。</t>
  </si>
  <si>
    <t>方法①收盘市值、方法②VWAP 截止日、倍数法 EV 基准</t>
  </si>
  <si>
    <t>A03</t>
  </si>
  <si>
    <t>消息公布后参考日</t>
  </si>
  <si>
    <t>取消息公布后首个完整交易日收盘价作参考（方法③）。2026-10-22 为盘中数据，未采用；且招股书显示 Q3 业绩发布后第二个完整交易日（即 10-22）约 13 亿股 A 类股解禁。</t>
  </si>
  <si>
    <t>方法③</t>
  </si>
  <si>
    <t>A04</t>
  </si>
  <si>
    <t>成交量加权均价（VWAP）窗口</t>
  </si>
  <si>
    <t>交易日</t>
  </si>
  <si>
    <t>以基准日为窗口末日向前取 N 个交易日；价格表覆盖 2026-08-03 至 2026-10-21 共 57 个交易日，N 最大约 50（基准日为 10-20 时）。</t>
  </si>
  <si>
    <t>方法②</t>
  </si>
  <si>
    <t>A05</t>
  </si>
  <si>
    <t>VWAP 计算口径</t>
  </si>
  <si>
    <t>典型价×成交量</t>
  </si>
  <si>
    <t>缺少逐笔成交数据，以日度典型价（最高+最低+收盘）/3 按日成交量加权近似 VWAP（假设/近似）。</t>
  </si>
  <si>
    <t>A06</t>
  </si>
  <si>
    <t>基准溢价率（给被收购方股东）</t>
  </si>
  <si>
    <t>%</t>
  </si>
  <si>
    <t>基准情形为按市价对等换股（0% 溢价）；溢价敏感性见“敏感性”表（0%–40%）。</t>
  </si>
  <si>
    <t>换股比例、两家股东占比、马斯克持股</t>
  </si>
  <si>
    <t>A07</t>
  </si>
  <si>
    <t>倍数法 EBITDA 口径</t>
  </si>
  <si>
    <t>统一口径</t>
  </si>
  <si>
    <t>可选“统一口径”（经营利润+折旧摊销，本模型计算）或“公司口径”（两家各自披露的调整后 EBITDA，非 GAAP，定义不同：特斯拉未扣除利息收入）。</t>
  </si>
  <si>
    <t>方法⑤</t>
  </si>
  <si>
    <t>A08</t>
  </si>
  <si>
    <t>特斯拉 2025 年对 xAI 关联收入中落在 2025Q4 的比例</t>
  </si>
  <si>
    <t>特斯拉 10-Q 披露 2025 年前三季度关联交易不重大，故假设 2025 年 4.30 亿美元 Megapack 关联收入全部发生在 Q4（用于 LTM 抵销）。</t>
  </si>
  <si>
    <t>LTM 合并抵销</t>
  </si>
  <si>
    <t>A09</t>
  </si>
  <si>
    <t>关联毛利抵销对应税率</t>
  </si>
  <si>
    <t>按美国联邦法定税率 21% 估算抵销关联未实现利润对净利润的影响（假设）。SpaceX 股权投资公允价值变动的税后数取特斯拉披露的非 GAAP 调节表。</t>
  </si>
  <si>
    <t>合并净利润</t>
  </si>
  <si>
    <t>A10</t>
  </si>
  <si>
    <t>购买法示意：超额对价中分摊至有限寿命无形资产的比例</t>
  </si>
  <si>
    <t>仅为示意：合并若按 ASC 805 以 SpaceX 为会计收购方，特斯拉净资产按公允价值入账，超额对价形成商誉及可辨认无形资产。分摊比例需购买价格分摊（PPA）确定，此处为假设。</t>
  </si>
  <si>
    <t>合并 GAAP 经营利润（示意）</t>
  </si>
  <si>
    <t>A11</t>
  </si>
  <si>
    <t>购买法示意：无形资产摊销年限</t>
  </si>
  <si>
    <t>年</t>
  </si>
  <si>
    <t>直线摊销，示意假设。</t>
  </si>
  <si>
    <t>A12</t>
  </si>
  <si>
    <t>最近一季年化倍数</t>
  </si>
  <si>
    <t>倍</t>
  </si>
  <si>
    <t>“最近一季年化” = 2026Q3 × 4，仅用于展示规模变化，不是预测。</t>
  </si>
  <si>
    <t>合并营收结构（年化示意）</t>
  </si>
  <si>
    <t>A13</t>
  </si>
  <si>
    <t>马斯克持股数据时点</t>
  </si>
  <si>
    <t>见说明</t>
  </si>
  <si>
    <t>SpaceX 持股取招股书（截至 2026-05-01）；特斯拉持股取委托书（截至 2026-09-30）。假设此后未变动（招股书显示马斯克全部股份锁定 366 天）。分母取最新披露股本（SpaceX 2026-09-30、特斯拉 2026-10-15）。</t>
  </si>
  <si>
    <t>马斯克持股</t>
  </si>
  <si>
    <t>A14</t>
  </si>
  <si>
    <t>限制性股与业绩股处理</t>
  </si>
  <si>
    <t>口径A：已发行限制性股（含尚未达成业绩条件的业绩股）全部计入马斯克及总股本（上限口径）。口径B：剔除尚未达成业绩条件的业绩股（SpaceX 13.02 亿股 B 类、特斯拉 2025 CEO 奖励 4.24 亿股），特斯拉口径与委托书一致。两口径均不含未行权期权。假设合并时各类限制性股按同一换股比例转换、原条件不变。</t>
  </si>
  <si>
    <t>A15</t>
  </si>
  <si>
    <t>合并后表决权结构</t>
  </si>
  <si>
    <t>若 SpaceX 为存续主体：沿用双层股权（B 类 10 票/股），特斯拉股东（含马斯克）获发 A 类股；马斯克 2025 特斯拉业绩股继续按比例投票（计算表决权时剔除）。若特斯拉为存续主体：假设单一类别 1 股 1 票。</t>
  </si>
  <si>
    <t>马斯克表决权（示意）</t>
  </si>
  <si>
    <t>A16</t>
  </si>
  <si>
    <t>交易方式与其他</t>
  </si>
  <si>
    <t>100% 换股；不考虑现金对价、交易费用、协同效应、税务影响与监管条件；合并后市值按两家不受影响市值相加减去交叉持股（示意）。</t>
  </si>
  <si>
    <t>全部</t>
  </si>
  <si>
    <t>SpaceX（Space Exploration Technologies Corp.，SPCX）财务数据</t>
  </si>
  <si>
    <t>单位：百万美元（另注明除外）。蓝底 = 披露数据（批注注明文件、报表与列）；白底 = 公式；灰底 = 校验。2025 年及以前数据已按同一控制下合并（xAI、X）追溯重述。</t>
  </si>
  <si>
    <t>A. 利润表与非 GAAP 调节（披露期间原始数）</t>
  </si>
  <si>
    <t>项目</t>
  </si>
  <si>
    <t>FY2025</t>
  </si>
  <si>
    <t>9M 2025</t>
  </si>
  <si>
    <t>Q1 2026</t>
  </si>
  <si>
    <t>Q2 2026</t>
  </si>
  <si>
    <t>6M 2026</t>
  </si>
  <si>
    <t>Q3 2026</t>
  </si>
  <si>
    <t>9M 2026</t>
  </si>
  <si>
    <t>英文行项目 / 说明</t>
  </si>
  <si>
    <t>出处（文件 · 报表 · 列）</t>
  </si>
  <si>
    <t>招股书 F-5</t>
  </si>
  <si>
    <t>Q3业绩公告</t>
  </si>
  <si>
    <t>招股书 F-64</t>
  </si>
  <si>
    <t>Q2季报</t>
  </si>
  <si>
    <t>完整出处见各单元格批注</t>
  </si>
  <si>
    <t>营收</t>
  </si>
  <si>
    <t>Revenue</t>
  </si>
  <si>
    <t>营业成本</t>
  </si>
  <si>
    <t>Cost of revenue</t>
  </si>
  <si>
    <t>研发费用</t>
  </si>
  <si>
    <t>Research and development</t>
  </si>
  <si>
    <t>销售、一般及管理费用</t>
  </si>
  <si>
    <t>Selling, general, and administrative</t>
  </si>
  <si>
    <t>重组费用（收益）</t>
  </si>
  <si>
    <t>Restructuring charges (credits)</t>
  </si>
  <si>
    <t>减值</t>
  </si>
  <si>
    <t>Impairment</t>
  </si>
  <si>
    <t>经营利润（报告值）</t>
  </si>
  <si>
    <t>Income (loss) from operations</t>
  </si>
  <si>
    <t>利息费用</t>
  </si>
  <si>
    <t>Interest expense</t>
  </si>
  <si>
    <t>利息收入</t>
  </si>
  <si>
    <t>Interest income</t>
  </si>
  <si>
    <t>其他收益（费用）净额</t>
  </si>
  <si>
    <t>Other income (expense), net</t>
  </si>
  <si>
    <t>税前利润（报告值）</t>
  </si>
  <si>
    <t>Income (loss) before income taxes</t>
  </si>
  <si>
    <t>所得税费用（负数为收益）</t>
  </si>
  <si>
    <t>Provision for (benefit from) income taxes</t>
  </si>
  <si>
    <t>净利润（报告值）</t>
  </si>
  <si>
    <t>Net income (loss)</t>
  </si>
  <si>
    <t>折旧与摊销</t>
  </si>
  <si>
    <t>Depreciation and amortization (Adj. EBITDA reconciliation)</t>
  </si>
  <si>
    <t>股权激励（不含收购相关）</t>
  </si>
  <si>
    <t>Share-based compensation</t>
  </si>
  <si>
    <t>收购相关股权激励</t>
  </si>
  <si>
    <t>Share-based compensation related to acquisitions</t>
  </si>
  <si>
    <t>收购相关费用</t>
  </si>
  <si>
    <t>Acquisition-related costs</t>
  </si>
  <si>
    <t>调整后EBITDA（公司口径，非GAAP）</t>
  </si>
  <si>
    <t>Adjusted EBITDA</t>
  </si>
  <si>
    <t>校验：营收−各项成本费用−经营利润</t>
  </si>
  <si>
    <t>校验：经营利润+营业外−所得税−净利润</t>
  </si>
  <si>
    <t>校验：调整后EBITDA 重算−报告值</t>
  </si>
  <si>
    <t>校验：季度报告值 − 累计数相减（营收/经营利润/净利润/EBITDA 绝对差合计）</t>
  </si>
  <si>
    <t>B. 现金流量（年初至今累计，原始数）</t>
  </si>
  <si>
    <t>—</t>
  </si>
  <si>
    <t>英文行项目</t>
  </si>
  <si>
    <t>经营活动现金流量净额</t>
  </si>
  <si>
    <t>n/a</t>
  </si>
  <si>
    <t>Net cash provided by operating activities</t>
  </si>
  <si>
    <t>购置物业、厂房及设备（资本开支）</t>
  </si>
  <si>
    <t>Purchases of property, plant, and equipment</t>
  </si>
  <si>
    <t>C. 资产负债表（期末原始数）</t>
  </si>
  <si>
    <t>2025-12-31</t>
  </si>
  <si>
    <t>2026-03-31</t>
  </si>
  <si>
    <t>2026-06-30</t>
  </si>
  <si>
    <t>2026-09-30</t>
  </si>
  <si>
    <t>现金及现金等价物</t>
  </si>
  <si>
    <t>Cash and cash equivalents</t>
  </si>
  <si>
    <t>有价证券（短期投资）</t>
  </si>
  <si>
    <t>Marketable securities</t>
  </si>
  <si>
    <t>一年内到期债务及融资租赁</t>
  </si>
  <si>
    <t>Debt and finance leases, current</t>
  </si>
  <si>
    <t>长期债务及融资租赁</t>
  </si>
  <si>
    <t>Debt and finance leases, net of current</t>
  </si>
  <si>
    <t>其中：关联方（Valor）流动部分</t>
  </si>
  <si>
    <t>related party portion, current</t>
  </si>
  <si>
    <t>其中：关联方（Valor）非流动部分</t>
  </si>
  <si>
    <t>related party portion, non-current</t>
  </si>
  <si>
    <t>股东权益合计</t>
  </si>
  <si>
    <t>Total shareholders' equity</t>
  </si>
  <si>
    <t>可赎回可转换优先股（夹层权益，备查）</t>
  </si>
  <si>
    <t>Redeemable convertible preferred stock</t>
  </si>
  <si>
    <t>总资产（备查）</t>
  </si>
  <si>
    <t>Total assets</t>
  </si>
  <si>
    <t>D. 分部数据（原始数）</t>
  </si>
  <si>
    <t>分部 · 指标</t>
  </si>
  <si>
    <t>说明</t>
  </si>
  <si>
    <t>分部营收 · 航天</t>
  </si>
  <si>
    <t>分部营收 · 连接</t>
  </si>
  <si>
    <t>分部营收 · SI</t>
  </si>
  <si>
    <t>校验：分部合计 − 合并数（分部营收）</t>
  </si>
  <si>
    <t>分部营业成本 · 航天</t>
  </si>
  <si>
    <t>分部营业成本 · 连接</t>
  </si>
  <si>
    <t>分部营业成本 · SI</t>
  </si>
  <si>
    <t>校验：分部合计 − 合并数（分部营业成本）</t>
  </si>
  <si>
    <t>分部经营利润 · 航天</t>
  </si>
  <si>
    <t>分部经营利润为 CODM 业绩衡量口径；分部调整后EBITDA 为非 GAAP</t>
  </si>
  <si>
    <t>分部经营利润 · 连接</t>
  </si>
  <si>
    <t>分部经营利润 · SI</t>
  </si>
  <si>
    <t>校验：分部合计 − 合并数（分部经营利润）</t>
  </si>
  <si>
    <t>分部调整后EBITDA · 航天</t>
  </si>
  <si>
    <t>分部调整后EBITDA · 连接</t>
  </si>
  <si>
    <t>分部调整后EBITDA · SI</t>
  </si>
  <si>
    <t>校验：分部合计 − 合并数（分部调整后EBITDA（非GAAP））</t>
  </si>
  <si>
    <t>分部资本开支 · 航天</t>
  </si>
  <si>
    <t>分部资本开支 · 连接</t>
  </si>
  <si>
    <t>分部资本开支 · SI</t>
  </si>
  <si>
    <t>校验：分部合计 − 合并数（分部资本开支）</t>
  </si>
  <si>
    <t>E. 运营指标与收入明细（披露）</t>
  </si>
  <si>
    <t>指标</t>
  </si>
  <si>
    <t>数值</t>
  </si>
  <si>
    <t>出处</t>
  </si>
  <si>
    <t>Starlink 消费者用户数（百万，期末）</t>
  </si>
  <si>
    <t>SpaceX_2026Q3业绩公告__spaceexplorationtechnologi.htm（8-K 附件99.1） · Connectivity Segment Operating and Financial Data · Q3 2026</t>
  </si>
  <si>
    <t>Starlink 消费者月ARPU（美元）</t>
  </si>
  <si>
    <t>连接：消费者收入（Q3 2026）</t>
  </si>
  <si>
    <t>SpaceX_2026Q3业绩公告__spaceexplorationtechnologi.htm（8-K 附件99.1） · Connectivity Segment Operating and Financial Data</t>
  </si>
  <si>
    <t>连接：企业与政府收入（Q3 2026）</t>
  </si>
  <si>
    <t>航天：发射服务收入（Q3 2026）</t>
  </si>
  <si>
    <t>SpaceX_2026Q3业绩公告__spaceexplorationtechnologi.htm（8-K 附件99.1） · Space Segment Operating and Financial Data</t>
  </si>
  <si>
    <t>航天：发射与研发合同收入（Q3 2026）</t>
  </si>
  <si>
    <t>总发射次数（Q3 2026，次）</t>
  </si>
  <si>
    <t>其中：客户发射（Q3 2026，次）</t>
  </si>
  <si>
    <t>入轨质量（Q3 2026，公吨）</t>
  </si>
  <si>
    <t>SI：广告收入（Q3 2026）</t>
  </si>
  <si>
    <t>SpaceX_2026Q3业绩公告__spaceexplorationtechnologi.htm（8-K 附件99.1） · SI Segment Operating and Financial Data</t>
  </si>
  <si>
    <t>SI：解决方案与基础设施收入（Q3 2026）</t>
  </si>
  <si>
    <t>SI：铭牌算力（GW，期末）</t>
  </si>
  <si>
    <t>Cursor 并表收入（2026-08-14至09-30）</t>
  </si>
  <si>
    <t>SpaceX_2026Q3业绩公告__spaceexplorationtechnologi.htm（8-K 附件99.1） · Other Key Business Developments · Cursor Merger</t>
  </si>
  <si>
    <t>在手订单 Backlog（2026-06-30）</t>
  </si>
  <si>
    <t>SpaceX_2026Q2季报__spcx-20260630.htm（10-Q） · 附注3 Revenue · Backlog</t>
  </si>
  <si>
    <t>F. 标准化：最近四个季度、LTM 与 FY2025（公式）</t>
  </si>
  <si>
    <t>关键数字</t>
  </si>
  <si>
    <t>Q4 2025</t>
  </si>
  <si>
    <t>LTM（2025Q4–2026Q3）</t>
  </si>
  <si>
    <t>计算方法</t>
  </si>
  <si>
    <t>Q4=FY2025−9M2025；Q1/Q2/Q3=当季报告值；LTM=四季合计</t>
  </si>
  <si>
    <t>同上</t>
  </si>
  <si>
    <t>毛利（营收−营业成本）</t>
  </si>
  <si>
    <t>计算值：SpaceX 报表无毛利行</t>
  </si>
  <si>
    <t>毛利率</t>
  </si>
  <si>
    <t>毛利/营收</t>
  </si>
  <si>
    <t>经营利润（GAAP）</t>
  </si>
  <si>
    <t>经营利润率</t>
  </si>
  <si>
    <t>经营利润/营收</t>
  </si>
  <si>
    <t>净利润（GAAP）</t>
  </si>
  <si>
    <t>Net income (loss)；SpaceX 无少数股东</t>
  </si>
  <si>
    <t>调整后EBITDA 调节表</t>
  </si>
  <si>
    <t>EBITDA（统一口径：经营利润+折旧摊销）</t>
  </si>
  <si>
    <t>本模型计算，用于倍数法</t>
  </si>
  <si>
    <t>公司披露；Q3 2026 起另扣除收购相关股权激励与收购费用</t>
  </si>
  <si>
    <t>经营现金流</t>
  </si>
  <si>
    <t>Q4=FY−9M；Q2=6M−Q1；Q3=9M−6M（年初至今累计相减）</t>
  </si>
  <si>
    <t>资本开支（购置物业厂房设备）</t>
  </si>
  <si>
    <t>自由现金流（经营现金流−资本开支）</t>
  </si>
  <si>
    <t>计算值</t>
  </si>
  <si>
    <t>现金和短期投资（期末）</t>
  </si>
  <si>
    <t>现金及等价物+有价证券；LTM 列=2026-09-30</t>
  </si>
  <si>
    <t>有息负债（期末，含融资租赁）</t>
  </si>
  <si>
    <t>流动+非流动债务及融资租赁账面值</t>
  </si>
  <si>
    <t>其中：关联方（Valor）融资</t>
  </si>
  <si>
    <t>失败的售后回租形成的关联方融资</t>
  </si>
  <si>
    <t>净现金（现金和短期投资−有息负债）</t>
  </si>
  <si>
    <t>股东权益（期末）</t>
  </si>
  <si>
    <t>Total shareholders' equity；2025 末另有夹层优先股</t>
  </si>
  <si>
    <t>备查：可赎回可转换优先股（夹层）</t>
  </si>
  <si>
    <t>IPO 时全部转为普通股</t>
  </si>
  <si>
    <t>分部（标准化）</t>
  </si>
  <si>
    <t>营收 · 航天</t>
  </si>
  <si>
    <t>Q4=FY2025−9M2025；毛利=分部营收−分部营业成本</t>
  </si>
  <si>
    <t>营收 · 连接</t>
  </si>
  <si>
    <t>营收 · SI</t>
  </si>
  <si>
    <t>毛利 · 航天</t>
  </si>
  <si>
    <t>毛利 · 连接</t>
  </si>
  <si>
    <t>毛利 · SI</t>
  </si>
  <si>
    <t>经营利润 · 航天</t>
  </si>
  <si>
    <t>经营利润 · 连接</t>
  </si>
  <si>
    <t>经营利润 · SI</t>
  </si>
  <si>
    <t>资本开支 · 航天</t>
  </si>
  <si>
    <t>资本开支 · 连接</t>
  </si>
  <si>
    <t>资本开支 · SI</t>
  </si>
  <si>
    <t>经营利润率 · 航天</t>
  </si>
  <si>
    <t>经营利润率 · 连接</t>
  </si>
  <si>
    <t>经营利润率 · SI</t>
  </si>
  <si>
    <t>2025Q3 分部营收（同比基数，披露）</t>
  </si>
  <si>
    <t>2025Q3</t>
  </si>
  <si>
    <t>2026Q3</t>
  </si>
  <si>
    <t>同比</t>
  </si>
  <si>
    <t>校验：分部营收合计−营收</t>
  </si>
  <si>
    <t>校验：分部经营利润合计−经营利润</t>
  </si>
  <si>
    <t>校验：分部资本开支合计−资本开支</t>
  </si>
  <si>
    <t>特斯拉（Tesla, Inc.，TSLA）财务数据</t>
  </si>
  <si>
    <t>单位：百万美元（另注明除外）。蓝底 = 披露数据（批注注明文件、报表与列）；白底 = 公式；灰底 = 校验。季度数取自 2026Q3 Update（含近五个季度报表），全年取自 2025 年报。</t>
  </si>
  <si>
    <t>A. 利润表与非 GAAP 调节（原始数）</t>
  </si>
  <si>
    <t>2025年报</t>
  </si>
  <si>
    <t>Q3 Update</t>
  </si>
  <si>
    <t>Q3季报</t>
  </si>
  <si>
    <t>汽车销售</t>
  </si>
  <si>
    <t>Automotive sales</t>
  </si>
  <si>
    <t>汽车监管积分</t>
  </si>
  <si>
    <t>Automotive regulatory credits</t>
  </si>
  <si>
    <t>汽车租赁</t>
  </si>
  <si>
    <t>Automotive leasing</t>
  </si>
  <si>
    <t>能源发电与储能</t>
  </si>
  <si>
    <t>Energy generation and storage</t>
  </si>
  <si>
    <t>服务及其他</t>
  </si>
  <si>
    <t>Services and other</t>
  </si>
  <si>
    <t>营收合计（报告值）</t>
  </si>
  <si>
    <t>Total revenues</t>
  </si>
  <si>
    <t>营业成本—汽车销售</t>
  </si>
  <si>
    <t>Cost of revenues: Automotive sales</t>
  </si>
  <si>
    <t>营业成本—汽车租赁</t>
  </si>
  <si>
    <t>Cost of revenues: Automotive leasing</t>
  </si>
  <si>
    <t>营业成本—能源发电与储能</t>
  </si>
  <si>
    <t>Cost of revenues: Energy generation and storage</t>
  </si>
  <si>
    <t>营业成本—服务及其他</t>
  </si>
  <si>
    <t>Cost of revenues: Services and other</t>
  </si>
  <si>
    <t>营业成本合计（报告值）</t>
  </si>
  <si>
    <t>Total cost of revenues</t>
  </si>
  <si>
    <t>Selling, general and administrative</t>
  </si>
  <si>
    <t>重组及其他</t>
  </si>
  <si>
    <t>Restructuring and other</t>
  </si>
  <si>
    <t>Income from operations</t>
  </si>
  <si>
    <t>其他（费用）收益净额</t>
  </si>
  <si>
    <t>Other (expense) income, net</t>
  </si>
  <si>
    <t>税前利润</t>
  </si>
  <si>
    <t>Income before income taxes</t>
  </si>
  <si>
    <t>所得税费用</t>
  </si>
  <si>
    <t>Provision for income taxes</t>
  </si>
  <si>
    <t>净利润</t>
  </si>
  <si>
    <t>Net income</t>
  </si>
  <si>
    <t>归属少数股东（含可赎回）</t>
  </si>
  <si>
    <t>Net income attributable to noncontrolling interests</t>
  </si>
  <si>
    <t>归属普通股股东净利润（报告值）</t>
  </si>
  <si>
    <t>Net income attributable to common stockholders</t>
  </si>
  <si>
    <t>折旧、摊销及减值</t>
  </si>
  <si>
    <t>Depreciation, amortization and impairment</t>
  </si>
  <si>
    <t>股权激励</t>
  </si>
  <si>
    <t>Stock-based compensation</t>
  </si>
  <si>
    <t>数字资产未实现（收益）损失</t>
  </si>
  <si>
    <t>Digital assets unrealized (gain) loss</t>
  </si>
  <si>
    <t>SpaceX股权投资未实现（收益）损失</t>
  </si>
  <si>
    <t>SpaceX equity investment unrealized (gain) loss</t>
  </si>
  <si>
    <t>同上，税后（非GAAP调节表）</t>
  </si>
  <si>
    <t>SpaceX equity investment unrealized (gain) loss, net of tax</t>
  </si>
  <si>
    <t>校验：收入分项合计−营收合计</t>
  </si>
  <si>
    <t>校验：成本分项合计−营业成本合计</t>
  </si>
  <si>
    <t>校验：营收−成本−费用−经营利润</t>
  </si>
  <si>
    <t>校验：经营利润+营业外−所得税−净利润；净利润−少数股东−归母</t>
  </si>
  <si>
    <t>校验：Q1+Q2+Q3 − 9M（各主要行绝对差合计）</t>
  </si>
  <si>
    <t>B. 现金流量（原始数；季度为当季数）</t>
  </si>
  <si>
    <t>资本开支（购置物业及设备，不含融资租赁，扣除出售）</t>
  </si>
  <si>
    <t>Capital expenditures / Purchases of property and equipment excluding finance leases, net of sales</t>
  </si>
  <si>
    <t>校验：Q1+Q2+Q3 − 9M（经营现金流、资本开支绝对差合计）</t>
  </si>
  <si>
    <t>现金、现金等价物及短期投资</t>
  </si>
  <si>
    <t>Cash, cash equivalents and short-term investments</t>
  </si>
  <si>
    <t>Current portion of debt and finance leases</t>
  </si>
  <si>
    <t>Debt and finance leases, net of current portion</t>
  </si>
  <si>
    <t>股东权益合计（归属普通股）</t>
  </si>
  <si>
    <t>Total stockholders' equity</t>
  </si>
  <si>
    <t>少数股东权益</t>
  </si>
  <si>
    <t>Noncontrolling interests in subsidiaries</t>
  </si>
  <si>
    <t>可赎回少数股东权益</t>
  </si>
  <si>
    <t>Redeemable noncontrolling interests in subsidiaries</t>
  </si>
  <si>
    <t>D. 分部数据（报告值，用于勾稽）</t>
  </si>
  <si>
    <t>汽车分部（含服务及其他）营收</t>
  </si>
  <si>
    <t>特斯拉 CODM 以分部毛利衡量业绩；未披露分部经营利润</t>
  </si>
  <si>
    <t>汽车分部营业成本</t>
  </si>
  <si>
    <t>汽车分部毛利</t>
  </si>
  <si>
    <t>能源发电与储能分部营收</t>
  </si>
  <si>
    <t>能源分部营业成本</t>
  </si>
  <si>
    <t>能源分部毛利</t>
  </si>
  <si>
    <t>E. 运营指标（披露）</t>
  </si>
  <si>
    <t>LTM / 期末</t>
  </si>
  <si>
    <t>交付量（辆）</t>
  </si>
  <si>
    <t>Tesla_2026Q3业绩公告__exhibit9914.htm（Q3 2026 Update，附件99.1） · Operational Summary（各季度列）</t>
  </si>
  <si>
    <t>产量（辆）</t>
  </si>
  <si>
    <t>储能部署（GWh）</t>
  </si>
  <si>
    <t>FSD 活跃订阅（百万）</t>
  </si>
  <si>
    <t>超充桩（个，期末）</t>
  </si>
  <si>
    <t>季度取 Update 当季列；LTM=四季合计</t>
  </si>
  <si>
    <t>毛利</t>
  </si>
  <si>
    <t>Gross profit（报告值一致）</t>
  </si>
  <si>
    <t>净利润（归属普通股股东，GAAP）</t>
  </si>
  <si>
    <t>现金流量表</t>
  </si>
  <si>
    <t>公司披露；未扣除利息收入，与 SpaceX 定义不同</t>
  </si>
  <si>
    <t>备查：SpaceX 股权投资公允价值（收益）损失，税后</t>
  </si>
  <si>
    <t>非GAAP调节表；负数=收益</t>
  </si>
  <si>
    <t>当季数</t>
  </si>
  <si>
    <t>资本开支</t>
  </si>
  <si>
    <t>当季数（含储能系统采购）</t>
  </si>
  <si>
    <t>与公司口径一致</t>
  </si>
  <si>
    <t>LTM 列=2026-09-30</t>
  </si>
  <si>
    <t>流动+非流动债务及融资租赁；主要为无追索权债务</t>
  </si>
  <si>
    <t>股东权益（期末，归属普通股）</t>
  </si>
  <si>
    <t>Total stockholders' equity（不含少数股东）</t>
  </si>
  <si>
    <t>备查：少数股东权益（含可赎回）</t>
  </si>
  <si>
    <t>用于企业价值计算</t>
  </si>
  <si>
    <t>营收 · 汽车（含服务及其他）</t>
  </si>
  <si>
    <t>汽车销售+监管积分+租赁+服务及其他（即公司“汽车分部”）</t>
  </si>
  <si>
    <t>营收 · 能源发电与储能</t>
  </si>
  <si>
    <t>能源分部</t>
  </si>
  <si>
    <t>毛利 · 汽车（含服务及其他）</t>
  </si>
  <si>
    <t>分部营收−对应营业成本</t>
  </si>
  <si>
    <t>毛利 · 能源发电与储能</t>
  </si>
  <si>
    <t>分部营收−能源营业成本</t>
  </si>
  <si>
    <t>毛利率 · 汽车（含服务及其他）</t>
  </si>
  <si>
    <t>毛利率 · 能源发电与储能</t>
  </si>
  <si>
    <t>校验：分部计算值−10-K/10-Q 分部报告值（FY2025、Q3 2026）</t>
  </si>
  <si>
    <t>校验：前三季度分部毛利合计−10-Q 9M 报告值（汽车/能源）</t>
  </si>
  <si>
    <t>关键数字汇总：SpaceX 与特斯拉最近四个季度、LTM 与 FY2025</t>
  </si>
  <si>
    <t>单位：百万美元。本表全部为公式，链接各财务表 F 部分（标准化）；原始数出处见 SpaceX财务 / 特斯拉财务 A–E 部分的单元格批注。</t>
  </si>
  <si>
    <t>链接 / 计算方法</t>
  </si>
  <si>
    <t>SpaceX财务 F 部分：Q4=FY2025−9M2025；Q2/Q3 现金流=累计数相减；资产负债项目为期末值</t>
  </si>
  <si>
    <t>净利润（GAAP；特斯拉为归属普通股股东）</t>
  </si>
  <si>
    <t>自由现金流</t>
  </si>
  <si>
    <t>备查：调整后EBITDA（公司口径，非GAAP）</t>
  </si>
  <si>
    <t>备查：可赎回可转换优先股（夹层，IPO 时转股）</t>
  </si>
  <si>
    <t>特斯拉</t>
  </si>
  <si>
    <t>特斯拉财务 F 部分：季度数取 2026Q3 Update；FY2025 取 2025 年报</t>
  </si>
  <si>
    <t>分部（按各自披露的分部）</t>
  </si>
  <si>
    <t>SpaceX · 航天 · 营收</t>
  </si>
  <si>
    <t>SpaceX · 连接 · 营收</t>
  </si>
  <si>
    <t>SpaceX · SI · 营收</t>
  </si>
  <si>
    <t>SpaceX · 航天 · 经营利润（CODM 口径）</t>
  </si>
  <si>
    <t>SpaceX · 连接 · 经营利润（CODM 口径）</t>
  </si>
  <si>
    <t>SpaceX · SI · 经营利润（CODM 口径）</t>
  </si>
  <si>
    <t>SpaceX · 航天 · 分部调整后EBITDA（非GAAP）</t>
  </si>
  <si>
    <t>SpaceX · 连接 · 分部调整后EBITDA（非GAAP）</t>
  </si>
  <si>
    <t>SpaceX · SI · 分部调整后EBITDA（非GAAP）</t>
  </si>
  <si>
    <t>特斯拉 · 汽车（含服务及其他）· 营收</t>
  </si>
  <si>
    <t>特斯拉 · 汽车（含服务及其他）· 分部毛利（CODM 口径）</t>
  </si>
  <si>
    <t>特斯拉 · 能源发电与储能 · 营收</t>
  </si>
  <si>
    <t>特斯拉 · 能源发电与储能 · 分部毛利（CODM 口径）</t>
  </si>
  <si>
    <t>注：SpaceX 以分部经营利润衡量业绩（另披露分部调整后EBITDA）；特斯拉以分部毛利衡量业绩，未披露分部经营利润。</t>
  </si>
  <si>
    <t>市场数据：股价、成交量与定价取数</t>
  </si>
  <si>
    <t>来源：Nasdaq.com 历史行情（https://api.nasdaq.com/api/quote/TSLA/historical 及 /SPCX/historical，assetclass=stocks），访问日期 2026-10-22；收盘价为常规交易时段收盘价，成交量为全市场合并成交量。交叉核对：stockanalysis.com 历史行情页（同日访问），收盘价一致。</t>
  </si>
  <si>
    <t>2026-10-22 为盘中（未收盘）数据，未纳入。绿底 = 市场数据输入；白底 = 公式。</t>
  </si>
  <si>
    <t>A. 定价取数（公式，随“假设”表联动）</t>
  </si>
  <si>
    <t>定价基准日（不受影响日，取自假设 A02）</t>
  </si>
  <si>
    <t>基准日在价格表中的行序（≤该日的最近交易日）</t>
  </si>
  <si>
    <t>实际取价交易日</t>
  </si>
  <si>
    <t>特斯拉收盘价（美元）</t>
  </si>
  <si>
    <t>SpaceX 收盘价（美元）</t>
  </si>
  <si>
    <t>VWAP 窗口（交易日，取自假设 A04）</t>
  </si>
  <si>
    <t>VWAP 窗口起始日</t>
  </si>
  <si>
    <t>特斯拉 VWAP（美元）</t>
  </si>
  <si>
    <t>SpaceX VWAP（美元）</t>
  </si>
  <si>
    <t>校验：窗口内交易日数 − N</t>
  </si>
  <si>
    <t>消息公布后参考日（取自假设 A03）</t>
  </si>
  <si>
    <t>参考日行序</t>
  </si>
  <si>
    <t>特斯拉收盘价（参考日，美元）</t>
  </si>
  <si>
    <t>SpaceX 收盘价（参考日，美元）</t>
  </si>
  <si>
    <t>B. 日度行情（2026-08-03 至 2026-10-21，按日期降序；Nasdaq.com）</t>
  </si>
  <si>
    <t>TSLA 开盘</t>
  </si>
  <si>
    <t>TSLA 最高</t>
  </si>
  <si>
    <t>TSLA 最低</t>
  </si>
  <si>
    <t>TSLA 收盘</t>
  </si>
  <si>
    <t>TSLA 成交量(股)</t>
  </si>
  <si>
    <t>TSLA 典型价</t>
  </si>
  <si>
    <t>SPCX 开盘</t>
  </si>
  <si>
    <t>SPCX 最高</t>
  </si>
  <si>
    <t>SPCX 最低</t>
  </si>
  <si>
    <t>SPCX 收盘</t>
  </si>
  <si>
    <t>SPCX 成交量(股)</t>
  </si>
  <si>
    <t>SPCX 典型价</t>
  </si>
  <si>
    <t>换股比例：定价方法、合并后股权与马斯克持股</t>
  </si>
  <si>
    <t>单位：股数为百万股，金额为百万美元（另注明为十亿美元），股价为美元/股。基准情形：SpaceX 发行 A 类股吸收合并特斯拉（见假设 A01），溢价给予被收购方股东。</t>
  </si>
  <si>
    <t>A. 股本与持股（披露数据，百万股）</t>
  </si>
  <si>
    <t>特斯拉已发行在外普通股</t>
  </si>
  <si>
    <t>Tesla_2026Q3季报__tsla-20260930.htm（10-Q） · 封面：As of October 15, 2026, 3,952,757,946 shares outstanding</t>
  </si>
  <si>
    <t>SpaceX A类普通股（已发行在外）</t>
  </si>
  <si>
    <t>SpaceX_2026Q3业绩公告__spaceexplorationtechnologi.htm（8-K 附件99.1） · Consolidated Balance Sheets · September 30, 2026：Class A 8,240 shares outstanding（百万股）</t>
  </si>
  <si>
    <t>SpaceX B类普通股（已发行在外，10票/股）</t>
  </si>
  <si>
    <t>SpaceX_2026Q3业绩公告__spaceexplorationtechnologi.htm（8-K 附件99.1） · Consolidated Balance Sheets · September 30, 2026：Class B 5,339 shares（百万股）</t>
  </si>
  <si>
    <t>特斯拉持有的 SpaceX A类股</t>
  </si>
  <si>
    <t>SpaceX_招股书__spaceexplorationtechnologi.htm（424B4，2026-06-11） · Certain Relationships and Related Person Transactions · Transactions with Tesla：18,990,195 shares（as of May 1, 2026）</t>
  </si>
  <si>
    <t>马斯克持有 SpaceX A类股</t>
  </si>
  <si>
    <t>SpaceX_招股书__spaceexplorationtechnologi.htm（424B4，2026-06-11） · Security Ownership of Certain Beneficial Owners and Management：849,494,440 Class A</t>
  </si>
  <si>
    <t>马斯克持有 SpaceX B类股（已发行，含限制性股）</t>
  </si>
  <si>
    <t>SpaceX_招股书__spaceexplorationtechnologi.htm（424B4，2026-06-11） · Prospectus Summary/Security Ownership：5,219,053,075 Class B（不含3.5亿股期权）</t>
  </si>
  <si>
    <t>其中：尚未达成业绩条件的限制性B类股</t>
  </si>
  <si>
    <t>SpaceX_招股书__spaceexplorationtechnologi.htm（424B4，2026-06-11） · Security Ownership 脚注(1)：1,302,072,285 restricted Class B（SpaceX CEO Award 10亿股 + AI CEO Award 3.021亿股）</t>
  </si>
  <si>
    <t>马斯克 SpaceX B类期权（60日内可行权，未计入已发行）</t>
  </si>
  <si>
    <t>SpaceX_招股书__spaceexplorationtechnologi.htm（424B4，2026-06-11） · Security Ownership 脚注(1)：350,000,000 Class B issuable upon exercise of options</t>
  </si>
  <si>
    <t>马斯克特斯拉实益持股（委托书口径）</t>
  </si>
  <si>
    <t>Tesla_2026股东大会委托书__tm267596-1_def14a.htm（DEF 14A） · Ownership of Securities（as of September 30, 2026）：699,580,882 shares，19.8%</t>
  </si>
  <si>
    <t>其中：2018年奖励行权所得限制性股（服务期条件）</t>
  </si>
  <si>
    <t>Tesla_2026股东大会委托书__tm267596-1_def14a.htm（DEF 14A） · Ownership of Securities 脚注(2)：286,428,773 shares of restricted stock</t>
  </si>
  <si>
    <t>马斯克 2025 CEO 业绩奖励限制性股（未赚取，按比例投票）</t>
  </si>
  <si>
    <t>Tesla_2026股东大会委托书__tm267596-1_def14a.htm（DEF 14A） · Ownership of Securities 脚注(2)；Tesla_2026Q3季报__tsla-20260930.htm（10-Q） 附注9：423,743,904 shares</t>
  </si>
  <si>
    <t>特斯拉股数（委托书计算基数，2026-09-30，备查）</t>
  </si>
  <si>
    <t>Tesla_2026股东大会委托书__tm267596-1_def14a.htm（DEF 14A） · Ownership of Securities：based on 3,952,648,559 shares outstanding at September 30, 2026</t>
  </si>
  <si>
    <t>SpaceX 已发行在外普通股合计（A+B）</t>
  </si>
  <si>
    <t>计算值（2026-09-30）</t>
  </si>
  <si>
    <t>SpaceX 股本（剔除特斯拉持有部分，合并后成为库存股）</t>
  </si>
  <si>
    <t>马斯克持有 SpaceX 已发行股份合计（A+B，不含期权）</t>
  </si>
  <si>
    <t>马斯克持有特斯拉已发行股份合计（含 2025 业绩股）</t>
  </si>
  <si>
    <t>B. 马斯克持股：合并前</t>
  </si>
  <si>
    <t>口径</t>
  </si>
  <si>
    <t>经济持股 · 口径A（含全部已发行限制性股，上限）</t>
  </si>
  <si>
    <t>SpaceX：(A+B)/总股本；特斯拉：(实益持股+2025业绩股)/总股本</t>
  </si>
  <si>
    <t>经济持股 · 口径B（剔除未达成业绩条件的业绩股）</t>
  </si>
  <si>
    <t>特斯拉口径B 与委托书 19.8% 一致（分母差异来自股本日期）</t>
  </si>
  <si>
    <t>表决权（示意）</t>
  </si>
  <si>
    <t>SpaceX B 类 10 票/股（含可由马斯克投票的限制性 B 类股，不含期权）；特斯拉 2025 业绩股按比例投票，故剔除</t>
  </si>
  <si>
    <t>对照：招股书披露马斯克表决权 84.4%（IPO 后、含期权）；委托书披露特斯拉实益持股 19.8%</t>
  </si>
  <si>
    <t>C. 倍数法：企业价值与贡献度（基准日市场 EV；LTM 指标）</t>
  </si>
  <si>
    <t>合计</t>
  </si>
  <si>
    <t>计算方法 / 出处</t>
  </si>
  <si>
    <t>股权市值（基准日收盘）</t>
  </si>
  <si>
    <t>收盘价×已发行股本</t>
  </si>
  <si>
    <t>加：有息负债（2026-09-30）</t>
  </si>
  <si>
    <t>财务表标准化 LTM 列</t>
  </si>
  <si>
    <t>减：现金和短期投资（2026-09-30）</t>
  </si>
  <si>
    <t>加：少数股东权益（含可赎回）</t>
  </si>
  <si>
    <t>SpaceX 无少数股东</t>
  </si>
  <si>
    <t>减：特斯拉持有的 SpaceX 股权（按基准日股价）</t>
  </si>
  <si>
    <t>非经营性资产；合并后变为库存股</t>
  </si>
  <si>
    <t>企业价值 EV</t>
  </si>
  <si>
    <t>市值+负债−现金+少数股东−非经营性股权</t>
  </si>
  <si>
    <t>LTM 营收</t>
  </si>
  <si>
    <t>2025Q4–2026Q3</t>
  </si>
  <si>
    <t>LTM EBITDA（按假设 A07 口径）</t>
  </si>
  <si>
    <t>统一口径=经营利润+折旧摊销；公司口径=各自调整后EBITDA</t>
  </si>
  <si>
    <t>营收贡献占比</t>
  </si>
  <si>
    <t>LTM 营收/合计</t>
  </si>
  <si>
    <t>EBITDA 贡献占比</t>
  </si>
  <si>
    <t>LTM EBITDA/合计</t>
  </si>
  <si>
    <t>备查：EV/LTM 营收（基准日市场隐含，倍）</t>
  </si>
  <si>
    <t>仅作计算中间量，不作评价</t>
  </si>
  <si>
    <t>备查：EV/LTM EBITDA（基准日市场隐含，倍）</t>
  </si>
  <si>
    <t>倍数法隐含价值</t>
  </si>
  <si>
    <t>方法④ 营收贡献法：分配 EV（合计 EV×贡献占比）</t>
  </si>
  <si>
    <t>相当于两家按同一 EV/指标 倍数定价</t>
  </si>
  <si>
    <t>方法④ 营收贡献法：隐含股权价值（EV−负债+现金−少数股东+非经营性股权）</t>
  </si>
  <si>
    <t>方法④ 营收贡献法：隐含每股价值（美元）</t>
  </si>
  <si>
    <t>方法⑤ EBITDA 贡献法：分配 EV（合计 EV×贡献占比）</t>
  </si>
  <si>
    <t>方法⑤ EBITDA 贡献法：隐含股权价值（EV−负债+现金−少数股东+非经营性股权）</t>
  </si>
  <si>
    <t>方法⑤ EBITDA 贡献法：隐含每股价值（美元）</t>
  </si>
  <si>
    <t>D. 各定价方法下的每股价值与相对价值</t>
  </si>
  <si>
    <t>定价方法</t>
  </si>
  <si>
    <t>特斯拉每股价值（美元）</t>
  </si>
  <si>
    <t>SpaceX每股价值（美元）</t>
  </si>
  <si>
    <t>特斯拉股权价值（十亿美元）</t>
  </si>
  <si>
    <t>SpaceX股权价值（十亿美元）</t>
  </si>
  <si>
    <t>相对价值 R（特斯拉÷SpaceX 每股）</t>
  </si>
  <si>
    <t>特斯拉股权价值占两家合计</t>
  </si>
  <si>
    <t>方法说明</t>
  </si>
  <si>
    <t>① 不受影响日收盘市值</t>
  </si>
  <si>
    <t>按假设 A02 基准日收盘价×股本；两家消息前最后一个收盘</t>
  </si>
  <si>
    <t>② N 日成交量加权均价（VWAP）</t>
  </si>
  <si>
    <t>截至基准日的 N 个交易日（假设 A04，默认 30 日）典型价 VWAP</t>
  </si>
  <si>
    <t>③ 消息公布后收盘价（参考）</t>
  </si>
  <si>
    <t>假设 A03 参考日收盘；已反映合并预期，仅作对照</t>
  </si>
  <si>
    <t>④ LTM 营收贡献法（同一 EV/营收）</t>
  </si>
  <si>
    <t>合计 EV 按 LTM 营收占比分配后加回净现金</t>
  </si>
  <si>
    <t>⑤ LTM EBITDA 贡献法（同一 EV/EBITDA）</t>
  </si>
  <si>
    <t>合计 EV 按 LTM EBITDA 占比分配（口径见假设 A07）</t>
  </si>
  <si>
    <t>E. 换股比例与合并后股权（基准溢价率，假设 A06）</t>
  </si>
  <si>
    <t>交易结构</t>
  </si>
  <si>
    <t>基准溢价率</t>
  </si>
  <si>
    <t>换股比例</t>
  </si>
  <si>
    <t>新发行股数（百万）</t>
  </si>
  <si>
    <t>合并后总股数（百万）</t>
  </si>
  <si>
    <t>特斯拉原股东占比</t>
  </si>
  <si>
    <t>SpaceX原股东占比</t>
  </si>
  <si>
    <t>马斯克持股·口径A</t>
  </si>
  <si>
    <t>马斯克持股·口径B</t>
  </si>
  <si>
    <t>隐含对价（十亿美元）</t>
  </si>
  <si>
    <t>每股被收购方对价（美元）</t>
  </si>
  <si>
    <t>注：口径A/B 定义见“假设”A14；表决权示意见 A15。特斯拉持有的 1,899 万股 SpaceX 股份在合并后视为库存股，不参与分配。</t>
  </si>
  <si>
    <t>F. 合并后整体（示意，基准日价格，不含溢价与协同）</t>
  </si>
  <si>
    <t>合并后股权市值（十亿美元）= 两家市值之和 − 交叉持股</t>
  </si>
  <si>
    <t>合并后企业价值（十亿美元，示意）</t>
  </si>
  <si>
    <t>合并后总股数（方法①，基准溢价，百万股）</t>
  </si>
  <si>
    <t>G. 特斯拉公众股东（不含马斯克）合并后的经济权益与表决权（基准溢价）</t>
  </si>
  <si>
    <t>经济占比</t>
  </si>
  <si>
    <t>表决权占比（示意）</t>
  </si>
  <si>
    <t>合并前表决权占比（特斯拉）</t>
  </si>
  <si>
    <t>经济占比=公众持有特斯拉股份×换股比例/合并后总股数；表决权按假设 A15（SpaceX 存续时 B 类 10 票/股；2025 业绩股按比例投票，剔除）</t>
  </si>
  <si>
    <t>敏感性：溢价率 × 定价方法（二维表，全部为公式）</t>
  </si>
  <si>
    <t>行 = 给被收购方股东的溢价率（黄底，可修改）；列 = 定价方法。交易结构随“假设”A01 联动。</t>
  </si>
  <si>
    <t>表1  换股比例</t>
  </si>
  <si>
    <t>溢价率 \ 定价方法</t>
  </si>
  <si>
    <t>表2  特斯拉原股东合并后持股比例</t>
  </si>
  <si>
    <t>表3  马斯克合并后经济持股（口径A）</t>
  </si>
  <si>
    <t>表4  马斯克合并后经济持股（口径B）</t>
  </si>
  <si>
    <t>表5  隐含对价总额（十亿美元，按各方法收购方每股价值）</t>
  </si>
  <si>
    <t>说明：方法③已包含消息公布后的市场反应，仅作对照；方法④⑤为“同一倍数”的贡献度测算，不代表对任何一方价值的判断。</t>
  </si>
  <si>
    <t>关联交易：两家之间及与马斯克旗下其他公司之间</t>
  </si>
  <si>
    <t>金额单位：百万美元。A 部分为参与合并抵销计算的披露数（蓝底）；B 部分为全部识别出的关联交易清单及合并时处理建议。</t>
  </si>
  <si>
    <t>A. 抵销计算所用披露数</t>
  </si>
  <si>
    <t>#</t>
  </si>
  <si>
    <t>金额</t>
  </si>
  <si>
    <t>特斯拉向 xAI（现属SpaceX）销售 Megapack 确认收入：2025年度</t>
  </si>
  <si>
    <t>Tesla_2025年报__tsla-20251231.htm（10-K） · 附注15 Related Party Transactions：$430 million of revenues</t>
  </si>
  <si>
    <t>同上，对应营业成本：2025年度</t>
  </si>
  <si>
    <t>Tesla_2025年报__tsla-20251231.htm（10-K） · 附注15：$285 million of cost of revenues</t>
  </si>
  <si>
    <t>特斯拉向 SpaceX 销售 Megapack 确认收入：2026年前三季度</t>
  </si>
  <si>
    <t>Tesla_2026Q3季报__tsla-20260930.htm（10-Q） · 附注13 Related Party Transactions：$626 million of revenues (nine months)</t>
  </si>
  <si>
    <t>同上，对应营业成本：2026年前三季度</t>
  </si>
  <si>
    <t>Tesla_2026Q3季报__tsla-20260930.htm（10-Q） · 附注13：$478 million of cost of revenues (nine months)</t>
  </si>
  <si>
    <t>特斯拉向 SpaceX 销售 Megapack 确认收入：2026年第三季度</t>
  </si>
  <si>
    <t>Tesla_2026Q3季报__tsla-20260930.htm（10-Q） · 附注13：$221 million (three months)</t>
  </si>
  <si>
    <t>同上，对应营业成本：2026年第三季度</t>
  </si>
  <si>
    <t>Tesla_2026Q3季报__tsla-20260930.htm（10-Q） · 附注13：$171 million (three months)</t>
  </si>
  <si>
    <t>特斯拉对 SpaceX 应收账款（2026-09-30）</t>
  </si>
  <si>
    <t>Tesla_2026Q3季报__tsla-20260930.htm（10-Q） · 附注13：accounts receivable from SpaceX was $729 million</t>
  </si>
  <si>
    <t>特斯拉对 SpaceX 递延收入（2026-09-30，流动516+非流动132）</t>
  </si>
  <si>
    <t>Tesla_2026Q3季报__tsla-20260930.htm（10-Q） · 附注13：deferred revenue ... $648 million</t>
  </si>
  <si>
    <t>特斯拉持有 SpaceX 股权公允价值（2026-09-30）</t>
  </si>
  <si>
    <t>Tesla_2026Q3季报__tsla-20260930.htm（10-Q） · 附注2 Fair Value：SpaceX equity investment $2,865（Level I）</t>
  </si>
  <si>
    <t>特斯拉 SpaceX 股权投资成本（2026年3月）</t>
  </si>
  <si>
    <t>Tesla_2026Q3季报__tsla-20260930.htm（10-Q） · 合并现金流量表：Purchase of SpaceX equity investment (2,002)</t>
  </si>
  <si>
    <t>抵销额（公式）</t>
  </si>
  <si>
    <t>毛利（未实现利润）</t>
  </si>
  <si>
    <t>累计（2025 年 + 2026 前三季度，用于资产负债表）</t>
  </si>
  <si>
    <t>说明：LTM 抵销 = 2025 年全年 × 假设 A08（落在 Q4 的比例）+ 2026 前三季度；仅抵销披露了收入与成本的 Megapack 交易，其余小额交易见 B 部分（未计入，金额不重大）。</t>
  </si>
  <si>
    <t>B. 关联交易清单与合并处理</t>
  </si>
  <si>
    <t>交易对手 / 类别</t>
  </si>
  <si>
    <t>交易内容</t>
  </si>
  <si>
    <t>期间</t>
  </si>
  <si>
    <t>金额（百万美元）</t>
  </si>
  <si>
    <t>合并时怎么处理</t>
  </si>
  <si>
    <t>特斯拉 ↔ SpaceX（含 xAI）</t>
  </si>
  <si>
    <t>特斯拉向 xAI/SpaceX 销售 Megapack 储能（特斯拉确认收入；SpaceX 计入固定资产）</t>
  </si>
  <si>
    <t>2025年度</t>
  </si>
  <si>
    <t>收入 430 / 成本 285</t>
  </si>
  <si>
    <t>Tesla 10-K 附注15；SpaceX 招股书附注18（SpaceX 侧：2024 年购买 191、2025 年 506）</t>
  </si>
  <si>
    <t>内部交易：抵销特斯拉收入与成本；SpaceX 固定资产中所含未实现利润同步冲减（并调减后续折旧）。见 A 部分。</t>
  </si>
  <si>
    <t>特斯拉 ↔ SpaceX</t>
  </si>
  <si>
    <t>同上（Megapack）</t>
  </si>
  <si>
    <t>2026前三季度（其中Q3）</t>
  </si>
  <si>
    <t>收入 626（221）/ 成本 478（171）</t>
  </si>
  <si>
    <t>Tesla 10-Q 附注13；SpaceX Q2 10-Q 附注17（SpaceX 侧：2026上半年购买 329）</t>
  </si>
  <si>
    <t>同上；LTM 抵销收入 1,056、未实现毛利 293（含假设 A08）。</t>
  </si>
  <si>
    <t>特斯拉对 SpaceX 应收账款 729（含未交付 Megapack 里程碑开票 588）；递延收入 648</t>
  </si>
  <si>
    <t>应收 729；递延收入 648</t>
  </si>
  <si>
    <t>Tesla 10-Q 附注13</t>
  </si>
  <si>
    <t>内部往来：与 SpaceX 应付款/预付款对冲抵销，不影响净资产。</t>
  </si>
  <si>
    <t>特斯拉 → SpaceX（股权）</t>
  </si>
  <si>
    <t>特斯拉持有 SpaceX A 类股 18,990,195 股（2026-03 以 20.02 亿美元认购原 xAI 优先股转换而来），按公允价值计量</t>
  </si>
  <si>
    <t>公允价值 2,865；2026 前三季度公允价值收益 863</t>
  </si>
  <si>
    <t>Tesla 10-Q 附注1、2、13；SpaceX 招股书“Transactions with Tesla”及附注21</t>
  </si>
  <si>
    <t>交叉持股：若 SpaceX 为存续主体，该部分转为库存股（冲减权益），不参与换股；合并报表剔除其公允价值变动损益。</t>
  </si>
  <si>
    <t>车辆销售（主要为 Cybertruck，SpaceX 按建议零售价购入，计入固定资产）</t>
  </si>
  <si>
    <t>特斯拉确认收入约 143.3；SpaceX 购入 131</t>
  </si>
  <si>
    <t>Tesla 委托书“Related Person Transactions”；SpaceX 招股书附注18</t>
  </si>
  <si>
    <t>内部交易：抵销；金额小，季度分布未披露，本模型未计入抵销（待核实）。</t>
  </si>
  <si>
    <t>SpaceX ↔ 特斯拉</t>
  </si>
  <si>
    <t>SpaceX 商务/许可/支持协议：SpaceX 自特斯拉取得商品服务；特斯拉相应费用</t>
  </si>
  <si>
    <t>SpaceX 侧 147；特斯拉侧费用 11.4</t>
  </si>
  <si>
    <t>SpaceX 招股书 Certain Relationships；Tesla 委托书</t>
  </si>
  <si>
    <t>内部交易：抵销（双方口径不一致，需核对）。</t>
  </si>
  <si>
    <t>xAI ↔ 特斯拉</t>
  </si>
  <si>
    <t>xAI 商务/咨询/支持协议；xAI 自特斯拉取得 1 百万美元收入（2026年1–4月）</t>
  </si>
  <si>
    <t>xAI 收入 2；特斯拉费用 4.0</t>
  </si>
  <si>
    <t>SpaceX 招股书；Tesla 委托书</t>
  </si>
  <si>
    <t>内部交易：抵销（不重大）。</t>
  </si>
  <si>
    <t>特斯拉 → X（SpaceX）</t>
  </si>
  <si>
    <t>特斯拉在 X 平台投放广告</t>
  </si>
  <si>
    <t>SpaceX 侧 4；特斯拉侧 3.3</t>
  </si>
  <si>
    <t>SpaceX → 特斯拉</t>
  </si>
  <si>
    <t>SpaceX 自有飞机供马斯克及特斯拉人员公务使用并向特斯拉收费</t>
  </si>
  <si>
    <t>SpaceX 收费 2；特斯拉费用 0.4</t>
  </si>
  <si>
    <t>特斯拉 ↔ SpaceX（战略合作）</t>
  </si>
  <si>
    <t>Terafab 芯片制造框架（2026-03 宣布，Intel 2026-04 加入）；Macrohard 智能体平台联合开发；2026-01 xAI–特斯拉合作框架协议</t>
  </si>
  <si>
    <t>2026年</t>
  </si>
  <si>
    <t>未披露财务条款</t>
  </si>
  <si>
    <t>SpaceX 招股书 Business、Risk Factors；Tesla 委托书</t>
  </si>
  <si>
    <t>合并后转为内部项目；需核实成本分摊、知识产权归属与资本开支承诺。</t>
  </si>
  <si>
    <t>马斯克控制的安保公司</t>
  </si>
  <si>
    <t>为马斯克提供安保服务（与公司职务相关部分由公司承担）</t>
  </si>
  <si>
    <t>特斯拉 4.8；SpaceX 4</t>
  </si>
  <si>
    <t>Tesla 委托书；SpaceX 招股书</t>
  </si>
  <si>
    <t>合并后仍为关联交易（对手方为马斯克个人公司），需持续披露与审批。</t>
  </si>
  <si>
    <t>The Boring Company（马斯克创办）</t>
  </si>
  <si>
    <t>特斯拉商务协议；X 向其子公司租赁办公室；SpaceX 隧道工程</t>
  </si>
  <si>
    <t>特斯拉 0.9；X 租金 1；SpaceX 工程 1</t>
  </si>
  <si>
    <t>合并后仍为关联交易。</t>
  </si>
  <si>
    <t>Musk Industries LLC（马斯克所有）</t>
  </si>
  <si>
    <t>xAI 向其租赁不动产</t>
  </si>
  <si>
    <t>租金 2</t>
  </si>
  <si>
    <t>SpaceX 招股书</t>
  </si>
  <si>
    <t>Craft Aviation Services（马斯克关联方）/马斯克私人飞机</t>
  </si>
  <si>
    <t>飞机维护服务；马斯克私人飞机公务使用报销</t>
  </si>
  <si>
    <t>维护 3；报销 2</t>
  </si>
  <si>
    <t>Valor Equity Partners（SpaceX 董事 Gracias 创办）</t>
  </si>
  <si>
    <t>AI 算力设备租赁三笔（失败的售后回租，按融资处理）；合同付款总额 69.86 亿、66.33 亿、65.87 亿</t>
  </si>
  <si>
    <t>2026-09-30 余额；2026 前三季度利息</t>
  </si>
  <si>
    <t>关联方债务 12,897；关联利息 864（Q3 351）</t>
  </si>
  <si>
    <t>SpaceX Q3 业绩公告资产负债表/利润表；招股书 Certain Relationships、附注18</t>
  </si>
  <si>
    <t>合并后为存续公司的有息负债与关联交易（Gracias 2007–2021 曾任特斯拉董事），需审查条款公允性。</t>
  </si>
  <si>
    <t>Redwood Materials（特斯拉董事 Straubel 任 CEO）</t>
  </si>
  <si>
    <t>商务协议费用；废料销售冲减成本</t>
  </si>
  <si>
    <t>费用 3.3；废料 12.9</t>
  </si>
  <si>
    <t>Tesla 委托书</t>
  </si>
  <si>
    <t>合并后仍为关联交易（特斯拉侧既有安排）。</t>
  </si>
  <si>
    <t>马斯克个人（股东交易）</t>
  </si>
  <si>
    <t>马斯克信托向 SpaceX 现任及前员工购买普通股</t>
  </si>
  <si>
    <t>1,421</t>
  </si>
  <si>
    <t>SpaceX 招股书附注18</t>
  </si>
  <si>
    <t>股东层面交易，不影响合并报表；影响马斯克持股数。</t>
  </si>
  <si>
    <t>SpaceX 其他关联方项目（性质未披露）</t>
  </si>
  <si>
    <t>SpaceX 其他资产中的关联方余额 570；其他收益中的关联方部分 561（Q3）；购置固定资产中关联方部分 480（前三季度）</t>
  </si>
  <si>
    <t>2026-09-30 / 2026 前三季度</t>
  </si>
  <si>
    <t>570 / 561 / 480</t>
  </si>
  <si>
    <t>SpaceX Q3 业绩公告资产负债表、利润表、现金流量表括注</t>
  </si>
  <si>
    <t>需向公司核实对手方与性质（可能涉及特斯拉 Megapack 采购与 Valor），再决定是否抵销。</t>
  </si>
  <si>
    <t>董事交叉任职</t>
  </si>
  <si>
    <t>Ira Ehrenpreis 同时任特斯拉董事（薪酬与治理委员会主席）与 SpaceX 董事（2026-02 起）；Kimbal Musk 任特斯拉董事、曾任 SpaceX 董事；马斯克任两家 CEO</t>
  </si>
  <si>
    <t>Tesla 委托书董事简介；SpaceX 招股书 Management</t>
  </si>
  <si>
    <t>影响特别委员会独立性认定；交叉任职董事应回避。</t>
  </si>
  <si>
    <t>合并备考：把两家当成一家看（简单加总 + 关联交易抵销）</t>
  </si>
  <si>
    <t>单位：百万美元。未作购买价格分摊（PPA）的简单加总口径；购买法影响仅在 E 部分示意。关联交易抵销取自“关联交易”表。</t>
  </si>
  <si>
    <t>A. LTM（2025Q4–2026Q3）损益与现金流</t>
  </si>
  <si>
    <t>关联交易抵销/调整</t>
  </si>
  <si>
    <t>合并备考</t>
  </si>
  <si>
    <t>特斯拉占比</t>
  </si>
  <si>
    <t>SpaceX占比</t>
  </si>
  <si>
    <t>抵销特斯拉对 SpaceX 的 Megapack 销售</t>
  </si>
  <si>
    <t>抵销关联未实现利润</t>
  </si>
  <si>
    <t>EBITDA（统一口径）</t>
  </si>
  <si>
    <t>经营利润+折旧摊销</t>
  </si>
  <si>
    <t>调整后EBITDA（公司口径简单加总，非GAAP）</t>
  </si>
  <si>
    <t>两家定义不同，仅作参考</t>
  </si>
  <si>
    <t>净利润（归母，GAAP）</t>
  </si>
  <si>
    <t>抵销关联未实现利润（税后）并剔除特斯拉对 SpaceX 股权的公允价值损益（税后）</t>
  </si>
  <si>
    <t>内部 Megapack 交易：特斯拉收款与 SpaceX 付款对冲，生产成本重分类为资本开支（以已确认收入/成本近似，忽略收付款时间差）</t>
  </si>
  <si>
    <t>同上；经营现金流与资本开支同减关联毛利，自由现金流不变</t>
  </si>
  <si>
    <t>经营现金流−资本开支</t>
  </si>
  <si>
    <t>B. 最近完整财年 FY2025 损益与现金流</t>
  </si>
  <si>
    <t>C. 合并后营收结构（五个分部；关联抵销计入特斯拉能源分部）</t>
  </si>
  <si>
    <t>分部</t>
  </si>
  <si>
    <t>LTM 占比</t>
  </si>
  <si>
    <t>FY2025 营收</t>
  </si>
  <si>
    <t>FY2025 占比</t>
  </si>
  <si>
    <t>2026Q3 年化（示意）</t>
  </si>
  <si>
    <t>年化占比</t>
  </si>
  <si>
    <t>季度复合增速*</t>
  </si>
  <si>
    <t>特斯拉 · 汽车（含服务及其他）</t>
  </si>
  <si>
    <t>特斯拉 · 能源发电与储能（已抵销关联销售）</t>
  </si>
  <si>
    <t>SpaceX · 连接（Starlink）</t>
  </si>
  <si>
    <t>SpaceX · SI（超级智能/AI、X 平台）</t>
  </si>
  <si>
    <t>SpaceX · 航天（发射与研发合同）</t>
  </si>
  <si>
    <t>合并营收（抵销后）</t>
  </si>
  <si>
    <t>*2025Q4 至 2026Q3 的季度复合增速，仅描述历史</t>
  </si>
  <si>
    <t>校验：分部合计 − A 部分合并营收（LTM / FY2025）</t>
  </si>
  <si>
    <t>D. 合并后利润结构（LTM）</t>
  </si>
  <si>
    <t>分部毛利</t>
  </si>
  <si>
    <t>毛利占比</t>
  </si>
  <si>
    <t>分部毛利率</t>
  </si>
  <si>
    <t>经营利润*</t>
  </si>
  <si>
    <t>分部调整后EBITDA*</t>
  </si>
  <si>
    <t>特斯拉 · 汽车（含服务及其他）〔经营利润为特斯拉整体〕</t>
  </si>
  <si>
    <t>特斯拉 · 能源发电与储能（已抵销）</t>
  </si>
  <si>
    <t>↑ 特斯拉整体</t>
  </si>
  <si>
    <t>↑</t>
  </si>
  <si>
    <t>合计（抵销后）</t>
  </si>
  <si>
    <t>*特斯拉未披露分部经营利润，经营利润以公司整体（已扣关联未实现利润）列示于汽车行；分部调整后EBITDA 仅 SpaceX 披露（非GAAP）</t>
  </si>
  <si>
    <t>校验：分部毛利合计 − A 部分合并毛利；经营利润合计 − A 部分合并经营利润</t>
  </si>
  <si>
    <t>E. 现金与负债（2026-09-30）</t>
  </si>
  <si>
    <t>抵销/调整</t>
  </si>
  <si>
    <t>合并（简单加总）</t>
  </si>
  <si>
    <t>现金和短期投资</t>
  </si>
  <si>
    <t>内部往来不涉及现金</t>
  </si>
  <si>
    <t>有息负债（含融资租赁）</t>
  </si>
  <si>
    <t>SpaceX 含关联方（Valor）融资 12,897</t>
  </si>
  <si>
    <t>净现金</t>
  </si>
  <si>
    <t>现金和短期投资−有息负债</t>
  </si>
  <si>
    <t>股东权益（归母）</t>
  </si>
  <si>
    <t>剔除特斯拉持有的 SpaceX 股权（转库存股）及关联未实现利润；未作 PPA</t>
  </si>
  <si>
    <t>备查：关联应收/应付对冲</t>
  </si>
  <si>
    <t>特斯拉应收 SpaceX 729 与 SpaceX 应付对冲（总资产、总负债同减）</t>
  </si>
  <si>
    <t>备查：关联递延收入/预付对冲</t>
  </si>
  <si>
    <t>特斯拉递延收入 648 与 SpaceX 预付对冲</t>
  </si>
  <si>
    <t>F. 购买法会计影响（示意；全部基于假设 A06、A10、A11 与方法①）</t>
  </si>
  <si>
    <t>收购对价（方法①，含基准溢价）</t>
  </si>
  <si>
    <t>换股比例×SpaceX 每股价值×特斯拉股本；若收购方为特斯拉则为对 SpaceX 的对价</t>
  </si>
  <si>
    <t>被收购方账面归母权益（2026-09-30）</t>
  </si>
  <si>
    <t>未作公允价值调整</t>
  </si>
  <si>
    <t>超额对价（商誉+可辨认无形资产等，待 PPA）</t>
  </si>
  <si>
    <t>对价−账面权益</t>
  </si>
  <si>
    <t>其中：有限寿命无形资产（假设 A10 比例）</t>
  </si>
  <si>
    <t>示意</t>
  </si>
  <si>
    <t>年度摊销（假设 A11 年限，直线）</t>
  </si>
  <si>
    <t>LTM 合并经营利润（扣除示意摊销后）</t>
  </si>
  <si>
    <t>仅说明 GAAP 利润可能被摊销显著压低</t>
  </si>
  <si>
    <t>校验汇总</t>
  </si>
  <si>
    <t>差异绝对值 &lt; 0.5（百万美元/股数）视为通过；最后一部分统计各工作表公式错误值数量。</t>
  </si>
  <si>
    <t>校验项</t>
  </si>
  <si>
    <t>差异</t>
  </si>
  <si>
    <t>结果</t>
  </si>
  <si>
    <t>SpaceX FY2025 经营利润勾稽</t>
  </si>
  <si>
    <t>SpaceX 9M 2025 经营利润勾稽</t>
  </si>
  <si>
    <t>SpaceX Q1 2026 经营利润勾稽</t>
  </si>
  <si>
    <t>SpaceX Q2 2026 经营利润勾稽</t>
  </si>
  <si>
    <t>SpaceX 6M 2026 经营利润勾稽</t>
  </si>
  <si>
    <t>SpaceX Q3 2026 经营利润勾稽</t>
  </si>
  <si>
    <t>SpaceX 9M 2026 经营利润勾稽</t>
  </si>
  <si>
    <t>SpaceX FY2025 净利润勾稽</t>
  </si>
  <si>
    <t>SpaceX 9M 2025 净利润勾稽</t>
  </si>
  <si>
    <t>SpaceX Q1 2026 净利润勾稽</t>
  </si>
  <si>
    <t>SpaceX Q2 2026 净利润勾稽</t>
  </si>
  <si>
    <t>SpaceX 6M 2026 净利润勾稽</t>
  </si>
  <si>
    <t>SpaceX Q3 2026 净利润勾稽</t>
  </si>
  <si>
    <t>SpaceX 9M 2026 净利润勾稽</t>
  </si>
  <si>
    <t>SpaceX FY2025 调整后EBITDA勾稽</t>
  </si>
  <si>
    <t>SpaceX 9M 2025 调整后EBITDA勾稽</t>
  </si>
  <si>
    <t>SpaceX Q1 2026 调整后EBITDA勾稽</t>
  </si>
  <si>
    <t>SpaceX Q2 2026 调整后EBITDA勾稽</t>
  </si>
  <si>
    <t>SpaceX 6M 2026 调整后EBITDA勾稽</t>
  </si>
  <si>
    <t>SpaceX Q3 2026 调整后EBITDA勾稽</t>
  </si>
  <si>
    <t>SpaceX 9M 2026 调整后EBITDA勾稽</t>
  </si>
  <si>
    <t>SpaceX Q2 2026 与累计数相减一致</t>
  </si>
  <si>
    <t>SpaceX Q3 2026 与累计数相减一致</t>
  </si>
  <si>
    <t>SpaceX FY2025 分部分部营收合计</t>
  </si>
  <si>
    <t>SpaceX 9M 2025 分部分部营收合计</t>
  </si>
  <si>
    <t>SpaceX Q1 2026 分部分部营收合计</t>
  </si>
  <si>
    <t>SpaceX Q2 2026 分部分部营收合计</t>
  </si>
  <si>
    <t>SpaceX Q3 2026 分部分部营收合计</t>
  </si>
  <si>
    <t>SpaceX 9M 2026 分部分部营收合计</t>
  </si>
  <si>
    <t>SpaceX FY2025 分部分部营业成本合计</t>
  </si>
  <si>
    <t>SpaceX 9M 2025 分部分部营业成本合计</t>
  </si>
  <si>
    <t>SpaceX Q1 2026 分部分部营业成本合计</t>
  </si>
  <si>
    <t>SpaceX Q2 2026 分部分部营业成本合计</t>
  </si>
  <si>
    <t>SpaceX Q3 2026 分部分部营业成本合计</t>
  </si>
  <si>
    <t>SpaceX 9M 2026 分部分部营业成本合计</t>
  </si>
  <si>
    <t>SpaceX FY2025 分部分部经营利润合计</t>
  </si>
  <si>
    <t>SpaceX 9M 2025 分部分部经营利润合计</t>
  </si>
  <si>
    <t>SpaceX Q1 2026 分部分部经营利润合计</t>
  </si>
  <si>
    <t>SpaceX Q2 2026 分部分部经营利润合计</t>
  </si>
  <si>
    <t>SpaceX Q3 2026 分部分部经营利润合计</t>
  </si>
  <si>
    <t>SpaceX 9M 2026 分部分部经营利润合计</t>
  </si>
  <si>
    <t>SpaceX FY2025 分部分部调整后EBITDA（非GAAP）合计</t>
  </si>
  <si>
    <t>SpaceX 9M 2025 分部分部调整后EBITDA（非GAAP）合计</t>
  </si>
  <si>
    <t>SpaceX Q1 2026 分部分部调整后EBITDA（非GAAP）合计</t>
  </si>
  <si>
    <t>SpaceX Q2 2026 分部分部调整后EBITDA（非GAAP）合计</t>
  </si>
  <si>
    <t>SpaceX Q3 2026 分部分部调整后EBITDA（非GAAP）合计</t>
  </si>
  <si>
    <t>SpaceX 9M 2026 分部分部调整后EBITDA（非GAAP）合计</t>
  </si>
  <si>
    <t>SpaceX FY2025 分部分部资本开支合计</t>
  </si>
  <si>
    <t>SpaceX 9M 2025 分部分部资本开支合计</t>
  </si>
  <si>
    <t>SpaceX Q1 2026 分部分部资本开支合计</t>
  </si>
  <si>
    <t>SpaceX Q2 2026 分部分部资本开支合计</t>
  </si>
  <si>
    <t>SpaceX Q3 2026 分部分部资本开支合计</t>
  </si>
  <si>
    <t>SpaceX 9M 2026 分部分部资本开支合计</t>
  </si>
  <si>
    <t>SpaceX 标准化 Q4 2025 分部营收合计</t>
  </si>
  <si>
    <t>SpaceX 标准化 Q1 2026 分部营收合计</t>
  </si>
  <si>
    <t>SpaceX 标准化 Q2 2026 分部营收合计</t>
  </si>
  <si>
    <t>SpaceX 标准化 Q3 2026 分部营收合计</t>
  </si>
  <si>
    <t>SpaceX 标准化 LTM（2025Q4–2026Q3） 分部营收合计</t>
  </si>
  <si>
    <t>SpaceX 标准化 FY2025 分部营收合计</t>
  </si>
  <si>
    <t>SpaceX 标准化 Q4 2025 分部经营利润合计</t>
  </si>
  <si>
    <t>SpaceX 标准化 Q1 2026 分部经营利润合计</t>
  </si>
  <si>
    <t>SpaceX 标准化 Q2 2026 分部经营利润合计</t>
  </si>
  <si>
    <t>SpaceX 标准化 Q3 2026 分部经营利润合计</t>
  </si>
  <si>
    <t>SpaceX 标准化 LTM（2025Q4–2026Q3） 分部经营利润合计</t>
  </si>
  <si>
    <t>SpaceX 标准化 FY2025 分部经营利润合计</t>
  </si>
  <si>
    <t>SpaceX 标准化 Q4 2025 分部资本开支合计</t>
  </si>
  <si>
    <t>SpaceX 标准化 Q1 2026 分部资本开支合计</t>
  </si>
  <si>
    <t>SpaceX 标准化 Q2 2026 分部资本开支合计</t>
  </si>
  <si>
    <t>SpaceX 标准化 Q3 2026 分部资本开支合计</t>
  </si>
  <si>
    <t>SpaceX 标准化 LTM（2025Q4–2026Q3） 分部资本开支合计</t>
  </si>
  <si>
    <t>SpaceX 标准化 FY2025 分部资本开支合计</t>
  </si>
  <si>
    <t>特斯拉 FY2025 营收分项合计</t>
  </si>
  <si>
    <t>特斯拉 Q4 2025 营收分项合计</t>
  </si>
  <si>
    <t>特斯拉 Q1 2026 营收分项合计</t>
  </si>
  <si>
    <t>特斯拉 Q2 2026 营收分项合计</t>
  </si>
  <si>
    <t>特斯拉 Q3 2026 营收分项合计</t>
  </si>
  <si>
    <t>特斯拉 9M 2026 营收分项合计</t>
  </si>
  <si>
    <t>特斯拉 FY2025 营业成本分项合计</t>
  </si>
  <si>
    <t>特斯拉 Q4 2025 营业成本分项合计</t>
  </si>
  <si>
    <t>特斯拉 Q1 2026 营业成本分项合计</t>
  </si>
  <si>
    <t>特斯拉 Q2 2026 营业成本分项合计</t>
  </si>
  <si>
    <t>特斯拉 Q3 2026 营业成本分项合计</t>
  </si>
  <si>
    <t>特斯拉 9M 2026 营业成本分项合计</t>
  </si>
  <si>
    <t>特斯拉 FY2025 经营利润勾稽</t>
  </si>
  <si>
    <t>特斯拉 Q4 2025 经营利润勾稽</t>
  </si>
  <si>
    <t>特斯拉 Q1 2026 经营利润勾稽</t>
  </si>
  <si>
    <t>特斯拉 Q2 2026 经营利润勾稽</t>
  </si>
  <si>
    <t>特斯拉 Q3 2026 经营利润勾稽</t>
  </si>
  <si>
    <t>特斯拉 9M 2026 经营利润勾稽</t>
  </si>
  <si>
    <t>特斯拉 FY2025 净利润勾稽</t>
  </si>
  <si>
    <t>特斯拉 Q4 2025 净利润勾稽</t>
  </si>
  <si>
    <t>特斯拉 Q1 2026 净利润勾稽</t>
  </si>
  <si>
    <t>特斯拉 Q2 2026 净利润勾稽</t>
  </si>
  <si>
    <t>特斯拉 Q3 2026 净利润勾稽</t>
  </si>
  <si>
    <t>特斯拉 9M 2026 净利润勾稽</t>
  </si>
  <si>
    <t>特斯拉 FY2025 调整后EBITDA勾稽</t>
  </si>
  <si>
    <t>特斯拉 Q4 2025 调整后EBITDA勾稽</t>
  </si>
  <si>
    <t>特斯拉 Q1 2026 调整后EBITDA勾稽</t>
  </si>
  <si>
    <t>特斯拉 Q2 2026 调整后EBITDA勾稽</t>
  </si>
  <si>
    <t>特斯拉 Q3 2026 调整后EBITDA勾稽</t>
  </si>
  <si>
    <t>特斯拉 Q1+Q2+Q3 与 9M 一致</t>
  </si>
  <si>
    <t>特斯拉 季度现金流与 9M 一致</t>
  </si>
  <si>
    <t>特斯拉分部勾稽 FY2025 auto_rev</t>
  </si>
  <si>
    <t>特斯拉分部勾稽 FY2025 auto_gp</t>
  </si>
  <si>
    <t>特斯拉分部勾稽 FY2025 en_gp</t>
  </si>
  <si>
    <t>特斯拉分部勾稽 Q3_2026 auto_rev</t>
  </si>
  <si>
    <t>特斯拉分部勾稽 Q3_2026 auto_gp</t>
  </si>
  <si>
    <t>特斯拉分部勾稽 Q3_2026 en_gp</t>
  </si>
  <si>
    <t>特斯拉 标准化 Q4 2025 分部营收合计</t>
  </si>
  <si>
    <t>特斯拉 标准化 Q1 2026 分部营收合计</t>
  </si>
  <si>
    <t>特斯拉 标准化 Q2 2026 分部营收合计</t>
  </si>
  <si>
    <t>特斯拉 标准化 Q3 2026 分部营收合计</t>
  </si>
  <si>
    <t>特斯拉 标准化 LTM（2025Q4–2026Q3） 分部营收合计</t>
  </si>
  <si>
    <t>特斯拉 标准化 FY2025 分部营收合计</t>
  </si>
  <si>
    <t>特斯拉 9M 汽车分部毛利</t>
  </si>
  <si>
    <t>特斯拉 9M 能源分部毛利</t>
  </si>
  <si>
    <t>VWAP 窗口交易日数</t>
  </si>
  <si>
    <t>合并营收结构 LTM 合计</t>
  </si>
  <si>
    <t>合并营收结构 FY2025 合计</t>
  </si>
  <si>
    <t>合并毛利结构 LTM 合计</t>
  </si>
  <si>
    <t>合并经营利润结构 LTM 合计</t>
  </si>
  <si>
    <t>通过项数 / 总项数</t>
  </si>
  <si>
    <t>公式错误值数量（#DIV/0!、#N/A、#REF! 等）</t>
  </si>
  <si>
    <t>假设</t>
  </si>
  <si>
    <t>SpaceX财务</t>
  </si>
  <si>
    <t>特斯拉财务</t>
  </si>
  <si>
    <t>市场数据</t>
  </si>
  <si>
    <t>关联交易</t>
  </si>
  <si>
    <t>敏感性</t>
  </si>
  <si>
    <t>错误值合计</t>
  </si>
  <si>
    <t>SpaceX × 特斯拉 合并财务分析模型</t>
  </si>
  <si>
    <t>投行并购团队内部讨论用 · 研究与展示分析，不构成投资建议（不提供买入/卖出/持有建议或目标价，不评价股价高低）</t>
  </si>
  <si>
    <t>用途</t>
  </si>
  <si>
    <t>为“两家若合并、账怎么算”的内部讨论准备的财务分析：两家各自最近四个季度与 FY2025 关键数字、合并备考、关联交易处理、换股比例（五种定价方法）与溢价敏感性。</t>
  </si>
  <si>
    <t>取数日期</t>
  </si>
  <si>
    <t>2026-10-22。财务数据截至 2026-09-30（SpaceX 2026Q3 业绩公告 2026-10-20；特斯拉 2026Q3 Update 2026-10-21、10-Q）；市场数据截至 2026-10-21 收盘（10-22 为盘中，未用）。</t>
  </si>
  <si>
    <t>金额：百万美元（标注“十亿美元”处除外）；股数：百万股；股价：美元/股；比例：%。</t>
  </si>
  <si>
    <t>期间口径</t>
  </si>
  <si>
    <t>两家财年均为公历年。“最近四个季度” = 2025Q4、2026Q1、2026Q2、2026Q3；LTM = 四季合计；最近完整财年 = FY2025。SpaceX 2025Q4 = FY2025 − 2025 前三季度（推算）；SpaceX 2026Q2/Q3 现金流 = 年初至今累计数相减（推算）。资产负债项目取各期末值，LTM 列取 2026-09-30。</t>
  </si>
  <si>
    <t>会计口径</t>
  </si>
  <si>
    <t>美国 GAAP。SpaceX 2025 年及以前数据已按同一控制下合并（xAI、X）追溯重述；其“SI（超级智能）”分部即招股书/二季报中的“AI”分部（2026Q3 更名）。SpaceX 于 2026-08-14 完成收购 Cursor，Q3 仅并表约 1.5 个月。</t>
  </si>
  <si>
    <t>关键定义</t>
  </si>
  <si>
    <t>毛利 = 营收 − 营业成本（SpaceX 报表无毛利行，为计算值）；经营利润 = Income from operations；净利润：特斯拉取归属普通股股东净利润，SpaceX 取净利润；经营现金流 = 经营活动现金流量净额；资本开支 = 购置物业厂房设备（特斯拉口径含储能系统采购）；自由现金流 = 经营现金流 − 资本开支；现金和短期投资 = 现金及等价物 + 短期投资/有价证券；有息负债 = 债务及融资租赁账面值（流动+非流动）；股东权益 = 归属母公司股东权益（SpaceX 2025 年末另有 387.52 亿美元可赎回可转换优先股列于夹层，IPO 时已转股）。</t>
  </si>
  <si>
    <t>EBITDA 两种口径</t>
  </si>
  <si>
    <t>①公司口径调整后 EBITDA（非 GAAP，两家定义不同：SpaceX 扣除利息收入及其他收益、加回重组与收购相关股权激励；特斯拉未扣除利息收入，剔除数字资产与 SpaceX 股权公允价值损益）；②统一口径 EBITDA = 经营利润 + 折旧摊销（本模型计算，倍数法默认使用）。</t>
  </si>
  <si>
    <t>分部口径</t>
  </si>
  <si>
    <t>SpaceX 三个分部：航天、连接（Starlink）、SI；CODM 以分部经营利润衡量，另披露分部调整后 EBITDA。特斯拉两个分部：汽车（含服务及其他）、能源发电与储能；CODM 以分部毛利衡量，未披露分部经营利润。为可比，本模型对五个分部统一计算分部毛利。</t>
  </si>
  <si>
    <t>颜色图例</t>
  </si>
  <si>
    <t>蓝底蓝字 = 披露数据（取自 材料/ 原始文件，单元格批注写明文件、报表与列）；绿底绿字 = 市场数据（网络取得，表头注明来源与访问日期）；黄底橙字 = 假设（可修改，相关结果自动更新）；白底黑字 = 公式；灰底斜体 = 校验。</t>
  </si>
  <si>
    <t>工作表导航</t>
  </si>
  <si>
    <t>假设 → 关键数字（两家十项指标与分部汇总）→ SpaceX财务 / 特斯拉财务（A–E 原始数，F 标准化表）→ 市场数据（股价、VWAP）→ 合并备考（加总、抵销、结构、购买法示意）→ 关联交易（清单与处理）→ 换股比例（五种方法、合并后股权、马斯克持股）→ 敏感性（溢价率 × 方法）→ 校验。</t>
  </si>
  <si>
    <t>数据来源（材料/）</t>
  </si>
  <si>
    <t>· SpaceX_招股书__spaceexplorationtechnologi.htm（424B4，2026-06-11）
· SpaceX_2026Q2季报__spcx-20260630.htm（10-Q）
· SpaceX_2026Q3业绩公告__spaceexplorationtechnologi.htm（8-K 附件99.1）
· Tesla_2025年报__tsla-20251231.htm（10-K）
· Tesla_2026Q3季报__tsla-20260930.htm（10-Q）
· Tesla_2026Q3业绩公告__exhibit9914.htm（Q3 2026 Update，附件99.1）
· Tesla_2026股东大会委托书__tm267596-1_def14a.htm（DEF 14A）</t>
  </si>
  <si>
    <t>数据来源（网络）</t>
  </si>
  <si>
    <t>· 股价与成交量：Nasdaq.com 历史行情接口 https://api.nasdaq.com/api/quote/TSLA/historical 与 https://api.nasdaq.com/api/quote/SPCX/historical（assetclass=stocks，2026-08-03 至 2026-10-21），访问日期 2026-10-22。
· 交叉核对：https://stockanalysis.com/stocks/tsla/history/ 与 https://stockanalysis.com/stocks/spcx/history/，访问日期 2026-10-22（收盘价一致；成交量口径不同，模型使用 Nasdaq 合并成交量）。
· 股本未使用网络数据，均取自 材料/ 原始文件。</t>
  </si>
  <si>
    <t>主要假设</t>
  </si>
  <si>
    <t>见“假设”表（A01–A16）：SpaceX 为存续主体并发行 A 类股吸收合并特斯拉；不受影响日 2026-10-20；30 日 VWAP；基准溢价 0%；倍数法按同一 EV/指标 倍数分配两家市场 EV 之和；LTM 关联抵销含 2025 年 xAI Megapack 收入全部落在 Q4 的假设；马斯克持股按招股书/委托书时点且此后不变；购买法摊销仅示意。</t>
  </si>
  <si>
    <t>已知局限</t>
  </si>
  <si>
    <t>· 马斯克 SpaceX 持股为 2026-05-01 数据，分母为 2026-09-30 股本，时点不完全一致。
· SpaceX 2026-09-30 股本取业绩公告资产负债表（百万股取整）。
· 两家调整后 EBITDA 定义不同；SpaceX 分部数据为 CODM 口径。
· 部分小额关联交易季度分布未披露，未计入抵销；SpaceX 若干“关联方”括注项目性质未披露。
· 未考虑交易费用、税务、协同效应、监管条件、债务契约（控制权变更条款）与员工股权激励加速等。</t>
  </si>
  <si>
    <t>图例示例</t>
  </si>
  <si>
    <t>披露数据（蓝）</t>
  </si>
  <si>
    <t>市场数据（绿）</t>
  </si>
  <si>
    <t>假设（黄/橙）</t>
  </si>
  <si>
    <t>公式（白）</t>
  </si>
  <si>
    <t>校验（灰）</t>
  </si>
  <si>
    <t>校验状态</t>
  </si>
</sst>
</file>

<file path=xl/styles.xml><?xml version="1.0" encoding="utf-8"?>
<styleSheet xmlns="http://schemas.openxmlformats.org/spreadsheetml/2006/main">
  <numFmts count="16">
    <numFmt numFmtId="164" formatCode="@"/>
    <numFmt numFmtId="165" formatCode="yyyy-mm-dd"/>
    <numFmt numFmtId="166" formatCode="0.0%"/>
    <numFmt numFmtId="167" formatCode="#,##0;(#,##0);&quot;–&quot;"/>
    <numFmt numFmtId="168" formatCode="0.0"/>
    <numFmt numFmtId="169" formatCode="#,##0"/>
    <numFmt numFmtId="170" formatCode="0.0%;-0.0%;&quot;–&quot;"/>
    <numFmt numFmtId="171" formatCode="0.00"/>
    <numFmt numFmtId="172" formatCode="#,##0.00"/>
    <numFmt numFmtId="173" formatCode="#,##0.0000"/>
    <numFmt numFmtId="174" formatCode="0.000"/>
    <numFmt numFmtId="175" formatCode="#,##0.000"/>
    <numFmt numFmtId="176" formatCode="#,##0.0;(#,##0.0);&quot;–&quot;"/>
    <numFmt numFmtId="177" formatCode="0.0000"/>
    <numFmt numFmtId="178" formatCode="0%"/>
    <numFmt numFmtId="179" formatCode="#,##0.00;(#,##0.00);&quot;–&quot;"/>
  </numFmts>
  <fonts count="19">
    <font>
      <sz val="11"/>
      <color theme="1"/>
      <name val="Calibri"/>
      <family val="2"/>
      <scheme val="minor"/>
    </font>
    <font>
      <b/>
      <sz val="18"/>
      <color rgb="FF1F3864"/>
      <name val="Arial"/>
      <family val="2"/>
    </font>
    <font>
      <i/>
      <sz val="10"/>
      <color rgb="FFC00000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0"/>
      <color rgb="FF1F4E79"/>
      <name val="Arial"/>
      <family val="2"/>
    </font>
    <font>
      <sz val="10"/>
      <color rgb="FF375623"/>
      <name val="Arial"/>
      <family val="2"/>
    </font>
    <font>
      <b/>
      <sz val="10"/>
      <color rgb="FFC65911"/>
      <name val="Arial"/>
      <family val="2"/>
    </font>
    <font>
      <sz val="10"/>
      <color theme="1"/>
      <name val="Arial"/>
      <family val="2"/>
    </font>
    <font>
      <i/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5"/>
      <color rgb="FF1F3864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sz val="8"/>
      <color rgb="FF7F7F7F"/>
      <name val="Arial"/>
      <family val="2"/>
    </font>
    <font>
      <b/>
      <sz val="8"/>
      <color rgb="FF1F3864"/>
      <name val="Arial"/>
      <family val="2"/>
    </font>
    <font>
      <sz val="10"/>
      <color rgb="FFA6A6A6"/>
      <name val="Arial"/>
      <family val="2"/>
    </font>
    <font>
      <sz val="10"/>
      <color rgb="FF7F7F7F"/>
      <name val="Arial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9E6"/>
        <bgColor indexed="64"/>
      </patternFill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164" fontId="6" fillId="3" borderId="3" xfId="0" applyNumberFormat="1" applyFont="1" applyFill="1" applyBorder="1" applyAlignment="1">
      <alignment vertical="center"/>
    </xf>
    <xf numFmtId="164" fontId="7" fillId="4" borderId="4" xfId="0" applyNumberFormat="1" applyFont="1" applyFill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9" fillId="5" borderId="1" xfId="0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6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65" fontId="7" fillId="4" borderId="4" xfId="0" applyNumberFormat="1" applyFont="1" applyFill="1" applyBorder="1" applyAlignment="1">
      <alignment vertical="center"/>
    </xf>
    <xf numFmtId="1" fontId="7" fillId="4" borderId="4" xfId="0" applyNumberFormat="1" applyFont="1" applyFill="1" applyBorder="1" applyAlignment="1">
      <alignment vertical="center"/>
    </xf>
    <xf numFmtId="166" fontId="7" fillId="4" borderId="4" xfId="0" applyNumberFormat="1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2" fillId="6" borderId="5" xfId="0" applyFont="1" applyFill="1" applyBorder="1" applyAlignment="1">
      <alignment horizontal="left" vertical="center" wrapText="1"/>
    </xf>
    <xf numFmtId="167" fontId="8" fillId="0" borderId="1" xfId="0" applyNumberFormat="1" applyFont="1" applyBorder="1" applyAlignment="1">
      <alignment vertical="center"/>
    </xf>
    <xf numFmtId="167" fontId="10" fillId="7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8" borderId="1" xfId="0" applyFont="1" applyFill="1" applyBorder="1" applyAlignment="1">
      <alignment horizontal="center" vertical="center" wrapText="1"/>
    </xf>
    <xf numFmtId="167" fontId="5" fillId="2" borderId="2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167" fontId="9" fillId="5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8" fontId="5" fillId="2" borderId="2" xfId="0" applyNumberFormat="1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vertical="center"/>
    </xf>
    <xf numFmtId="169" fontId="5" fillId="2" borderId="2" xfId="0" applyNumberFormat="1" applyFont="1" applyFill="1" applyBorder="1" applyAlignment="1">
      <alignment vertical="center"/>
    </xf>
    <xf numFmtId="167" fontId="10" fillId="0" borderId="1" xfId="0" applyNumberFormat="1" applyFont="1" applyBorder="1" applyAlignment="1">
      <alignment vertical="center"/>
    </xf>
    <xf numFmtId="170" fontId="8" fillId="0" borderId="1" xfId="0" applyNumberFormat="1" applyFont="1" applyBorder="1" applyAlignment="1">
      <alignment vertical="center"/>
    </xf>
    <xf numFmtId="170" fontId="8" fillId="7" borderId="1" xfId="0" applyNumberFormat="1" applyFont="1" applyFill="1" applyBorder="1" applyAlignment="1">
      <alignment vertical="center"/>
    </xf>
    <xf numFmtId="167" fontId="8" fillId="7" borderId="1" xfId="0" applyNumberFormat="1" applyFont="1" applyFill="1" applyBorder="1" applyAlignment="1">
      <alignment vertical="center"/>
    </xf>
    <xf numFmtId="170" fontId="10" fillId="0" borderId="1" xfId="0" applyNumberFormat="1" applyFont="1" applyBorder="1" applyAlignment="1">
      <alignment vertical="center"/>
    </xf>
    <xf numFmtId="169" fontId="10" fillId="0" borderId="1" xfId="0" applyNumberFormat="1" applyFont="1" applyBorder="1" applyAlignment="1">
      <alignment vertical="center"/>
    </xf>
    <xf numFmtId="168" fontId="10" fillId="0" borderId="1" xfId="0" applyNumberFormat="1" applyFont="1" applyBorder="1" applyAlignment="1">
      <alignment vertical="center"/>
    </xf>
    <xf numFmtId="171" fontId="5" fillId="2" borderId="2" xfId="0" applyNumberFormat="1" applyFont="1" applyFill="1" applyBorder="1" applyAlignment="1">
      <alignment vertical="center"/>
    </xf>
    <xf numFmtId="171" fontId="10" fillId="0" borderId="1" xfId="0" applyNumberFormat="1" applyFont="1" applyBorder="1" applyAlignment="1">
      <alignment vertical="center"/>
    </xf>
    <xf numFmtId="170" fontId="10" fillId="7" borderId="1" xfId="0" applyNumberFormat="1" applyFont="1" applyFill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172" fontId="10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1" fontId="9" fillId="5" borderId="1" xfId="0" applyNumberFormat="1" applyFont="1" applyFill="1" applyBorder="1" applyAlignment="1">
      <alignment vertical="center"/>
    </xf>
    <xf numFmtId="165" fontId="6" fillId="3" borderId="3" xfId="0" applyNumberFormat="1" applyFont="1" applyFill="1" applyBorder="1" applyAlignment="1">
      <alignment vertical="center"/>
    </xf>
    <xf numFmtId="172" fontId="6" fillId="3" borderId="3" xfId="0" applyNumberFormat="1" applyFont="1" applyFill="1" applyBorder="1" applyAlignment="1">
      <alignment vertical="center"/>
    </xf>
    <xf numFmtId="169" fontId="6" fillId="3" borderId="3" xfId="0" applyNumberFormat="1" applyFont="1" applyFill="1" applyBorder="1" applyAlignment="1">
      <alignment vertical="center"/>
    </xf>
    <xf numFmtId="173" fontId="8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174" fontId="5" fillId="2" borderId="2" xfId="0" applyNumberFormat="1" applyFont="1" applyFill="1" applyBorder="1" applyAlignment="1">
      <alignment vertical="center"/>
    </xf>
    <xf numFmtId="175" fontId="8" fillId="0" borderId="1" xfId="0" applyNumberFormat="1" applyFont="1" applyBorder="1" applyAlignment="1">
      <alignment vertical="center"/>
    </xf>
    <xf numFmtId="168" fontId="8" fillId="0" borderId="1" xfId="0" applyNumberFormat="1" applyFont="1" applyBorder="1" applyAlignment="1">
      <alignment vertical="center"/>
    </xf>
    <xf numFmtId="172" fontId="8" fillId="0" borderId="1" xfId="0" applyNumberFormat="1" applyFont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177" fontId="10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6" fontId="10" fillId="0" borderId="1" xfId="0" applyNumberFormat="1" applyFont="1" applyBorder="1" applyAlignment="1">
      <alignment vertical="center"/>
    </xf>
    <xf numFmtId="177" fontId="10" fillId="9" borderId="1" xfId="0" applyNumberFormat="1" applyFont="1" applyFill="1" applyBorder="1" applyAlignment="1">
      <alignment vertical="center"/>
    </xf>
    <xf numFmtId="176" fontId="10" fillId="0" borderId="1" xfId="0" applyNumberFormat="1" applyFont="1" applyBorder="1" applyAlignment="1">
      <alignment vertical="center"/>
    </xf>
    <xf numFmtId="178" fontId="7" fillId="4" borderId="4" xfId="0" applyNumberFormat="1" applyFont="1" applyFill="1" applyBorder="1" applyAlignment="1">
      <alignment vertical="center"/>
    </xf>
    <xf numFmtId="177" fontId="8" fillId="0" borderId="1" xfId="0" applyNumberFormat="1" applyFont="1" applyBorder="1" applyAlignment="1">
      <alignment vertical="center"/>
    </xf>
    <xf numFmtId="178" fontId="10" fillId="0" borderId="1" xfId="0" applyNumberFormat="1" applyFont="1" applyBorder="1" applyAlignment="1">
      <alignment vertical="center"/>
    </xf>
    <xf numFmtId="179" fontId="8" fillId="0" borderId="1" xfId="0" applyNumberFormat="1" applyFont="1" applyBorder="1" applyAlignment="1">
      <alignment vertical="center"/>
    </xf>
    <xf numFmtId="1" fontId="10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B1:C25"/>
  <sheetViews>
    <sheetView showGridLines="0" tabSelected="1" zoomScale="90" zoomScaleNormal="90" workbookViewId="0"/>
  </sheetViews>
  <sheetFormatPr defaultRowHeight="15"/>
  <cols>
    <col min="1" max="1" width="2.7109375" customWidth="1"/>
    <col min="2" max="2" width="24.7109375" customWidth="1"/>
    <col min="3" max="3" width="120.7109375" customWidth="1"/>
  </cols>
  <sheetData>
    <row r="1" spans="2:3">
      <c r="B1" s="1" t="s">
        <v>909</v>
      </c>
    </row>
    <row r="2" spans="2:3">
      <c r="B2" s="2" t="s">
        <v>910</v>
      </c>
    </row>
    <row r="4" spans="2:3" ht="34" customHeight="1">
      <c r="B4" s="3" t="s">
        <v>911</v>
      </c>
      <c r="C4" s="4" t="s">
        <v>912</v>
      </c>
    </row>
    <row r="5" spans="2:3" ht="34" customHeight="1">
      <c r="B5" s="3" t="s">
        <v>913</v>
      </c>
      <c r="C5" s="4" t="s">
        <v>914</v>
      </c>
    </row>
    <row r="6" spans="2:3" ht="20" customHeight="1">
      <c r="B6" s="3" t="s">
        <v>5</v>
      </c>
      <c r="C6" s="4" t="s">
        <v>915</v>
      </c>
    </row>
    <row r="7" spans="2:3" ht="48" customHeight="1">
      <c r="B7" s="3" t="s">
        <v>916</v>
      </c>
      <c r="C7" s="4" t="s">
        <v>917</v>
      </c>
    </row>
    <row r="8" spans="2:3" ht="34" customHeight="1">
      <c r="B8" s="3" t="s">
        <v>918</v>
      </c>
      <c r="C8" s="4" t="s">
        <v>919</v>
      </c>
    </row>
    <row r="9" spans="2:3" ht="76" customHeight="1">
      <c r="B9" s="3" t="s">
        <v>920</v>
      </c>
      <c r="C9" s="4" t="s">
        <v>921</v>
      </c>
    </row>
    <row r="10" spans="2:3" ht="48" customHeight="1">
      <c r="B10" s="3" t="s">
        <v>922</v>
      </c>
      <c r="C10" s="4" t="s">
        <v>923</v>
      </c>
    </row>
    <row r="11" spans="2:3" ht="34" customHeight="1">
      <c r="B11" s="3" t="s">
        <v>924</v>
      </c>
      <c r="C11" s="4" t="s">
        <v>925</v>
      </c>
    </row>
    <row r="12" spans="2:3" ht="34" customHeight="1">
      <c r="B12" s="3" t="s">
        <v>926</v>
      </c>
      <c r="C12" s="4" t="s">
        <v>927</v>
      </c>
    </row>
    <row r="13" spans="2:3" ht="48" customHeight="1">
      <c r="B13" s="3" t="s">
        <v>928</v>
      </c>
      <c r="C13" s="4" t="s">
        <v>929</v>
      </c>
    </row>
    <row r="14" spans="2:3" ht="104" customHeight="1">
      <c r="B14" s="3" t="s">
        <v>930</v>
      </c>
      <c r="C14" s="4" t="s">
        <v>931</v>
      </c>
    </row>
    <row r="15" spans="2:3" ht="76" customHeight="1">
      <c r="B15" s="3" t="s">
        <v>932</v>
      </c>
      <c r="C15" s="4" t="s">
        <v>933</v>
      </c>
    </row>
    <row r="16" spans="2:3" ht="48" customHeight="1">
      <c r="B16" s="3" t="s">
        <v>934</v>
      </c>
      <c r="C16" s="4" t="s">
        <v>935</v>
      </c>
    </row>
    <row r="17" spans="2:3" ht="76" customHeight="1">
      <c r="B17" s="3" t="s">
        <v>936</v>
      </c>
      <c r="C17" s="4" t="s">
        <v>937</v>
      </c>
    </row>
    <row r="19" spans="2:3">
      <c r="B19" s="5" t="s">
        <v>938</v>
      </c>
      <c r="C19" s="6" t="s">
        <v>939</v>
      </c>
    </row>
    <row r="20" spans="2:3">
      <c r="C20" s="7" t="s">
        <v>940</v>
      </c>
    </row>
    <row r="21" spans="2:3">
      <c r="C21" s="8" t="s">
        <v>941</v>
      </c>
    </row>
    <row r="22" spans="2:3">
      <c r="C22" s="9" t="s">
        <v>942</v>
      </c>
    </row>
    <row r="23" spans="2:3">
      <c r="C23" s="10" t="s">
        <v>943</v>
      </c>
    </row>
    <row r="25" spans="2:3">
      <c r="B25" s="5" t="s">
        <v>944</v>
      </c>
      <c r="C25" s="11" t="str">
        <f>"校验通过 "&amp;'校验'!D127&amp;" / "&amp;'校验'!E127&amp;" 项；公式错误值 "&amp;'校验'!D139&amp;" 个"</f>
        <v>校验通过 121 / 121 项；公式错误值 0 个</v>
      </c>
    </row>
  </sheetData>
  <pageMargins left="0.3" right="0.3" top="0.4" bottom="0.4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B1:G20"/>
  <sheetViews>
    <sheetView showGridLines="0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2" width="7.7109375" customWidth="1"/>
    <col min="3" max="3" width="40.7109375" customWidth="1"/>
    <col min="4" max="4" width="16.7109375" customWidth="1"/>
    <col min="5" max="5" width="10.7109375" customWidth="1"/>
    <col min="6" max="6" width="78.7109375" customWidth="1"/>
    <col min="7" max="7" width="30.7109375" customWidth="1"/>
  </cols>
  <sheetData>
    <row r="1" spans="2:7">
      <c r="B1" s="12" t="s">
        <v>0</v>
      </c>
    </row>
    <row r="2" spans="2:7">
      <c r="B2" s="13" t="s">
        <v>1</v>
      </c>
    </row>
    <row r="4" spans="2:7" ht="20" customHeight="1"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</row>
    <row r="5" spans="2:7" ht="33" customHeight="1">
      <c r="B5" s="15" t="s">
        <v>8</v>
      </c>
      <c r="C5" s="16" t="s">
        <v>9</v>
      </c>
      <c r="D5" s="8" t="s">
        <v>10</v>
      </c>
      <c r="E5" s="15" t="s">
        <v>11</v>
      </c>
      <c r="F5" s="4" t="s">
        <v>12</v>
      </c>
      <c r="G5" s="4" t="s">
        <v>13</v>
      </c>
    </row>
    <row r="6" spans="2:7" ht="46.5" customHeight="1">
      <c r="B6" s="15" t="s">
        <v>14</v>
      </c>
      <c r="C6" s="16" t="s">
        <v>15</v>
      </c>
      <c r="D6" s="17">
        <v>46315</v>
      </c>
      <c r="E6" s="15" t="s">
        <v>16</v>
      </c>
      <c r="F6" s="4" t="s">
        <v>17</v>
      </c>
      <c r="G6" s="4" t="s">
        <v>18</v>
      </c>
    </row>
    <row r="7" spans="2:7" ht="46.5" customHeight="1">
      <c r="B7" s="15" t="s">
        <v>19</v>
      </c>
      <c r="C7" s="16" t="s">
        <v>20</v>
      </c>
      <c r="D7" s="17">
        <v>46316</v>
      </c>
      <c r="E7" s="15" t="s">
        <v>16</v>
      </c>
      <c r="F7" s="4" t="s">
        <v>21</v>
      </c>
      <c r="G7" s="4" t="s">
        <v>22</v>
      </c>
    </row>
    <row r="8" spans="2:7" ht="33" customHeight="1">
      <c r="B8" s="15" t="s">
        <v>23</v>
      </c>
      <c r="C8" s="16" t="s">
        <v>24</v>
      </c>
      <c r="D8" s="18">
        <v>30</v>
      </c>
      <c r="E8" s="15" t="s">
        <v>25</v>
      </c>
      <c r="F8" s="4" t="s">
        <v>26</v>
      </c>
      <c r="G8" s="4" t="s">
        <v>27</v>
      </c>
    </row>
    <row r="9" spans="2:7" ht="33" customHeight="1">
      <c r="B9" s="15" t="s">
        <v>28</v>
      </c>
      <c r="C9" s="16" t="s">
        <v>29</v>
      </c>
      <c r="D9" s="8" t="s">
        <v>30</v>
      </c>
      <c r="E9" s="15" t="s">
        <v>11</v>
      </c>
      <c r="F9" s="4" t="s">
        <v>31</v>
      </c>
      <c r="G9" s="4" t="s">
        <v>27</v>
      </c>
    </row>
    <row r="10" spans="2:7" ht="30" customHeight="1">
      <c r="B10" s="15" t="s">
        <v>32</v>
      </c>
      <c r="C10" s="16" t="s">
        <v>33</v>
      </c>
      <c r="D10" s="19">
        <v>0</v>
      </c>
      <c r="E10" s="15" t="s">
        <v>34</v>
      </c>
      <c r="F10" s="4" t="s">
        <v>35</v>
      </c>
      <c r="G10" s="4" t="s">
        <v>36</v>
      </c>
    </row>
    <row r="11" spans="2:7" ht="33" customHeight="1">
      <c r="B11" s="15" t="s">
        <v>37</v>
      </c>
      <c r="C11" s="16" t="s">
        <v>38</v>
      </c>
      <c r="D11" s="8" t="s">
        <v>39</v>
      </c>
      <c r="E11" s="15" t="s">
        <v>11</v>
      </c>
      <c r="F11" s="4" t="s">
        <v>40</v>
      </c>
      <c r="G11" s="4" t="s">
        <v>41</v>
      </c>
    </row>
    <row r="12" spans="2:7" ht="33" customHeight="1">
      <c r="B12" s="15" t="s">
        <v>42</v>
      </c>
      <c r="C12" s="16" t="s">
        <v>43</v>
      </c>
      <c r="D12" s="19">
        <v>1</v>
      </c>
      <c r="E12" s="15" t="s">
        <v>34</v>
      </c>
      <c r="F12" s="4" t="s">
        <v>44</v>
      </c>
      <c r="G12" s="4" t="s">
        <v>45</v>
      </c>
    </row>
    <row r="13" spans="2:7" ht="33" customHeight="1">
      <c r="B13" s="15" t="s">
        <v>46</v>
      </c>
      <c r="C13" s="16" t="s">
        <v>47</v>
      </c>
      <c r="D13" s="19">
        <v>0.21</v>
      </c>
      <c r="E13" s="15" t="s">
        <v>34</v>
      </c>
      <c r="F13" s="4" t="s">
        <v>48</v>
      </c>
      <c r="G13" s="4" t="s">
        <v>49</v>
      </c>
    </row>
    <row r="14" spans="2:7" ht="46.5" customHeight="1">
      <c r="B14" s="15" t="s">
        <v>50</v>
      </c>
      <c r="C14" s="16" t="s">
        <v>51</v>
      </c>
      <c r="D14" s="19">
        <v>0.2</v>
      </c>
      <c r="E14" s="15" t="s">
        <v>34</v>
      </c>
      <c r="F14" s="4" t="s">
        <v>52</v>
      </c>
      <c r="G14" s="4" t="s">
        <v>53</v>
      </c>
    </row>
    <row r="15" spans="2:7" ht="30" customHeight="1">
      <c r="B15" s="15" t="s">
        <v>54</v>
      </c>
      <c r="C15" s="16" t="s">
        <v>55</v>
      </c>
      <c r="D15" s="18">
        <v>10</v>
      </c>
      <c r="E15" s="15" t="s">
        <v>56</v>
      </c>
      <c r="F15" s="4" t="s">
        <v>57</v>
      </c>
      <c r="G15" s="4" t="s">
        <v>53</v>
      </c>
    </row>
    <row r="16" spans="2:7" ht="30" customHeight="1">
      <c r="B16" s="15" t="s">
        <v>58</v>
      </c>
      <c r="C16" s="16" t="s">
        <v>59</v>
      </c>
      <c r="D16" s="18">
        <v>4</v>
      </c>
      <c r="E16" s="15" t="s">
        <v>60</v>
      </c>
      <c r="F16" s="4" t="s">
        <v>61</v>
      </c>
      <c r="G16" s="4" t="s">
        <v>62</v>
      </c>
    </row>
    <row r="17" spans="2:7" ht="46.5" customHeight="1">
      <c r="B17" s="15" t="s">
        <v>63</v>
      </c>
      <c r="C17" s="16" t="s">
        <v>64</v>
      </c>
      <c r="D17" s="8" t="s">
        <v>65</v>
      </c>
      <c r="E17" s="15" t="s">
        <v>11</v>
      </c>
      <c r="F17" s="4" t="s">
        <v>66</v>
      </c>
      <c r="G17" s="4" t="s">
        <v>67</v>
      </c>
    </row>
    <row r="18" spans="2:7" ht="60" customHeight="1">
      <c r="B18" s="15" t="s">
        <v>68</v>
      </c>
      <c r="C18" s="16" t="s">
        <v>69</v>
      </c>
      <c r="D18" s="8" t="s">
        <v>65</v>
      </c>
      <c r="E18" s="15" t="s">
        <v>11</v>
      </c>
      <c r="F18" s="4" t="s">
        <v>70</v>
      </c>
      <c r="G18" s="4" t="s">
        <v>67</v>
      </c>
    </row>
    <row r="19" spans="2:7" ht="46.5" customHeight="1">
      <c r="B19" s="15" t="s">
        <v>71</v>
      </c>
      <c r="C19" s="16" t="s">
        <v>72</v>
      </c>
      <c r="D19" s="8" t="s">
        <v>65</v>
      </c>
      <c r="E19" s="15" t="s">
        <v>11</v>
      </c>
      <c r="F19" s="4" t="s">
        <v>73</v>
      </c>
      <c r="G19" s="4" t="s">
        <v>74</v>
      </c>
    </row>
    <row r="20" spans="2:7" ht="33" customHeight="1">
      <c r="B20" s="15" t="s">
        <v>75</v>
      </c>
      <c r="C20" s="16" t="s">
        <v>76</v>
      </c>
      <c r="D20" s="8" t="s">
        <v>65</v>
      </c>
      <c r="E20" s="15" t="s">
        <v>11</v>
      </c>
      <c r="F20" s="4" t="s">
        <v>77</v>
      </c>
      <c r="G20" s="4" t="s">
        <v>78</v>
      </c>
    </row>
  </sheetData>
  <dataValidations count="3">
    <dataValidation type="list" allowBlank="1" showInputMessage="1" showErrorMessage="1" sqref="D5">
      <formula1>"SpaceX,特斯拉"</formula1>
    </dataValidation>
    <dataValidation type="list" allowBlank="1" showInputMessage="1" showErrorMessage="1" sqref="D11">
      <formula1>"统一口径,公司口径"</formula1>
    </dataValidation>
    <dataValidation type="whole" allowBlank="1" showInputMessage="1" showErrorMessage="1" sqref="D8">
      <formula1>1</formula1>
      <formula2>50</formula2>
    </dataValidation>
  </dataValidations>
  <pageMargins left="0.3" right="0.3" top="0.4" bottom="0.4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B1:I48"/>
  <sheetViews>
    <sheetView showGridLines="0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46.7109375" customWidth="1"/>
    <col min="3" max="8" width="13.7109375" customWidth="1"/>
    <col min="9" max="9" width="70.7109375" customWidth="1"/>
  </cols>
  <sheetData>
    <row r="1" spans="2:9">
      <c r="B1" s="12" t="s">
        <v>395</v>
      </c>
    </row>
    <row r="2" spans="2:9">
      <c r="B2" s="13" t="s">
        <v>396</v>
      </c>
    </row>
    <row r="4" spans="2:9">
      <c r="B4" s="20" t="s">
        <v>10</v>
      </c>
    </row>
    <row r="5" spans="2:9" ht="30" customHeight="1">
      <c r="B5" s="21" t="s">
        <v>193</v>
      </c>
      <c r="C5" s="14" t="s">
        <v>218</v>
      </c>
      <c r="D5" s="14" t="s">
        <v>85</v>
      </c>
      <c r="E5" s="14" t="s">
        <v>86</v>
      </c>
      <c r="F5" s="14" t="s">
        <v>88</v>
      </c>
      <c r="G5" s="14" t="s">
        <v>219</v>
      </c>
      <c r="H5" s="14" t="s">
        <v>83</v>
      </c>
      <c r="I5" s="21" t="s">
        <v>397</v>
      </c>
    </row>
    <row r="6" spans="2:9">
      <c r="B6" s="11" t="s">
        <v>97</v>
      </c>
      <c r="C6" s="22">
        <f>'SpaceX财务'!$C$89</f>
        <v>4960</v>
      </c>
      <c r="D6" s="22">
        <f>'SpaceX财务'!$D$89</f>
        <v>4694</v>
      </c>
      <c r="E6" s="22">
        <f>'SpaceX财务'!$E$89</f>
        <v>7814</v>
      </c>
      <c r="F6" s="22">
        <f>'SpaceX财务'!$F$89</f>
        <v>14575</v>
      </c>
      <c r="G6" s="23">
        <f>'SpaceX财务'!$G$89</f>
        <v>32043</v>
      </c>
      <c r="H6" s="22">
        <f>'SpaceX财务'!$H$89</f>
        <v>18674</v>
      </c>
      <c r="I6" s="24" t="s">
        <v>398</v>
      </c>
    </row>
    <row r="7" spans="2:9">
      <c r="B7" s="15" t="s">
        <v>366</v>
      </c>
      <c r="C7" s="22">
        <f>'SpaceX财务'!$C$91</f>
        <v>2458</v>
      </c>
      <c r="D7" s="22">
        <f>'SpaceX财务'!$D$91</f>
        <v>2306</v>
      </c>
      <c r="E7" s="22">
        <f>'SpaceX财务'!$E$91</f>
        <v>4319</v>
      </c>
      <c r="F7" s="22">
        <f>'SpaceX财务'!$F$91</f>
        <v>9097</v>
      </c>
      <c r="G7" s="23">
        <f>'SpaceX财务'!$G$91</f>
        <v>18180</v>
      </c>
      <c r="H7" s="22">
        <f>'SpaceX财务'!$H$91</f>
        <v>9223</v>
      </c>
      <c r="I7" s="24"/>
    </row>
    <row r="8" spans="2:9">
      <c r="B8" s="11" t="s">
        <v>227</v>
      </c>
      <c r="C8" s="22">
        <f>'SpaceX财务'!$C$93</f>
        <v>-1373</v>
      </c>
      <c r="D8" s="22">
        <f>'SpaceX财务'!$D$93</f>
        <v>-1943</v>
      </c>
      <c r="E8" s="22">
        <f>'SpaceX财务'!$E$93</f>
        <v>-143</v>
      </c>
      <c r="F8" s="22">
        <f>'SpaceX财务'!$F$93</f>
        <v>2791</v>
      </c>
      <c r="G8" s="23">
        <f>'SpaceX财务'!$G$93</f>
        <v>-668</v>
      </c>
      <c r="H8" s="22">
        <f>'SpaceX财务'!$H$93</f>
        <v>-2589</v>
      </c>
      <c r="I8" s="24"/>
    </row>
    <row r="9" spans="2:9">
      <c r="B9" s="11" t="s">
        <v>399</v>
      </c>
      <c r="C9" s="22">
        <f>'SpaceX财务'!$C$95</f>
        <v>-2347</v>
      </c>
      <c r="D9" s="22">
        <f>'SpaceX财务'!$D$95</f>
        <v>-4276</v>
      </c>
      <c r="E9" s="22">
        <f>'SpaceX财务'!$E$95</f>
        <v>-541</v>
      </c>
      <c r="F9" s="22">
        <f>'SpaceX财务'!$F$95</f>
        <v>4404</v>
      </c>
      <c r="G9" s="23">
        <f>'SpaceX财务'!$G$95</f>
        <v>-2760</v>
      </c>
      <c r="H9" s="22">
        <f>'SpaceX财务'!$H$95</f>
        <v>-4937</v>
      </c>
      <c r="I9" s="24"/>
    </row>
    <row r="10" spans="2:9">
      <c r="B10" s="15" t="s">
        <v>236</v>
      </c>
      <c r="C10" s="22">
        <f>'SpaceX财务'!$C$99</f>
        <v>2665</v>
      </c>
      <c r="D10" s="22">
        <f>'SpaceX财务'!$D$99</f>
        <v>1047</v>
      </c>
      <c r="E10" s="22">
        <f>'SpaceX财务'!$E$99</f>
        <v>2419</v>
      </c>
      <c r="F10" s="22">
        <f>'SpaceX财务'!$F$99</f>
        <v>9631</v>
      </c>
      <c r="G10" s="23">
        <f>'SpaceX财务'!$G$99</f>
        <v>15762</v>
      </c>
      <c r="H10" s="22">
        <f>'SpaceX财务'!$H$99</f>
        <v>6785</v>
      </c>
      <c r="I10" s="24"/>
    </row>
    <row r="11" spans="2:9">
      <c r="B11" s="15" t="s">
        <v>374</v>
      </c>
      <c r="C11" s="22">
        <f>'SpaceX财务'!$C$100</f>
        <v>6891</v>
      </c>
      <c r="D11" s="22">
        <f>'SpaceX财务'!$D$100</f>
        <v>10107</v>
      </c>
      <c r="E11" s="22">
        <f>'SpaceX财务'!$E$100</f>
        <v>18369</v>
      </c>
      <c r="F11" s="22">
        <f>'SpaceX财务'!$F$100</f>
        <v>19593</v>
      </c>
      <c r="G11" s="23">
        <f>'SpaceX财务'!$G$100</f>
        <v>54960</v>
      </c>
      <c r="H11" s="22">
        <f>'SpaceX财务'!$H$100</f>
        <v>20737</v>
      </c>
      <c r="I11" s="24"/>
    </row>
    <row r="12" spans="2:9">
      <c r="B12" s="11" t="s">
        <v>400</v>
      </c>
      <c r="C12" s="22">
        <f>'SpaceX财务'!$C$101</f>
        <v>-4226</v>
      </c>
      <c r="D12" s="22">
        <f>'SpaceX财务'!$D$101</f>
        <v>-9060</v>
      </c>
      <c r="E12" s="22">
        <f>'SpaceX财务'!$E$101</f>
        <v>-15950</v>
      </c>
      <c r="F12" s="22">
        <f>'SpaceX财务'!$F$101</f>
        <v>-9962</v>
      </c>
      <c r="G12" s="23">
        <f>'SpaceX财务'!$G$101</f>
        <v>-39198</v>
      </c>
      <c r="H12" s="22">
        <f>'SpaceX财务'!$H$101</f>
        <v>-13952</v>
      </c>
      <c r="I12" s="24"/>
    </row>
    <row r="13" spans="2:9">
      <c r="B13" s="15" t="s">
        <v>241</v>
      </c>
      <c r="C13" s="22">
        <f>'SpaceX财务'!$C$102</f>
        <v>24747</v>
      </c>
      <c r="D13" s="22">
        <f>'SpaceX财务'!$D$102</f>
        <v>23675</v>
      </c>
      <c r="E13" s="22">
        <f>'SpaceX财务'!$E$102</f>
        <v>100009</v>
      </c>
      <c r="F13" s="22">
        <f>'SpaceX财务'!$F$102</f>
        <v>89855</v>
      </c>
      <c r="G13" s="23">
        <f>'SpaceX财务'!$G$102</f>
        <v>89855</v>
      </c>
      <c r="H13" s="22">
        <f>'SpaceX财务'!$H$102</f>
        <v>24747</v>
      </c>
      <c r="I13" s="24"/>
    </row>
    <row r="14" spans="2:9">
      <c r="B14" s="15" t="s">
        <v>243</v>
      </c>
      <c r="C14" s="22">
        <f>'SpaceX财务'!$C$103</f>
        <v>22896</v>
      </c>
      <c r="D14" s="22">
        <f>'SpaceX财务'!$D$103</f>
        <v>30265</v>
      </c>
      <c r="E14" s="22">
        <f>'SpaceX财务'!$E$103</f>
        <v>39364</v>
      </c>
      <c r="F14" s="22">
        <f>'SpaceX财务'!$F$103</f>
        <v>38844</v>
      </c>
      <c r="G14" s="23">
        <f>'SpaceX财务'!$G$103</f>
        <v>38844</v>
      </c>
      <c r="H14" s="22">
        <f>'SpaceX财务'!$H$103</f>
        <v>22896</v>
      </c>
      <c r="I14" s="24"/>
    </row>
    <row r="15" spans="2:9">
      <c r="B15" s="15" t="s">
        <v>248</v>
      </c>
      <c r="C15" s="22">
        <f>'SpaceX财务'!$C$106</f>
        <v>2573</v>
      </c>
      <c r="D15" s="22">
        <f>'SpaceX财务'!$D$106</f>
        <v>34533</v>
      </c>
      <c r="E15" s="22">
        <f>'SpaceX财务'!$E$106</f>
        <v>127224</v>
      </c>
      <c r="F15" s="22">
        <f>'SpaceX财务'!$F$106</f>
        <v>176768</v>
      </c>
      <c r="G15" s="23">
        <f>'SpaceX财务'!$G$106</f>
        <v>176768</v>
      </c>
      <c r="H15" s="22">
        <f>'SpaceX财务'!$H$106</f>
        <v>2573</v>
      </c>
      <c r="I15" s="24"/>
    </row>
    <row r="16" spans="2:9">
      <c r="B16" s="15" t="s">
        <v>401</v>
      </c>
      <c r="C16" s="22">
        <f>'SpaceX财务'!$C$98</f>
        <v>1471</v>
      </c>
      <c r="D16" s="22">
        <f>'SpaceX财务'!$D$98</f>
        <v>1127</v>
      </c>
      <c r="E16" s="22">
        <f>'SpaceX财务'!$E$98</f>
        <v>3538</v>
      </c>
      <c r="F16" s="22">
        <f>'SpaceX财务'!$F$98</f>
        <v>8809</v>
      </c>
      <c r="G16" s="23">
        <f>'SpaceX财务'!$G$98</f>
        <v>14945</v>
      </c>
      <c r="H16" s="22">
        <f>'SpaceX财务'!$H$98</f>
        <v>6584</v>
      </c>
      <c r="I16" s="24"/>
    </row>
    <row r="17" spans="2:9">
      <c r="B17" s="15" t="s">
        <v>402</v>
      </c>
      <c r="C17" s="22">
        <f>'SpaceX财务'!$C$107</f>
        <v>38752</v>
      </c>
      <c r="D17" s="22">
        <f>'SpaceX财务'!$D$107</f>
        <v>7049</v>
      </c>
      <c r="E17" s="22">
        <f>'SpaceX财务'!$E$107</f>
        <v>0</v>
      </c>
      <c r="F17" s="22">
        <f>'SpaceX财务'!$F$107</f>
        <v>0</v>
      </c>
      <c r="G17" s="23">
        <f>'SpaceX财务'!$G$107</f>
        <v>0</v>
      </c>
      <c r="H17" s="22">
        <f>'SpaceX财务'!$H$107</f>
        <v>38752</v>
      </c>
      <c r="I17" s="24"/>
    </row>
    <row r="19" spans="2:9">
      <c r="B19" s="20" t="s">
        <v>403</v>
      </c>
    </row>
    <row r="20" spans="2:9" ht="30" customHeight="1">
      <c r="B20" s="21" t="s">
        <v>193</v>
      </c>
      <c r="C20" s="14" t="s">
        <v>218</v>
      </c>
      <c r="D20" s="14" t="s">
        <v>85</v>
      </c>
      <c r="E20" s="14" t="s">
        <v>86</v>
      </c>
      <c r="F20" s="14" t="s">
        <v>88</v>
      </c>
      <c r="G20" s="14" t="s">
        <v>219</v>
      </c>
      <c r="H20" s="14" t="s">
        <v>83</v>
      </c>
      <c r="I20" s="21" t="s">
        <v>397</v>
      </c>
    </row>
    <row r="21" spans="2:9">
      <c r="B21" s="11" t="s">
        <v>97</v>
      </c>
      <c r="C21" s="22">
        <f>'特斯拉财务'!$C$77</f>
        <v>24901</v>
      </c>
      <c r="D21" s="22">
        <f>'特斯拉财务'!$D$77</f>
        <v>22387</v>
      </c>
      <c r="E21" s="22">
        <f>'特斯拉财务'!$E$77</f>
        <v>28236</v>
      </c>
      <c r="F21" s="22">
        <f>'特斯拉财务'!$F$77</f>
        <v>28046</v>
      </c>
      <c r="G21" s="23">
        <f>'特斯拉财务'!$G$77</f>
        <v>103570</v>
      </c>
      <c r="H21" s="22">
        <f>'特斯拉财务'!$H$77</f>
        <v>94827</v>
      </c>
      <c r="I21" s="24" t="s">
        <v>404</v>
      </c>
    </row>
    <row r="22" spans="2:9">
      <c r="B22" s="15" t="s">
        <v>366</v>
      </c>
      <c r="C22" s="22">
        <f>'特斯拉财务'!$C$79</f>
        <v>5009</v>
      </c>
      <c r="D22" s="22">
        <f>'特斯拉财务'!$D$79</f>
        <v>4720</v>
      </c>
      <c r="E22" s="22">
        <f>'特斯拉财务'!$E$79</f>
        <v>4751</v>
      </c>
      <c r="F22" s="22">
        <f>'特斯拉财务'!$F$79</f>
        <v>5494</v>
      </c>
      <c r="G22" s="23">
        <f>'特斯拉财务'!$G$79</f>
        <v>19974</v>
      </c>
      <c r="H22" s="22">
        <f>'特斯拉财务'!$H$79</f>
        <v>17094</v>
      </c>
      <c r="I22" s="24"/>
    </row>
    <row r="23" spans="2:9">
      <c r="B23" s="11" t="s">
        <v>227</v>
      </c>
      <c r="C23" s="22">
        <f>'特斯拉财务'!$C$81</f>
        <v>1409</v>
      </c>
      <c r="D23" s="22">
        <f>'特斯拉财务'!$D$81</f>
        <v>941</v>
      </c>
      <c r="E23" s="22">
        <f>'特斯拉财务'!$E$81</f>
        <v>398</v>
      </c>
      <c r="F23" s="22">
        <f>'特斯拉财务'!$F$81</f>
        <v>718</v>
      </c>
      <c r="G23" s="23">
        <f>'特斯拉财务'!$G$81</f>
        <v>3466</v>
      </c>
      <c r="H23" s="22">
        <f>'特斯拉财务'!$H$81</f>
        <v>4355</v>
      </c>
      <c r="I23" s="24"/>
    </row>
    <row r="24" spans="2:9">
      <c r="B24" s="11" t="s">
        <v>399</v>
      </c>
      <c r="C24" s="22">
        <f>'特斯拉财务'!$C$83</f>
        <v>840</v>
      </c>
      <c r="D24" s="22">
        <f>'特斯拉财务'!$D$83</f>
        <v>477</v>
      </c>
      <c r="E24" s="22">
        <f>'特斯拉财务'!$E$83</f>
        <v>1114</v>
      </c>
      <c r="F24" s="22">
        <f>'特斯拉财务'!$F$83</f>
        <v>787</v>
      </c>
      <c r="G24" s="23">
        <f>'特斯拉财务'!$G$83</f>
        <v>3218</v>
      </c>
      <c r="H24" s="22">
        <f>'特斯拉财务'!$H$83</f>
        <v>3794</v>
      </c>
      <c r="I24" s="24"/>
    </row>
    <row r="25" spans="2:9">
      <c r="B25" s="15" t="s">
        <v>236</v>
      </c>
      <c r="C25" s="22">
        <f>'特斯拉财务'!$C$88</f>
        <v>3813</v>
      </c>
      <c r="D25" s="22">
        <f>'特斯拉财务'!$D$88</f>
        <v>3937</v>
      </c>
      <c r="E25" s="22">
        <f>'特斯拉财务'!$E$88</f>
        <v>4697</v>
      </c>
      <c r="F25" s="22">
        <f>'特斯拉财务'!$F$88</f>
        <v>6263</v>
      </c>
      <c r="G25" s="23">
        <f>'特斯拉财务'!$G$88</f>
        <v>18710</v>
      </c>
      <c r="H25" s="22">
        <f>'特斯拉财务'!$H$88</f>
        <v>14747</v>
      </c>
      <c r="I25" s="24"/>
    </row>
    <row r="26" spans="2:9">
      <c r="B26" s="15" t="s">
        <v>374</v>
      </c>
      <c r="C26" s="22">
        <f>'特斯拉财务'!$C$89</f>
        <v>2393</v>
      </c>
      <c r="D26" s="22">
        <f>'特斯拉财务'!$D$89</f>
        <v>2493</v>
      </c>
      <c r="E26" s="22">
        <f>'特斯拉财务'!$E$89</f>
        <v>5789</v>
      </c>
      <c r="F26" s="22">
        <f>'特斯拉财务'!$F$89</f>
        <v>4732</v>
      </c>
      <c r="G26" s="23">
        <f>'特斯拉财务'!$G$89</f>
        <v>15407</v>
      </c>
      <c r="H26" s="22">
        <f>'特斯拉财务'!$H$89</f>
        <v>8527</v>
      </c>
      <c r="I26" s="24"/>
    </row>
    <row r="27" spans="2:9">
      <c r="B27" s="11" t="s">
        <v>400</v>
      </c>
      <c r="C27" s="22">
        <f>'特斯拉财务'!$C$90</f>
        <v>1420</v>
      </c>
      <c r="D27" s="22">
        <f>'特斯拉财务'!$D$90</f>
        <v>1444</v>
      </c>
      <c r="E27" s="22">
        <f>'特斯拉财务'!$E$90</f>
        <v>-1092</v>
      </c>
      <c r="F27" s="22">
        <f>'特斯拉财务'!$F$90</f>
        <v>1531</v>
      </c>
      <c r="G27" s="23">
        <f>'特斯拉财务'!$G$90</f>
        <v>3303</v>
      </c>
      <c r="H27" s="22">
        <f>'特斯拉财务'!$H$90</f>
        <v>6220</v>
      </c>
      <c r="I27" s="24"/>
    </row>
    <row r="28" spans="2:9">
      <c r="B28" s="15" t="s">
        <v>241</v>
      </c>
      <c r="C28" s="22">
        <f>'特斯拉财务'!$C$91</f>
        <v>44059</v>
      </c>
      <c r="D28" s="22">
        <f>'特斯拉财务'!$D$91</f>
        <v>44743</v>
      </c>
      <c r="E28" s="22">
        <f>'特斯拉财务'!$E$91</f>
        <v>43524</v>
      </c>
      <c r="F28" s="22">
        <f>'特斯拉财务'!$F$91</f>
        <v>45447</v>
      </c>
      <c r="G28" s="23">
        <f>'特斯拉财务'!$G$91</f>
        <v>45447</v>
      </c>
      <c r="H28" s="22">
        <f>'特斯拉财务'!$H$91</f>
        <v>44059</v>
      </c>
      <c r="I28" s="24"/>
    </row>
    <row r="29" spans="2:9">
      <c r="B29" s="15" t="s">
        <v>243</v>
      </c>
      <c r="C29" s="22">
        <f>'特斯拉财务'!$C$92</f>
        <v>8376</v>
      </c>
      <c r="D29" s="22">
        <f>'特斯拉财务'!$D$92</f>
        <v>9229</v>
      </c>
      <c r="E29" s="22">
        <f>'特斯拉财务'!$E$92</f>
        <v>9342</v>
      </c>
      <c r="F29" s="22">
        <f>'特斯拉财务'!$F$92</f>
        <v>9523</v>
      </c>
      <c r="G29" s="23">
        <f>'特斯拉财务'!$G$92</f>
        <v>9523</v>
      </c>
      <c r="H29" s="22">
        <f>'特斯拉财务'!$H$92</f>
        <v>8376</v>
      </c>
      <c r="I29" s="24"/>
    </row>
    <row r="30" spans="2:9">
      <c r="B30" s="15" t="s">
        <v>248</v>
      </c>
      <c r="C30" s="22">
        <f>'特斯拉财务'!$C$94</f>
        <v>82137</v>
      </c>
      <c r="D30" s="22">
        <f>'特斯拉财务'!$D$94</f>
        <v>84116</v>
      </c>
      <c r="E30" s="22">
        <f>'特斯拉财务'!$E$94</f>
        <v>86858</v>
      </c>
      <c r="F30" s="22">
        <f>'特斯拉财务'!$F$94</f>
        <v>89289</v>
      </c>
      <c r="G30" s="23">
        <f>'特斯拉财务'!$G$94</f>
        <v>89289</v>
      </c>
      <c r="H30" s="22">
        <f>'特斯拉财务'!$H$94</f>
        <v>82137</v>
      </c>
      <c r="I30" s="24"/>
    </row>
    <row r="31" spans="2:9">
      <c r="B31" s="15" t="s">
        <v>401</v>
      </c>
      <c r="C31" s="22">
        <f>'特斯拉财务'!$C$86</f>
        <v>4154</v>
      </c>
      <c r="D31" s="22">
        <f>'特斯拉财务'!$D$86</f>
        <v>3668</v>
      </c>
      <c r="E31" s="22">
        <f>'特斯拉财务'!$E$86</f>
        <v>3273</v>
      </c>
      <c r="F31" s="22">
        <f>'特斯拉财务'!$F$86</f>
        <v>3900</v>
      </c>
      <c r="G31" s="23">
        <f>'特斯拉财务'!$G$86</f>
        <v>14995</v>
      </c>
      <c r="H31" s="22">
        <f>'特斯拉财务'!$H$86</f>
        <v>14596</v>
      </c>
      <c r="I31" s="24"/>
    </row>
    <row r="33" spans="2:9">
      <c r="B33" s="20" t="s">
        <v>405</v>
      </c>
    </row>
    <row r="34" spans="2:9" ht="30" customHeight="1">
      <c r="B34" s="21" t="s">
        <v>169</v>
      </c>
      <c r="C34" s="14" t="s">
        <v>218</v>
      </c>
      <c r="D34" s="14" t="s">
        <v>85</v>
      </c>
      <c r="E34" s="14" t="s">
        <v>86</v>
      </c>
      <c r="F34" s="14" t="s">
        <v>88</v>
      </c>
      <c r="G34" s="14" t="s">
        <v>219</v>
      </c>
      <c r="H34" s="14" t="s">
        <v>83</v>
      </c>
      <c r="I34" s="21" t="s">
        <v>170</v>
      </c>
    </row>
    <row r="35" spans="2:9">
      <c r="B35" s="15" t="s">
        <v>406</v>
      </c>
      <c r="C35" s="22">
        <f>'SpaceX财务'!$C$110</f>
        <v>809</v>
      </c>
      <c r="D35" s="22">
        <f>'SpaceX财务'!$D$110</f>
        <v>619</v>
      </c>
      <c r="E35" s="22">
        <f>'SpaceX财务'!$E$110</f>
        <v>962</v>
      </c>
      <c r="F35" s="22">
        <f>'SpaceX财务'!$F$110</f>
        <v>1767</v>
      </c>
      <c r="G35" s="23">
        <f>'SpaceX财务'!$G$110</f>
        <v>4157</v>
      </c>
      <c r="H35" s="22">
        <f>'SpaceX财务'!$H$110</f>
        <v>4086</v>
      </c>
    </row>
    <row r="36" spans="2:9">
      <c r="B36" s="15" t="s">
        <v>407</v>
      </c>
      <c r="C36" s="22">
        <f>'SpaceX财务'!$C$111</f>
        <v>3228</v>
      </c>
      <c r="D36" s="22">
        <f>'SpaceX财务'!$D$111</f>
        <v>3257</v>
      </c>
      <c r="E36" s="22">
        <f>'SpaceX财务'!$E$111</f>
        <v>4291</v>
      </c>
      <c r="F36" s="22">
        <f>'SpaceX财务'!$F$111</f>
        <v>5248</v>
      </c>
      <c r="G36" s="23">
        <f>'SpaceX财务'!$G$111</f>
        <v>16024</v>
      </c>
      <c r="H36" s="22">
        <f>'SpaceX财务'!$H$111</f>
        <v>11387</v>
      </c>
    </row>
    <row r="37" spans="2:9">
      <c r="B37" s="15" t="s">
        <v>408</v>
      </c>
      <c r="C37" s="22">
        <f>'SpaceX财务'!$C$112</f>
        <v>923</v>
      </c>
      <c r="D37" s="22">
        <f>'SpaceX财务'!$D$112</f>
        <v>818</v>
      </c>
      <c r="E37" s="22">
        <f>'SpaceX财务'!$E$112</f>
        <v>2561</v>
      </c>
      <c r="F37" s="22">
        <f>'SpaceX财务'!$F$112</f>
        <v>7560</v>
      </c>
      <c r="G37" s="23">
        <f>'SpaceX财务'!$G$112</f>
        <v>11862</v>
      </c>
      <c r="H37" s="22">
        <f>'SpaceX财务'!$H$112</f>
        <v>3201</v>
      </c>
    </row>
    <row r="38" spans="2:9">
      <c r="B38" s="15" t="s">
        <v>409</v>
      </c>
      <c r="C38" s="22">
        <f>'SpaceX财务'!$C$116</f>
        <v>-476</v>
      </c>
      <c r="D38" s="22">
        <f>'SpaceX财务'!$D$116</f>
        <v>-662</v>
      </c>
      <c r="E38" s="22">
        <f>'SpaceX财务'!$E$116</f>
        <v>-542</v>
      </c>
      <c r="F38" s="22">
        <f>'SpaceX财务'!$F$116</f>
        <v>-7</v>
      </c>
      <c r="G38" s="23">
        <f>'SpaceX财务'!$G$116</f>
        <v>-1687</v>
      </c>
      <c r="H38" s="22">
        <f>'SpaceX财务'!$H$116</f>
        <v>-657</v>
      </c>
    </row>
    <row r="39" spans="2:9">
      <c r="B39" s="15" t="s">
        <v>410</v>
      </c>
      <c r="C39" s="22">
        <f>'SpaceX财务'!$C$117</f>
        <v>1276</v>
      </c>
      <c r="D39" s="22">
        <f>'SpaceX财务'!$D$117</f>
        <v>1188</v>
      </c>
      <c r="E39" s="22">
        <f>'SpaceX财务'!$E$117</f>
        <v>1656</v>
      </c>
      <c r="F39" s="22">
        <f>'SpaceX财务'!$F$117</f>
        <v>2367</v>
      </c>
      <c r="G39" s="23">
        <f>'SpaceX财务'!$G$117</f>
        <v>6487</v>
      </c>
      <c r="H39" s="22">
        <f>'SpaceX财务'!$H$117</f>
        <v>4423</v>
      </c>
    </row>
    <row r="40" spans="2:9">
      <c r="B40" s="15" t="s">
        <v>411</v>
      </c>
      <c r="C40" s="22">
        <f>'SpaceX财务'!$C$118</f>
        <v>-2173</v>
      </c>
      <c r="D40" s="22">
        <f>'SpaceX财务'!$D$118</f>
        <v>-2469</v>
      </c>
      <c r="E40" s="22">
        <f>'SpaceX财务'!$E$118</f>
        <v>-1257</v>
      </c>
      <c r="F40" s="22">
        <f>'SpaceX财务'!$F$118</f>
        <v>431</v>
      </c>
      <c r="G40" s="23">
        <f>'SpaceX财务'!$G$118</f>
        <v>-5468</v>
      </c>
      <c r="H40" s="22">
        <f>'SpaceX财务'!$H$118</f>
        <v>-6355</v>
      </c>
    </row>
    <row r="41" spans="2:9">
      <c r="B41" s="15" t="s">
        <v>412</v>
      </c>
      <c r="C41" s="22">
        <f>'SpaceX财务'!$C$119</f>
        <v>-150</v>
      </c>
      <c r="D41" s="22">
        <f>'SpaceX财务'!$D$119</f>
        <v>-351</v>
      </c>
      <c r="E41" s="22">
        <f>'SpaceX财务'!$E$119</f>
        <v>-205</v>
      </c>
      <c r="F41" s="22">
        <f>'SpaceX财务'!$F$119</f>
        <v>357</v>
      </c>
      <c r="G41" s="23">
        <f>'SpaceX财务'!$G$119</f>
        <v>-349</v>
      </c>
      <c r="H41" s="22">
        <f>'SpaceX财务'!$H$119</f>
        <v>653</v>
      </c>
    </row>
    <row r="42" spans="2:9">
      <c r="B42" s="15" t="s">
        <v>413</v>
      </c>
      <c r="C42" s="22">
        <f>'SpaceX财务'!$C$120</f>
        <v>2045</v>
      </c>
      <c r="D42" s="22">
        <f>'SpaceX财务'!$D$120</f>
        <v>2087</v>
      </c>
      <c r="E42" s="22">
        <f>'SpaceX财务'!$E$120</f>
        <v>2597</v>
      </c>
      <c r="F42" s="22">
        <f>'SpaceX财务'!$F$120</f>
        <v>3499</v>
      </c>
      <c r="G42" s="23">
        <f>'SpaceX财务'!$G$120</f>
        <v>10228</v>
      </c>
      <c r="H42" s="22">
        <f>'SpaceX财务'!$H$120</f>
        <v>7168</v>
      </c>
    </row>
    <row r="43" spans="2:9">
      <c r="B43" s="15" t="s">
        <v>414</v>
      </c>
      <c r="C43" s="22">
        <f>'SpaceX财务'!$C$121</f>
        <v>-424</v>
      </c>
      <c r="D43" s="22">
        <f>'SpaceX财务'!$D$121</f>
        <v>-609</v>
      </c>
      <c r="E43" s="22">
        <f>'SpaceX财务'!$E$121</f>
        <v>1146</v>
      </c>
      <c r="F43" s="22">
        <f>'SpaceX财务'!$F$121</f>
        <v>4953</v>
      </c>
      <c r="G43" s="23">
        <f>'SpaceX财务'!$G$121</f>
        <v>5066</v>
      </c>
      <c r="H43" s="22">
        <f>'SpaceX财务'!$H$121</f>
        <v>-1237</v>
      </c>
    </row>
    <row r="44" spans="2:9">
      <c r="B44" s="15" t="s">
        <v>415</v>
      </c>
      <c r="C44" s="22">
        <f>'特斯拉财务'!$C$98</f>
        <v>21064</v>
      </c>
      <c r="D44" s="22">
        <f>'特斯拉财务'!$D$98</f>
        <v>19979</v>
      </c>
      <c r="E44" s="22">
        <f>'特斯拉财务'!$E$98</f>
        <v>25097</v>
      </c>
      <c r="F44" s="22">
        <f>'特斯拉财务'!$F$98</f>
        <v>25165</v>
      </c>
      <c r="G44" s="23">
        <f>'特斯拉财务'!$G$98</f>
        <v>91305</v>
      </c>
      <c r="H44" s="22">
        <f>'特斯拉财务'!$H$98</f>
        <v>82056</v>
      </c>
    </row>
    <row r="45" spans="2:9">
      <c r="B45" s="15" t="s">
        <v>416</v>
      </c>
      <c r="C45" s="22">
        <f>'特斯拉财务'!$C$100</f>
        <v>3911</v>
      </c>
      <c r="D45" s="22">
        <f>'特斯拉财务'!$D$100</f>
        <v>3768</v>
      </c>
      <c r="E45" s="22">
        <f>'特斯拉财务'!$E$100</f>
        <v>4111</v>
      </c>
      <c r="F45" s="22">
        <f>'特斯拉财务'!$F$100</f>
        <v>4540</v>
      </c>
      <c r="G45" s="23">
        <f>'特斯拉财务'!$G$100</f>
        <v>16330</v>
      </c>
      <c r="H45" s="22">
        <f>'特斯拉财务'!$H$100</f>
        <v>13292</v>
      </c>
    </row>
    <row r="46" spans="2:9">
      <c r="B46" s="15" t="s">
        <v>417</v>
      </c>
      <c r="C46" s="22">
        <f>'特斯拉财务'!$C$99</f>
        <v>3837</v>
      </c>
      <c r="D46" s="22">
        <f>'特斯拉财务'!$D$99</f>
        <v>2408</v>
      </c>
      <c r="E46" s="22">
        <f>'特斯拉财务'!$E$99</f>
        <v>3139</v>
      </c>
      <c r="F46" s="22">
        <f>'特斯拉财务'!$F$99</f>
        <v>2881</v>
      </c>
      <c r="G46" s="23">
        <f>'特斯拉财务'!$G$99</f>
        <v>12265</v>
      </c>
      <c r="H46" s="22">
        <f>'特斯拉财务'!$H$99</f>
        <v>12771</v>
      </c>
    </row>
    <row r="47" spans="2:9">
      <c r="B47" s="15" t="s">
        <v>418</v>
      </c>
      <c r="C47" s="22">
        <f>'特斯拉财务'!$C$101</f>
        <v>1098</v>
      </c>
      <c r="D47" s="22">
        <f>'特斯拉财务'!$D$101</f>
        <v>952</v>
      </c>
      <c r="E47" s="22">
        <f>'特斯拉财务'!$E$101</f>
        <v>640</v>
      </c>
      <c r="F47" s="22">
        <f>'特斯拉财务'!$F$101</f>
        <v>954</v>
      </c>
      <c r="G47" s="23">
        <f>'特斯拉财务'!$G$101</f>
        <v>3644</v>
      </c>
      <c r="H47" s="22">
        <f>'特斯拉财务'!$H$101</f>
        <v>3802</v>
      </c>
    </row>
    <row r="48" spans="2:9">
      <c r="B48" s="13" t="s">
        <v>419</v>
      </c>
    </row>
  </sheetData>
  <pageMargins left="0.3" right="0.3" top="0.4" bottom="0.4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B1:J134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38.7109375" customWidth="1"/>
    <col min="3" max="9" width="12.7109375" customWidth="1"/>
    <col min="10" max="10" width="60.7109375" customWidth="1"/>
  </cols>
  <sheetData>
    <row r="1" spans="2:10">
      <c r="B1" s="12" t="s">
        <v>79</v>
      </c>
    </row>
    <row r="2" spans="2:10">
      <c r="B2" s="13" t="s">
        <v>80</v>
      </c>
    </row>
    <row r="4" spans="2:10">
      <c r="B4" s="20" t="s">
        <v>81</v>
      </c>
    </row>
    <row r="5" spans="2:10">
      <c r="B5" s="21" t="s">
        <v>82</v>
      </c>
      <c r="C5" s="14" t="s">
        <v>83</v>
      </c>
      <c r="D5" s="14" t="s">
        <v>84</v>
      </c>
      <c r="E5" s="14" t="s">
        <v>85</v>
      </c>
      <c r="F5" s="14" t="s">
        <v>86</v>
      </c>
      <c r="G5" s="14" t="s">
        <v>87</v>
      </c>
      <c r="H5" s="14" t="s">
        <v>88</v>
      </c>
      <c r="I5" s="14" t="s">
        <v>89</v>
      </c>
      <c r="J5" s="21" t="s">
        <v>90</v>
      </c>
    </row>
    <row r="6" spans="2:10" ht="30" customHeight="1">
      <c r="B6" s="25" t="s">
        <v>91</v>
      </c>
      <c r="C6" s="25" t="s">
        <v>92</v>
      </c>
      <c r="D6" s="25" t="s">
        <v>93</v>
      </c>
      <c r="E6" s="25" t="s">
        <v>94</v>
      </c>
      <c r="F6" s="25" t="s">
        <v>95</v>
      </c>
      <c r="G6" s="25" t="s">
        <v>95</v>
      </c>
      <c r="H6" s="25" t="s">
        <v>93</v>
      </c>
      <c r="I6" s="25" t="s">
        <v>93</v>
      </c>
      <c r="J6" s="25" t="s">
        <v>96</v>
      </c>
    </row>
    <row r="7" spans="2:10">
      <c r="B7" s="11" t="s">
        <v>97</v>
      </c>
      <c r="C7" s="26">
        <v>18674</v>
      </c>
      <c r="D7" s="26">
        <v>13714</v>
      </c>
      <c r="E7" s="26">
        <v>4694</v>
      </c>
      <c r="F7" s="26">
        <v>7814</v>
      </c>
      <c r="G7" s="26">
        <v>12508</v>
      </c>
      <c r="H7" s="26">
        <v>14575</v>
      </c>
      <c r="I7" s="26">
        <v>27083</v>
      </c>
      <c r="J7" s="24" t="s">
        <v>98</v>
      </c>
    </row>
    <row r="8" spans="2:10">
      <c r="B8" s="15" t="s">
        <v>99</v>
      </c>
      <c r="C8" s="26">
        <v>9451</v>
      </c>
      <c r="D8" s="26">
        <v>6949</v>
      </c>
      <c r="E8" s="26">
        <v>2388</v>
      </c>
      <c r="F8" s="26">
        <v>3495</v>
      </c>
      <c r="G8" s="26">
        <v>5883</v>
      </c>
      <c r="H8" s="26">
        <v>5478</v>
      </c>
      <c r="I8" s="26">
        <v>11361</v>
      </c>
      <c r="J8" s="24" t="s">
        <v>100</v>
      </c>
    </row>
    <row r="9" spans="2:10">
      <c r="B9" s="15" t="s">
        <v>101</v>
      </c>
      <c r="C9" s="26">
        <v>8643</v>
      </c>
      <c r="D9" s="26">
        <v>5806</v>
      </c>
      <c r="E9" s="26">
        <v>3514</v>
      </c>
      <c r="F9" s="26">
        <v>3548</v>
      </c>
      <c r="G9" s="26">
        <v>7062</v>
      </c>
      <c r="H9" s="26">
        <v>4596</v>
      </c>
      <c r="I9" s="26">
        <v>11658</v>
      </c>
      <c r="J9" s="24" t="s">
        <v>102</v>
      </c>
    </row>
    <row r="10" spans="2:10">
      <c r="B10" s="15" t="s">
        <v>103</v>
      </c>
      <c r="C10" s="26">
        <v>2644</v>
      </c>
      <c r="D10" s="26">
        <v>1674</v>
      </c>
      <c r="E10" s="26">
        <v>746</v>
      </c>
      <c r="F10" s="26">
        <v>912</v>
      </c>
      <c r="G10" s="26">
        <v>1658</v>
      </c>
      <c r="H10" s="26">
        <v>1707</v>
      </c>
      <c r="I10" s="26">
        <v>3365</v>
      </c>
      <c r="J10" s="24" t="s">
        <v>104</v>
      </c>
    </row>
    <row r="11" spans="2:10">
      <c r="B11" s="15" t="s">
        <v>105</v>
      </c>
      <c r="C11" s="26">
        <v>487</v>
      </c>
      <c r="D11" s="26">
        <v>472</v>
      </c>
      <c r="E11" s="26">
        <v>-11</v>
      </c>
      <c r="F11" s="26">
        <v>2</v>
      </c>
      <c r="G11" s="26">
        <v>-9</v>
      </c>
      <c r="H11" s="26">
        <v>3</v>
      </c>
      <c r="I11" s="26">
        <v>-6</v>
      </c>
      <c r="J11" s="24" t="s">
        <v>106</v>
      </c>
    </row>
    <row r="12" spans="2:10">
      <c r="B12" s="15" t="s">
        <v>107</v>
      </c>
      <c r="C12" s="26">
        <v>38</v>
      </c>
      <c r="D12" s="26">
        <v>29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4" t="s">
        <v>108</v>
      </c>
    </row>
    <row r="13" spans="2:10">
      <c r="B13" s="11" t="s">
        <v>109</v>
      </c>
      <c r="C13" s="26">
        <v>-2589</v>
      </c>
      <c r="D13" s="26">
        <v>-1216</v>
      </c>
      <c r="E13" s="26">
        <v>-1943</v>
      </c>
      <c r="F13" s="26">
        <v>-143</v>
      </c>
      <c r="G13" s="26">
        <v>-2086</v>
      </c>
      <c r="H13" s="26">
        <v>2791</v>
      </c>
      <c r="I13" s="26">
        <v>705</v>
      </c>
      <c r="J13" s="24" t="s">
        <v>110</v>
      </c>
    </row>
    <row r="14" spans="2:10">
      <c r="B14" s="15" t="s">
        <v>111</v>
      </c>
      <c r="C14" s="26">
        <v>-1945</v>
      </c>
      <c r="D14" s="26">
        <v>-1372</v>
      </c>
      <c r="E14" s="26">
        <v>-664</v>
      </c>
      <c r="F14" s="26">
        <v>-629</v>
      </c>
      <c r="G14" s="26">
        <v>-1293</v>
      </c>
      <c r="H14" s="26">
        <v>-675</v>
      </c>
      <c r="I14" s="26">
        <v>-1968</v>
      </c>
      <c r="J14" s="24" t="s">
        <v>112</v>
      </c>
    </row>
    <row r="15" spans="2:10">
      <c r="B15" s="15" t="s">
        <v>113</v>
      </c>
      <c r="C15" s="26">
        <v>492</v>
      </c>
      <c r="D15" s="26">
        <v>370</v>
      </c>
      <c r="E15" s="26">
        <v>213</v>
      </c>
      <c r="F15" s="26">
        <v>340</v>
      </c>
      <c r="G15" s="26">
        <v>553</v>
      </c>
      <c r="H15" s="26">
        <v>873</v>
      </c>
      <c r="I15" s="26">
        <v>1426</v>
      </c>
      <c r="J15" s="24" t="s">
        <v>114</v>
      </c>
    </row>
    <row r="16" spans="2:10">
      <c r="B16" s="15" t="s">
        <v>115</v>
      </c>
      <c r="C16" s="26">
        <v>-177</v>
      </c>
      <c r="D16" s="26">
        <v>342</v>
      </c>
      <c r="E16" s="26">
        <v>-1876</v>
      </c>
      <c r="F16" s="26">
        <v>-86</v>
      </c>
      <c r="G16" s="26">
        <v>-1962</v>
      </c>
      <c r="H16" s="26">
        <v>1025</v>
      </c>
      <c r="I16" s="26">
        <v>-937</v>
      </c>
      <c r="J16" s="24" t="s">
        <v>116</v>
      </c>
    </row>
    <row r="17" spans="2:10">
      <c r="B17" s="15" t="s">
        <v>117</v>
      </c>
      <c r="C17" s="26">
        <v>-4219</v>
      </c>
      <c r="D17" s="26">
        <v>-1876</v>
      </c>
      <c r="E17" s="26">
        <v>-4270</v>
      </c>
      <c r="F17" s="26">
        <v>-518</v>
      </c>
      <c r="G17" s="26">
        <v>-4788</v>
      </c>
      <c r="H17" s="26">
        <v>4014</v>
      </c>
      <c r="I17" s="26">
        <v>-774</v>
      </c>
      <c r="J17" s="24" t="s">
        <v>118</v>
      </c>
    </row>
    <row r="18" spans="2:10">
      <c r="B18" s="15" t="s">
        <v>119</v>
      </c>
      <c r="C18" s="26">
        <v>718</v>
      </c>
      <c r="D18" s="26">
        <v>714</v>
      </c>
      <c r="E18" s="26">
        <v>6</v>
      </c>
      <c r="F18" s="26">
        <v>23</v>
      </c>
      <c r="G18" s="26">
        <v>29</v>
      </c>
      <c r="H18" s="26">
        <v>-390</v>
      </c>
      <c r="I18" s="26">
        <v>-361</v>
      </c>
      <c r="J18" s="24" t="s">
        <v>120</v>
      </c>
    </row>
    <row r="19" spans="2:10">
      <c r="B19" s="11" t="s">
        <v>121</v>
      </c>
      <c r="C19" s="26">
        <v>-4937</v>
      </c>
      <c r="D19" s="26">
        <v>-2590</v>
      </c>
      <c r="E19" s="26">
        <v>-4276</v>
      </c>
      <c r="F19" s="26">
        <v>-541</v>
      </c>
      <c r="G19" s="26">
        <v>-4817</v>
      </c>
      <c r="H19" s="26">
        <v>4404</v>
      </c>
      <c r="I19" s="26">
        <v>-413</v>
      </c>
      <c r="J19" s="24" t="s">
        <v>122</v>
      </c>
    </row>
    <row r="20" spans="2:10">
      <c r="B20" s="15" t="s">
        <v>123</v>
      </c>
      <c r="C20" s="26">
        <v>6701</v>
      </c>
      <c r="D20" s="26">
        <v>4784</v>
      </c>
      <c r="E20" s="26">
        <v>2442</v>
      </c>
      <c r="F20" s="26">
        <v>2848</v>
      </c>
      <c r="G20" s="26">
        <v>5290</v>
      </c>
      <c r="H20" s="26">
        <v>3644</v>
      </c>
      <c r="I20" s="26">
        <v>8934</v>
      </c>
      <c r="J20" s="24" t="s">
        <v>124</v>
      </c>
    </row>
    <row r="21" spans="2:10">
      <c r="B21" s="15" t="s">
        <v>125</v>
      </c>
      <c r="C21" s="26">
        <v>1947</v>
      </c>
      <c r="D21" s="26">
        <v>1044</v>
      </c>
      <c r="E21" s="26">
        <v>639</v>
      </c>
      <c r="F21" s="26">
        <v>831</v>
      </c>
      <c r="G21" s="26">
        <v>1470</v>
      </c>
      <c r="H21" s="26">
        <v>1146</v>
      </c>
      <c r="I21" s="26">
        <v>2616</v>
      </c>
      <c r="J21" s="24" t="s">
        <v>126</v>
      </c>
    </row>
    <row r="22" spans="2:10">
      <c r="B22" s="15" t="s">
        <v>127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1217</v>
      </c>
      <c r="I22" s="26">
        <v>1217</v>
      </c>
      <c r="J22" s="24" t="s">
        <v>128</v>
      </c>
    </row>
    <row r="23" spans="2:10">
      <c r="B23" s="15" t="s">
        <v>129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8</v>
      </c>
      <c r="I23" s="26">
        <v>8</v>
      </c>
      <c r="J23" s="24" t="s">
        <v>130</v>
      </c>
    </row>
    <row r="24" spans="2:10">
      <c r="B24" s="11" t="s">
        <v>131</v>
      </c>
      <c r="C24" s="26">
        <v>6584</v>
      </c>
      <c r="D24" s="26">
        <v>5113</v>
      </c>
      <c r="E24" s="26">
        <v>1127</v>
      </c>
      <c r="F24" s="26">
        <v>3538</v>
      </c>
      <c r="G24" s="26">
        <v>4665</v>
      </c>
      <c r="H24" s="26">
        <v>8809</v>
      </c>
      <c r="I24" s="26">
        <v>13474</v>
      </c>
      <c r="J24" s="24" t="s">
        <v>132</v>
      </c>
    </row>
    <row r="25" spans="2:10">
      <c r="B25" s="27" t="s">
        <v>133</v>
      </c>
      <c r="C25" s="28">
        <f>C7-C8-C9-C10-C11-C12-C13</f>
        <v>0</v>
      </c>
      <c r="D25" s="28">
        <f>D7-D8-D9-D10-D11-D12-D13</f>
        <v>0</v>
      </c>
      <c r="E25" s="28">
        <f>E7-E8-E9-E10-E11-E12-E13</f>
        <v>0</v>
      </c>
      <c r="F25" s="28">
        <f>F7-F8-F9-F10-F11-F12-F13</f>
        <v>0</v>
      </c>
      <c r="G25" s="28">
        <f>G7-G8-G9-G10-G11-G12-G13</f>
        <v>0</v>
      </c>
      <c r="H25" s="28">
        <f>H7-H8-H9-H10-H11-H12-H13</f>
        <v>0</v>
      </c>
      <c r="I25" s="28">
        <f>I7-I8-I9-I10-I11-I12-I13</f>
        <v>0</v>
      </c>
    </row>
    <row r="26" spans="2:10">
      <c r="B26" s="27" t="s">
        <v>134</v>
      </c>
      <c r="C26" s="28">
        <f>C13+C14+C15+C16-C18-C19</f>
        <v>0</v>
      </c>
      <c r="D26" s="28">
        <f>D13+D14+D15+D16-D18-D19</f>
        <v>0</v>
      </c>
      <c r="E26" s="28">
        <f>E13+E14+E15+E16-E18-E19</f>
        <v>0</v>
      </c>
      <c r="F26" s="28">
        <f>F13+F14+F15+F16-F18-F19</f>
        <v>0</v>
      </c>
      <c r="G26" s="28">
        <f>G13+G14+G15+G16-G18-G19</f>
        <v>0</v>
      </c>
      <c r="H26" s="28">
        <f>H13+H14+H15+H16-H18-H19</f>
        <v>0</v>
      </c>
      <c r="I26" s="28">
        <f>I13+I14+I15+I16-I18-I19</f>
        <v>0</v>
      </c>
    </row>
    <row r="27" spans="2:10">
      <c r="B27" s="27" t="s">
        <v>135</v>
      </c>
      <c r="C27" s="28">
        <f>C19+C20+C21+C22+C23+C11+C12-C14-C15-C16+C18-C24</f>
        <v>0</v>
      </c>
      <c r="D27" s="28">
        <f>D19+D20+D21+D22+D23+D11+D12-D14-D15-D16+D18-D24</f>
        <v>0</v>
      </c>
      <c r="E27" s="28">
        <f>E19+E20+E21+E22+E23+E11+E12-E14-E15-E16+E18-E24</f>
        <v>0</v>
      </c>
      <c r="F27" s="28">
        <f>F19+F20+F21+F22+F23+F11+F12-F14-F15-F16+F18-F24</f>
        <v>0</v>
      </c>
      <c r="G27" s="28">
        <f>G19+G20+G21+G22+G23+G11+G12-G14-G15-G16+G18-G24</f>
        <v>0</v>
      </c>
      <c r="H27" s="28">
        <f>H19+H20+H21+H22+H23+H11+H12-H14-H15-H16+H18-H24</f>
        <v>0</v>
      </c>
      <c r="I27" s="28">
        <f>I19+I20+I21+I22+I23+I11+I12-I14-I15-I16+I18-I24</f>
        <v>0</v>
      </c>
    </row>
    <row r="28" spans="2:10">
      <c r="B28" s="27" t="s">
        <v>136</v>
      </c>
      <c r="F28" s="28">
        <f>ABS(F7-(G7-E7))+ABS(F8-(G8-E8))+ABS(F13-(G13-E13))+ABS(F19-(G19-E19))+ABS(F20-(G20-E20))+ABS(F24-(G24-E24))</f>
        <v>0</v>
      </c>
      <c r="H28" s="28">
        <f>ABS(H7-(I7-G7))+ABS(H8-(I8-G8))+ABS(H13-(I13-G13))+ABS(H19-(I19-G19))+ABS(H20-(I20-G20))+ABS(H24-(I24-G24))</f>
        <v>0</v>
      </c>
    </row>
    <row r="30" spans="2:10">
      <c r="B30" s="20" t="s">
        <v>137</v>
      </c>
    </row>
    <row r="31" spans="2:10">
      <c r="B31" s="21" t="s">
        <v>82</v>
      </c>
      <c r="C31" s="14" t="s">
        <v>83</v>
      </c>
      <c r="D31" s="14" t="s">
        <v>84</v>
      </c>
      <c r="E31" s="14" t="s">
        <v>85</v>
      </c>
      <c r="F31" s="14" t="s">
        <v>138</v>
      </c>
      <c r="G31" s="14" t="s">
        <v>87</v>
      </c>
      <c r="H31" s="14" t="s">
        <v>138</v>
      </c>
      <c r="I31" s="14" t="s">
        <v>89</v>
      </c>
      <c r="J31" s="21" t="s">
        <v>139</v>
      </c>
    </row>
    <row r="32" spans="2:10">
      <c r="B32" s="15" t="s">
        <v>140</v>
      </c>
      <c r="C32" s="26">
        <v>6785</v>
      </c>
      <c r="D32" s="26">
        <v>4120</v>
      </c>
      <c r="E32" s="26">
        <v>1047</v>
      </c>
      <c r="F32" s="29" t="s">
        <v>141</v>
      </c>
      <c r="G32" s="26">
        <v>3466</v>
      </c>
      <c r="H32" s="29" t="s">
        <v>141</v>
      </c>
      <c r="I32" s="26">
        <v>13097</v>
      </c>
      <c r="J32" s="24" t="s">
        <v>142</v>
      </c>
    </row>
    <row r="33" spans="2:10">
      <c r="B33" s="15" t="s">
        <v>143</v>
      </c>
      <c r="C33" s="26">
        <v>20737</v>
      </c>
      <c r="D33" s="26">
        <v>13846</v>
      </c>
      <c r="E33" s="26">
        <v>10107</v>
      </c>
      <c r="F33" s="29" t="s">
        <v>141</v>
      </c>
      <c r="G33" s="26">
        <v>28476</v>
      </c>
      <c r="H33" s="29" t="s">
        <v>141</v>
      </c>
      <c r="I33" s="26">
        <v>48069</v>
      </c>
      <c r="J33" s="24" t="s">
        <v>144</v>
      </c>
    </row>
    <row r="35" spans="2:10">
      <c r="B35" s="20" t="s">
        <v>145</v>
      </c>
    </row>
    <row r="36" spans="2:10">
      <c r="B36" s="21" t="s">
        <v>82</v>
      </c>
      <c r="C36" s="14" t="s">
        <v>146</v>
      </c>
      <c r="D36" s="14" t="s">
        <v>147</v>
      </c>
      <c r="E36" s="14" t="s">
        <v>148</v>
      </c>
      <c r="F36" s="14" t="s">
        <v>149</v>
      </c>
      <c r="J36" s="21" t="s">
        <v>139</v>
      </c>
    </row>
    <row r="37" spans="2:10">
      <c r="B37" s="15" t="s">
        <v>150</v>
      </c>
      <c r="C37" s="26">
        <v>24747</v>
      </c>
      <c r="D37" s="26">
        <v>15852</v>
      </c>
      <c r="E37" s="26">
        <v>93522</v>
      </c>
      <c r="F37" s="26">
        <v>51294</v>
      </c>
      <c r="J37" s="24" t="s">
        <v>151</v>
      </c>
    </row>
    <row r="38" spans="2:10">
      <c r="B38" s="15" t="s">
        <v>152</v>
      </c>
      <c r="C38" s="26">
        <v>0</v>
      </c>
      <c r="D38" s="26">
        <v>7823</v>
      </c>
      <c r="E38" s="26">
        <v>6487</v>
      </c>
      <c r="F38" s="26">
        <v>38561</v>
      </c>
      <c r="J38" s="24" t="s">
        <v>153</v>
      </c>
    </row>
    <row r="39" spans="2:10">
      <c r="B39" s="15" t="s">
        <v>154</v>
      </c>
      <c r="C39" s="26">
        <v>928</v>
      </c>
      <c r="D39" s="26">
        <v>1538</v>
      </c>
      <c r="E39" s="26">
        <v>2525</v>
      </c>
      <c r="F39" s="26">
        <v>2698</v>
      </c>
      <c r="J39" s="24" t="s">
        <v>155</v>
      </c>
    </row>
    <row r="40" spans="2:10">
      <c r="B40" s="15" t="s">
        <v>156</v>
      </c>
      <c r="C40" s="26">
        <v>21968</v>
      </c>
      <c r="D40" s="26">
        <v>28727</v>
      </c>
      <c r="E40" s="26">
        <v>36839</v>
      </c>
      <c r="F40" s="26">
        <v>36146</v>
      </c>
      <c r="J40" s="24" t="s">
        <v>157</v>
      </c>
    </row>
    <row r="41" spans="2:10">
      <c r="B41" s="27" t="s">
        <v>158</v>
      </c>
      <c r="C41" s="26">
        <v>455</v>
      </c>
      <c r="D41" s="26">
        <v>1121</v>
      </c>
      <c r="E41" s="26">
        <v>2039</v>
      </c>
      <c r="F41" s="26">
        <v>2181</v>
      </c>
      <c r="J41" s="24" t="s">
        <v>159</v>
      </c>
    </row>
    <row r="42" spans="2:10">
      <c r="B42" s="27" t="s">
        <v>160</v>
      </c>
      <c r="C42" s="26">
        <v>4052</v>
      </c>
      <c r="D42" s="26">
        <v>7920</v>
      </c>
      <c r="E42" s="26">
        <v>11290</v>
      </c>
      <c r="F42" s="26">
        <v>10716</v>
      </c>
      <c r="J42" s="24" t="s">
        <v>161</v>
      </c>
    </row>
    <row r="43" spans="2:10">
      <c r="B43" s="15" t="s">
        <v>162</v>
      </c>
      <c r="C43" s="26">
        <v>2573</v>
      </c>
      <c r="D43" s="26">
        <v>34533</v>
      </c>
      <c r="E43" s="26">
        <v>127224</v>
      </c>
      <c r="F43" s="26">
        <v>176768</v>
      </c>
      <c r="J43" s="24" t="s">
        <v>163</v>
      </c>
    </row>
    <row r="44" spans="2:10">
      <c r="B44" s="15" t="s">
        <v>164</v>
      </c>
      <c r="C44" s="26">
        <v>38752</v>
      </c>
      <c r="D44" s="26">
        <v>7049</v>
      </c>
      <c r="E44" s="26">
        <v>0</v>
      </c>
      <c r="F44" s="26">
        <v>0</v>
      </c>
      <c r="J44" s="24" t="s">
        <v>165</v>
      </c>
    </row>
    <row r="45" spans="2:10">
      <c r="B45" s="15" t="s">
        <v>166</v>
      </c>
      <c r="C45" s="26">
        <v>92079</v>
      </c>
      <c r="D45" s="26">
        <v>102094</v>
      </c>
      <c r="E45" s="26">
        <v>192770</v>
      </c>
      <c r="F45" s="26">
        <v>254045</v>
      </c>
      <c r="J45" s="24" t="s">
        <v>167</v>
      </c>
    </row>
    <row r="47" spans="2:10">
      <c r="B47" s="20" t="s">
        <v>168</v>
      </c>
    </row>
    <row r="48" spans="2:10">
      <c r="B48" s="21" t="s">
        <v>169</v>
      </c>
      <c r="C48" s="14" t="s">
        <v>83</v>
      </c>
      <c r="D48" s="14" t="s">
        <v>84</v>
      </c>
      <c r="E48" s="14" t="s">
        <v>85</v>
      </c>
      <c r="F48" s="14" t="s">
        <v>86</v>
      </c>
      <c r="G48" s="14" t="s">
        <v>88</v>
      </c>
      <c r="H48" s="14" t="s">
        <v>89</v>
      </c>
      <c r="J48" s="21" t="s">
        <v>170</v>
      </c>
    </row>
    <row r="49" spans="2:10">
      <c r="B49" s="15" t="s">
        <v>171</v>
      </c>
      <c r="C49" s="26">
        <v>4086</v>
      </c>
      <c r="D49" s="26">
        <v>3277</v>
      </c>
      <c r="E49" s="26">
        <v>619</v>
      </c>
      <c r="F49" s="26">
        <v>962</v>
      </c>
      <c r="G49" s="26">
        <v>1767</v>
      </c>
      <c r="H49" s="26">
        <v>3348</v>
      </c>
      <c r="J49" s="24"/>
    </row>
    <row r="50" spans="2:10">
      <c r="B50" s="15" t="s">
        <v>172</v>
      </c>
      <c r="C50" s="26">
        <v>11387</v>
      </c>
      <c r="D50" s="26">
        <v>8159</v>
      </c>
      <c r="E50" s="26">
        <v>3257</v>
      </c>
      <c r="F50" s="26">
        <v>4291</v>
      </c>
      <c r="G50" s="26">
        <v>5248</v>
      </c>
      <c r="H50" s="26">
        <v>12796</v>
      </c>
      <c r="J50" s="24"/>
    </row>
    <row r="51" spans="2:10">
      <c r="B51" s="15" t="s">
        <v>173</v>
      </c>
      <c r="C51" s="26">
        <v>3201</v>
      </c>
      <c r="D51" s="26">
        <v>2278</v>
      </c>
      <c r="E51" s="26">
        <v>818</v>
      </c>
      <c r="F51" s="26">
        <v>2561</v>
      </c>
      <c r="G51" s="26">
        <v>7560</v>
      </c>
      <c r="H51" s="26">
        <v>10939</v>
      </c>
      <c r="J51" s="24"/>
    </row>
    <row r="52" spans="2:10">
      <c r="B52" s="27" t="s">
        <v>174</v>
      </c>
      <c r="C52" s="28">
        <f>C49+C50+C51-C7</f>
        <v>0</v>
      </c>
      <c r="D52" s="28">
        <f>D49+D50+D51-D7</f>
        <v>0</v>
      </c>
      <c r="E52" s="28">
        <f>E49+E50+E51-E7</f>
        <v>0</v>
      </c>
      <c r="F52" s="28">
        <f>F49+F50+F51-F7</f>
        <v>0</v>
      </c>
      <c r="G52" s="28">
        <f>G49+G50+G51-H7</f>
        <v>0</v>
      </c>
      <c r="H52" s="28">
        <f>H49+H50+H51-I7</f>
        <v>0</v>
      </c>
    </row>
    <row r="53" spans="2:10">
      <c r="B53" s="15" t="s">
        <v>175</v>
      </c>
      <c r="C53" s="26">
        <v>1352</v>
      </c>
      <c r="D53" s="26">
        <v>1104</v>
      </c>
      <c r="E53" s="26">
        <v>281</v>
      </c>
      <c r="F53" s="26">
        <v>329</v>
      </c>
      <c r="G53" s="26">
        <v>435</v>
      </c>
      <c r="H53" s="26">
        <v>1045</v>
      </c>
      <c r="J53" s="24"/>
    </row>
    <row r="54" spans="2:10">
      <c r="B54" s="15" t="s">
        <v>176</v>
      </c>
      <c r="C54" s="26">
        <v>5921</v>
      </c>
      <c r="D54" s="26">
        <v>4271</v>
      </c>
      <c r="E54" s="26">
        <v>1651</v>
      </c>
      <c r="F54" s="26">
        <v>2060</v>
      </c>
      <c r="G54" s="26">
        <v>2368</v>
      </c>
      <c r="H54" s="26">
        <v>6079</v>
      </c>
      <c r="J54" s="24"/>
    </row>
    <row r="55" spans="2:10">
      <c r="B55" s="15" t="s">
        <v>177</v>
      </c>
      <c r="C55" s="26">
        <v>2178</v>
      </c>
      <c r="D55" s="26">
        <v>1574</v>
      </c>
      <c r="E55" s="26">
        <v>456</v>
      </c>
      <c r="F55" s="26">
        <v>1106</v>
      </c>
      <c r="G55" s="26">
        <v>2675</v>
      </c>
      <c r="H55" s="26">
        <v>4237</v>
      </c>
      <c r="J55" s="24"/>
    </row>
    <row r="56" spans="2:10">
      <c r="B56" s="27" t="s">
        <v>178</v>
      </c>
      <c r="C56" s="28">
        <f>C53+C54+C55-C8</f>
        <v>0</v>
      </c>
      <c r="D56" s="28">
        <f>D53+D54+D55-D8</f>
        <v>0</v>
      </c>
      <c r="E56" s="28">
        <f>E53+E54+E55-E8</f>
        <v>0</v>
      </c>
      <c r="F56" s="28">
        <f>F53+F54+F55-F8</f>
        <v>0</v>
      </c>
      <c r="G56" s="28">
        <f>G53+G54+G55-H8</f>
        <v>0</v>
      </c>
      <c r="H56" s="28">
        <f>H53+H54+H55-I8</f>
        <v>0</v>
      </c>
    </row>
    <row r="57" spans="2:10">
      <c r="B57" s="15" t="s">
        <v>179</v>
      </c>
      <c r="C57" s="26">
        <v>-657</v>
      </c>
      <c r="D57" s="26">
        <v>-181</v>
      </c>
      <c r="E57" s="26">
        <v>-662</v>
      </c>
      <c r="F57" s="26">
        <v>-542</v>
      </c>
      <c r="G57" s="26">
        <v>-7</v>
      </c>
      <c r="H57" s="26">
        <v>-1211</v>
      </c>
      <c r="J57" s="24" t="s">
        <v>180</v>
      </c>
    </row>
    <row r="58" spans="2:10">
      <c r="B58" s="15" t="s">
        <v>181</v>
      </c>
      <c r="C58" s="26">
        <v>4423</v>
      </c>
      <c r="D58" s="26">
        <v>3147</v>
      </c>
      <c r="E58" s="26">
        <v>1188</v>
      </c>
      <c r="F58" s="26">
        <v>1656</v>
      </c>
      <c r="G58" s="26">
        <v>2367</v>
      </c>
      <c r="H58" s="26">
        <v>5211</v>
      </c>
      <c r="J58" s="24"/>
    </row>
    <row r="59" spans="2:10">
      <c r="B59" s="15" t="s">
        <v>182</v>
      </c>
      <c r="C59" s="26">
        <v>-6355</v>
      </c>
      <c r="D59" s="26">
        <v>-4182</v>
      </c>
      <c r="E59" s="26">
        <v>-2469</v>
      </c>
      <c r="F59" s="26">
        <v>-1257</v>
      </c>
      <c r="G59" s="26">
        <v>431</v>
      </c>
      <c r="H59" s="26">
        <v>-3295</v>
      </c>
      <c r="J59" s="24"/>
    </row>
    <row r="60" spans="2:10">
      <c r="B60" s="27" t="s">
        <v>183</v>
      </c>
      <c r="C60" s="28">
        <f>C57+C58+C59-C13</f>
        <v>0</v>
      </c>
      <c r="D60" s="28">
        <f>D57+D58+D59-D13</f>
        <v>0</v>
      </c>
      <c r="E60" s="28">
        <f>E57+E58+E59-E13</f>
        <v>0</v>
      </c>
      <c r="F60" s="28">
        <f>F57+F58+F59-F13</f>
        <v>0</v>
      </c>
      <c r="G60" s="28">
        <f>G57+G58+G59-H13</f>
        <v>0</v>
      </c>
      <c r="H60" s="28">
        <f>H57+H58+H59-I13</f>
        <v>0</v>
      </c>
    </row>
    <row r="61" spans="2:10">
      <c r="B61" s="15" t="s">
        <v>184</v>
      </c>
      <c r="C61" s="26">
        <v>653</v>
      </c>
      <c r="D61" s="26">
        <v>803</v>
      </c>
      <c r="E61" s="26">
        <v>-351</v>
      </c>
      <c r="F61" s="26">
        <v>-205</v>
      </c>
      <c r="G61" s="26">
        <v>357</v>
      </c>
      <c r="H61" s="26">
        <v>-199</v>
      </c>
      <c r="J61" s="24" t="s">
        <v>180</v>
      </c>
    </row>
    <row r="62" spans="2:10">
      <c r="B62" s="15" t="s">
        <v>185</v>
      </c>
      <c r="C62" s="26">
        <v>7168</v>
      </c>
      <c r="D62" s="26">
        <v>5123</v>
      </c>
      <c r="E62" s="26">
        <v>2087</v>
      </c>
      <c r="F62" s="26">
        <v>2597</v>
      </c>
      <c r="G62" s="26">
        <v>3499</v>
      </c>
      <c r="H62" s="26">
        <v>8183</v>
      </c>
      <c r="J62" s="24"/>
    </row>
    <row r="63" spans="2:10">
      <c r="B63" s="15" t="s">
        <v>186</v>
      </c>
      <c r="C63" s="26">
        <v>-1237</v>
      </c>
      <c r="D63" s="26">
        <v>-813</v>
      </c>
      <c r="E63" s="26">
        <v>-609</v>
      </c>
      <c r="F63" s="26">
        <v>1146</v>
      </c>
      <c r="G63" s="26">
        <v>4953</v>
      </c>
      <c r="H63" s="26">
        <v>5490</v>
      </c>
      <c r="J63" s="24"/>
    </row>
    <row r="64" spans="2:10">
      <c r="B64" s="27" t="s">
        <v>187</v>
      </c>
      <c r="C64" s="28">
        <f>C61+C62+C63-C24</f>
        <v>0</v>
      </c>
      <c r="D64" s="28">
        <f>D61+D62+D63-D24</f>
        <v>0</v>
      </c>
      <c r="E64" s="28">
        <f>E61+E62+E63-E24</f>
        <v>0</v>
      </c>
      <c r="F64" s="28">
        <f>F61+F62+F63-F24</f>
        <v>0</v>
      </c>
      <c r="G64" s="28">
        <f>G61+G62+G63-H24</f>
        <v>0</v>
      </c>
      <c r="H64" s="28">
        <f>H61+H62+H63-I24</f>
        <v>0</v>
      </c>
    </row>
    <row r="65" spans="2:10">
      <c r="B65" s="15" t="s">
        <v>188</v>
      </c>
      <c r="C65" s="26">
        <v>3832</v>
      </c>
      <c r="D65" s="26">
        <v>2818</v>
      </c>
      <c r="E65" s="26">
        <v>1052</v>
      </c>
      <c r="F65" s="26">
        <v>1174</v>
      </c>
      <c r="G65" s="26">
        <v>1606</v>
      </c>
      <c r="H65" s="26">
        <v>3832</v>
      </c>
      <c r="J65" s="24"/>
    </row>
    <row r="66" spans="2:10">
      <c r="B66" s="15" t="s">
        <v>189</v>
      </c>
      <c r="C66" s="26">
        <v>4178</v>
      </c>
      <c r="D66" s="26">
        <v>2951</v>
      </c>
      <c r="E66" s="26">
        <v>1332</v>
      </c>
      <c r="F66" s="26">
        <v>1367</v>
      </c>
      <c r="G66" s="26">
        <v>1543</v>
      </c>
      <c r="H66" s="26">
        <v>4242</v>
      </c>
      <c r="J66" s="24"/>
    </row>
    <row r="67" spans="2:10">
      <c r="B67" s="15" t="s">
        <v>190</v>
      </c>
      <c r="C67" s="26">
        <v>12727</v>
      </c>
      <c r="D67" s="26">
        <v>8077</v>
      </c>
      <c r="E67" s="26">
        <v>7723</v>
      </c>
      <c r="F67" s="26">
        <v>15828</v>
      </c>
      <c r="G67" s="26">
        <v>16444</v>
      </c>
      <c r="H67" s="26">
        <v>39995</v>
      </c>
      <c r="J67" s="24"/>
    </row>
    <row r="68" spans="2:10">
      <c r="B68" s="27" t="s">
        <v>191</v>
      </c>
      <c r="C68" s="28">
        <f>C65+C66+C67-C33</f>
        <v>0</v>
      </c>
      <c r="D68" s="28">
        <f>D65+D66+D67-D33</f>
        <v>0</v>
      </c>
      <c r="E68" s="28">
        <f>E65+E66+E67-E33</f>
        <v>0</v>
      </c>
      <c r="F68" s="28">
        <f>F65+F66+F67-(G33-E33)</f>
        <v>0</v>
      </c>
      <c r="G68" s="28">
        <f>G65+G66+G67-(I33-G33)</f>
        <v>0</v>
      </c>
      <c r="H68" s="28">
        <f>H65+H66+H67-I33</f>
        <v>0</v>
      </c>
    </row>
    <row r="70" spans="2:10">
      <c r="B70" s="20" t="s">
        <v>192</v>
      </c>
    </row>
    <row r="71" spans="2:10">
      <c r="B71" s="21" t="s">
        <v>193</v>
      </c>
      <c r="C71" s="14" t="s">
        <v>194</v>
      </c>
      <c r="D71" s="14"/>
      <c r="J71" s="21" t="s">
        <v>195</v>
      </c>
    </row>
    <row r="72" spans="2:10">
      <c r="B72" s="15" t="s">
        <v>196</v>
      </c>
      <c r="C72" s="30">
        <v>13.6</v>
      </c>
      <c r="J72" s="24" t="s">
        <v>197</v>
      </c>
    </row>
    <row r="73" spans="2:10">
      <c r="B73" s="15" t="s">
        <v>198</v>
      </c>
      <c r="C73" s="31">
        <v>69</v>
      </c>
      <c r="J73" s="24" t="s">
        <v>197</v>
      </c>
    </row>
    <row r="74" spans="2:10">
      <c r="B74" s="15" t="s">
        <v>199</v>
      </c>
      <c r="C74" s="32">
        <v>3121</v>
      </c>
      <c r="J74" s="24" t="s">
        <v>200</v>
      </c>
    </row>
    <row r="75" spans="2:10">
      <c r="B75" s="15" t="s">
        <v>201</v>
      </c>
      <c r="C75" s="32">
        <v>2127</v>
      </c>
      <c r="J75" s="24" t="s">
        <v>200</v>
      </c>
    </row>
    <row r="76" spans="2:10">
      <c r="B76" s="15" t="s">
        <v>202</v>
      </c>
      <c r="C76" s="32">
        <v>1130</v>
      </c>
      <c r="J76" s="24" t="s">
        <v>203</v>
      </c>
    </row>
    <row r="77" spans="2:10">
      <c r="B77" s="15" t="s">
        <v>204</v>
      </c>
      <c r="C77" s="32">
        <v>637</v>
      </c>
      <c r="J77" s="24" t="s">
        <v>203</v>
      </c>
    </row>
    <row r="78" spans="2:10">
      <c r="B78" s="15" t="s">
        <v>205</v>
      </c>
      <c r="C78" s="31">
        <v>35</v>
      </c>
      <c r="J78" s="24" t="s">
        <v>203</v>
      </c>
    </row>
    <row r="79" spans="2:10">
      <c r="B79" s="15" t="s">
        <v>206</v>
      </c>
      <c r="C79" s="31">
        <v>12</v>
      </c>
      <c r="J79" s="24" t="s">
        <v>203</v>
      </c>
    </row>
    <row r="80" spans="2:10">
      <c r="B80" s="15" t="s">
        <v>207</v>
      </c>
      <c r="C80" s="32">
        <v>476</v>
      </c>
      <c r="J80" s="24" t="s">
        <v>203</v>
      </c>
    </row>
    <row r="81" spans="2:10">
      <c r="B81" s="15" t="s">
        <v>208</v>
      </c>
      <c r="C81" s="32">
        <v>538</v>
      </c>
      <c r="J81" s="24" t="s">
        <v>209</v>
      </c>
    </row>
    <row r="82" spans="2:10">
      <c r="B82" s="15" t="s">
        <v>210</v>
      </c>
      <c r="C82" s="32">
        <v>7022</v>
      </c>
      <c r="J82" s="24" t="s">
        <v>209</v>
      </c>
    </row>
    <row r="83" spans="2:10">
      <c r="B83" s="15" t="s">
        <v>211</v>
      </c>
      <c r="C83" s="30">
        <v>1.7</v>
      </c>
      <c r="J83" s="24" t="s">
        <v>209</v>
      </c>
    </row>
    <row r="84" spans="2:10">
      <c r="B84" s="15" t="s">
        <v>212</v>
      </c>
      <c r="C84" s="32">
        <v>608</v>
      </c>
      <c r="J84" s="24" t="s">
        <v>213</v>
      </c>
    </row>
    <row r="85" spans="2:10">
      <c r="B85" s="15" t="s">
        <v>214</v>
      </c>
      <c r="C85" s="32">
        <v>47461</v>
      </c>
      <c r="J85" s="24" t="s">
        <v>215</v>
      </c>
    </row>
    <row r="87" spans="2:10">
      <c r="B87" s="20" t="s">
        <v>216</v>
      </c>
    </row>
    <row r="88" spans="2:10" ht="30" customHeight="1">
      <c r="B88" s="21" t="s">
        <v>217</v>
      </c>
      <c r="C88" s="14" t="s">
        <v>218</v>
      </c>
      <c r="D88" s="14" t="s">
        <v>85</v>
      </c>
      <c r="E88" s="14" t="s">
        <v>86</v>
      </c>
      <c r="F88" s="14" t="s">
        <v>88</v>
      </c>
      <c r="G88" s="14" t="s">
        <v>219</v>
      </c>
      <c r="H88" s="14" t="s">
        <v>83</v>
      </c>
      <c r="J88" s="21" t="s">
        <v>220</v>
      </c>
    </row>
    <row r="89" spans="2:10">
      <c r="B89" s="11" t="s">
        <v>97</v>
      </c>
      <c r="C89" s="33">
        <f>C7-D7</f>
        <v>4960</v>
      </c>
      <c r="D89" s="33">
        <f>E7</f>
        <v>4694</v>
      </c>
      <c r="E89" s="33">
        <f>F7</f>
        <v>7814</v>
      </c>
      <c r="F89" s="33">
        <f>H7</f>
        <v>14575</v>
      </c>
      <c r="G89" s="23">
        <f>SUM(C89:F89)</f>
        <v>32043</v>
      </c>
      <c r="H89" s="33">
        <f>C7</f>
        <v>18674</v>
      </c>
      <c r="J89" s="24" t="s">
        <v>221</v>
      </c>
    </row>
    <row r="90" spans="2:10">
      <c r="B90" s="15" t="s">
        <v>99</v>
      </c>
      <c r="C90" s="22">
        <f>C8-D8</f>
        <v>2502</v>
      </c>
      <c r="D90" s="22">
        <f>E8</f>
        <v>2388</v>
      </c>
      <c r="E90" s="22">
        <f>F8</f>
        <v>3495</v>
      </c>
      <c r="F90" s="22">
        <f>H8</f>
        <v>5478</v>
      </c>
      <c r="G90" s="23">
        <f>SUM(C90:F90)</f>
        <v>13863</v>
      </c>
      <c r="H90" s="22">
        <f>C8</f>
        <v>9451</v>
      </c>
      <c r="J90" s="24" t="s">
        <v>222</v>
      </c>
    </row>
    <row r="91" spans="2:10">
      <c r="B91" s="11" t="s">
        <v>223</v>
      </c>
      <c r="C91" s="33">
        <f>C89-C90</f>
        <v>2458</v>
      </c>
      <c r="D91" s="33">
        <f>D89-D90</f>
        <v>2306</v>
      </c>
      <c r="E91" s="33">
        <f>E89-E90</f>
        <v>4319</v>
      </c>
      <c r="F91" s="33">
        <f>F89-F90</f>
        <v>9097</v>
      </c>
      <c r="G91" s="23">
        <f>G89-G90</f>
        <v>18180</v>
      </c>
      <c r="H91" s="33">
        <f>H89-H90</f>
        <v>9223</v>
      </c>
      <c r="J91" s="24" t="s">
        <v>224</v>
      </c>
    </row>
    <row r="92" spans="2:10">
      <c r="B92" s="15" t="s">
        <v>225</v>
      </c>
      <c r="C92" s="34">
        <f>IF(C89=0,0,C91/C89)</f>
        <v>0.495564516129032</v>
      </c>
      <c r="D92" s="34">
        <f>IF(D89=0,0,D91/D89)</f>
        <v>0.491265445249254</v>
      </c>
      <c r="E92" s="34">
        <f>IF(E89=0,0,E91/E89)</f>
        <v>0.552725876631687</v>
      </c>
      <c r="F92" s="34">
        <f>IF(F89=0,0,F91/F89)</f>
        <v>0.624150943396227</v>
      </c>
      <c r="G92" s="35">
        <f>IF(G89=0,0,G91/G89)</f>
        <v>0.567362606497519</v>
      </c>
      <c r="H92" s="34">
        <f>IF(H89=0,0,H91/H89)</f>
        <v>0.493895255435365</v>
      </c>
      <c r="J92" s="24" t="s">
        <v>226</v>
      </c>
    </row>
    <row r="93" spans="2:10">
      <c r="B93" s="11" t="s">
        <v>227</v>
      </c>
      <c r="C93" s="33">
        <f>C13-D13</f>
        <v>-1373</v>
      </c>
      <c r="D93" s="33">
        <f>E13</f>
        <v>-1943</v>
      </c>
      <c r="E93" s="33">
        <f>F13</f>
        <v>-143</v>
      </c>
      <c r="F93" s="33">
        <f>H13</f>
        <v>2791</v>
      </c>
      <c r="G93" s="23">
        <f>SUM(C93:F93)</f>
        <v>-668</v>
      </c>
      <c r="H93" s="33">
        <f>C13</f>
        <v>-2589</v>
      </c>
      <c r="J93" s="24" t="s">
        <v>110</v>
      </c>
    </row>
    <row r="94" spans="2:10">
      <c r="B94" s="15" t="s">
        <v>228</v>
      </c>
      <c r="C94" s="34">
        <f>IF(C89=0,0,C93/C89)</f>
        <v>-0.276814516129032</v>
      </c>
      <c r="D94" s="34">
        <f>IF(D89=0,0,D93/D89)</f>
        <v>-0.413932680017043</v>
      </c>
      <c r="E94" s="34">
        <f>IF(E89=0,0,E93/E89)</f>
        <v>-0.0183004863066291</v>
      </c>
      <c r="F94" s="34">
        <f>IF(F89=0,0,F93/F89)</f>
        <v>0.191492281303602</v>
      </c>
      <c r="G94" s="35">
        <f>IF(G89=0,0,G93/G89)</f>
        <v>-0.020846986861405</v>
      </c>
      <c r="H94" s="34">
        <f>IF(H89=0,0,H93/H89)</f>
        <v>-0.138641962086323</v>
      </c>
      <c r="J94" s="24" t="s">
        <v>229</v>
      </c>
    </row>
    <row r="95" spans="2:10">
      <c r="B95" s="11" t="s">
        <v>230</v>
      </c>
      <c r="C95" s="33">
        <f>C19-D19</f>
        <v>-2347</v>
      </c>
      <c r="D95" s="33">
        <f>E19</f>
        <v>-4276</v>
      </c>
      <c r="E95" s="33">
        <f>F19</f>
        <v>-541</v>
      </c>
      <c r="F95" s="33">
        <f>H19</f>
        <v>4404</v>
      </c>
      <c r="G95" s="23">
        <f>SUM(C95:F95)</f>
        <v>-2760</v>
      </c>
      <c r="H95" s="33">
        <f>C19</f>
        <v>-4937</v>
      </c>
      <c r="J95" s="24" t="s">
        <v>231</v>
      </c>
    </row>
    <row r="96" spans="2:10">
      <c r="B96" s="15" t="s">
        <v>123</v>
      </c>
      <c r="C96" s="22">
        <f>C20-D20</f>
        <v>1917</v>
      </c>
      <c r="D96" s="22">
        <f>E20</f>
        <v>2442</v>
      </c>
      <c r="E96" s="22">
        <f>F20</f>
        <v>2848</v>
      </c>
      <c r="F96" s="22">
        <f>H20</f>
        <v>3644</v>
      </c>
      <c r="G96" s="23">
        <f>SUM(C96:F96)</f>
        <v>10851</v>
      </c>
      <c r="H96" s="22">
        <f>C20</f>
        <v>6701</v>
      </c>
      <c r="J96" s="24" t="s">
        <v>232</v>
      </c>
    </row>
    <row r="97" spans="2:10">
      <c r="B97" s="15" t="s">
        <v>233</v>
      </c>
      <c r="C97" s="22">
        <f>C93+C96</f>
        <v>544</v>
      </c>
      <c r="D97" s="22">
        <f>D93+D96</f>
        <v>499</v>
      </c>
      <c r="E97" s="22">
        <f>E93+E96</f>
        <v>2705</v>
      </c>
      <c r="F97" s="22">
        <f>F93+F96</f>
        <v>6435</v>
      </c>
      <c r="G97" s="36">
        <f>G93+G96</f>
        <v>10183</v>
      </c>
      <c r="H97" s="22">
        <f>H93+H96</f>
        <v>4112</v>
      </c>
      <c r="J97" s="24" t="s">
        <v>234</v>
      </c>
    </row>
    <row r="98" spans="2:10">
      <c r="B98" s="15" t="s">
        <v>131</v>
      </c>
      <c r="C98" s="22">
        <f>C24-D24</f>
        <v>1471</v>
      </c>
      <c r="D98" s="22">
        <f>E24</f>
        <v>1127</v>
      </c>
      <c r="E98" s="22">
        <f>F24</f>
        <v>3538</v>
      </c>
      <c r="F98" s="22">
        <f>H24</f>
        <v>8809</v>
      </c>
      <c r="G98" s="23">
        <f>SUM(C98:F98)</f>
        <v>14945</v>
      </c>
      <c r="H98" s="22">
        <f>C24</f>
        <v>6584</v>
      </c>
      <c r="J98" s="24" t="s">
        <v>235</v>
      </c>
    </row>
    <row r="99" spans="2:10">
      <c r="B99" s="11" t="s">
        <v>236</v>
      </c>
      <c r="C99" s="33">
        <f>C32-D32</f>
        <v>2665</v>
      </c>
      <c r="D99" s="33">
        <f>E32</f>
        <v>1047</v>
      </c>
      <c r="E99" s="33">
        <f>G32-E32</f>
        <v>2419</v>
      </c>
      <c r="F99" s="33">
        <f>I32-G32</f>
        <v>9631</v>
      </c>
      <c r="G99" s="23">
        <f>SUM(C99:F99)</f>
        <v>15762</v>
      </c>
      <c r="H99" s="33">
        <f>C32</f>
        <v>6785</v>
      </c>
      <c r="J99" s="24" t="s">
        <v>237</v>
      </c>
    </row>
    <row r="100" spans="2:10">
      <c r="B100" s="15" t="s">
        <v>238</v>
      </c>
      <c r="C100" s="22">
        <f>C33-D33</f>
        <v>6891</v>
      </c>
      <c r="D100" s="22">
        <f>E33</f>
        <v>10107</v>
      </c>
      <c r="E100" s="22">
        <f>G33-E33</f>
        <v>18369</v>
      </c>
      <c r="F100" s="22">
        <f>I33-G33</f>
        <v>19593</v>
      </c>
      <c r="G100" s="23">
        <f>SUM(C100:F100)</f>
        <v>54960</v>
      </c>
      <c r="H100" s="22">
        <f>C33</f>
        <v>20737</v>
      </c>
      <c r="J100" s="24" t="s">
        <v>222</v>
      </c>
    </row>
    <row r="101" spans="2:10">
      <c r="B101" s="11" t="s">
        <v>239</v>
      </c>
      <c r="C101" s="33">
        <f>C99-C100</f>
        <v>-4226</v>
      </c>
      <c r="D101" s="33">
        <f>D99-D100</f>
        <v>-9060</v>
      </c>
      <c r="E101" s="33">
        <f>E99-E100</f>
        <v>-15950</v>
      </c>
      <c r="F101" s="33">
        <f>F99-F100</f>
        <v>-9962</v>
      </c>
      <c r="G101" s="23">
        <f>G99-G100</f>
        <v>-39198</v>
      </c>
      <c r="H101" s="33">
        <f>H99-H100</f>
        <v>-13952</v>
      </c>
      <c r="J101" s="24" t="s">
        <v>240</v>
      </c>
    </row>
    <row r="102" spans="2:10">
      <c r="B102" s="11" t="s">
        <v>241</v>
      </c>
      <c r="C102" s="33">
        <f>C37+C38</f>
        <v>24747</v>
      </c>
      <c r="D102" s="33">
        <f>D37+D38</f>
        <v>23675</v>
      </c>
      <c r="E102" s="33">
        <f>E37+E38</f>
        <v>100009</v>
      </c>
      <c r="F102" s="33">
        <f>F37+F38</f>
        <v>89855</v>
      </c>
      <c r="G102" s="23">
        <f>F37+F38</f>
        <v>89855</v>
      </c>
      <c r="H102" s="33">
        <f>C37+C38</f>
        <v>24747</v>
      </c>
      <c r="J102" s="24" t="s">
        <v>242</v>
      </c>
    </row>
    <row r="103" spans="2:10">
      <c r="B103" s="11" t="s">
        <v>243</v>
      </c>
      <c r="C103" s="33">
        <f>C39+C40</f>
        <v>22896</v>
      </c>
      <c r="D103" s="33">
        <f>D39+D40</f>
        <v>30265</v>
      </c>
      <c r="E103" s="33">
        <f>E39+E40</f>
        <v>39364</v>
      </c>
      <c r="F103" s="33">
        <f>F39+F40</f>
        <v>38844</v>
      </c>
      <c r="G103" s="23">
        <f>F39+F40</f>
        <v>38844</v>
      </c>
      <c r="H103" s="33">
        <f>C39+C40</f>
        <v>22896</v>
      </c>
      <c r="J103" s="24" t="s">
        <v>244</v>
      </c>
    </row>
    <row r="104" spans="2:10">
      <c r="B104" s="15" t="s">
        <v>245</v>
      </c>
      <c r="C104" s="22">
        <f>C41+C42</f>
        <v>4507</v>
      </c>
      <c r="D104" s="22">
        <f>D41+D42</f>
        <v>9041</v>
      </c>
      <c r="E104" s="22">
        <f>E41+E42</f>
        <v>13329</v>
      </c>
      <c r="F104" s="22">
        <f>F41+F42</f>
        <v>12897</v>
      </c>
      <c r="G104" s="36">
        <f>F41+F42</f>
        <v>12897</v>
      </c>
      <c r="H104" s="22">
        <f>C41+C42</f>
        <v>4507</v>
      </c>
      <c r="J104" s="24" t="s">
        <v>246</v>
      </c>
    </row>
    <row r="105" spans="2:10">
      <c r="B105" s="15" t="s">
        <v>247</v>
      </c>
      <c r="C105" s="22">
        <f>C102-C103</f>
        <v>1851</v>
      </c>
      <c r="D105" s="22">
        <f>D102-D103</f>
        <v>-6590</v>
      </c>
      <c r="E105" s="22">
        <f>E102-E103</f>
        <v>60645</v>
      </c>
      <c r="F105" s="22">
        <f>F102-F103</f>
        <v>51011</v>
      </c>
      <c r="G105" s="36">
        <f>G102-G103</f>
        <v>51011</v>
      </c>
      <c r="H105" s="22">
        <f>H102-H103</f>
        <v>1851</v>
      </c>
      <c r="J105" s="24" t="s">
        <v>240</v>
      </c>
    </row>
    <row r="106" spans="2:10">
      <c r="B106" s="11" t="s">
        <v>248</v>
      </c>
      <c r="C106" s="33">
        <f>C43</f>
        <v>2573</v>
      </c>
      <c r="D106" s="33">
        <f>D43</f>
        <v>34533</v>
      </c>
      <c r="E106" s="33">
        <f>E43</f>
        <v>127224</v>
      </c>
      <c r="F106" s="33">
        <f>F43</f>
        <v>176768</v>
      </c>
      <c r="G106" s="23">
        <f>F43</f>
        <v>176768</v>
      </c>
      <c r="H106" s="33">
        <f>C43</f>
        <v>2573</v>
      </c>
      <c r="J106" s="24" t="s">
        <v>249</v>
      </c>
    </row>
    <row r="107" spans="2:10">
      <c r="B107" s="15" t="s">
        <v>250</v>
      </c>
      <c r="C107" s="22">
        <f>C44</f>
        <v>38752</v>
      </c>
      <c r="D107" s="22">
        <f>D44</f>
        <v>7049</v>
      </c>
      <c r="E107" s="22">
        <f>E44</f>
        <v>0</v>
      </c>
      <c r="F107" s="22">
        <f>F44</f>
        <v>0</v>
      </c>
      <c r="G107" s="36">
        <f>F44</f>
        <v>0</v>
      </c>
      <c r="H107" s="22">
        <f>C44</f>
        <v>38752</v>
      </c>
      <c r="J107" s="24" t="s">
        <v>251</v>
      </c>
    </row>
    <row r="109" spans="2:10">
      <c r="B109" s="21" t="s">
        <v>252</v>
      </c>
      <c r="C109" s="14" t="s">
        <v>218</v>
      </c>
      <c r="D109" s="14" t="s">
        <v>85</v>
      </c>
      <c r="E109" s="14" t="s">
        <v>86</v>
      </c>
      <c r="F109" s="14" t="s">
        <v>88</v>
      </c>
      <c r="G109" s="14" t="s">
        <v>219</v>
      </c>
      <c r="H109" s="14" t="s">
        <v>83</v>
      </c>
      <c r="J109" s="21" t="s">
        <v>220</v>
      </c>
    </row>
    <row r="110" spans="2:10">
      <c r="B110" s="15" t="s">
        <v>253</v>
      </c>
      <c r="C110" s="22">
        <f>C49-D49</f>
        <v>809</v>
      </c>
      <c r="D110" s="22">
        <f>E49</f>
        <v>619</v>
      </c>
      <c r="E110" s="22">
        <f>F49</f>
        <v>962</v>
      </c>
      <c r="F110" s="22">
        <f>G49</f>
        <v>1767</v>
      </c>
      <c r="G110" s="36">
        <f>SUM(C110:F110)</f>
        <v>4157</v>
      </c>
      <c r="H110" s="22">
        <f>C49</f>
        <v>4086</v>
      </c>
      <c r="J110" s="24" t="s">
        <v>254</v>
      </c>
    </row>
    <row r="111" spans="2:10">
      <c r="B111" s="15" t="s">
        <v>255</v>
      </c>
      <c r="C111" s="22">
        <f>C50-D50</f>
        <v>3228</v>
      </c>
      <c r="D111" s="22">
        <f>E50</f>
        <v>3257</v>
      </c>
      <c r="E111" s="22">
        <f>F50</f>
        <v>4291</v>
      </c>
      <c r="F111" s="22">
        <f>G50</f>
        <v>5248</v>
      </c>
      <c r="G111" s="36">
        <f>SUM(C111:F111)</f>
        <v>16024</v>
      </c>
      <c r="H111" s="22">
        <f>C50</f>
        <v>11387</v>
      </c>
      <c r="J111" s="24"/>
    </row>
    <row r="112" spans="2:10">
      <c r="B112" s="15" t="s">
        <v>256</v>
      </c>
      <c r="C112" s="22">
        <f>C51-D51</f>
        <v>923</v>
      </c>
      <c r="D112" s="22">
        <f>E51</f>
        <v>818</v>
      </c>
      <c r="E112" s="22">
        <f>F51</f>
        <v>2561</v>
      </c>
      <c r="F112" s="22">
        <f>G51</f>
        <v>7560</v>
      </c>
      <c r="G112" s="36">
        <f>SUM(C112:F112)</f>
        <v>11862</v>
      </c>
      <c r="H112" s="22">
        <f>C51</f>
        <v>3201</v>
      </c>
      <c r="J112" s="24"/>
    </row>
    <row r="113" spans="2:10">
      <c r="B113" s="15" t="s">
        <v>257</v>
      </c>
      <c r="C113" s="22">
        <f>(C49-C53)-(D49-D53)</f>
        <v>561</v>
      </c>
      <c r="D113" s="22">
        <f>(E49-E53)</f>
        <v>338</v>
      </c>
      <c r="E113" s="22">
        <f>(F49-F53)</f>
        <v>633</v>
      </c>
      <c r="F113" s="22">
        <f>(G49-G53)</f>
        <v>1332</v>
      </c>
      <c r="G113" s="36">
        <f>SUM(C113:F113)</f>
        <v>2864</v>
      </c>
      <c r="H113" s="22">
        <f>(C49-C53)</f>
        <v>2734</v>
      </c>
      <c r="J113" s="24" t="s">
        <v>254</v>
      </c>
    </row>
    <row r="114" spans="2:10">
      <c r="B114" s="15" t="s">
        <v>258</v>
      </c>
      <c r="C114" s="22">
        <f>(C50-C54)-(D50-D54)</f>
        <v>1578</v>
      </c>
      <c r="D114" s="22">
        <f>(E50-E54)</f>
        <v>1606</v>
      </c>
      <c r="E114" s="22">
        <f>(F50-F54)</f>
        <v>2231</v>
      </c>
      <c r="F114" s="22">
        <f>(G50-G54)</f>
        <v>2880</v>
      </c>
      <c r="G114" s="36">
        <f>SUM(C114:F114)</f>
        <v>8295</v>
      </c>
      <c r="H114" s="22">
        <f>(C50-C54)</f>
        <v>5466</v>
      </c>
      <c r="J114" s="24"/>
    </row>
    <row r="115" spans="2:10">
      <c r="B115" s="15" t="s">
        <v>259</v>
      </c>
      <c r="C115" s="22">
        <f>(C51-C55)-(D51-D55)</f>
        <v>319</v>
      </c>
      <c r="D115" s="22">
        <f>(E51-E55)</f>
        <v>362</v>
      </c>
      <c r="E115" s="22">
        <f>(F51-F55)</f>
        <v>1455</v>
      </c>
      <c r="F115" s="22">
        <f>(G51-G55)</f>
        <v>4885</v>
      </c>
      <c r="G115" s="36">
        <f>SUM(C115:F115)</f>
        <v>7021</v>
      </c>
      <c r="H115" s="22">
        <f>(C51-C55)</f>
        <v>1023</v>
      </c>
      <c r="J115" s="24"/>
    </row>
    <row r="116" spans="2:10">
      <c r="B116" s="15" t="s">
        <v>260</v>
      </c>
      <c r="C116" s="22">
        <f>C57-D57</f>
        <v>-476</v>
      </c>
      <c r="D116" s="22">
        <f>E57</f>
        <v>-662</v>
      </c>
      <c r="E116" s="22">
        <f>F57</f>
        <v>-542</v>
      </c>
      <c r="F116" s="22">
        <f>G57</f>
        <v>-7</v>
      </c>
      <c r="G116" s="36">
        <f>SUM(C116:F116)</f>
        <v>-1687</v>
      </c>
      <c r="H116" s="22">
        <f>C57</f>
        <v>-657</v>
      </c>
      <c r="J116" s="24" t="s">
        <v>254</v>
      </c>
    </row>
    <row r="117" spans="2:10">
      <c r="B117" s="15" t="s">
        <v>261</v>
      </c>
      <c r="C117" s="22">
        <f>C58-D58</f>
        <v>1276</v>
      </c>
      <c r="D117" s="22">
        <f>E58</f>
        <v>1188</v>
      </c>
      <c r="E117" s="22">
        <f>F58</f>
        <v>1656</v>
      </c>
      <c r="F117" s="22">
        <f>G58</f>
        <v>2367</v>
      </c>
      <c r="G117" s="36">
        <f>SUM(C117:F117)</f>
        <v>6487</v>
      </c>
      <c r="H117" s="22">
        <f>C58</f>
        <v>4423</v>
      </c>
      <c r="J117" s="24"/>
    </row>
    <row r="118" spans="2:10">
      <c r="B118" s="15" t="s">
        <v>262</v>
      </c>
      <c r="C118" s="22">
        <f>C59-D59</f>
        <v>-2173</v>
      </c>
      <c r="D118" s="22">
        <f>E59</f>
        <v>-2469</v>
      </c>
      <c r="E118" s="22">
        <f>F59</f>
        <v>-1257</v>
      </c>
      <c r="F118" s="22">
        <f>G59</f>
        <v>431</v>
      </c>
      <c r="G118" s="36">
        <f>SUM(C118:F118)</f>
        <v>-5468</v>
      </c>
      <c r="H118" s="22">
        <f>C59</f>
        <v>-6355</v>
      </c>
      <c r="J118" s="24"/>
    </row>
    <row r="119" spans="2:10">
      <c r="B119" s="15" t="s">
        <v>184</v>
      </c>
      <c r="C119" s="22">
        <f>C61-D61</f>
        <v>-150</v>
      </c>
      <c r="D119" s="22">
        <f>E61</f>
        <v>-351</v>
      </c>
      <c r="E119" s="22">
        <f>F61</f>
        <v>-205</v>
      </c>
      <c r="F119" s="22">
        <f>G61</f>
        <v>357</v>
      </c>
      <c r="G119" s="36">
        <f>SUM(C119:F119)</f>
        <v>-349</v>
      </c>
      <c r="H119" s="22">
        <f>C61</f>
        <v>653</v>
      </c>
      <c r="J119" s="24" t="s">
        <v>254</v>
      </c>
    </row>
    <row r="120" spans="2:10">
      <c r="B120" s="15" t="s">
        <v>185</v>
      </c>
      <c r="C120" s="22">
        <f>C62-D62</f>
        <v>2045</v>
      </c>
      <c r="D120" s="22">
        <f>E62</f>
        <v>2087</v>
      </c>
      <c r="E120" s="22">
        <f>F62</f>
        <v>2597</v>
      </c>
      <c r="F120" s="22">
        <f>G62</f>
        <v>3499</v>
      </c>
      <c r="G120" s="36">
        <f>SUM(C120:F120)</f>
        <v>10228</v>
      </c>
      <c r="H120" s="22">
        <f>C62</f>
        <v>7168</v>
      </c>
      <c r="J120" s="24"/>
    </row>
    <row r="121" spans="2:10">
      <c r="B121" s="15" t="s">
        <v>186</v>
      </c>
      <c r="C121" s="22">
        <f>C63-D63</f>
        <v>-424</v>
      </c>
      <c r="D121" s="22">
        <f>E63</f>
        <v>-609</v>
      </c>
      <c r="E121" s="22">
        <f>F63</f>
        <v>1146</v>
      </c>
      <c r="F121" s="22">
        <f>G63</f>
        <v>4953</v>
      </c>
      <c r="G121" s="36">
        <f>SUM(C121:F121)</f>
        <v>5066</v>
      </c>
      <c r="H121" s="22">
        <f>C63</f>
        <v>-1237</v>
      </c>
      <c r="J121" s="24"/>
    </row>
    <row r="122" spans="2:10">
      <c r="B122" s="15" t="s">
        <v>263</v>
      </c>
      <c r="C122" s="22">
        <f>C65-D65</f>
        <v>1014</v>
      </c>
      <c r="D122" s="22">
        <f>E65</f>
        <v>1052</v>
      </c>
      <c r="E122" s="22">
        <f>F65</f>
        <v>1174</v>
      </c>
      <c r="F122" s="22">
        <f>G65</f>
        <v>1606</v>
      </c>
      <c r="G122" s="36">
        <f>SUM(C122:F122)</f>
        <v>4846</v>
      </c>
      <c r="H122" s="22">
        <f>C65</f>
        <v>3832</v>
      </c>
      <c r="J122" s="24" t="s">
        <v>254</v>
      </c>
    </row>
    <row r="123" spans="2:10">
      <c r="B123" s="15" t="s">
        <v>264</v>
      </c>
      <c r="C123" s="22">
        <f>C66-D66</f>
        <v>1227</v>
      </c>
      <c r="D123" s="22">
        <f>E66</f>
        <v>1332</v>
      </c>
      <c r="E123" s="22">
        <f>F66</f>
        <v>1367</v>
      </c>
      <c r="F123" s="22">
        <f>G66</f>
        <v>1543</v>
      </c>
      <c r="G123" s="36">
        <f>SUM(C123:F123)</f>
        <v>5469</v>
      </c>
      <c r="H123" s="22">
        <f>C66</f>
        <v>4178</v>
      </c>
      <c r="J123" s="24"/>
    </row>
    <row r="124" spans="2:10">
      <c r="B124" s="15" t="s">
        <v>265</v>
      </c>
      <c r="C124" s="22">
        <f>C67-D67</f>
        <v>4650</v>
      </c>
      <c r="D124" s="22">
        <f>E67</f>
        <v>7723</v>
      </c>
      <c r="E124" s="22">
        <f>F67</f>
        <v>15828</v>
      </c>
      <c r="F124" s="22">
        <f>G67</f>
        <v>16444</v>
      </c>
      <c r="G124" s="36">
        <f>SUM(C124:F124)</f>
        <v>44645</v>
      </c>
      <c r="H124" s="22">
        <f>C67</f>
        <v>12727</v>
      </c>
      <c r="J124" s="24"/>
    </row>
    <row r="125" spans="2:10">
      <c r="B125" s="27" t="s">
        <v>266</v>
      </c>
      <c r="C125" s="34">
        <f>IF(C110=0,0,C116/C110)</f>
        <v>-0.588380716934487</v>
      </c>
      <c r="D125" s="34">
        <f>IF(D110=0,0,D116/D110)</f>
        <v>-1.06946688206785</v>
      </c>
      <c r="E125" s="34">
        <f>IF(E110=0,0,E116/E110)</f>
        <v>-0.563409563409563</v>
      </c>
      <c r="F125" s="34">
        <f>IF(F110=0,0,F116/F110)</f>
        <v>-0.00396151669496322</v>
      </c>
      <c r="G125" s="34">
        <f>IF(G110=0,0,G116/G110)</f>
        <v>-0.405821505893673</v>
      </c>
      <c r="H125" s="34">
        <f>IF(H110=0,0,H116/H110)</f>
        <v>-0.16079295154185</v>
      </c>
    </row>
    <row r="126" spans="2:10">
      <c r="B126" s="27" t="s">
        <v>267</v>
      </c>
      <c r="C126" s="34">
        <f>IF(C111=0,0,C117/C111)</f>
        <v>0.395291201982652</v>
      </c>
      <c r="D126" s="34">
        <f>IF(D111=0,0,D117/D111)</f>
        <v>0.364752840036844</v>
      </c>
      <c r="E126" s="34">
        <f>IF(E111=0,0,E117/E111)</f>
        <v>0.385924027033326</v>
      </c>
      <c r="F126" s="34">
        <f>IF(F111=0,0,F117/F111)</f>
        <v>0.451028963414634</v>
      </c>
      <c r="G126" s="34">
        <f>IF(G111=0,0,G117/G111)</f>
        <v>0.404830254618073</v>
      </c>
      <c r="H126" s="34">
        <f>IF(H111=0,0,H117/H111)</f>
        <v>0.388425397382981</v>
      </c>
    </row>
    <row r="127" spans="2:10">
      <c r="B127" s="27" t="s">
        <v>268</v>
      </c>
      <c r="C127" s="34">
        <f>IF(C112=0,0,C118/C112)</f>
        <v>-2.35427952329361</v>
      </c>
      <c r="D127" s="34">
        <f>IF(D112=0,0,D118/D112)</f>
        <v>-3.01833740831296</v>
      </c>
      <c r="E127" s="34">
        <f>IF(E112=0,0,E118/E112)</f>
        <v>-0.490823896915267</v>
      </c>
      <c r="F127" s="34">
        <f>IF(F112=0,0,F118/F112)</f>
        <v>0.057010582010582</v>
      </c>
      <c r="G127" s="34">
        <f>IF(G112=0,0,G118/G112)</f>
        <v>-0.460967796324397</v>
      </c>
      <c r="H127" s="34">
        <f>IF(H112=0,0,H118/H112)</f>
        <v>-1.98531708840987</v>
      </c>
    </row>
    <row r="128" spans="2:10">
      <c r="B128" s="21" t="s">
        <v>269</v>
      </c>
      <c r="C128" s="14" t="s">
        <v>270</v>
      </c>
      <c r="D128" s="14" t="s">
        <v>271</v>
      </c>
      <c r="E128" s="14" t="s">
        <v>272</v>
      </c>
    </row>
    <row r="129" spans="2:8">
      <c r="B129" s="15" t="s">
        <v>253</v>
      </c>
      <c r="C129" s="26">
        <v>1666</v>
      </c>
      <c r="D129" s="22">
        <f>F110</f>
        <v>1767</v>
      </c>
      <c r="E129" s="37">
        <f>D129/C129-1</f>
        <v>0.0606242496998799</v>
      </c>
    </row>
    <row r="130" spans="2:8">
      <c r="B130" s="15" t="s">
        <v>255</v>
      </c>
      <c r="C130" s="26">
        <v>3097</v>
      </c>
      <c r="D130" s="22">
        <f>F111</f>
        <v>5248</v>
      </c>
      <c r="E130" s="37">
        <f>D130/C130-1</f>
        <v>0.694543106231837</v>
      </c>
    </row>
    <row r="131" spans="2:8">
      <c r="B131" s="15" t="s">
        <v>256</v>
      </c>
      <c r="C131" s="26">
        <v>813</v>
      </c>
      <c r="D131" s="22">
        <f>F112</f>
        <v>7560</v>
      </c>
      <c r="E131" s="37">
        <f>D131/C131-1</f>
        <v>8.29889298892989</v>
      </c>
    </row>
    <row r="132" spans="2:8">
      <c r="B132" s="27" t="s">
        <v>273</v>
      </c>
      <c r="C132" s="28">
        <f>C110+C111+C112-C89</f>
        <v>0</v>
      </c>
      <c r="D132" s="28">
        <f>D110+D111+D112-D89</f>
        <v>0</v>
      </c>
      <c r="E132" s="28">
        <f>E110+E111+E112-E89</f>
        <v>0</v>
      </c>
      <c r="F132" s="28">
        <f>F110+F111+F112-F89</f>
        <v>0</v>
      </c>
      <c r="G132" s="28">
        <f>G110+G111+G112-G89</f>
        <v>0</v>
      </c>
      <c r="H132" s="28">
        <f>H110+H111+H112-H89</f>
        <v>0</v>
      </c>
    </row>
    <row r="133" spans="2:8">
      <c r="B133" s="27" t="s">
        <v>274</v>
      </c>
      <c r="C133" s="28">
        <f>C116+C117+C118-C93</f>
        <v>0</v>
      </c>
      <c r="D133" s="28">
        <f>D116+D117+D118-D93</f>
        <v>0</v>
      </c>
      <c r="E133" s="28">
        <f>E116+E117+E118-E93</f>
        <v>0</v>
      </c>
      <c r="F133" s="28">
        <f>F116+F117+F118-F93</f>
        <v>0</v>
      </c>
      <c r="G133" s="28">
        <f>G116+G117+G118-G93</f>
        <v>0</v>
      </c>
      <c r="H133" s="28">
        <f>H116+H117+H118-H93</f>
        <v>0</v>
      </c>
    </row>
    <row r="134" spans="2:8">
      <c r="B134" s="27" t="s">
        <v>275</v>
      </c>
      <c r="C134" s="28">
        <f>C122+C123+C124-C100</f>
        <v>0</v>
      </c>
      <c r="D134" s="28">
        <f>D122+D123+D124-D100</f>
        <v>0</v>
      </c>
      <c r="E134" s="28">
        <f>E122+E123+E124-E100</f>
        <v>0</v>
      </c>
      <c r="F134" s="28">
        <f>F122+F123+F124-F100</f>
        <v>0</v>
      </c>
      <c r="G134" s="28">
        <f>G122+G123+G124-G100</f>
        <v>0</v>
      </c>
      <c r="H134" s="28">
        <f>H122+H123+H124-H100</f>
        <v>0</v>
      </c>
    </row>
  </sheetData>
  <pageMargins left="0.3" right="0.3" top="0.4" bottom="0.4" header="0.3" footer="0.3"/>
  <pageSetup paperSize="9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B1:J109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38.7109375" customWidth="1"/>
    <col min="3" max="9" width="12.7109375" customWidth="1"/>
    <col min="10" max="10" width="60.7109375" customWidth="1"/>
  </cols>
  <sheetData>
    <row r="1" spans="2:10">
      <c r="B1" s="12" t="s">
        <v>276</v>
      </c>
    </row>
    <row r="2" spans="2:10">
      <c r="B2" s="13" t="s">
        <v>277</v>
      </c>
    </row>
    <row r="4" spans="2:10">
      <c r="B4" s="20" t="s">
        <v>278</v>
      </c>
    </row>
    <row r="5" spans="2:10">
      <c r="B5" s="21" t="s">
        <v>82</v>
      </c>
      <c r="C5" s="14" t="s">
        <v>83</v>
      </c>
      <c r="D5" s="14" t="s">
        <v>218</v>
      </c>
      <c r="E5" s="14" t="s">
        <v>85</v>
      </c>
      <c r="F5" s="14" t="s">
        <v>86</v>
      </c>
      <c r="G5" s="14" t="s">
        <v>88</v>
      </c>
      <c r="H5" s="14" t="s">
        <v>89</v>
      </c>
      <c r="J5" s="21" t="s">
        <v>90</v>
      </c>
    </row>
    <row r="6" spans="2:10" ht="30" customHeight="1">
      <c r="B6" s="25" t="s">
        <v>91</v>
      </c>
      <c r="C6" s="25" t="s">
        <v>279</v>
      </c>
      <c r="D6" s="25" t="s">
        <v>280</v>
      </c>
      <c r="E6" s="25" t="s">
        <v>280</v>
      </c>
      <c r="F6" s="25" t="s">
        <v>280</v>
      </c>
      <c r="G6" s="25" t="s">
        <v>280</v>
      </c>
      <c r="H6" s="25" t="s">
        <v>281</v>
      </c>
      <c r="J6" s="25" t="s">
        <v>96</v>
      </c>
    </row>
    <row r="7" spans="2:10">
      <c r="B7" s="15" t="s">
        <v>282</v>
      </c>
      <c r="C7" s="26">
        <v>65821</v>
      </c>
      <c r="D7" s="26">
        <v>16750</v>
      </c>
      <c r="E7" s="26">
        <v>15473</v>
      </c>
      <c r="F7" s="26">
        <v>20006</v>
      </c>
      <c r="G7" s="26">
        <v>20094</v>
      </c>
      <c r="H7" s="26">
        <v>55573</v>
      </c>
      <c r="J7" s="24" t="s">
        <v>283</v>
      </c>
    </row>
    <row r="8" spans="2:10">
      <c r="B8" s="15" t="s">
        <v>284</v>
      </c>
      <c r="C8" s="26">
        <v>1993</v>
      </c>
      <c r="D8" s="26">
        <v>542</v>
      </c>
      <c r="E8" s="26">
        <v>380</v>
      </c>
      <c r="F8" s="26">
        <v>146</v>
      </c>
      <c r="G8" s="26">
        <v>113</v>
      </c>
      <c r="H8" s="26">
        <v>639</v>
      </c>
      <c r="J8" s="24" t="s">
        <v>285</v>
      </c>
    </row>
    <row r="9" spans="2:10">
      <c r="B9" s="15" t="s">
        <v>286</v>
      </c>
      <c r="C9" s="26">
        <v>1712</v>
      </c>
      <c r="D9" s="26">
        <v>401</v>
      </c>
      <c r="E9" s="26">
        <v>381</v>
      </c>
      <c r="F9" s="26">
        <v>364</v>
      </c>
      <c r="G9" s="26">
        <v>353</v>
      </c>
      <c r="H9" s="26">
        <v>1098</v>
      </c>
      <c r="J9" s="24" t="s">
        <v>287</v>
      </c>
    </row>
    <row r="10" spans="2:10">
      <c r="B10" s="15" t="s">
        <v>288</v>
      </c>
      <c r="C10" s="26">
        <v>12771</v>
      </c>
      <c r="D10" s="26">
        <v>3837</v>
      </c>
      <c r="E10" s="26">
        <v>2408</v>
      </c>
      <c r="F10" s="26">
        <v>3139</v>
      </c>
      <c r="G10" s="26">
        <v>2881</v>
      </c>
      <c r="H10" s="26">
        <v>8428</v>
      </c>
      <c r="J10" s="24" t="s">
        <v>289</v>
      </c>
    </row>
    <row r="11" spans="2:10">
      <c r="B11" s="15" t="s">
        <v>290</v>
      </c>
      <c r="C11" s="26">
        <v>12530</v>
      </c>
      <c r="D11" s="26">
        <v>3371</v>
      </c>
      <c r="E11" s="26">
        <v>3745</v>
      </c>
      <c r="F11" s="26">
        <v>4581</v>
      </c>
      <c r="G11" s="26">
        <v>4605</v>
      </c>
      <c r="H11" s="26">
        <v>12931</v>
      </c>
      <c r="J11" s="24" t="s">
        <v>291</v>
      </c>
    </row>
    <row r="12" spans="2:10">
      <c r="B12" s="11" t="s">
        <v>292</v>
      </c>
      <c r="C12" s="26">
        <v>94827</v>
      </c>
      <c r="D12" s="26">
        <v>24901</v>
      </c>
      <c r="E12" s="26">
        <v>22387</v>
      </c>
      <c r="F12" s="26">
        <v>28236</v>
      </c>
      <c r="G12" s="26">
        <v>28046</v>
      </c>
      <c r="H12" s="26">
        <v>78669</v>
      </c>
      <c r="J12" s="24" t="s">
        <v>293</v>
      </c>
    </row>
    <row r="13" spans="2:10">
      <c r="B13" s="15" t="s">
        <v>294</v>
      </c>
      <c r="C13" s="26">
        <v>56267</v>
      </c>
      <c r="D13" s="26">
        <v>13874</v>
      </c>
      <c r="E13" s="26">
        <v>12616</v>
      </c>
      <c r="F13" s="26">
        <v>16866</v>
      </c>
      <c r="G13" s="26">
        <v>16570</v>
      </c>
      <c r="H13" s="26">
        <v>46052</v>
      </c>
      <c r="J13" s="24" t="s">
        <v>295</v>
      </c>
    </row>
    <row r="14" spans="2:10">
      <c r="B14" s="15" t="s">
        <v>296</v>
      </c>
      <c r="C14" s="26">
        <v>898</v>
      </c>
      <c r="D14" s="26">
        <v>206</v>
      </c>
      <c r="E14" s="26">
        <v>196</v>
      </c>
      <c r="F14" s="26">
        <v>187</v>
      </c>
      <c r="G14" s="26">
        <v>184</v>
      </c>
      <c r="H14" s="26">
        <v>567</v>
      </c>
      <c r="J14" s="24" t="s">
        <v>297</v>
      </c>
    </row>
    <row r="15" spans="2:10">
      <c r="B15" s="15" t="s">
        <v>298</v>
      </c>
      <c r="C15" s="26">
        <v>8969</v>
      </c>
      <c r="D15" s="26">
        <v>2739</v>
      </c>
      <c r="E15" s="26">
        <v>1456</v>
      </c>
      <c r="F15" s="26">
        <v>2499</v>
      </c>
      <c r="G15" s="26">
        <v>1927</v>
      </c>
      <c r="H15" s="26">
        <v>5882</v>
      </c>
      <c r="J15" s="24" t="s">
        <v>299</v>
      </c>
    </row>
    <row r="16" spans="2:10">
      <c r="B16" s="15" t="s">
        <v>300</v>
      </c>
      <c r="C16" s="26">
        <v>11599</v>
      </c>
      <c r="D16" s="26">
        <v>3073</v>
      </c>
      <c r="E16" s="26">
        <v>3399</v>
      </c>
      <c r="F16" s="26">
        <v>3933</v>
      </c>
      <c r="G16" s="26">
        <v>3871</v>
      </c>
      <c r="H16" s="26">
        <v>11203</v>
      </c>
      <c r="J16" s="24" t="s">
        <v>301</v>
      </c>
    </row>
    <row r="17" spans="2:10">
      <c r="B17" s="15" t="s">
        <v>302</v>
      </c>
      <c r="C17" s="26">
        <v>77733</v>
      </c>
      <c r="D17" s="26">
        <v>19892</v>
      </c>
      <c r="E17" s="26">
        <v>17667</v>
      </c>
      <c r="F17" s="26">
        <v>23485</v>
      </c>
      <c r="G17" s="26">
        <v>22552</v>
      </c>
      <c r="H17" s="26">
        <v>63704</v>
      </c>
      <c r="J17" s="24" t="s">
        <v>303</v>
      </c>
    </row>
    <row r="18" spans="2:10">
      <c r="B18" s="15" t="s">
        <v>101</v>
      </c>
      <c r="C18" s="26">
        <v>6411</v>
      </c>
      <c r="D18" s="26">
        <v>1783</v>
      </c>
      <c r="E18" s="26">
        <v>1946</v>
      </c>
      <c r="F18" s="26">
        <v>2371</v>
      </c>
      <c r="G18" s="26">
        <v>2761</v>
      </c>
      <c r="H18" s="26">
        <v>7078</v>
      </c>
      <c r="J18" s="24" t="s">
        <v>102</v>
      </c>
    </row>
    <row r="19" spans="2:10">
      <c r="B19" s="15" t="s">
        <v>103</v>
      </c>
      <c r="C19" s="26">
        <v>5834</v>
      </c>
      <c r="D19" s="26">
        <v>1655</v>
      </c>
      <c r="E19" s="26">
        <v>1833</v>
      </c>
      <c r="F19" s="26">
        <v>1982</v>
      </c>
      <c r="G19" s="26">
        <v>2015</v>
      </c>
      <c r="H19" s="26">
        <v>5830</v>
      </c>
      <c r="J19" s="24" t="s">
        <v>304</v>
      </c>
    </row>
    <row r="20" spans="2:10">
      <c r="B20" s="15" t="s">
        <v>305</v>
      </c>
      <c r="C20" s="26">
        <v>494</v>
      </c>
      <c r="D20" s="26">
        <v>162</v>
      </c>
      <c r="E20" s="26">
        <v>0</v>
      </c>
      <c r="F20" s="26">
        <v>0</v>
      </c>
      <c r="G20" s="26">
        <v>0</v>
      </c>
      <c r="H20" s="26">
        <v>0</v>
      </c>
      <c r="J20" s="24" t="s">
        <v>306</v>
      </c>
    </row>
    <row r="21" spans="2:10">
      <c r="B21" s="11" t="s">
        <v>109</v>
      </c>
      <c r="C21" s="26">
        <v>4355</v>
      </c>
      <c r="D21" s="26">
        <v>1409</v>
      </c>
      <c r="E21" s="26">
        <v>941</v>
      </c>
      <c r="F21" s="26">
        <v>398</v>
      </c>
      <c r="G21" s="26">
        <v>718</v>
      </c>
      <c r="H21" s="26">
        <v>2057</v>
      </c>
      <c r="J21" s="24" t="s">
        <v>307</v>
      </c>
    </row>
    <row r="22" spans="2:10">
      <c r="B22" s="15" t="s">
        <v>113</v>
      </c>
      <c r="C22" s="26">
        <v>1680</v>
      </c>
      <c r="D22" s="26">
        <v>449</v>
      </c>
      <c r="E22" s="26">
        <v>434</v>
      </c>
      <c r="F22" s="26">
        <v>422</v>
      </c>
      <c r="G22" s="26">
        <v>445</v>
      </c>
      <c r="H22" s="26">
        <v>1301</v>
      </c>
      <c r="J22" s="24" t="s">
        <v>114</v>
      </c>
    </row>
    <row r="23" spans="2:10">
      <c r="B23" s="15" t="s">
        <v>111</v>
      </c>
      <c r="C23" s="26">
        <v>-338</v>
      </c>
      <c r="D23" s="26">
        <v>-85</v>
      </c>
      <c r="E23" s="26">
        <v>-92</v>
      </c>
      <c r="F23" s="26">
        <v>-81</v>
      </c>
      <c r="G23" s="26">
        <v>-90</v>
      </c>
      <c r="H23" s="26">
        <v>-263</v>
      </c>
      <c r="J23" s="24" t="s">
        <v>112</v>
      </c>
    </row>
    <row r="24" spans="2:10">
      <c r="B24" s="15" t="s">
        <v>308</v>
      </c>
      <c r="C24" s="26">
        <v>-419</v>
      </c>
      <c r="D24" s="26">
        <v>-592</v>
      </c>
      <c r="E24" s="26">
        <v>-535</v>
      </c>
      <c r="F24" s="26">
        <v>590</v>
      </c>
      <c r="G24" s="26">
        <v>-117</v>
      </c>
      <c r="H24" s="26">
        <v>-62</v>
      </c>
      <c r="J24" s="24" t="s">
        <v>309</v>
      </c>
    </row>
    <row r="25" spans="2:10">
      <c r="B25" s="15" t="s">
        <v>310</v>
      </c>
      <c r="C25" s="26">
        <v>5278</v>
      </c>
      <c r="D25" s="26">
        <v>1181</v>
      </c>
      <c r="E25" s="26">
        <v>748</v>
      </c>
      <c r="F25" s="26">
        <v>1329</v>
      </c>
      <c r="G25" s="26">
        <v>956</v>
      </c>
      <c r="H25" s="26">
        <v>3033</v>
      </c>
      <c r="J25" s="24" t="s">
        <v>311</v>
      </c>
    </row>
    <row r="26" spans="2:10">
      <c r="B26" s="15" t="s">
        <v>312</v>
      </c>
      <c r="C26" s="26">
        <v>1423</v>
      </c>
      <c r="D26" s="26">
        <v>325</v>
      </c>
      <c r="E26" s="26">
        <v>257</v>
      </c>
      <c r="F26" s="26">
        <v>201</v>
      </c>
      <c r="G26" s="26">
        <v>152</v>
      </c>
      <c r="H26" s="26">
        <v>610</v>
      </c>
      <c r="J26" s="24" t="s">
        <v>313</v>
      </c>
    </row>
    <row r="27" spans="2:10">
      <c r="B27" s="15" t="s">
        <v>314</v>
      </c>
      <c r="C27" s="26">
        <v>3855</v>
      </c>
      <c r="D27" s="26">
        <v>856</v>
      </c>
      <c r="E27" s="26">
        <v>491</v>
      </c>
      <c r="F27" s="26">
        <v>1128</v>
      </c>
      <c r="G27" s="26">
        <v>804</v>
      </c>
      <c r="H27" s="26">
        <v>2423</v>
      </c>
      <c r="J27" s="24" t="s">
        <v>315</v>
      </c>
    </row>
    <row r="28" spans="2:10">
      <c r="B28" s="15" t="s">
        <v>316</v>
      </c>
      <c r="C28" s="26">
        <v>61</v>
      </c>
      <c r="D28" s="26">
        <v>16</v>
      </c>
      <c r="E28" s="26">
        <v>14</v>
      </c>
      <c r="F28" s="26">
        <v>14</v>
      </c>
      <c r="G28" s="26">
        <v>17</v>
      </c>
      <c r="H28" s="26">
        <v>45</v>
      </c>
      <c r="J28" s="24" t="s">
        <v>317</v>
      </c>
    </row>
    <row r="29" spans="2:10">
      <c r="B29" s="11" t="s">
        <v>318</v>
      </c>
      <c r="C29" s="26">
        <v>3794</v>
      </c>
      <c r="D29" s="26">
        <v>840</v>
      </c>
      <c r="E29" s="26">
        <v>477</v>
      </c>
      <c r="F29" s="26">
        <v>1114</v>
      </c>
      <c r="G29" s="26">
        <v>787</v>
      </c>
      <c r="H29" s="26">
        <v>2378</v>
      </c>
      <c r="J29" s="24" t="s">
        <v>319</v>
      </c>
    </row>
    <row r="30" spans="2:10">
      <c r="B30" s="15" t="s">
        <v>320</v>
      </c>
      <c r="C30" s="26">
        <v>6148</v>
      </c>
      <c r="D30" s="26">
        <v>1643</v>
      </c>
      <c r="E30" s="26">
        <v>1590</v>
      </c>
      <c r="F30" s="26">
        <v>1619</v>
      </c>
      <c r="G30" s="26">
        <v>1852</v>
      </c>
      <c r="H30" s="26">
        <v>5061</v>
      </c>
      <c r="J30" s="24" t="s">
        <v>321</v>
      </c>
    </row>
    <row r="31" spans="2:10">
      <c r="B31" s="15" t="s">
        <v>322</v>
      </c>
      <c r="C31" s="26">
        <v>2825</v>
      </c>
      <c r="D31" s="26">
        <v>954</v>
      </c>
      <c r="E31" s="26">
        <v>1030</v>
      </c>
      <c r="F31" s="26">
        <v>1151</v>
      </c>
      <c r="G31" s="26">
        <v>1165</v>
      </c>
      <c r="H31" s="26">
        <v>3346</v>
      </c>
      <c r="J31" s="24" t="s">
        <v>323</v>
      </c>
    </row>
    <row r="32" spans="2:10">
      <c r="B32" s="15" t="s">
        <v>324</v>
      </c>
      <c r="C32" s="26">
        <v>68</v>
      </c>
      <c r="D32" s="26">
        <v>307</v>
      </c>
      <c r="E32" s="26">
        <v>222</v>
      </c>
      <c r="F32" s="26">
        <v>112</v>
      </c>
      <c r="G32" s="26">
        <v>-288</v>
      </c>
      <c r="H32" s="26">
        <v>46</v>
      </c>
      <c r="J32" s="24" t="s">
        <v>325</v>
      </c>
    </row>
    <row r="33" spans="2:10">
      <c r="B33" s="15" t="s">
        <v>326</v>
      </c>
      <c r="C33" s="26">
        <v>0</v>
      </c>
      <c r="D33" s="26">
        <v>0</v>
      </c>
      <c r="E33" s="26">
        <v>0</v>
      </c>
      <c r="F33" s="26">
        <v>-1005</v>
      </c>
      <c r="G33" s="26">
        <v>142</v>
      </c>
      <c r="H33" s="26">
        <v>-863</v>
      </c>
      <c r="J33" s="24" t="s">
        <v>327</v>
      </c>
    </row>
    <row r="34" spans="2:10">
      <c r="B34" s="27" t="s">
        <v>328</v>
      </c>
      <c r="C34" s="26">
        <v>0</v>
      </c>
      <c r="D34" s="26">
        <v>0</v>
      </c>
      <c r="E34" s="26">
        <v>0</v>
      </c>
      <c r="F34" s="26">
        <v>-763</v>
      </c>
      <c r="G34" s="26">
        <v>108</v>
      </c>
      <c r="H34" s="29" t="s">
        <v>141</v>
      </c>
      <c r="J34" s="24" t="s">
        <v>329</v>
      </c>
    </row>
    <row r="35" spans="2:10">
      <c r="B35" s="11" t="s">
        <v>131</v>
      </c>
      <c r="C35" s="26">
        <v>14596</v>
      </c>
      <c r="D35" s="26">
        <v>4154</v>
      </c>
      <c r="E35" s="26">
        <v>3668</v>
      </c>
      <c r="F35" s="26">
        <v>3273</v>
      </c>
      <c r="G35" s="26">
        <v>3900</v>
      </c>
      <c r="H35" s="29" t="s">
        <v>141</v>
      </c>
      <c r="J35" s="24" t="s">
        <v>132</v>
      </c>
    </row>
    <row r="36" spans="2:10">
      <c r="B36" s="27" t="s">
        <v>330</v>
      </c>
      <c r="C36" s="28">
        <f>C7+C8+C9+C10+C11-C12</f>
        <v>0</v>
      </c>
      <c r="D36" s="28">
        <f>D7+D8+D9+D10+D11-D12</f>
        <v>0</v>
      </c>
      <c r="E36" s="28">
        <f>E7+E8+E9+E10+E11-E12</f>
        <v>0</v>
      </c>
      <c r="F36" s="28">
        <f>F7+F8+F9+F10+F11-F12</f>
        <v>0</v>
      </c>
      <c r="G36" s="28">
        <f>G7+G8+G9+G10+G11-G12</f>
        <v>0</v>
      </c>
      <c r="H36" s="28">
        <f>H7+H8+H9+H10+H11-H12</f>
        <v>0</v>
      </c>
    </row>
    <row r="37" spans="2:10">
      <c r="B37" s="27" t="s">
        <v>331</v>
      </c>
      <c r="C37" s="28">
        <f>C13+C14+C15+C16-C17</f>
        <v>0</v>
      </c>
      <c r="D37" s="28">
        <f>D13+D14+D15+D16-D17</f>
        <v>0</v>
      </c>
      <c r="E37" s="28">
        <f>E13+E14+E15+E16-E17</f>
        <v>0</v>
      </c>
      <c r="F37" s="28">
        <f>F13+F14+F15+F16-F17</f>
        <v>0</v>
      </c>
      <c r="G37" s="28">
        <f>G13+G14+G15+G16-G17</f>
        <v>0</v>
      </c>
      <c r="H37" s="28">
        <f>H13+H14+H15+H16-H17</f>
        <v>0</v>
      </c>
    </row>
    <row r="38" spans="2:10">
      <c r="B38" s="27" t="s">
        <v>332</v>
      </c>
      <c r="C38" s="28">
        <f>C12-C17-C18-C19-C20-C21</f>
        <v>0</v>
      </c>
      <c r="D38" s="28">
        <f>D12-D17-D18-D19-D20-D21</f>
        <v>0</v>
      </c>
      <c r="E38" s="28">
        <f>E12-E17-E18-E19-E20-E21</f>
        <v>0</v>
      </c>
      <c r="F38" s="28">
        <f>F12-F17-F18-F19-F20-F21</f>
        <v>0</v>
      </c>
      <c r="G38" s="28">
        <f>G12-G17-G18-G19-G20-G21</f>
        <v>0</v>
      </c>
      <c r="H38" s="28">
        <f>H12-H17-H18-H19-H20-H21</f>
        <v>0</v>
      </c>
    </row>
    <row r="39" spans="2:10">
      <c r="B39" s="27" t="s">
        <v>333</v>
      </c>
      <c r="C39" s="28">
        <f>ABS(C21+C22+C23+C24-C26-C27)+ABS(C27-C28-C29)</f>
        <v>0</v>
      </c>
      <c r="D39" s="28">
        <f>ABS(D21+D22+D23+D24-D26-D27)+ABS(D27-D28-D29)</f>
        <v>0</v>
      </c>
      <c r="E39" s="28">
        <f>ABS(E21+E22+E23+E24-E26-E27)+ABS(E27-E28-E29)</f>
        <v>0</v>
      </c>
      <c r="F39" s="28">
        <f>ABS(F21+F22+F23+F24-F26-F27)+ABS(F27-F28-F29)</f>
        <v>0</v>
      </c>
      <c r="G39" s="28">
        <f>ABS(G21+G22+G23+G24-G26-G27)+ABS(G27-G28-G29)</f>
        <v>0</v>
      </c>
      <c r="H39" s="28">
        <f>ABS(H21+H22+H23+H24-H26-H27)+ABS(H27-H28-H29)</f>
        <v>0</v>
      </c>
    </row>
    <row r="40" spans="2:10">
      <c r="B40" s="27" t="s">
        <v>135</v>
      </c>
      <c r="C40" s="28">
        <f>C29-C23+C26+C30+C31+C32+C33-C35</f>
        <v>0</v>
      </c>
      <c r="D40" s="28">
        <f>D29-D23+D26+D30+D31+D32+D33-D35</f>
        <v>0</v>
      </c>
      <c r="E40" s="28">
        <f>E29-E23+E26+E30+E31+E32+E33-E35</f>
        <v>0</v>
      </c>
      <c r="F40" s="28">
        <f>F29-F23+F26+F30+F31+F32+F33-F35</f>
        <v>0</v>
      </c>
      <c r="G40" s="28">
        <f>G29-G23+G26+G30+G31+G32+G33-G35</f>
        <v>0</v>
      </c>
      <c r="H40" s="10" t="s">
        <v>141</v>
      </c>
    </row>
    <row r="41" spans="2:10">
      <c r="B41" s="27" t="s">
        <v>334</v>
      </c>
      <c r="H41" s="28">
        <f>ABS(E12+F12+G12-H12)+ABS(E17+F17+G17-H17)+ABS(E18+F18+G18-H18)+ABS(E19+F19+G19-H19)+ABS(E21+F21+G21-H21)+ABS(E27+F27+G27-H27)+ABS(E29+F29+G29-H29)+ABS(E30+F30+G30-H30)+ABS(E31+F31+G31-H31)</f>
        <v>0</v>
      </c>
    </row>
    <row r="43" spans="2:10">
      <c r="B43" s="20" t="s">
        <v>335</v>
      </c>
    </row>
    <row r="44" spans="2:10">
      <c r="B44" s="21" t="s">
        <v>82</v>
      </c>
      <c r="C44" s="14" t="s">
        <v>83</v>
      </c>
      <c r="D44" s="14" t="s">
        <v>218</v>
      </c>
      <c r="E44" s="14" t="s">
        <v>85</v>
      </c>
      <c r="F44" s="14" t="s">
        <v>86</v>
      </c>
      <c r="G44" s="14" t="s">
        <v>88</v>
      </c>
      <c r="H44" s="14" t="s">
        <v>89</v>
      </c>
      <c r="J44" s="21" t="s">
        <v>139</v>
      </c>
    </row>
    <row r="45" spans="2:10">
      <c r="B45" s="15" t="s">
        <v>140</v>
      </c>
      <c r="C45" s="26">
        <v>14747</v>
      </c>
      <c r="D45" s="26">
        <v>3813</v>
      </c>
      <c r="E45" s="26">
        <v>3937</v>
      </c>
      <c r="F45" s="26">
        <v>4697</v>
      </c>
      <c r="G45" s="26">
        <v>6263</v>
      </c>
      <c r="H45" s="26">
        <v>14897</v>
      </c>
      <c r="J45" s="24" t="s">
        <v>142</v>
      </c>
    </row>
    <row r="46" spans="2:10">
      <c r="B46" s="15" t="s">
        <v>336</v>
      </c>
      <c r="C46" s="26">
        <v>8527</v>
      </c>
      <c r="D46" s="26">
        <v>2393</v>
      </c>
      <c r="E46" s="26">
        <v>2493</v>
      </c>
      <c r="F46" s="26">
        <v>5789</v>
      </c>
      <c r="G46" s="26">
        <v>4732</v>
      </c>
      <c r="H46" s="26">
        <v>13014</v>
      </c>
      <c r="J46" s="24" t="s">
        <v>337</v>
      </c>
    </row>
    <row r="47" spans="2:10">
      <c r="B47" s="27" t="s">
        <v>338</v>
      </c>
      <c r="H47" s="28">
        <f>ABS(E45+F45+G45-H45)+ABS(E46+F46+G46-H46)</f>
        <v>0</v>
      </c>
    </row>
    <row r="49" spans="2:10">
      <c r="B49" s="20" t="s">
        <v>145</v>
      </c>
    </row>
    <row r="50" spans="2:10">
      <c r="B50" s="21" t="s">
        <v>82</v>
      </c>
      <c r="C50" s="14" t="s">
        <v>146</v>
      </c>
      <c r="D50" s="14" t="s">
        <v>147</v>
      </c>
      <c r="E50" s="14" t="s">
        <v>148</v>
      </c>
      <c r="F50" s="14" t="s">
        <v>149</v>
      </c>
      <c r="J50" s="21" t="s">
        <v>139</v>
      </c>
    </row>
    <row r="51" spans="2:10">
      <c r="B51" s="15" t="s">
        <v>339</v>
      </c>
      <c r="C51" s="26">
        <v>44059</v>
      </c>
      <c r="D51" s="26">
        <v>44743</v>
      </c>
      <c r="E51" s="26">
        <v>43524</v>
      </c>
      <c r="F51" s="26">
        <v>45447</v>
      </c>
      <c r="J51" s="24" t="s">
        <v>340</v>
      </c>
    </row>
    <row r="52" spans="2:10">
      <c r="B52" s="15" t="s">
        <v>154</v>
      </c>
      <c r="C52" s="26">
        <v>1640</v>
      </c>
      <c r="D52" s="26">
        <v>1447</v>
      </c>
      <c r="E52" s="26">
        <v>1418</v>
      </c>
      <c r="F52" s="26">
        <v>1387</v>
      </c>
      <c r="J52" s="24" t="s">
        <v>341</v>
      </c>
    </row>
    <row r="53" spans="2:10">
      <c r="B53" s="15" t="s">
        <v>156</v>
      </c>
      <c r="C53" s="26">
        <v>6736</v>
      </c>
      <c r="D53" s="26">
        <v>7782</v>
      </c>
      <c r="E53" s="26">
        <v>7924</v>
      </c>
      <c r="F53" s="26">
        <v>8136</v>
      </c>
      <c r="J53" s="24" t="s">
        <v>342</v>
      </c>
    </row>
    <row r="54" spans="2:10">
      <c r="B54" s="15" t="s">
        <v>343</v>
      </c>
      <c r="C54" s="26">
        <v>82137</v>
      </c>
      <c r="D54" s="26">
        <v>84116</v>
      </c>
      <c r="E54" s="26">
        <v>86858</v>
      </c>
      <c r="F54" s="26">
        <v>89289</v>
      </c>
      <c r="J54" s="24" t="s">
        <v>344</v>
      </c>
    </row>
    <row r="55" spans="2:10">
      <c r="B55" s="15" t="s">
        <v>345</v>
      </c>
      <c r="C55" s="26">
        <v>670</v>
      </c>
      <c r="D55" s="26">
        <v>629</v>
      </c>
      <c r="E55" s="26">
        <v>607</v>
      </c>
      <c r="F55" s="26">
        <v>546</v>
      </c>
      <c r="J55" s="24" t="s">
        <v>346</v>
      </c>
    </row>
    <row r="56" spans="2:10">
      <c r="B56" s="15" t="s">
        <v>347</v>
      </c>
      <c r="C56" s="26">
        <v>58</v>
      </c>
      <c r="D56" s="26">
        <v>57</v>
      </c>
      <c r="E56" s="26">
        <v>54</v>
      </c>
      <c r="F56" s="26">
        <v>54</v>
      </c>
      <c r="J56" s="24" t="s">
        <v>348</v>
      </c>
    </row>
    <row r="58" spans="2:10">
      <c r="B58" s="20" t="s">
        <v>349</v>
      </c>
    </row>
    <row r="59" spans="2:10">
      <c r="B59" s="21" t="s">
        <v>169</v>
      </c>
      <c r="C59" s="14" t="s">
        <v>83</v>
      </c>
      <c r="D59" s="14" t="s">
        <v>88</v>
      </c>
      <c r="E59" s="14" t="s">
        <v>89</v>
      </c>
      <c r="J59" s="21" t="s">
        <v>170</v>
      </c>
    </row>
    <row r="60" spans="2:10">
      <c r="B60" s="15" t="s">
        <v>350</v>
      </c>
      <c r="C60" s="26">
        <v>82056</v>
      </c>
      <c r="D60" s="26">
        <v>25165</v>
      </c>
      <c r="E60" s="26">
        <v>70241</v>
      </c>
      <c r="J60" s="24" t="s">
        <v>351</v>
      </c>
    </row>
    <row r="61" spans="2:10">
      <c r="B61" s="15" t="s">
        <v>352</v>
      </c>
      <c r="C61" s="26">
        <v>68764</v>
      </c>
      <c r="D61" s="26">
        <v>20625</v>
      </c>
      <c r="E61" s="26">
        <v>57822</v>
      </c>
      <c r="J61" s="24"/>
    </row>
    <row r="62" spans="2:10">
      <c r="B62" s="15" t="s">
        <v>353</v>
      </c>
      <c r="C62" s="26">
        <v>13292</v>
      </c>
      <c r="D62" s="26">
        <v>4540</v>
      </c>
      <c r="E62" s="26">
        <v>12419</v>
      </c>
      <c r="J62" s="24"/>
    </row>
    <row r="63" spans="2:10">
      <c r="B63" s="15" t="s">
        <v>354</v>
      </c>
      <c r="C63" s="26">
        <v>12771</v>
      </c>
      <c r="D63" s="26">
        <v>2881</v>
      </c>
      <c r="E63" s="26">
        <v>8428</v>
      </c>
      <c r="J63" s="24"/>
    </row>
    <row r="64" spans="2:10">
      <c r="B64" s="15" t="s">
        <v>355</v>
      </c>
      <c r="C64" s="26">
        <v>8969</v>
      </c>
      <c r="D64" s="26">
        <v>1927</v>
      </c>
      <c r="E64" s="26">
        <v>5882</v>
      </c>
      <c r="J64" s="24"/>
    </row>
    <row r="65" spans="2:10">
      <c r="B65" s="15" t="s">
        <v>356</v>
      </c>
      <c r="C65" s="26">
        <v>3802</v>
      </c>
      <c r="D65" s="26">
        <v>954</v>
      </c>
      <c r="E65" s="26">
        <v>2546</v>
      </c>
      <c r="J65" s="24"/>
    </row>
    <row r="67" spans="2:10">
      <c r="B67" s="20" t="s">
        <v>357</v>
      </c>
    </row>
    <row r="68" spans="2:10">
      <c r="B68" s="21" t="s">
        <v>193</v>
      </c>
      <c r="C68" s="14" t="s">
        <v>218</v>
      </c>
      <c r="D68" s="14" t="s">
        <v>85</v>
      </c>
      <c r="E68" s="14" t="s">
        <v>86</v>
      </c>
      <c r="F68" s="14" t="s">
        <v>88</v>
      </c>
      <c r="G68" s="14" t="s">
        <v>358</v>
      </c>
      <c r="J68" s="21" t="s">
        <v>195</v>
      </c>
    </row>
    <row r="69" spans="2:10">
      <c r="B69" s="15" t="s">
        <v>359</v>
      </c>
      <c r="C69" s="32">
        <v>418227</v>
      </c>
      <c r="D69" s="32">
        <v>358023</v>
      </c>
      <c r="E69" s="32">
        <v>480126</v>
      </c>
      <c r="F69" s="32">
        <v>486532</v>
      </c>
      <c r="G69" s="38">
        <f>SUM(C69:F69)</f>
        <v>1742908</v>
      </c>
      <c r="J69" s="24" t="s">
        <v>360</v>
      </c>
    </row>
    <row r="70" spans="2:10">
      <c r="B70" s="15" t="s">
        <v>361</v>
      </c>
      <c r="C70" s="32">
        <v>434358</v>
      </c>
      <c r="D70" s="32">
        <v>408386</v>
      </c>
      <c r="E70" s="32">
        <v>451758</v>
      </c>
      <c r="F70" s="32">
        <v>464391</v>
      </c>
      <c r="G70" s="38">
        <f>SUM(C70:F70)</f>
        <v>1758893</v>
      </c>
      <c r="J70" s="24" t="s">
        <v>360</v>
      </c>
    </row>
    <row r="71" spans="2:10">
      <c r="B71" s="15" t="s">
        <v>362</v>
      </c>
      <c r="C71" s="30">
        <v>14.2</v>
      </c>
      <c r="D71" s="30">
        <v>8.800000000000001</v>
      </c>
      <c r="E71" s="30">
        <v>13.5</v>
      </c>
      <c r="F71" s="30">
        <v>13.7</v>
      </c>
      <c r="G71" s="39">
        <f>SUM(C71:F71)</f>
        <v>50.2</v>
      </c>
      <c r="J71" s="24" t="s">
        <v>360</v>
      </c>
    </row>
    <row r="72" spans="2:10">
      <c r="B72" s="15" t="s">
        <v>363</v>
      </c>
      <c r="C72" s="40">
        <v>1.1</v>
      </c>
      <c r="D72" s="40">
        <v>1.28</v>
      </c>
      <c r="E72" s="40">
        <v>1.48</v>
      </c>
      <c r="F72" s="40">
        <v>1.74</v>
      </c>
      <c r="G72" s="41">
        <f>F72</f>
        <v>1.74</v>
      </c>
      <c r="J72" s="24" t="s">
        <v>360</v>
      </c>
    </row>
    <row r="73" spans="2:10">
      <c r="B73" s="15" t="s">
        <v>364</v>
      </c>
      <c r="C73" s="32">
        <v>77682</v>
      </c>
      <c r="D73" s="32">
        <v>79918</v>
      </c>
      <c r="E73" s="32">
        <v>82357</v>
      </c>
      <c r="F73" s="32">
        <v>84465</v>
      </c>
      <c r="G73" s="38">
        <f>F73</f>
        <v>84465</v>
      </c>
      <c r="J73" s="24" t="s">
        <v>360</v>
      </c>
    </row>
    <row r="75" spans="2:10">
      <c r="B75" s="20" t="s">
        <v>216</v>
      </c>
    </row>
    <row r="76" spans="2:10" ht="30" customHeight="1">
      <c r="B76" s="21" t="s">
        <v>217</v>
      </c>
      <c r="C76" s="14" t="s">
        <v>218</v>
      </c>
      <c r="D76" s="14" t="s">
        <v>85</v>
      </c>
      <c r="E76" s="14" t="s">
        <v>86</v>
      </c>
      <c r="F76" s="14" t="s">
        <v>88</v>
      </c>
      <c r="G76" s="14" t="s">
        <v>219</v>
      </c>
      <c r="H76" s="14" t="s">
        <v>83</v>
      </c>
      <c r="J76" s="21" t="s">
        <v>220</v>
      </c>
    </row>
    <row r="77" spans="2:10">
      <c r="B77" s="11" t="s">
        <v>97</v>
      </c>
      <c r="C77" s="33">
        <f>D12</f>
        <v>24901</v>
      </c>
      <c r="D77" s="33">
        <f>E12</f>
        <v>22387</v>
      </c>
      <c r="E77" s="33">
        <f>F12</f>
        <v>28236</v>
      </c>
      <c r="F77" s="33">
        <f>G12</f>
        <v>28046</v>
      </c>
      <c r="G77" s="23">
        <f>SUM(C77:F77)</f>
        <v>103570</v>
      </c>
      <c r="H77" s="33">
        <f>C12</f>
        <v>94827</v>
      </c>
      <c r="J77" s="24" t="s">
        <v>365</v>
      </c>
    </row>
    <row r="78" spans="2:10">
      <c r="B78" s="15" t="s">
        <v>99</v>
      </c>
      <c r="C78" s="22">
        <f>D17</f>
        <v>19892</v>
      </c>
      <c r="D78" s="22">
        <f>E17</f>
        <v>17667</v>
      </c>
      <c r="E78" s="22">
        <f>F17</f>
        <v>23485</v>
      </c>
      <c r="F78" s="22">
        <f>G17</f>
        <v>22552</v>
      </c>
      <c r="G78" s="23">
        <f>SUM(C78:F78)</f>
        <v>83596</v>
      </c>
      <c r="H78" s="22">
        <f>C17</f>
        <v>77733</v>
      </c>
      <c r="J78" s="24" t="s">
        <v>222</v>
      </c>
    </row>
    <row r="79" spans="2:10">
      <c r="B79" s="11" t="s">
        <v>366</v>
      </c>
      <c r="C79" s="33">
        <f>C77-C78</f>
        <v>5009</v>
      </c>
      <c r="D79" s="33">
        <f>D77-D78</f>
        <v>4720</v>
      </c>
      <c r="E79" s="33">
        <f>E77-E78</f>
        <v>4751</v>
      </c>
      <c r="F79" s="33">
        <f>F77-F78</f>
        <v>5494</v>
      </c>
      <c r="G79" s="23">
        <f>G77-G78</f>
        <v>19974</v>
      </c>
      <c r="H79" s="33">
        <f>H77-H78</f>
        <v>17094</v>
      </c>
      <c r="J79" s="24" t="s">
        <v>367</v>
      </c>
    </row>
    <row r="80" spans="2:10">
      <c r="B80" s="15" t="s">
        <v>225</v>
      </c>
      <c r="C80" s="34">
        <f>IF(C77=0,0,C79/C77)</f>
        <v>0.201156580057026</v>
      </c>
      <c r="D80" s="34">
        <f>IF(D77=0,0,D79/D77)</f>
        <v>0.210836646267923</v>
      </c>
      <c r="E80" s="34">
        <f>IF(E77=0,0,E79/E77)</f>
        <v>0.168260376823913</v>
      </c>
      <c r="F80" s="34">
        <f>IF(F77=0,0,F79/F77)</f>
        <v>0.195892462383228</v>
      </c>
      <c r="G80" s="42">
        <f>IF(G77=0,0,G79/G77)</f>
        <v>0.192855073863088</v>
      </c>
      <c r="H80" s="34">
        <f>IF(H77=0,0,H79/H77)</f>
        <v>0.180265114366162</v>
      </c>
      <c r="J80" s="24" t="s">
        <v>226</v>
      </c>
    </row>
    <row r="81" spans="2:10">
      <c r="B81" s="11" t="s">
        <v>227</v>
      </c>
      <c r="C81" s="33">
        <f>D21</f>
        <v>1409</v>
      </c>
      <c r="D81" s="33">
        <f>E21</f>
        <v>941</v>
      </c>
      <c r="E81" s="33">
        <f>F21</f>
        <v>398</v>
      </c>
      <c r="F81" s="33">
        <f>G21</f>
        <v>718</v>
      </c>
      <c r="G81" s="23">
        <f>SUM(C81:F81)</f>
        <v>3466</v>
      </c>
      <c r="H81" s="33">
        <f>C21</f>
        <v>4355</v>
      </c>
      <c r="J81" s="24" t="s">
        <v>307</v>
      </c>
    </row>
    <row r="82" spans="2:10">
      <c r="B82" s="15" t="s">
        <v>228</v>
      </c>
      <c r="C82" s="34">
        <f>IF(C77=0,0,C81/C77)</f>
        <v>0.056584072928798</v>
      </c>
      <c r="D82" s="34">
        <f>IF(D77=0,0,D81/D77)</f>
        <v>0.0420333229106178</v>
      </c>
      <c r="E82" s="34">
        <f>IF(E77=0,0,E81/E77)</f>
        <v>0.0140954809463097</v>
      </c>
      <c r="F82" s="34">
        <f>IF(F77=0,0,F81/F77)</f>
        <v>0.0256007986878699</v>
      </c>
      <c r="G82" s="42">
        <f>IF(G77=0,0,G81/G77)</f>
        <v>0.0334652891764024</v>
      </c>
      <c r="H82" s="34">
        <f>IF(H77=0,0,H81/H77)</f>
        <v>0.0459257384500195</v>
      </c>
      <c r="J82" s="24" t="s">
        <v>229</v>
      </c>
    </row>
    <row r="83" spans="2:10">
      <c r="B83" s="11" t="s">
        <v>368</v>
      </c>
      <c r="C83" s="33">
        <f>D29</f>
        <v>840</v>
      </c>
      <c r="D83" s="33">
        <f>E29</f>
        <v>477</v>
      </c>
      <c r="E83" s="33">
        <f>F29</f>
        <v>1114</v>
      </c>
      <c r="F83" s="33">
        <f>G29</f>
        <v>787</v>
      </c>
      <c r="G83" s="23">
        <f>SUM(C83:F83)</f>
        <v>3218</v>
      </c>
      <c r="H83" s="33">
        <f>C29</f>
        <v>3794</v>
      </c>
      <c r="J83" s="24" t="s">
        <v>319</v>
      </c>
    </row>
    <row r="84" spans="2:10">
      <c r="B84" s="15" t="s">
        <v>320</v>
      </c>
      <c r="C84" s="22">
        <f>D30</f>
        <v>1643</v>
      </c>
      <c r="D84" s="22">
        <f>E30</f>
        <v>1590</v>
      </c>
      <c r="E84" s="22">
        <f>F30</f>
        <v>1619</v>
      </c>
      <c r="F84" s="22">
        <f>G30</f>
        <v>1852</v>
      </c>
      <c r="G84" s="23">
        <f>SUM(C84:F84)</f>
        <v>6704</v>
      </c>
      <c r="H84" s="22">
        <f>C30</f>
        <v>6148</v>
      </c>
      <c r="J84" s="24" t="s">
        <v>369</v>
      </c>
    </row>
    <row r="85" spans="2:10">
      <c r="B85" s="15" t="s">
        <v>233</v>
      </c>
      <c r="C85" s="22">
        <f>C81+C84</f>
        <v>3052</v>
      </c>
      <c r="D85" s="22">
        <f>D81+D84</f>
        <v>2531</v>
      </c>
      <c r="E85" s="22">
        <f>E81+E84</f>
        <v>2017</v>
      </c>
      <c r="F85" s="22">
        <f>F81+F84</f>
        <v>2570</v>
      </c>
      <c r="G85" s="23">
        <f>G81+G84</f>
        <v>10170</v>
      </c>
      <c r="H85" s="22">
        <f>H81+H84</f>
        <v>10503</v>
      </c>
      <c r="J85" s="24" t="s">
        <v>234</v>
      </c>
    </row>
    <row r="86" spans="2:10">
      <c r="B86" s="15" t="s">
        <v>131</v>
      </c>
      <c r="C86" s="22">
        <f>D35</f>
        <v>4154</v>
      </c>
      <c r="D86" s="22">
        <f>E35</f>
        <v>3668</v>
      </c>
      <c r="E86" s="22">
        <f>F35</f>
        <v>3273</v>
      </c>
      <c r="F86" s="22">
        <f>G35</f>
        <v>3900</v>
      </c>
      <c r="G86" s="23">
        <f>SUM(C86:F86)</f>
        <v>14995</v>
      </c>
      <c r="H86" s="22">
        <f>C35</f>
        <v>14596</v>
      </c>
      <c r="J86" s="24" t="s">
        <v>370</v>
      </c>
    </row>
    <row r="87" spans="2:10">
      <c r="B87" s="15" t="s">
        <v>371</v>
      </c>
      <c r="C87" s="22">
        <f>D34</f>
        <v>0</v>
      </c>
      <c r="D87" s="22">
        <f>E34</f>
        <v>0</v>
      </c>
      <c r="E87" s="22">
        <f>F34</f>
        <v>-763</v>
      </c>
      <c r="F87" s="22">
        <f>G34</f>
        <v>108</v>
      </c>
      <c r="G87" s="23">
        <f>SUM(C87:F87)</f>
        <v>-655</v>
      </c>
      <c r="H87" s="22">
        <f>C34</f>
        <v>0</v>
      </c>
      <c r="J87" s="24" t="s">
        <v>372</v>
      </c>
    </row>
    <row r="88" spans="2:10">
      <c r="B88" s="11" t="s">
        <v>236</v>
      </c>
      <c r="C88" s="33">
        <f>D45</f>
        <v>3813</v>
      </c>
      <c r="D88" s="33">
        <f>E45</f>
        <v>3937</v>
      </c>
      <c r="E88" s="33">
        <f>F45</f>
        <v>4697</v>
      </c>
      <c r="F88" s="33">
        <f>G45</f>
        <v>6263</v>
      </c>
      <c r="G88" s="23">
        <f>SUM(C88:F88)</f>
        <v>18710</v>
      </c>
      <c r="H88" s="33">
        <f>C45</f>
        <v>14747</v>
      </c>
      <c r="J88" s="24" t="s">
        <v>373</v>
      </c>
    </row>
    <row r="89" spans="2:10">
      <c r="B89" s="15" t="s">
        <v>374</v>
      </c>
      <c r="C89" s="22">
        <f>D46</f>
        <v>2393</v>
      </c>
      <c r="D89" s="22">
        <f>E46</f>
        <v>2493</v>
      </c>
      <c r="E89" s="22">
        <f>F46</f>
        <v>5789</v>
      </c>
      <c r="F89" s="22">
        <f>G46</f>
        <v>4732</v>
      </c>
      <c r="G89" s="23">
        <f>SUM(C89:F89)</f>
        <v>15407</v>
      </c>
      <c r="H89" s="22">
        <f>C46</f>
        <v>8527</v>
      </c>
      <c r="J89" s="24" t="s">
        <v>375</v>
      </c>
    </row>
    <row r="90" spans="2:10">
      <c r="B90" s="11" t="s">
        <v>239</v>
      </c>
      <c r="C90" s="33">
        <f>C88-C89</f>
        <v>1420</v>
      </c>
      <c r="D90" s="33">
        <f>D88-D89</f>
        <v>1444</v>
      </c>
      <c r="E90" s="33">
        <f>E88-E89</f>
        <v>-1092</v>
      </c>
      <c r="F90" s="33">
        <f>F88-F89</f>
        <v>1531</v>
      </c>
      <c r="G90" s="23">
        <f>G88-G89</f>
        <v>3303</v>
      </c>
      <c r="H90" s="33">
        <f>H88-H89</f>
        <v>6220</v>
      </c>
      <c r="J90" s="24" t="s">
        <v>376</v>
      </c>
    </row>
    <row r="91" spans="2:10">
      <c r="B91" s="11" t="s">
        <v>241</v>
      </c>
      <c r="C91" s="33">
        <f>C51</f>
        <v>44059</v>
      </c>
      <c r="D91" s="33">
        <f>D51</f>
        <v>44743</v>
      </c>
      <c r="E91" s="33">
        <f>E51</f>
        <v>43524</v>
      </c>
      <c r="F91" s="33">
        <f>F51</f>
        <v>45447</v>
      </c>
      <c r="G91" s="23">
        <f>F51</f>
        <v>45447</v>
      </c>
      <c r="H91" s="33">
        <f>C51</f>
        <v>44059</v>
      </c>
      <c r="J91" s="24" t="s">
        <v>377</v>
      </c>
    </row>
    <row r="92" spans="2:10">
      <c r="B92" s="11" t="s">
        <v>243</v>
      </c>
      <c r="C92" s="33">
        <f>C52+C53</f>
        <v>8376</v>
      </c>
      <c r="D92" s="33">
        <f>D52+D53</f>
        <v>9229</v>
      </c>
      <c r="E92" s="33">
        <f>E52+E53</f>
        <v>9342</v>
      </c>
      <c r="F92" s="33">
        <f>F52+F53</f>
        <v>9523</v>
      </c>
      <c r="G92" s="23">
        <f>F52+F53</f>
        <v>9523</v>
      </c>
      <c r="H92" s="33">
        <f>C52+C53</f>
        <v>8376</v>
      </c>
      <c r="J92" s="24" t="s">
        <v>378</v>
      </c>
    </row>
    <row r="93" spans="2:10">
      <c r="B93" s="15" t="s">
        <v>247</v>
      </c>
      <c r="C93" s="22">
        <f>C91-C92</f>
        <v>35683</v>
      </c>
      <c r="D93" s="22">
        <f>D91-D92</f>
        <v>35514</v>
      </c>
      <c r="E93" s="22">
        <f>E91-E92</f>
        <v>34182</v>
      </c>
      <c r="F93" s="22">
        <f>F91-F92</f>
        <v>35924</v>
      </c>
      <c r="G93" s="23">
        <f>G91-G92</f>
        <v>35924</v>
      </c>
      <c r="H93" s="22">
        <f>H91-H92</f>
        <v>35683</v>
      </c>
      <c r="J93" s="24" t="s">
        <v>240</v>
      </c>
    </row>
    <row r="94" spans="2:10">
      <c r="B94" s="11" t="s">
        <v>379</v>
      </c>
      <c r="C94" s="33">
        <f>C54</f>
        <v>82137</v>
      </c>
      <c r="D94" s="33">
        <f>D54</f>
        <v>84116</v>
      </c>
      <c r="E94" s="33">
        <f>E54</f>
        <v>86858</v>
      </c>
      <c r="F94" s="33">
        <f>F54</f>
        <v>89289</v>
      </c>
      <c r="G94" s="23">
        <f>F54</f>
        <v>89289</v>
      </c>
      <c r="H94" s="33">
        <f>C54</f>
        <v>82137</v>
      </c>
      <c r="J94" s="24" t="s">
        <v>380</v>
      </c>
    </row>
    <row r="95" spans="2:10">
      <c r="B95" s="15" t="s">
        <v>381</v>
      </c>
      <c r="C95" s="22">
        <f>C55+C56</f>
        <v>728</v>
      </c>
      <c r="D95" s="22">
        <f>D55+D56</f>
        <v>686</v>
      </c>
      <c r="E95" s="22">
        <f>E55+E56</f>
        <v>661</v>
      </c>
      <c r="F95" s="22">
        <f>F55+F56</f>
        <v>600</v>
      </c>
      <c r="G95" s="23">
        <f>F55+F56</f>
        <v>600</v>
      </c>
      <c r="H95" s="22">
        <f>C55+C56</f>
        <v>728</v>
      </c>
      <c r="J95" s="24" t="s">
        <v>382</v>
      </c>
    </row>
    <row r="97" spans="2:10">
      <c r="B97" s="21" t="s">
        <v>252</v>
      </c>
      <c r="C97" s="14" t="s">
        <v>218</v>
      </c>
      <c r="D97" s="14" t="s">
        <v>85</v>
      </c>
      <c r="E97" s="14" t="s">
        <v>86</v>
      </c>
      <c r="F97" s="14" t="s">
        <v>88</v>
      </c>
      <c r="G97" s="14" t="s">
        <v>219</v>
      </c>
      <c r="H97" s="14" t="s">
        <v>83</v>
      </c>
      <c r="J97" s="21" t="s">
        <v>220</v>
      </c>
    </row>
    <row r="98" spans="2:10">
      <c r="B98" s="15" t="s">
        <v>383</v>
      </c>
      <c r="C98" s="22">
        <f>D7+D8+D9+D11</f>
        <v>21064</v>
      </c>
      <c r="D98" s="22">
        <f>E7+E8+E9+E11</f>
        <v>19979</v>
      </c>
      <c r="E98" s="22">
        <f>F7+F8+F9+F11</f>
        <v>25097</v>
      </c>
      <c r="F98" s="22">
        <f>G7+G8+G9+G11</f>
        <v>25165</v>
      </c>
      <c r="G98" s="23">
        <f>SUM(C98:F98)</f>
        <v>91305</v>
      </c>
      <c r="H98" s="22">
        <f>C7+C8+C9+C11</f>
        <v>82056</v>
      </c>
      <c r="J98" s="24" t="s">
        <v>384</v>
      </c>
    </row>
    <row r="99" spans="2:10">
      <c r="B99" s="15" t="s">
        <v>385</v>
      </c>
      <c r="C99" s="22">
        <f>D10</f>
        <v>3837</v>
      </c>
      <c r="D99" s="22">
        <f>E10</f>
        <v>2408</v>
      </c>
      <c r="E99" s="22">
        <f>F10</f>
        <v>3139</v>
      </c>
      <c r="F99" s="22">
        <f>G10</f>
        <v>2881</v>
      </c>
      <c r="G99" s="23">
        <f>SUM(C99:F99)</f>
        <v>12265</v>
      </c>
      <c r="H99" s="22">
        <f>C10</f>
        <v>12771</v>
      </c>
      <c r="J99" s="24" t="s">
        <v>386</v>
      </c>
    </row>
    <row r="100" spans="2:10">
      <c r="B100" s="15" t="s">
        <v>387</v>
      </c>
      <c r="C100" s="22">
        <f>C98-(D13+D14+D16)</f>
        <v>3911</v>
      </c>
      <c r="D100" s="22">
        <f>D98-(E13+E14+E16)</f>
        <v>3768</v>
      </c>
      <c r="E100" s="22">
        <f>E98-(F13+F14+F16)</f>
        <v>4111</v>
      </c>
      <c r="F100" s="22">
        <f>F98-(G13+G14+G16)</f>
        <v>4540</v>
      </c>
      <c r="G100" s="23">
        <f>SUM(C100:F100)</f>
        <v>16330</v>
      </c>
      <c r="H100" s="22">
        <f>H98-(C13+C14+C16)</f>
        <v>13292</v>
      </c>
      <c r="J100" s="24" t="s">
        <v>388</v>
      </c>
    </row>
    <row r="101" spans="2:10">
      <c r="B101" s="15" t="s">
        <v>389</v>
      </c>
      <c r="C101" s="22">
        <f>C99-D15</f>
        <v>1098</v>
      </c>
      <c r="D101" s="22">
        <f>D99-E15</f>
        <v>952</v>
      </c>
      <c r="E101" s="22">
        <f>E99-F15</f>
        <v>640</v>
      </c>
      <c r="F101" s="22">
        <f>F99-G15</f>
        <v>954</v>
      </c>
      <c r="G101" s="23">
        <f>SUM(C101:F101)</f>
        <v>3644</v>
      </c>
      <c r="H101" s="22">
        <f>H99-C15</f>
        <v>3802</v>
      </c>
      <c r="J101" s="24" t="s">
        <v>390</v>
      </c>
    </row>
    <row r="102" spans="2:10">
      <c r="B102" s="15" t="s">
        <v>391</v>
      </c>
      <c r="C102" s="34">
        <f>IF(C98=0,0,C100/C98)</f>
        <v>0.185672236992024</v>
      </c>
      <c r="D102" s="34">
        <f>IF(D98=0,0,D100/D98)</f>
        <v>0.188598027929326</v>
      </c>
      <c r="E102" s="34">
        <f>IF(E98=0,0,E100/E98)</f>
        <v>0.163804438777543</v>
      </c>
      <c r="F102" s="34">
        <f>IF(F98=0,0,F100/F98)</f>
        <v>0.180409298629048</v>
      </c>
      <c r="G102" s="42">
        <f>IF(G98=0,0,G100/G98)</f>
        <v>0.178851103444499</v>
      </c>
      <c r="H102" s="34">
        <f>IF(H98=0,0,H100/H98)</f>
        <v>0.161986935751194</v>
      </c>
      <c r="J102" s="24" t="s">
        <v>240</v>
      </c>
    </row>
    <row r="103" spans="2:10">
      <c r="B103" s="15" t="s">
        <v>392</v>
      </c>
      <c r="C103" s="34">
        <f>IF(C99=0,0,C101/C99)</f>
        <v>0.286161063330727</v>
      </c>
      <c r="D103" s="34">
        <f>IF(D99=0,0,D101/D99)</f>
        <v>0.395348837209302</v>
      </c>
      <c r="E103" s="34">
        <f>IF(E99=0,0,E101/E99)</f>
        <v>0.203886588085378</v>
      </c>
      <c r="F103" s="34">
        <f>IF(F99=0,0,F101/F99)</f>
        <v>0.331135022561611</v>
      </c>
      <c r="G103" s="42">
        <f>IF(G99=0,0,G101/G99)</f>
        <v>0.297105584997962</v>
      </c>
      <c r="H103" s="34">
        <f>IF(H99=0,0,H101/H99)</f>
        <v>0.297705739566205</v>
      </c>
      <c r="J103" s="24" t="s">
        <v>240</v>
      </c>
    </row>
    <row r="104" spans="2:10">
      <c r="B104" s="27" t="s">
        <v>393</v>
      </c>
      <c r="C104" s="28">
        <f>H98-C60</f>
        <v>0</v>
      </c>
      <c r="D104" s="28">
        <f>H100-C62</f>
        <v>0</v>
      </c>
      <c r="E104" s="28">
        <f>H101-C65</f>
        <v>0</v>
      </c>
      <c r="F104" s="28">
        <f>F98-D60</f>
        <v>0</v>
      </c>
      <c r="G104" s="28">
        <f>F100-D62</f>
        <v>0</v>
      </c>
      <c r="H104" s="28">
        <f>F101-D65</f>
        <v>0</v>
      </c>
    </row>
    <row r="105" spans="2:10">
      <c r="B105" s="27" t="s">
        <v>273</v>
      </c>
      <c r="C105" s="28">
        <f>C98+C99-C77</f>
        <v>0</v>
      </c>
      <c r="D105" s="28">
        <f>D98+D99-D77</f>
        <v>0</v>
      </c>
      <c r="E105" s="28">
        <f>E98+E99-E77</f>
        <v>0</v>
      </c>
      <c r="F105" s="28">
        <f>F98+F99-F77</f>
        <v>0</v>
      </c>
      <c r="G105" s="28">
        <f>G98+G99-G77</f>
        <v>0</v>
      </c>
      <c r="H105" s="28">
        <f>H98+H99-H77</f>
        <v>0</v>
      </c>
    </row>
    <row r="106" spans="2:10">
      <c r="B106" s="21" t="s">
        <v>269</v>
      </c>
      <c r="C106" s="14" t="s">
        <v>270</v>
      </c>
      <c r="D106" s="14" t="s">
        <v>271</v>
      </c>
      <c r="E106" s="14" t="s">
        <v>272</v>
      </c>
    </row>
    <row r="107" spans="2:10">
      <c r="B107" s="15" t="s">
        <v>383</v>
      </c>
      <c r="C107" s="26">
        <v>24680</v>
      </c>
      <c r="D107" s="22">
        <f>F98</f>
        <v>25165</v>
      </c>
      <c r="E107" s="37">
        <f>D107/C107-1</f>
        <v>0.0196515397082657</v>
      </c>
    </row>
    <row r="108" spans="2:10">
      <c r="B108" s="15" t="s">
        <v>385</v>
      </c>
      <c r="C108" s="26">
        <v>3415</v>
      </c>
      <c r="D108" s="22">
        <f>F99</f>
        <v>2881</v>
      </c>
      <c r="E108" s="37">
        <f>D108/C108-1</f>
        <v>-0.156368960468521</v>
      </c>
    </row>
    <row r="109" spans="2:10">
      <c r="B109" s="27" t="s">
        <v>394</v>
      </c>
      <c r="C109" s="28">
        <f>D100+E100+F100-E62</f>
        <v>0</v>
      </c>
      <c r="D109" s="28">
        <f>D101+E101+F101-E65</f>
        <v>0</v>
      </c>
    </row>
  </sheetData>
  <pageMargins left="0.3" right="0.3" top="0.4" bottom="0.4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B1:N81"/>
  <sheetViews>
    <sheetView showGridLines="0" zoomScale="90" zoomScaleNormal="90" workbookViewId="0">
      <pane xSplit="2" ySplit="24" topLeftCell="C25" activePane="bottomRight" state="frozen"/>
      <selection pane="topRight" activeCell="C1" sqref="C1"/>
      <selection pane="bottomLeft" activeCell="A25" sqref="A25"/>
      <selection pane="bottomRight"/>
    </sheetView>
  </sheetViews>
  <sheetFormatPr defaultRowHeight="15"/>
  <cols>
    <col min="1" max="1" width="2.7109375" customWidth="1"/>
    <col min="2" max="2" width="30.7109375" customWidth="1"/>
    <col min="3" max="3" width="13.7109375" customWidth="1"/>
    <col min="4" max="15" width="11.7109375" customWidth="1"/>
  </cols>
  <sheetData>
    <row r="1" spans="2:3">
      <c r="B1" s="12" t="s">
        <v>420</v>
      </c>
    </row>
    <row r="2" spans="2:3">
      <c r="B2" s="13" t="s">
        <v>421</v>
      </c>
    </row>
    <row r="3" spans="2:3">
      <c r="B3" s="13" t="s">
        <v>422</v>
      </c>
    </row>
    <row r="5" spans="2:3">
      <c r="B5" s="20" t="s">
        <v>423</v>
      </c>
    </row>
    <row r="6" spans="2:3">
      <c r="B6" s="15" t="s">
        <v>424</v>
      </c>
      <c r="C6" s="43">
        <f>DATE_U</f>
        <v>46315.0</v>
      </c>
    </row>
    <row r="7" spans="2:3">
      <c r="B7" s="15" t="s">
        <v>425</v>
      </c>
      <c r="C7" s="44">
        <f>COUNTIF($B$25:$B$81,"&gt;"&amp;C6)+1</f>
        <v>2</v>
      </c>
    </row>
    <row r="8" spans="2:3">
      <c r="B8" s="15" t="s">
        <v>426</v>
      </c>
      <c r="C8" s="43">
        <f>INDEX($B$25:$B$81,C7)</f>
        <v>46315.0</v>
      </c>
    </row>
    <row r="9" spans="2:3">
      <c r="B9" s="15" t="s">
        <v>427</v>
      </c>
      <c r="C9" s="45">
        <f>INDEX($F$25:$F$81,C7)</f>
        <v>373.71</v>
      </c>
    </row>
    <row r="10" spans="2:3">
      <c r="B10" s="15" t="s">
        <v>428</v>
      </c>
      <c r="C10" s="45">
        <f>INDEX($L$25:$L$81,C7)</f>
        <v>147.79</v>
      </c>
    </row>
    <row r="11" spans="2:3">
      <c r="B11" s="15" t="s">
        <v>429</v>
      </c>
      <c r="C11" s="44">
        <f>VWAP_N</f>
        <v>30</v>
      </c>
    </row>
    <row r="12" spans="2:3">
      <c r="B12" s="15" t="s">
        <v>430</v>
      </c>
      <c r="C12" s="46">
        <f>INDEX($B$25:$B$81,C7+C11-1)</f>
        <v>46274.0</v>
      </c>
    </row>
    <row r="13" spans="2:3">
      <c r="B13" s="15" t="s">
        <v>431</v>
      </c>
      <c r="C13" s="45">
        <f>SUMPRODUCT(INDEX($H$25:$H$81,C7):INDEX($H$25:$H$81,C7+C11-1),INDEX($G$25:$G$81,C7):INDEX($G$25:$G$81,C7+C11-1))/SUM(INDEX($G$25:$G$81,C7):INDEX($G$25:$G$81,C7+C11-1))</f>
        <v>367.942226880821</v>
      </c>
    </row>
    <row r="14" spans="2:3">
      <c r="B14" s="15" t="s">
        <v>432</v>
      </c>
      <c r="C14" s="45">
        <f>SUMPRODUCT(INDEX($N$25:$N$81,C7):INDEX($N$25:$N$81,C7+C11-1),INDEX($M$25:$M$81,C7):INDEX($M$25:$M$81,C7+C11-1))/SUM(INDEX($M$25:$M$81,C7):INDEX($M$25:$M$81,C7+C11-1))</f>
        <v>153.564371123715</v>
      </c>
    </row>
    <row r="15" spans="2:3">
      <c r="B15" s="27" t="s">
        <v>433</v>
      </c>
      <c r="C15" s="47">
        <f>COUNT(INDEX($B$25:$B$81,C7):INDEX($B$25:$B$81,C7+C11-1))-C11</f>
        <v>0</v>
      </c>
    </row>
    <row r="16" spans="2:3">
      <c r="B16" s="15" t="s">
        <v>434</v>
      </c>
      <c r="C16" s="43">
        <f>DATE_P</f>
        <v>46316.0</v>
      </c>
    </row>
    <row r="17" spans="2:14">
      <c r="B17" s="15" t="s">
        <v>435</v>
      </c>
      <c r="C17" s="44">
        <f>COUNTIF($B$25:$B$81,"&gt;"&amp;C16)+1</f>
        <v>1</v>
      </c>
    </row>
    <row r="18" spans="2:14">
      <c r="B18" s="15" t="s">
        <v>426</v>
      </c>
      <c r="C18" s="43">
        <f>INDEX($B$25:$B$81,C17)</f>
        <v>46316.0</v>
      </c>
    </row>
    <row r="19" spans="2:14">
      <c r="B19" s="15" t="s">
        <v>436</v>
      </c>
      <c r="C19" s="45">
        <f>INDEX($F$25:$F$81,C17)</f>
        <v>386.47</v>
      </c>
    </row>
    <row r="20" spans="2:14">
      <c r="B20" s="15" t="s">
        <v>437</v>
      </c>
      <c r="C20" s="45">
        <f>INDEX($L$25:$L$81,C17)</f>
        <v>159.31</v>
      </c>
    </row>
    <row r="23" spans="2:14">
      <c r="B23" s="20" t="s">
        <v>438</v>
      </c>
    </row>
    <row r="24" spans="2:14" ht="30" customHeight="1">
      <c r="B24" s="14" t="s">
        <v>25</v>
      </c>
      <c r="C24" s="14" t="s">
        <v>439</v>
      </c>
      <c r="D24" s="14" t="s">
        <v>440</v>
      </c>
      <c r="E24" s="14" t="s">
        <v>441</v>
      </c>
      <c r="F24" s="14" t="s">
        <v>442</v>
      </c>
      <c r="G24" s="14" t="s">
        <v>443</v>
      </c>
      <c r="H24" s="14" t="s">
        <v>444</v>
      </c>
      <c r="I24" s="14" t="s">
        <v>445</v>
      </c>
      <c r="J24" s="14" t="s">
        <v>446</v>
      </c>
      <c r="K24" s="14" t="s">
        <v>447</v>
      </c>
      <c r="L24" s="14" t="s">
        <v>448</v>
      </c>
      <c r="M24" s="14" t="s">
        <v>449</v>
      </c>
      <c r="N24" s="14" t="s">
        <v>450</v>
      </c>
    </row>
    <row r="25" spans="2:14">
      <c r="B25" s="48">
        <v>46316</v>
      </c>
      <c r="C25" s="49">
        <v>381.425</v>
      </c>
      <c r="D25" s="49">
        <v>388.843</v>
      </c>
      <c r="E25" s="49">
        <v>380.51</v>
      </c>
      <c r="F25" s="49">
        <v>386.47</v>
      </c>
      <c r="G25" s="50">
        <v>48875810</v>
      </c>
      <c r="H25" s="51">
        <f>(D25+E25+F25)/3</f>
        <v>385.274333333333</v>
      </c>
      <c r="I25" s="49">
        <v>160.555</v>
      </c>
      <c r="J25" s="49">
        <v>166.18</v>
      </c>
      <c r="K25" s="49">
        <v>156.9301</v>
      </c>
      <c r="L25" s="49">
        <v>159.31</v>
      </c>
      <c r="M25" s="50">
        <v>220785200</v>
      </c>
      <c r="N25" s="51">
        <f>(J25+K25+L25)/3</f>
        <v>160.8067</v>
      </c>
    </row>
    <row r="26" spans="2:14">
      <c r="B26" s="48">
        <v>46315</v>
      </c>
      <c r="C26" s="49">
        <v>370.28</v>
      </c>
      <c r="D26" s="49">
        <v>377.59</v>
      </c>
      <c r="E26" s="49">
        <v>363.64</v>
      </c>
      <c r="F26" s="49">
        <v>373.71</v>
      </c>
      <c r="G26" s="50">
        <v>32123320</v>
      </c>
      <c r="H26" s="51">
        <f>(D26+E26+F26)/3</f>
        <v>371.646666666667</v>
      </c>
      <c r="I26" s="49">
        <v>146.165</v>
      </c>
      <c r="J26" s="49">
        <v>148.66</v>
      </c>
      <c r="K26" s="49">
        <v>143.27</v>
      </c>
      <c r="L26" s="49">
        <v>147.79</v>
      </c>
      <c r="M26" s="50">
        <v>117204900</v>
      </c>
      <c r="N26" s="51">
        <f>(J26+K26+L26)/3</f>
        <v>146.573333333333</v>
      </c>
    </row>
    <row r="27" spans="2:14">
      <c r="B27" s="48">
        <v>46314</v>
      </c>
      <c r="C27" s="49">
        <v>357.5</v>
      </c>
      <c r="D27" s="49">
        <v>369.5808</v>
      </c>
      <c r="E27" s="49">
        <v>354.47</v>
      </c>
      <c r="F27" s="49">
        <v>368.06</v>
      </c>
      <c r="G27" s="50">
        <v>38817910</v>
      </c>
      <c r="H27" s="51">
        <f>(D27+E27+F27)/3</f>
        <v>364.036933333333</v>
      </c>
      <c r="I27" s="49">
        <v>149.23</v>
      </c>
      <c r="J27" s="49">
        <v>151.01</v>
      </c>
      <c r="K27" s="49">
        <v>146.83</v>
      </c>
      <c r="L27" s="49">
        <v>147.96</v>
      </c>
      <c r="M27" s="50">
        <v>74037780</v>
      </c>
      <c r="N27" s="51">
        <f>(J27+K27+L27)/3</f>
        <v>148.6</v>
      </c>
    </row>
    <row r="28" spans="2:14">
      <c r="B28" s="48">
        <v>46311</v>
      </c>
      <c r="C28" s="49">
        <v>369.145</v>
      </c>
      <c r="D28" s="49">
        <v>370.5</v>
      </c>
      <c r="E28" s="49">
        <v>349.33</v>
      </c>
      <c r="F28" s="49">
        <v>354.72</v>
      </c>
      <c r="G28" s="50">
        <v>62067340</v>
      </c>
      <c r="H28" s="51">
        <f>(D28+E28+F28)/3</f>
        <v>358.183333333333</v>
      </c>
      <c r="I28" s="49">
        <v>147.8</v>
      </c>
      <c r="J28" s="49">
        <v>147.92</v>
      </c>
      <c r="K28" s="49">
        <v>142.95</v>
      </c>
      <c r="L28" s="49">
        <v>146.03</v>
      </c>
      <c r="M28" s="50">
        <v>88552890</v>
      </c>
      <c r="N28" s="51">
        <f>(J28+K28+L28)/3</f>
        <v>145.633333333333</v>
      </c>
    </row>
    <row r="29" spans="2:14">
      <c r="B29" s="48">
        <v>46310</v>
      </c>
      <c r="C29" s="49">
        <v>360.57</v>
      </c>
      <c r="D29" s="49">
        <v>363.75</v>
      </c>
      <c r="E29" s="49">
        <v>355.23</v>
      </c>
      <c r="F29" s="49">
        <v>362.44</v>
      </c>
      <c r="G29" s="50">
        <v>26728310</v>
      </c>
      <c r="H29" s="51">
        <f>(D29+E29+F29)/3</f>
        <v>360.473333333333</v>
      </c>
      <c r="I29" s="49">
        <v>146.91</v>
      </c>
      <c r="J29" s="49">
        <v>149.04</v>
      </c>
      <c r="K29" s="49">
        <v>140.66</v>
      </c>
      <c r="L29" s="49">
        <v>148.62</v>
      </c>
      <c r="M29" s="50">
        <v>101177100</v>
      </c>
      <c r="N29" s="51">
        <f>(J29+K29+L29)/3</f>
        <v>146.106666666667</v>
      </c>
    </row>
    <row r="30" spans="2:14">
      <c r="B30" s="48">
        <v>46309</v>
      </c>
      <c r="C30" s="49">
        <v>371.16</v>
      </c>
      <c r="D30" s="49">
        <v>371.39</v>
      </c>
      <c r="E30" s="49">
        <v>363.82</v>
      </c>
      <c r="F30" s="49">
        <v>367.16</v>
      </c>
      <c r="G30" s="50">
        <v>31001420</v>
      </c>
      <c r="H30" s="51">
        <f>(D30+E30+F30)/3</f>
        <v>367.456666666667</v>
      </c>
      <c r="I30" s="49">
        <v>154.98</v>
      </c>
      <c r="J30" s="49">
        <v>155.44</v>
      </c>
      <c r="K30" s="49">
        <v>151.1</v>
      </c>
      <c r="L30" s="49">
        <v>152.16</v>
      </c>
      <c r="M30" s="50">
        <v>68780980</v>
      </c>
      <c r="N30" s="51">
        <f>(J30+K30+L30)/3</f>
        <v>152.9</v>
      </c>
    </row>
    <row r="31" spans="2:14">
      <c r="B31" s="48">
        <v>46308</v>
      </c>
      <c r="C31" s="49">
        <v>372.325</v>
      </c>
      <c r="D31" s="49">
        <v>377.05</v>
      </c>
      <c r="E31" s="49">
        <v>371.3</v>
      </c>
      <c r="F31" s="49">
        <v>375.23</v>
      </c>
      <c r="G31" s="50">
        <v>18393040</v>
      </c>
      <c r="H31" s="51">
        <f>(D31+E31+F31)/3</f>
        <v>374.526666666667</v>
      </c>
      <c r="I31" s="49">
        <v>161.982</v>
      </c>
      <c r="J31" s="49">
        <v>161.982</v>
      </c>
      <c r="K31" s="49">
        <v>156.05</v>
      </c>
      <c r="L31" s="49">
        <v>156.54</v>
      </c>
      <c r="M31" s="50">
        <v>69022480</v>
      </c>
      <c r="N31" s="51">
        <f>(J31+K31+L31)/3</f>
        <v>158.190666666667</v>
      </c>
    </row>
    <row r="32" spans="2:14">
      <c r="B32" s="48">
        <v>46307</v>
      </c>
      <c r="C32" s="49">
        <v>382.605</v>
      </c>
      <c r="D32" s="49">
        <v>382.7</v>
      </c>
      <c r="E32" s="49">
        <v>377.58</v>
      </c>
      <c r="F32" s="49">
        <v>378.03</v>
      </c>
      <c r="G32" s="50">
        <v>20244290</v>
      </c>
      <c r="H32" s="51">
        <f>(D32+E32+F32)/3</f>
        <v>379.436666666667</v>
      </c>
      <c r="I32" s="49">
        <v>164.66</v>
      </c>
      <c r="J32" s="49">
        <v>167.065</v>
      </c>
      <c r="K32" s="49">
        <v>160.85</v>
      </c>
      <c r="L32" s="49">
        <v>163.42</v>
      </c>
      <c r="M32" s="50">
        <v>67434500</v>
      </c>
      <c r="N32" s="51">
        <f>(J32+K32+L32)/3</f>
        <v>163.778333333333</v>
      </c>
    </row>
    <row r="33" spans="2:14">
      <c r="B33" s="48">
        <v>46304</v>
      </c>
      <c r="C33" s="49">
        <v>382.38</v>
      </c>
      <c r="D33" s="49">
        <v>388.56</v>
      </c>
      <c r="E33" s="49">
        <v>379.71</v>
      </c>
      <c r="F33" s="49">
        <v>382.7</v>
      </c>
      <c r="G33" s="50">
        <v>38952430</v>
      </c>
      <c r="H33" s="51">
        <f>(D33+E33+F33)/3</f>
        <v>383.656666666667</v>
      </c>
      <c r="I33" s="49">
        <v>165.34</v>
      </c>
      <c r="J33" s="49">
        <v>166.38</v>
      </c>
      <c r="K33" s="49">
        <v>160.61</v>
      </c>
      <c r="L33" s="49">
        <v>162.57</v>
      </c>
      <c r="M33" s="50">
        <v>93042640</v>
      </c>
      <c r="N33" s="51">
        <f>(J33+K33+L33)/3</f>
        <v>163.186666666667</v>
      </c>
    </row>
    <row r="34" spans="2:14">
      <c r="B34" s="48">
        <v>46303</v>
      </c>
      <c r="C34" s="49">
        <v>374.12</v>
      </c>
      <c r="D34" s="49">
        <v>375.96</v>
      </c>
      <c r="E34" s="49">
        <v>368.0301</v>
      </c>
      <c r="F34" s="49">
        <v>375</v>
      </c>
      <c r="G34" s="50">
        <v>28394950</v>
      </c>
      <c r="H34" s="51">
        <f>(D34+E34+F34)/3</f>
        <v>372.9967</v>
      </c>
      <c r="I34" s="49">
        <v>167.465</v>
      </c>
      <c r="J34" s="49">
        <v>167.6</v>
      </c>
      <c r="K34" s="49">
        <v>160</v>
      </c>
      <c r="L34" s="49">
        <v>160.57</v>
      </c>
      <c r="M34" s="50">
        <v>71897850</v>
      </c>
      <c r="N34" s="51">
        <f>(J34+K34+L34)/3</f>
        <v>162.723333333333</v>
      </c>
    </row>
    <row r="35" spans="2:14">
      <c r="B35" s="48">
        <v>46302</v>
      </c>
      <c r="C35" s="49">
        <v>378.445</v>
      </c>
      <c r="D35" s="49">
        <v>382.3499</v>
      </c>
      <c r="E35" s="49">
        <v>374.43</v>
      </c>
      <c r="F35" s="49">
        <v>377.81</v>
      </c>
      <c r="G35" s="50">
        <v>25594560</v>
      </c>
      <c r="H35" s="51">
        <f>(D35+E35+F35)/3</f>
        <v>378.196633333333</v>
      </c>
      <c r="I35" s="49">
        <v>168.125</v>
      </c>
      <c r="J35" s="49">
        <v>171.31</v>
      </c>
      <c r="K35" s="49">
        <v>165.65</v>
      </c>
      <c r="L35" s="49">
        <v>167.6</v>
      </c>
      <c r="M35" s="50">
        <v>77473020</v>
      </c>
      <c r="N35" s="51">
        <f>(J35+K35+L35)/3</f>
        <v>168.186666666667</v>
      </c>
    </row>
    <row r="36" spans="2:14">
      <c r="B36" s="48">
        <v>46301</v>
      </c>
      <c r="C36" s="49">
        <v>381.975</v>
      </c>
      <c r="D36" s="49">
        <v>383.33</v>
      </c>
      <c r="E36" s="49">
        <v>378.52</v>
      </c>
      <c r="F36" s="49">
        <v>380.68</v>
      </c>
      <c r="G36" s="50">
        <v>27735440</v>
      </c>
      <c r="H36" s="51">
        <f>(D36+E36+F36)/3</f>
        <v>380.843333333333</v>
      </c>
      <c r="I36" s="49">
        <v>172.005</v>
      </c>
      <c r="J36" s="49">
        <v>176.4199</v>
      </c>
      <c r="K36" s="49">
        <v>171.3854</v>
      </c>
      <c r="L36" s="49">
        <v>171.92</v>
      </c>
      <c r="M36" s="50">
        <v>106952400</v>
      </c>
      <c r="N36" s="51">
        <f>(J36+K36+L36)/3</f>
        <v>173.241766666667</v>
      </c>
    </row>
    <row r="37" spans="2:14">
      <c r="B37" s="48">
        <v>46300</v>
      </c>
      <c r="C37" s="49">
        <v>369</v>
      </c>
      <c r="D37" s="49">
        <v>381.59</v>
      </c>
      <c r="E37" s="49">
        <v>364.91</v>
      </c>
      <c r="F37" s="49">
        <v>378.73</v>
      </c>
      <c r="G37" s="50">
        <v>42232670</v>
      </c>
      <c r="H37" s="51">
        <f>(D37+E37+F37)/3</f>
        <v>375.076666666667</v>
      </c>
      <c r="I37" s="49">
        <v>158.985</v>
      </c>
      <c r="J37" s="49">
        <v>172.47</v>
      </c>
      <c r="K37" s="49">
        <v>158.62</v>
      </c>
      <c r="L37" s="49">
        <v>171.09</v>
      </c>
      <c r="M37" s="50">
        <v>135688900</v>
      </c>
      <c r="N37" s="51">
        <f>(J37+K37+L37)/3</f>
        <v>167.393333333333</v>
      </c>
    </row>
    <row r="38" spans="2:14">
      <c r="B38" s="48">
        <v>46297</v>
      </c>
      <c r="C38" s="49">
        <v>360.08</v>
      </c>
      <c r="D38" s="49">
        <v>374.6</v>
      </c>
      <c r="E38" s="49">
        <v>359.411</v>
      </c>
      <c r="F38" s="49">
        <v>370.59</v>
      </c>
      <c r="G38" s="50">
        <v>55330140</v>
      </c>
      <c r="H38" s="51">
        <f>(D38+E38+F38)/3</f>
        <v>368.200333333333</v>
      </c>
      <c r="I38" s="49">
        <v>149.57</v>
      </c>
      <c r="J38" s="49">
        <v>159.84</v>
      </c>
      <c r="K38" s="49">
        <v>149.34</v>
      </c>
      <c r="L38" s="49">
        <v>158.96</v>
      </c>
      <c r="M38" s="50">
        <v>119859100</v>
      </c>
      <c r="N38" s="51">
        <f>(J38+K38+L38)/3</f>
        <v>156.046666666667</v>
      </c>
    </row>
    <row r="39" spans="2:14">
      <c r="B39" s="48">
        <v>46296</v>
      </c>
      <c r="C39" s="49">
        <v>356.81</v>
      </c>
      <c r="D39" s="49">
        <v>359.79</v>
      </c>
      <c r="E39" s="49">
        <v>353.8</v>
      </c>
      <c r="F39" s="49">
        <v>354.11</v>
      </c>
      <c r="G39" s="50">
        <v>31080770</v>
      </c>
      <c r="H39" s="51">
        <f>(D39+E39+F39)/3</f>
        <v>355.9</v>
      </c>
      <c r="I39" s="49">
        <v>150.56</v>
      </c>
      <c r="J39" s="49">
        <v>153.78</v>
      </c>
      <c r="K39" s="49">
        <v>146.03</v>
      </c>
      <c r="L39" s="49">
        <v>148.07</v>
      </c>
      <c r="M39" s="50">
        <v>69092540</v>
      </c>
      <c r="N39" s="51">
        <f>(J39+K39+L39)/3</f>
        <v>149.293333333333</v>
      </c>
    </row>
    <row r="40" spans="2:14">
      <c r="B40" s="48">
        <v>46295</v>
      </c>
      <c r="C40" s="49">
        <v>352.11</v>
      </c>
      <c r="D40" s="49">
        <v>355.219</v>
      </c>
      <c r="E40" s="49">
        <v>345.88</v>
      </c>
      <c r="F40" s="49">
        <v>354.81</v>
      </c>
      <c r="G40" s="50">
        <v>39235840</v>
      </c>
      <c r="H40" s="51">
        <f>(D40+E40+F40)/3</f>
        <v>351.969666666667</v>
      </c>
      <c r="I40" s="49">
        <v>148.68</v>
      </c>
      <c r="J40" s="49">
        <v>152.58</v>
      </c>
      <c r="K40" s="49">
        <v>147.75</v>
      </c>
      <c r="L40" s="49">
        <v>150.86</v>
      </c>
      <c r="M40" s="50">
        <v>79614170</v>
      </c>
      <c r="N40" s="51">
        <f>(J40+K40+L40)/3</f>
        <v>150.396666666667</v>
      </c>
    </row>
    <row r="41" spans="2:14">
      <c r="B41" s="48">
        <v>46294</v>
      </c>
      <c r="C41" s="49">
        <v>358.4</v>
      </c>
      <c r="D41" s="49">
        <v>358.74</v>
      </c>
      <c r="E41" s="49">
        <v>351.67</v>
      </c>
      <c r="F41" s="49">
        <v>352.84</v>
      </c>
      <c r="G41" s="50">
        <v>32492410</v>
      </c>
      <c r="H41" s="51">
        <f>(D41+E41+F41)/3</f>
        <v>354.416666666667</v>
      </c>
      <c r="I41" s="49">
        <v>146.675</v>
      </c>
      <c r="J41" s="49">
        <v>150.06</v>
      </c>
      <c r="K41" s="49">
        <v>145.47</v>
      </c>
      <c r="L41" s="49">
        <v>149.24</v>
      </c>
      <c r="M41" s="50">
        <v>80056720</v>
      </c>
      <c r="N41" s="51">
        <f>(J41+K41+L41)/3</f>
        <v>148.256666666667</v>
      </c>
    </row>
    <row r="42" spans="2:14">
      <c r="B42" s="48">
        <v>46293</v>
      </c>
      <c r="C42" s="49">
        <v>368.06</v>
      </c>
      <c r="D42" s="49">
        <v>369.43</v>
      </c>
      <c r="E42" s="49">
        <v>356.8</v>
      </c>
      <c r="F42" s="49">
        <v>357.45</v>
      </c>
      <c r="G42" s="50">
        <v>39452900</v>
      </c>
      <c r="H42" s="51">
        <f>(D42+E42+F42)/3</f>
        <v>361.226666666667</v>
      </c>
      <c r="I42" s="49">
        <v>148.49</v>
      </c>
      <c r="J42" s="49">
        <v>150.8</v>
      </c>
      <c r="K42" s="49">
        <v>145.36</v>
      </c>
      <c r="L42" s="49">
        <v>145.47</v>
      </c>
      <c r="M42" s="50">
        <v>83516670</v>
      </c>
      <c r="N42" s="51">
        <f>(J42+K42+L42)/3</f>
        <v>147.21</v>
      </c>
    </row>
    <row r="43" spans="2:14">
      <c r="B43" s="48">
        <v>46290</v>
      </c>
      <c r="C43" s="49">
        <v>384.62</v>
      </c>
      <c r="D43" s="49">
        <v>386.83</v>
      </c>
      <c r="E43" s="49">
        <v>367.67</v>
      </c>
      <c r="F43" s="49">
        <v>372.11</v>
      </c>
      <c r="G43" s="50">
        <v>45999470</v>
      </c>
      <c r="H43" s="51">
        <f>(D43+E43+F43)/3</f>
        <v>375.536666666667</v>
      </c>
      <c r="I43" s="49">
        <v>148.38</v>
      </c>
      <c r="J43" s="49">
        <v>149.6651</v>
      </c>
      <c r="K43" s="49">
        <v>146</v>
      </c>
      <c r="L43" s="49">
        <v>148.68</v>
      </c>
      <c r="M43" s="50">
        <v>54595190</v>
      </c>
      <c r="N43" s="51">
        <f>(J43+K43+L43)/3</f>
        <v>148.115033333333</v>
      </c>
    </row>
    <row r="44" spans="2:14">
      <c r="B44" s="48">
        <v>46289</v>
      </c>
      <c r="C44" s="49">
        <v>377.35</v>
      </c>
      <c r="D44" s="49">
        <v>383.3324</v>
      </c>
      <c r="E44" s="49">
        <v>375.7</v>
      </c>
      <c r="F44" s="49">
        <v>377.94</v>
      </c>
      <c r="G44" s="50">
        <v>26165730</v>
      </c>
      <c r="H44" s="51">
        <f>(D44+E44+F44)/3</f>
        <v>378.9908</v>
      </c>
      <c r="I44" s="49">
        <v>148.2</v>
      </c>
      <c r="J44" s="49">
        <v>149</v>
      </c>
      <c r="K44" s="49">
        <v>145.88</v>
      </c>
      <c r="L44" s="49">
        <v>148.03</v>
      </c>
      <c r="M44" s="50">
        <v>72721440</v>
      </c>
      <c r="N44" s="51">
        <f>(J44+K44+L44)/3</f>
        <v>147.636666666667</v>
      </c>
    </row>
    <row r="45" spans="2:14">
      <c r="B45" s="48">
        <v>46288</v>
      </c>
      <c r="C45" s="49">
        <v>380.1</v>
      </c>
      <c r="D45" s="49">
        <v>386.7</v>
      </c>
      <c r="E45" s="49">
        <v>377.575</v>
      </c>
      <c r="F45" s="49">
        <v>380.12</v>
      </c>
      <c r="G45" s="50">
        <v>33522490</v>
      </c>
      <c r="H45" s="51">
        <f>(D45+E45+F45)/3</f>
        <v>381.465</v>
      </c>
      <c r="I45" s="49">
        <v>153.275</v>
      </c>
      <c r="J45" s="49">
        <v>154.26</v>
      </c>
      <c r="K45" s="49">
        <v>147.89</v>
      </c>
      <c r="L45" s="49">
        <v>148.36</v>
      </c>
      <c r="M45" s="50">
        <v>60641580</v>
      </c>
      <c r="N45" s="51">
        <f>(J45+K45+L45)/3</f>
        <v>150.17</v>
      </c>
    </row>
    <row r="46" spans="2:14">
      <c r="B46" s="48">
        <v>46287</v>
      </c>
      <c r="C46" s="49">
        <v>379.069</v>
      </c>
      <c r="D46" s="49">
        <v>380.42</v>
      </c>
      <c r="E46" s="49">
        <v>372.88</v>
      </c>
      <c r="F46" s="49">
        <v>378.9</v>
      </c>
      <c r="G46" s="50">
        <v>28229910</v>
      </c>
      <c r="H46" s="51">
        <f>(D46+E46+F46)/3</f>
        <v>377.4</v>
      </c>
      <c r="I46" s="49">
        <v>151.7</v>
      </c>
      <c r="J46" s="49">
        <v>154.94</v>
      </c>
      <c r="K46" s="49">
        <v>150.5501</v>
      </c>
      <c r="L46" s="49">
        <v>154.72</v>
      </c>
      <c r="M46" s="50">
        <v>59197630</v>
      </c>
      <c r="N46" s="51">
        <f>(J46+K46+L46)/3</f>
        <v>153.403366666667</v>
      </c>
    </row>
    <row r="47" spans="2:14">
      <c r="B47" s="48">
        <v>46286</v>
      </c>
      <c r="C47" s="49">
        <v>371.635</v>
      </c>
      <c r="D47" s="49">
        <v>378.36</v>
      </c>
      <c r="E47" s="49">
        <v>371.07</v>
      </c>
      <c r="F47" s="49">
        <v>375.3</v>
      </c>
      <c r="G47" s="50">
        <v>36599610</v>
      </c>
      <c r="H47" s="51">
        <f>(D47+E47+F47)/3</f>
        <v>374.91</v>
      </c>
      <c r="I47" s="49">
        <v>154.77</v>
      </c>
      <c r="J47" s="49">
        <v>158.13</v>
      </c>
      <c r="K47" s="49">
        <v>151.6</v>
      </c>
      <c r="L47" s="49">
        <v>151.85</v>
      </c>
      <c r="M47" s="50">
        <v>82283680</v>
      </c>
      <c r="N47" s="51">
        <f>(J47+K47+L47)/3</f>
        <v>153.86</v>
      </c>
    </row>
    <row r="48" spans="2:14">
      <c r="B48" s="48">
        <v>46283</v>
      </c>
      <c r="C48" s="49">
        <v>369</v>
      </c>
      <c r="D48" s="49">
        <v>370.9</v>
      </c>
      <c r="E48" s="49">
        <v>360.751</v>
      </c>
      <c r="F48" s="49">
        <v>364.27</v>
      </c>
      <c r="G48" s="50">
        <v>51922260</v>
      </c>
      <c r="H48" s="51">
        <f>(D48+E48+F48)/3</f>
        <v>365.307</v>
      </c>
      <c r="I48" s="49">
        <v>154.6</v>
      </c>
      <c r="J48" s="49">
        <v>156.6</v>
      </c>
      <c r="K48" s="49">
        <v>149.93</v>
      </c>
      <c r="L48" s="49">
        <v>152.71</v>
      </c>
      <c r="M48" s="50">
        <v>335670500</v>
      </c>
      <c r="N48" s="51">
        <f>(J48+K48+L48)/3</f>
        <v>153.08</v>
      </c>
    </row>
    <row r="49" spans="2:14">
      <c r="B49" s="48">
        <v>46282</v>
      </c>
      <c r="C49" s="49">
        <v>367.48</v>
      </c>
      <c r="D49" s="49">
        <v>374.12</v>
      </c>
      <c r="E49" s="49">
        <v>363.22</v>
      </c>
      <c r="F49" s="49">
        <v>366.2</v>
      </c>
      <c r="G49" s="50">
        <v>38924060</v>
      </c>
      <c r="H49" s="51">
        <f>(D49+E49+F49)/3</f>
        <v>367.846666666667</v>
      </c>
      <c r="I49" s="49">
        <v>153.8</v>
      </c>
      <c r="J49" s="49">
        <v>156.8656</v>
      </c>
      <c r="K49" s="49">
        <v>152.63</v>
      </c>
      <c r="L49" s="49">
        <v>154.81</v>
      </c>
      <c r="M49" s="50">
        <v>83986350</v>
      </c>
      <c r="N49" s="51">
        <f>(J49+K49+L49)/3</f>
        <v>154.768533333333</v>
      </c>
    </row>
    <row r="50" spans="2:14">
      <c r="B50" s="48">
        <v>46281</v>
      </c>
      <c r="C50" s="49">
        <v>357.925</v>
      </c>
      <c r="D50" s="49">
        <v>365.1</v>
      </c>
      <c r="E50" s="49">
        <v>354.8913</v>
      </c>
      <c r="F50" s="49">
        <v>358.08</v>
      </c>
      <c r="G50" s="50">
        <v>32177390</v>
      </c>
      <c r="H50" s="51">
        <f>(D50+E50+F50)/3</f>
        <v>359.3571</v>
      </c>
      <c r="I50" s="49">
        <v>144.88</v>
      </c>
      <c r="J50" s="49">
        <v>153.01</v>
      </c>
      <c r="K50" s="49">
        <v>144.36</v>
      </c>
      <c r="L50" s="49">
        <v>150.88</v>
      </c>
      <c r="M50" s="50">
        <v>108770000</v>
      </c>
      <c r="N50" s="51">
        <f>(J50+K50+L50)/3</f>
        <v>149.416666666667</v>
      </c>
    </row>
    <row r="51" spans="2:14">
      <c r="B51" s="48">
        <v>46280</v>
      </c>
      <c r="C51" s="49">
        <v>358.75</v>
      </c>
      <c r="D51" s="49">
        <v>362.39</v>
      </c>
      <c r="E51" s="49">
        <v>354.05</v>
      </c>
      <c r="F51" s="49">
        <v>356.58</v>
      </c>
      <c r="G51" s="50">
        <v>30317730</v>
      </c>
      <c r="H51" s="51">
        <f>(D51+E51+F51)/3</f>
        <v>357.673333333333</v>
      </c>
      <c r="I51" s="49">
        <v>148.445</v>
      </c>
      <c r="J51" s="49">
        <v>148.545</v>
      </c>
      <c r="K51" s="49">
        <v>142.8721</v>
      </c>
      <c r="L51" s="49">
        <v>143.49</v>
      </c>
      <c r="M51" s="50">
        <v>72746770</v>
      </c>
      <c r="N51" s="51">
        <f>(J51+K51+L51)/3</f>
        <v>144.969033333333</v>
      </c>
    </row>
    <row r="52" spans="2:14">
      <c r="B52" s="48">
        <v>46279</v>
      </c>
      <c r="C52" s="49">
        <v>359.78</v>
      </c>
      <c r="D52" s="49">
        <v>367.73</v>
      </c>
      <c r="E52" s="49">
        <v>357.04</v>
      </c>
      <c r="F52" s="49">
        <v>358.97</v>
      </c>
      <c r="G52" s="50">
        <v>32477180</v>
      </c>
      <c r="H52" s="51">
        <f>(D52+E52+F52)/3</f>
        <v>361.246666666667</v>
      </c>
      <c r="I52" s="49">
        <v>147.325</v>
      </c>
      <c r="J52" s="49">
        <v>152.56</v>
      </c>
      <c r="K52" s="49">
        <v>146</v>
      </c>
      <c r="L52" s="49">
        <v>148.15</v>
      </c>
      <c r="M52" s="50">
        <v>67861000</v>
      </c>
      <c r="N52" s="51">
        <f>(J52+K52+L52)/3</f>
        <v>148.903333333333</v>
      </c>
    </row>
    <row r="53" spans="2:14">
      <c r="B53" s="48">
        <v>46276</v>
      </c>
      <c r="C53" s="49">
        <v>364.2</v>
      </c>
      <c r="D53" s="49">
        <v>368.66</v>
      </c>
      <c r="E53" s="49">
        <v>361.6</v>
      </c>
      <c r="F53" s="49">
        <v>365.44</v>
      </c>
      <c r="G53" s="50">
        <v>30153020</v>
      </c>
      <c r="H53" s="51">
        <f>(D53+E53+F53)/3</f>
        <v>365.233333333333</v>
      </c>
      <c r="I53" s="49">
        <v>150.005</v>
      </c>
      <c r="J53" s="49">
        <v>151.85</v>
      </c>
      <c r="K53" s="49">
        <v>145.92</v>
      </c>
      <c r="L53" s="49">
        <v>151.21</v>
      </c>
      <c r="M53" s="50">
        <v>79273370</v>
      </c>
      <c r="N53" s="51">
        <f>(J53+K53+L53)/3</f>
        <v>149.66</v>
      </c>
    </row>
    <row r="54" spans="2:14">
      <c r="B54" s="48">
        <v>46275</v>
      </c>
      <c r="C54" s="49">
        <v>360.595</v>
      </c>
      <c r="D54" s="49">
        <v>369.21</v>
      </c>
      <c r="E54" s="49">
        <v>357.68</v>
      </c>
      <c r="F54" s="49">
        <v>363.56</v>
      </c>
      <c r="G54" s="50">
        <v>29667240</v>
      </c>
      <c r="H54" s="51">
        <f>(D54+E54+F54)/3</f>
        <v>363.483333333333</v>
      </c>
      <c r="I54" s="49">
        <v>145</v>
      </c>
      <c r="J54" s="49">
        <v>154.7</v>
      </c>
      <c r="K54" s="49">
        <v>144.89</v>
      </c>
      <c r="L54" s="49">
        <v>148.18</v>
      </c>
      <c r="M54" s="50">
        <v>118598900</v>
      </c>
      <c r="N54" s="51">
        <f>(J54+K54+L54)/3</f>
        <v>149.256666666667</v>
      </c>
    </row>
    <row r="55" spans="2:14">
      <c r="B55" s="48">
        <v>46274</v>
      </c>
      <c r="C55" s="49">
        <v>368.25</v>
      </c>
      <c r="D55" s="49">
        <v>375.44</v>
      </c>
      <c r="E55" s="49">
        <v>366</v>
      </c>
      <c r="F55" s="49">
        <v>367.81</v>
      </c>
      <c r="G55" s="50">
        <v>32564340</v>
      </c>
      <c r="H55" s="51">
        <f>(D55+E55+F55)/3</f>
        <v>369.75</v>
      </c>
      <c r="I55" s="49">
        <v>152.04</v>
      </c>
      <c r="J55" s="49">
        <v>153</v>
      </c>
      <c r="K55" s="49">
        <v>145.55</v>
      </c>
      <c r="L55" s="49">
        <v>147.55</v>
      </c>
      <c r="M55" s="50">
        <v>120593500</v>
      </c>
      <c r="N55" s="51">
        <f>(J55+K55+L55)/3</f>
        <v>148.7</v>
      </c>
    </row>
    <row r="56" spans="2:14">
      <c r="B56" s="48">
        <v>46273</v>
      </c>
      <c r="C56" s="49">
        <v>357.095</v>
      </c>
      <c r="D56" s="49">
        <v>370</v>
      </c>
      <c r="E56" s="49">
        <v>355.75</v>
      </c>
      <c r="F56" s="49">
        <v>368.16</v>
      </c>
      <c r="G56" s="50">
        <v>51078790</v>
      </c>
      <c r="H56" s="51">
        <f>(D56+E56+F56)/3</f>
        <v>364.636666666667</v>
      </c>
      <c r="I56" s="49">
        <v>149.045</v>
      </c>
      <c r="J56" s="49">
        <v>155</v>
      </c>
      <c r="K56" s="49">
        <v>145.14</v>
      </c>
      <c r="L56" s="49">
        <v>153.47</v>
      </c>
      <c r="M56" s="50">
        <v>85840670</v>
      </c>
      <c r="N56" s="51">
        <f>(J56+K56+L56)/3</f>
        <v>151.203333333333</v>
      </c>
    </row>
    <row r="57" spans="2:14">
      <c r="B57" s="48">
        <v>46269</v>
      </c>
      <c r="C57" s="49">
        <v>362.07</v>
      </c>
      <c r="D57" s="49">
        <v>364.69</v>
      </c>
      <c r="E57" s="49">
        <v>351.3201</v>
      </c>
      <c r="F57" s="49">
        <v>354.08</v>
      </c>
      <c r="G57" s="50">
        <v>65018210</v>
      </c>
      <c r="H57" s="51">
        <f>(D57+E57+F57)/3</f>
        <v>356.6967</v>
      </c>
      <c r="I57" s="49">
        <v>148.59</v>
      </c>
      <c r="J57" s="49">
        <v>150.8499</v>
      </c>
      <c r="K57" s="49">
        <v>147.32</v>
      </c>
      <c r="L57" s="49">
        <v>147.95</v>
      </c>
      <c r="M57" s="50">
        <v>49122390</v>
      </c>
      <c r="N57" s="51">
        <f>(J57+K57+L57)/3</f>
        <v>148.706633333333</v>
      </c>
    </row>
    <row r="58" spans="2:14">
      <c r="B58" s="48">
        <v>46268</v>
      </c>
      <c r="C58" s="49">
        <v>365.82</v>
      </c>
      <c r="D58" s="49">
        <v>384.04</v>
      </c>
      <c r="E58" s="49">
        <v>365.82</v>
      </c>
      <c r="F58" s="49">
        <v>376.365</v>
      </c>
      <c r="G58" s="50">
        <v>63600990</v>
      </c>
      <c r="H58" s="51">
        <f>(D58+E58+F58)/3</f>
        <v>375.408333333333</v>
      </c>
      <c r="I58" s="49">
        <v>141.361</v>
      </c>
      <c r="J58" s="49">
        <v>152.3</v>
      </c>
      <c r="K58" s="49">
        <v>141.05</v>
      </c>
      <c r="L58" s="49">
        <v>149.74</v>
      </c>
      <c r="M58" s="50">
        <v>121333600</v>
      </c>
      <c r="N58" s="51">
        <f>(J58+K58+L58)/3</f>
        <v>147.696666666667</v>
      </c>
    </row>
    <row r="59" spans="2:14">
      <c r="B59" s="48">
        <v>46267</v>
      </c>
      <c r="C59" s="49">
        <v>360.41</v>
      </c>
      <c r="D59" s="49">
        <v>360.62</v>
      </c>
      <c r="E59" s="49">
        <v>349.92</v>
      </c>
      <c r="F59" s="49">
        <v>357.01</v>
      </c>
      <c r="G59" s="50">
        <v>33951910</v>
      </c>
      <c r="H59" s="51">
        <f>(D59+E59+F59)/3</f>
        <v>355.85</v>
      </c>
      <c r="I59" s="49">
        <v>142.68</v>
      </c>
      <c r="J59" s="49">
        <v>143.1</v>
      </c>
      <c r="K59" s="49">
        <v>138.17</v>
      </c>
      <c r="L59" s="49">
        <v>140.71</v>
      </c>
      <c r="M59" s="50">
        <v>49903660</v>
      </c>
      <c r="N59" s="51">
        <f>(J59+K59+L59)/3</f>
        <v>140.66</v>
      </c>
    </row>
    <row r="60" spans="2:14">
      <c r="B60" s="48">
        <v>46266</v>
      </c>
      <c r="C60" s="49">
        <v>360.9</v>
      </c>
      <c r="D60" s="49">
        <v>362.7</v>
      </c>
      <c r="E60" s="49">
        <v>352.96</v>
      </c>
      <c r="F60" s="49">
        <v>356.09</v>
      </c>
      <c r="G60" s="50">
        <v>36193930</v>
      </c>
      <c r="H60" s="51">
        <f>(D60+E60+F60)/3</f>
        <v>357.25</v>
      </c>
      <c r="I60" s="49">
        <v>141.87</v>
      </c>
      <c r="J60" s="49">
        <v>145.23</v>
      </c>
      <c r="K60" s="49">
        <v>141.167</v>
      </c>
      <c r="L60" s="49">
        <v>142.23</v>
      </c>
      <c r="M60" s="50">
        <v>53808130</v>
      </c>
      <c r="N60" s="51">
        <f>(J60+K60+L60)/3</f>
        <v>142.875666666667</v>
      </c>
    </row>
    <row r="61" spans="2:14">
      <c r="B61" s="48">
        <v>46265</v>
      </c>
      <c r="C61" s="49">
        <v>347.21</v>
      </c>
      <c r="D61" s="49">
        <v>368.92</v>
      </c>
      <c r="E61" s="49">
        <v>347.15</v>
      </c>
      <c r="F61" s="49">
        <v>367.95</v>
      </c>
      <c r="G61" s="50">
        <v>61732260</v>
      </c>
      <c r="H61" s="51">
        <f>(D61+E61+F61)/3</f>
        <v>361.34</v>
      </c>
      <c r="I61" s="49">
        <v>140.075</v>
      </c>
      <c r="J61" s="49">
        <v>144.135</v>
      </c>
      <c r="K61" s="49">
        <v>139.88</v>
      </c>
      <c r="L61" s="49">
        <v>143.69</v>
      </c>
      <c r="M61" s="50">
        <v>63145020</v>
      </c>
      <c r="N61" s="51">
        <f>(J61+K61+L61)/3</f>
        <v>142.568333333333</v>
      </c>
    </row>
    <row r="62" spans="2:14">
      <c r="B62" s="48">
        <v>46262</v>
      </c>
      <c r="C62" s="49">
        <v>357.095</v>
      </c>
      <c r="D62" s="49">
        <v>358.8</v>
      </c>
      <c r="E62" s="49">
        <v>345.2</v>
      </c>
      <c r="F62" s="49">
        <v>348.75</v>
      </c>
      <c r="G62" s="50">
        <v>32972210</v>
      </c>
      <c r="H62" s="51">
        <f>(D62+E62+F62)/3</f>
        <v>350.916666666667</v>
      </c>
      <c r="I62" s="49">
        <v>139.825</v>
      </c>
      <c r="J62" s="49">
        <v>143.29</v>
      </c>
      <c r="K62" s="49">
        <v>137.9</v>
      </c>
      <c r="L62" s="49">
        <v>141.5</v>
      </c>
      <c r="M62" s="50">
        <v>55111220</v>
      </c>
      <c r="N62" s="51">
        <f>(J62+K62+L62)/3</f>
        <v>140.896666666667</v>
      </c>
    </row>
    <row r="63" spans="2:14">
      <c r="B63" s="48">
        <v>46261</v>
      </c>
      <c r="C63" s="49">
        <v>346.155</v>
      </c>
      <c r="D63" s="49">
        <v>355.74</v>
      </c>
      <c r="E63" s="49">
        <v>345.45</v>
      </c>
      <c r="F63" s="49">
        <v>354.81</v>
      </c>
      <c r="G63" s="50">
        <v>30136160</v>
      </c>
      <c r="H63" s="51">
        <f>(D63+E63+F63)/3</f>
        <v>352</v>
      </c>
      <c r="I63" s="49">
        <v>139.99</v>
      </c>
      <c r="J63" s="49">
        <v>142.06</v>
      </c>
      <c r="K63" s="49">
        <v>138.6</v>
      </c>
      <c r="L63" s="49">
        <v>140.87</v>
      </c>
      <c r="M63" s="50">
        <v>55268830</v>
      </c>
      <c r="N63" s="51">
        <f>(J63+K63+L63)/3</f>
        <v>140.51</v>
      </c>
    </row>
    <row r="64" spans="2:14">
      <c r="B64" s="48">
        <v>46260</v>
      </c>
      <c r="C64" s="49">
        <v>345.27</v>
      </c>
      <c r="D64" s="49">
        <v>351.93</v>
      </c>
      <c r="E64" s="49">
        <v>342.53</v>
      </c>
      <c r="F64" s="49">
        <v>345.82</v>
      </c>
      <c r="G64" s="50">
        <v>28573010</v>
      </c>
      <c r="H64" s="51">
        <f>(D64+E64+F64)/3</f>
        <v>346.76</v>
      </c>
      <c r="I64" s="49">
        <v>137</v>
      </c>
      <c r="J64" s="49">
        <v>140.18</v>
      </c>
      <c r="K64" s="49">
        <v>135.1</v>
      </c>
      <c r="L64" s="49">
        <v>139.63</v>
      </c>
      <c r="M64" s="50">
        <v>61380490</v>
      </c>
      <c r="N64" s="51">
        <f>(J64+K64+L64)/3</f>
        <v>138.303333333333</v>
      </c>
    </row>
    <row r="65" spans="2:14">
      <c r="B65" s="48">
        <v>46259</v>
      </c>
      <c r="C65" s="49">
        <v>349.58</v>
      </c>
      <c r="D65" s="49">
        <v>357</v>
      </c>
      <c r="E65" s="49">
        <v>349.2003</v>
      </c>
      <c r="F65" s="49">
        <v>350.25</v>
      </c>
      <c r="G65" s="50">
        <v>29816690</v>
      </c>
      <c r="H65" s="51">
        <f>(D65+E65+F65)/3</f>
        <v>352.1501</v>
      </c>
      <c r="I65" s="49">
        <v>136.935</v>
      </c>
      <c r="J65" s="49">
        <v>139.75</v>
      </c>
      <c r="K65" s="49">
        <v>136.1</v>
      </c>
      <c r="L65" s="49">
        <v>137.95</v>
      </c>
      <c r="M65" s="50">
        <v>53075010</v>
      </c>
      <c r="N65" s="51">
        <f>(J65+K65+L65)/3</f>
        <v>137.933333333333</v>
      </c>
    </row>
    <row r="66" spans="2:14">
      <c r="B66" s="48">
        <v>46258</v>
      </c>
      <c r="C66" s="49">
        <v>361.41</v>
      </c>
      <c r="D66" s="49">
        <v>363.24</v>
      </c>
      <c r="E66" s="49">
        <v>348.26</v>
      </c>
      <c r="F66" s="49">
        <v>348.95</v>
      </c>
      <c r="G66" s="50">
        <v>39190480</v>
      </c>
      <c r="H66" s="51">
        <f>(D66+E66+F66)/3</f>
        <v>353.483333333333</v>
      </c>
      <c r="I66" s="49">
        <v>134.355</v>
      </c>
      <c r="J66" s="49">
        <v>138.33</v>
      </c>
      <c r="K66" s="49">
        <v>133.1</v>
      </c>
      <c r="L66" s="49">
        <v>135</v>
      </c>
      <c r="M66" s="50">
        <v>60188380</v>
      </c>
      <c r="N66" s="51">
        <f>(J66+K66+L66)/3</f>
        <v>135.476666666667</v>
      </c>
    </row>
    <row r="67" spans="2:14">
      <c r="B67" s="48">
        <v>46255</v>
      </c>
      <c r="C67" s="49">
        <v>349.88</v>
      </c>
      <c r="D67" s="49">
        <v>366.5</v>
      </c>
      <c r="E67" s="49">
        <v>346.9</v>
      </c>
      <c r="F67" s="49">
        <v>362.86</v>
      </c>
      <c r="G67" s="50">
        <v>59223960</v>
      </c>
      <c r="H67" s="51">
        <f>(D67+E67+F67)/3</f>
        <v>358.753333333333</v>
      </c>
      <c r="I67" s="49">
        <v>134.315</v>
      </c>
      <c r="J67" s="49">
        <v>137.35</v>
      </c>
      <c r="K67" s="49">
        <v>131.22</v>
      </c>
      <c r="L67" s="49">
        <v>136.97</v>
      </c>
      <c r="M67" s="50">
        <v>78808310</v>
      </c>
      <c r="N67" s="51">
        <f>(J67+K67+L67)/3</f>
        <v>135.18</v>
      </c>
    </row>
    <row r="68" spans="2:14">
      <c r="B68" s="48">
        <v>46254</v>
      </c>
      <c r="C68" s="49">
        <v>346.2</v>
      </c>
      <c r="D68" s="49">
        <v>347.5</v>
      </c>
      <c r="E68" s="49">
        <v>338.96</v>
      </c>
      <c r="F68" s="49">
        <v>345.13</v>
      </c>
      <c r="G68" s="50">
        <v>30766360</v>
      </c>
      <c r="H68" s="51">
        <f>(D68+E68+F68)/3</f>
        <v>343.863333333333</v>
      </c>
      <c r="I68" s="49">
        <v>137.285</v>
      </c>
      <c r="J68" s="49">
        <v>137.88</v>
      </c>
      <c r="K68" s="49">
        <v>130.39</v>
      </c>
      <c r="L68" s="49">
        <v>134</v>
      </c>
      <c r="M68" s="50">
        <v>119813200</v>
      </c>
      <c r="N68" s="51">
        <f>(J68+K68+L68)/3</f>
        <v>134.09</v>
      </c>
    </row>
    <row r="69" spans="2:14">
      <c r="B69" s="48">
        <v>46253</v>
      </c>
      <c r="C69" s="49">
        <v>338.89</v>
      </c>
      <c r="D69" s="49">
        <v>351.62</v>
      </c>
      <c r="E69" s="49">
        <v>335.7</v>
      </c>
      <c r="F69" s="49">
        <v>351.12</v>
      </c>
      <c r="G69" s="50">
        <v>36735430</v>
      </c>
      <c r="H69" s="51">
        <f>(D69+E69+F69)/3</f>
        <v>346.146666666667</v>
      </c>
      <c r="I69" s="49">
        <v>144.96</v>
      </c>
      <c r="J69" s="49">
        <v>145.01</v>
      </c>
      <c r="K69" s="49">
        <v>136.72</v>
      </c>
      <c r="L69" s="49">
        <v>139.65</v>
      </c>
      <c r="M69" s="50">
        <v>76612320</v>
      </c>
      <c r="N69" s="51">
        <f>(J69+K69+L69)/3</f>
        <v>140.46</v>
      </c>
    </row>
    <row r="70" spans="2:14">
      <c r="B70" s="48">
        <v>46252</v>
      </c>
      <c r="C70" s="49">
        <v>333.22</v>
      </c>
      <c r="D70" s="49">
        <v>340.53</v>
      </c>
      <c r="E70" s="49">
        <v>331.12</v>
      </c>
      <c r="F70" s="49">
        <v>336.87</v>
      </c>
      <c r="G70" s="50">
        <v>27994470</v>
      </c>
      <c r="H70" s="51">
        <f>(D70+E70+F70)/3</f>
        <v>336.173333333333</v>
      </c>
      <c r="I70" s="49">
        <v>140.725</v>
      </c>
      <c r="J70" s="49">
        <v>146.46</v>
      </c>
      <c r="K70" s="49">
        <v>139.4101</v>
      </c>
      <c r="L70" s="49">
        <v>143.34</v>
      </c>
      <c r="M70" s="50">
        <v>84190980</v>
      </c>
      <c r="N70" s="51">
        <f>(J70+K70+L70)/3</f>
        <v>143.070033333333</v>
      </c>
    </row>
    <row r="71" spans="2:14">
      <c r="B71" s="48">
        <v>46251</v>
      </c>
      <c r="C71" s="49">
        <v>340.69</v>
      </c>
      <c r="D71" s="49">
        <v>345.45</v>
      </c>
      <c r="E71" s="49">
        <v>337.48</v>
      </c>
      <c r="F71" s="49">
        <v>339.3</v>
      </c>
      <c r="G71" s="50">
        <v>26037090</v>
      </c>
      <c r="H71" s="51">
        <f>(D71+E71+F71)/3</f>
        <v>340.743333333333</v>
      </c>
      <c r="I71" s="49">
        <v>139.975</v>
      </c>
      <c r="J71" s="49">
        <v>149.8</v>
      </c>
      <c r="K71" s="49">
        <v>139.58</v>
      </c>
      <c r="L71" s="49">
        <v>146.23</v>
      </c>
      <c r="M71" s="50">
        <v>116675400</v>
      </c>
      <c r="N71" s="51">
        <f>(J71+K71+L71)/3</f>
        <v>145.203333333333</v>
      </c>
    </row>
    <row r="72" spans="2:14">
      <c r="B72" s="48">
        <v>46248</v>
      </c>
      <c r="C72" s="49">
        <v>342.33</v>
      </c>
      <c r="D72" s="49">
        <v>351.26</v>
      </c>
      <c r="E72" s="49">
        <v>335.3306</v>
      </c>
      <c r="F72" s="49">
        <v>342.27</v>
      </c>
      <c r="G72" s="50">
        <v>45437140</v>
      </c>
      <c r="H72" s="51">
        <f>(D72+E72+F72)/3</f>
        <v>342.953533333333</v>
      </c>
      <c r="I72" s="49">
        <v>142.9</v>
      </c>
      <c r="J72" s="49">
        <v>144.02</v>
      </c>
      <c r="K72" s="49">
        <v>135.5</v>
      </c>
      <c r="L72" s="49">
        <v>140</v>
      </c>
      <c r="M72" s="50">
        <v>96727760</v>
      </c>
      <c r="N72" s="51">
        <f>(J72+K72+L72)/3</f>
        <v>139.84</v>
      </c>
    </row>
    <row r="73" spans="2:14">
      <c r="B73" s="48">
        <v>46247</v>
      </c>
      <c r="C73" s="49">
        <v>327.2</v>
      </c>
      <c r="D73" s="49">
        <v>341.64</v>
      </c>
      <c r="E73" s="49">
        <v>325.24</v>
      </c>
      <c r="F73" s="49">
        <v>339.96</v>
      </c>
      <c r="G73" s="50">
        <v>34708300</v>
      </c>
      <c r="H73" s="51">
        <f>(D73+E73+F73)/3</f>
        <v>335.613333333333</v>
      </c>
      <c r="I73" s="49">
        <v>143.75</v>
      </c>
      <c r="J73" s="49">
        <v>145.05</v>
      </c>
      <c r="K73" s="49">
        <v>139.76</v>
      </c>
      <c r="L73" s="49">
        <v>141.29</v>
      </c>
      <c r="M73" s="50">
        <v>120282200</v>
      </c>
      <c r="N73" s="51">
        <f>(J73+K73+L73)/3</f>
        <v>142.033333333333</v>
      </c>
    </row>
    <row r="74" spans="2:14">
      <c r="B74" s="48">
        <v>46246</v>
      </c>
      <c r="C74" s="49">
        <v>335</v>
      </c>
      <c r="D74" s="49">
        <v>335.5</v>
      </c>
      <c r="E74" s="49">
        <v>323.64</v>
      </c>
      <c r="F74" s="49">
        <v>327.51</v>
      </c>
      <c r="G74" s="50">
        <v>28698880</v>
      </c>
      <c r="H74" s="51">
        <f>(D74+E74+F74)/3</f>
        <v>328.883333333333</v>
      </c>
      <c r="I74" s="49">
        <v>135.045</v>
      </c>
      <c r="J74" s="49">
        <v>149.6</v>
      </c>
      <c r="K74" s="49">
        <v>134.01</v>
      </c>
      <c r="L74" s="49">
        <v>146.15</v>
      </c>
      <c r="M74" s="50">
        <v>167236400</v>
      </c>
      <c r="N74" s="51">
        <f>(J74+K74+L74)/3</f>
        <v>143.253333333333</v>
      </c>
    </row>
    <row r="75" spans="2:14">
      <c r="B75" s="48">
        <v>46245</v>
      </c>
      <c r="C75" s="49">
        <v>332.8</v>
      </c>
      <c r="D75" s="49">
        <v>336.2</v>
      </c>
      <c r="E75" s="49">
        <v>329.53</v>
      </c>
      <c r="F75" s="49">
        <v>332.81</v>
      </c>
      <c r="G75" s="50">
        <v>23345230</v>
      </c>
      <c r="H75" s="51">
        <f>(D75+E75+F75)/3</f>
        <v>332.846666666667</v>
      </c>
      <c r="I75" s="49">
        <v>138.655</v>
      </c>
      <c r="J75" s="49">
        <v>139.98</v>
      </c>
      <c r="K75" s="49">
        <v>130.5</v>
      </c>
      <c r="L75" s="49">
        <v>133.29</v>
      </c>
      <c r="M75" s="50">
        <v>108900600</v>
      </c>
      <c r="N75" s="51">
        <f>(J75+K75+L75)/3</f>
        <v>134.59</v>
      </c>
    </row>
    <row r="76" spans="2:14">
      <c r="B76" s="48">
        <v>46244</v>
      </c>
      <c r="C76" s="49">
        <v>326.595</v>
      </c>
      <c r="D76" s="49">
        <v>332.05</v>
      </c>
      <c r="E76" s="49">
        <v>326.15</v>
      </c>
      <c r="F76" s="49">
        <v>330.88</v>
      </c>
      <c r="G76" s="50">
        <v>25003810</v>
      </c>
      <c r="H76" s="51">
        <f>(D76+E76+F76)/3</f>
        <v>329.693333333333</v>
      </c>
      <c r="I76" s="49">
        <v>134.95</v>
      </c>
      <c r="J76" s="49">
        <v>139.26</v>
      </c>
      <c r="K76" s="49">
        <v>130.17</v>
      </c>
      <c r="L76" s="49">
        <v>138.74</v>
      </c>
      <c r="M76" s="50">
        <v>169934300</v>
      </c>
      <c r="N76" s="51">
        <f>(J76+K76+L76)/3</f>
        <v>136.056666666667</v>
      </c>
    </row>
    <row r="77" spans="2:14">
      <c r="B77" s="48">
        <v>46241</v>
      </c>
      <c r="C77" s="49">
        <v>322.34</v>
      </c>
      <c r="D77" s="49">
        <v>333.73</v>
      </c>
      <c r="E77" s="49">
        <v>321.2508</v>
      </c>
      <c r="F77" s="49">
        <v>328.58</v>
      </c>
      <c r="G77" s="50">
        <v>39492350</v>
      </c>
      <c r="H77" s="51">
        <f>(D77+E77+F77)/3</f>
        <v>327.8536</v>
      </c>
      <c r="I77" s="49">
        <v>114.965</v>
      </c>
      <c r="J77" s="49">
        <v>133.48</v>
      </c>
      <c r="K77" s="49">
        <v>114.53</v>
      </c>
      <c r="L77" s="49">
        <v>133.11</v>
      </c>
      <c r="M77" s="50">
        <v>242130700</v>
      </c>
      <c r="N77" s="51">
        <f>(J77+K77+L77)/3</f>
        <v>127.04</v>
      </c>
    </row>
    <row r="78" spans="2:14">
      <c r="B78" s="48">
        <v>46240</v>
      </c>
      <c r="C78" s="49">
        <v>317.05</v>
      </c>
      <c r="D78" s="49">
        <v>323</v>
      </c>
      <c r="E78" s="49">
        <v>315.5205</v>
      </c>
      <c r="F78" s="49">
        <v>319.53</v>
      </c>
      <c r="G78" s="50">
        <v>26033780</v>
      </c>
      <c r="H78" s="51">
        <f>(D78+E78+F78)/3</f>
        <v>319.350166666667</v>
      </c>
      <c r="I78" s="49">
        <v>107.085</v>
      </c>
      <c r="J78" s="49">
        <v>115.75</v>
      </c>
      <c r="K78" s="49">
        <v>105.11</v>
      </c>
      <c r="L78" s="49">
        <v>114.92</v>
      </c>
      <c r="M78" s="50">
        <v>255176600</v>
      </c>
      <c r="N78" s="51">
        <f>(J78+K78+L78)/3</f>
        <v>111.926666666667</v>
      </c>
    </row>
    <row r="79" spans="2:14">
      <c r="B79" s="48">
        <v>46239</v>
      </c>
      <c r="C79" s="49">
        <v>323.42</v>
      </c>
      <c r="D79" s="49">
        <v>327.14</v>
      </c>
      <c r="E79" s="49">
        <v>320.28</v>
      </c>
      <c r="F79" s="49">
        <v>321.55</v>
      </c>
      <c r="G79" s="50">
        <v>27820810</v>
      </c>
      <c r="H79" s="51">
        <f>(D79+E79+F79)/3</f>
        <v>322.99</v>
      </c>
      <c r="I79" s="49">
        <v>112.37</v>
      </c>
      <c r="J79" s="49">
        <v>117.5</v>
      </c>
      <c r="K79" s="49">
        <v>106.66</v>
      </c>
      <c r="L79" s="49">
        <v>108.27</v>
      </c>
      <c r="M79" s="50">
        <v>208488400</v>
      </c>
      <c r="N79" s="51">
        <f>(J79+K79+L79)/3</f>
        <v>110.81</v>
      </c>
    </row>
    <row r="80" spans="2:14">
      <c r="B80" s="48">
        <v>46238</v>
      </c>
      <c r="C80" s="49">
        <v>324</v>
      </c>
      <c r="D80" s="49">
        <v>329.57</v>
      </c>
      <c r="E80" s="49">
        <v>320.7901</v>
      </c>
      <c r="F80" s="49">
        <v>327.35</v>
      </c>
      <c r="G80" s="50">
        <v>33318300</v>
      </c>
      <c r="H80" s="51">
        <f>(D80+E80+F80)/3</f>
        <v>325.903366666667</v>
      </c>
      <c r="I80" s="49">
        <v>117.33</v>
      </c>
      <c r="J80" s="49">
        <v>126.71</v>
      </c>
      <c r="K80" s="49">
        <v>115.72</v>
      </c>
      <c r="L80" s="49">
        <v>125.33</v>
      </c>
      <c r="M80" s="50">
        <v>144130100</v>
      </c>
      <c r="N80" s="51">
        <f>(J80+K80+L80)/3</f>
        <v>122.586666666667</v>
      </c>
    </row>
    <row r="81" spans="2:14">
      <c r="B81" s="48">
        <v>46237</v>
      </c>
      <c r="C81" s="49">
        <v>310.96</v>
      </c>
      <c r="D81" s="49">
        <v>324.65</v>
      </c>
      <c r="E81" s="49">
        <v>310.425</v>
      </c>
      <c r="F81" s="49">
        <v>322.08</v>
      </c>
      <c r="G81" s="50">
        <v>38281360</v>
      </c>
      <c r="H81" s="51">
        <f>(D81+E81+F81)/3</f>
        <v>319.051666666667</v>
      </c>
      <c r="I81" s="49">
        <v>106.4</v>
      </c>
      <c r="J81" s="49">
        <v>114.92</v>
      </c>
      <c r="K81" s="49">
        <v>104.83</v>
      </c>
      <c r="L81" s="49">
        <v>114.53</v>
      </c>
      <c r="M81" s="50">
        <v>70524030</v>
      </c>
      <c r="N81" s="51">
        <f>(J81+K81+L81)/3</f>
        <v>111.426666666667</v>
      </c>
    </row>
  </sheetData>
  <pageMargins left="0.3" right="0.3" top="0.4" bottom="0.4" header="0.3" footer="0.3"/>
  <pageSetup paperSize="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B1:K69"/>
  <sheetViews>
    <sheetView showGridLines="0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44.7109375" customWidth="1"/>
    <col min="3" max="10" width="13.7109375" customWidth="1"/>
    <col min="11" max="11" width="58.7109375" customWidth="1"/>
  </cols>
  <sheetData>
    <row r="1" spans="2:11">
      <c r="B1" s="12" t="s">
        <v>699</v>
      </c>
    </row>
    <row r="2" spans="2:11">
      <c r="B2" s="13" t="s">
        <v>700</v>
      </c>
    </row>
    <row r="4" spans="2:11">
      <c r="B4" s="20" t="s">
        <v>701</v>
      </c>
    </row>
    <row r="5" spans="2:11">
      <c r="B5" s="21" t="s">
        <v>82</v>
      </c>
      <c r="C5" s="14" t="s">
        <v>403</v>
      </c>
      <c r="D5" s="14" t="s">
        <v>10</v>
      </c>
      <c r="E5" s="14" t="s">
        <v>702</v>
      </c>
      <c r="F5" s="14" t="s">
        <v>703</v>
      </c>
      <c r="G5" s="14" t="s">
        <v>704</v>
      </c>
      <c r="H5" s="14" t="s">
        <v>705</v>
      </c>
      <c r="K5" s="21" t="s">
        <v>170</v>
      </c>
    </row>
    <row r="6" spans="2:11">
      <c r="B6" s="11" t="s">
        <v>97</v>
      </c>
      <c r="C6" s="22">
        <f>'特斯拉财务'!$G$77</f>
        <v>103570</v>
      </c>
      <c r="D6" s="22">
        <f>'SpaceX财务'!$G$89</f>
        <v>32043</v>
      </c>
      <c r="E6" s="22">
        <f>-'关联交易'!$E$19</f>
        <v>-1056</v>
      </c>
      <c r="F6" s="23">
        <f>C6+D6+E6</f>
        <v>134557</v>
      </c>
      <c r="G6" s="34">
        <f>IF(F6=0,0,C6/(C6+D6))</f>
        <v>0.763717342732629</v>
      </c>
      <c r="H6" s="34">
        <f>IF(F6=0,0,D6/(C6+D6))</f>
        <v>0.236282657267371</v>
      </c>
      <c r="K6" s="24" t="s">
        <v>706</v>
      </c>
    </row>
    <row r="7" spans="2:11">
      <c r="B7" s="15" t="s">
        <v>99</v>
      </c>
      <c r="C7" s="22">
        <f>'特斯拉财务'!$G$78</f>
        <v>83596</v>
      </c>
      <c r="D7" s="22">
        <f>'SpaceX财务'!$G$90</f>
        <v>13863</v>
      </c>
      <c r="E7" s="22">
        <f>-'关联交易'!$F$19</f>
        <v>-763</v>
      </c>
      <c r="F7" s="23">
        <f>C7+D7+E7</f>
        <v>96696</v>
      </c>
      <c r="K7" s="24"/>
    </row>
    <row r="8" spans="2:11">
      <c r="B8" s="11" t="s">
        <v>366</v>
      </c>
      <c r="C8" s="22">
        <f>C6-C7</f>
        <v>19974</v>
      </c>
      <c r="D8" s="22">
        <f>D6-D7</f>
        <v>18180</v>
      </c>
      <c r="E8" s="22">
        <f>E6-E7</f>
        <v>-293</v>
      </c>
      <c r="F8" s="23">
        <f>C8+D8+E8</f>
        <v>37861</v>
      </c>
      <c r="G8" s="34">
        <f>IF(F8=0,0,C8/(C8+D8))</f>
        <v>0.523509985846831</v>
      </c>
      <c r="H8" s="34">
        <f>IF(F8=0,0,D8/(C8+D8))</f>
        <v>0.476490014153169</v>
      </c>
      <c r="K8" s="24" t="s">
        <v>707</v>
      </c>
    </row>
    <row r="9" spans="2:11">
      <c r="B9" s="15" t="s">
        <v>225</v>
      </c>
      <c r="C9" s="34">
        <f>IF(C6=0,0,C8/C6)</f>
        <v>0.192855073863088</v>
      </c>
      <c r="D9" s="34">
        <f>IF(D6=0,0,D8/D6)</f>
        <v>0.567362606497519</v>
      </c>
      <c r="E9" s="34"/>
      <c r="F9" s="37">
        <f>IF(F6=0,0,F8/F6)</f>
        <v>0.281375179292047</v>
      </c>
      <c r="K9" s="24"/>
    </row>
    <row r="10" spans="2:11">
      <c r="B10" s="11" t="s">
        <v>227</v>
      </c>
      <c r="C10" s="22">
        <f>'特斯拉财务'!$G$81</f>
        <v>3466</v>
      </c>
      <c r="D10" s="22">
        <f>'SpaceX财务'!$G$93</f>
        <v>-668</v>
      </c>
      <c r="E10" s="22">
        <f>-'关联交易'!$G$19</f>
        <v>-293</v>
      </c>
      <c r="F10" s="23">
        <f>C10+D10+E10</f>
        <v>2505</v>
      </c>
      <c r="K10" s="24"/>
    </row>
    <row r="11" spans="2:11">
      <c r="B11" s="15" t="s">
        <v>228</v>
      </c>
      <c r="C11" s="34">
        <f>IF(C6=0,0,C10/C6)</f>
        <v>0.0334652891764024</v>
      </c>
      <c r="D11" s="34">
        <f>IF(D6=0,0,D10/D6)</f>
        <v>-0.020846986861405</v>
      </c>
      <c r="E11" s="34"/>
      <c r="F11" s="37">
        <f>IF(F6=0,0,F10/F6)</f>
        <v>0.0186166457337783</v>
      </c>
      <c r="K11" s="24"/>
    </row>
    <row r="12" spans="2:11">
      <c r="B12" s="15" t="s">
        <v>708</v>
      </c>
      <c r="C12" s="22">
        <f>'特斯拉财务'!$G$85</f>
        <v>10170</v>
      </c>
      <c r="D12" s="22">
        <f>'SpaceX财务'!$G$97</f>
        <v>10183</v>
      </c>
      <c r="E12" s="22">
        <f>-'关联交易'!$G$19</f>
        <v>-293</v>
      </c>
      <c r="F12" s="23">
        <f>C12+D12+E12</f>
        <v>20060</v>
      </c>
      <c r="G12" s="34">
        <f>IF(F12=0,0,C12/(C12+D12))</f>
        <v>0.499680636761165</v>
      </c>
      <c r="H12" s="34">
        <f>IF(F12=0,0,D12/(C12+D12))</f>
        <v>0.500319363238835</v>
      </c>
      <c r="K12" s="24" t="s">
        <v>709</v>
      </c>
    </row>
    <row r="13" spans="2:11">
      <c r="B13" s="15" t="s">
        <v>710</v>
      </c>
      <c r="C13" s="22">
        <f>'特斯拉财务'!$G$86</f>
        <v>14995</v>
      </c>
      <c r="D13" s="22">
        <f>'SpaceX财务'!$G$98</f>
        <v>14945</v>
      </c>
      <c r="E13" s="22">
        <f>-'关联交易'!$G$19</f>
        <v>-293</v>
      </c>
      <c r="F13" s="23">
        <f>C13+D13+E13</f>
        <v>29647</v>
      </c>
      <c r="K13" s="24" t="s">
        <v>711</v>
      </c>
    </row>
    <row r="14" spans="2:11">
      <c r="B14" s="11" t="s">
        <v>712</v>
      </c>
      <c r="C14" s="22">
        <f>'特斯拉财务'!$G$83</f>
        <v>3218</v>
      </c>
      <c r="D14" s="22">
        <f>'SpaceX财务'!$G$95</f>
        <v>-2760</v>
      </c>
      <c r="E14" s="22">
        <f>-'关联交易'!$G$19*(1-TAX_ELIM)+'特斯拉财务'!$G$87</f>
        <v>-886.47</v>
      </c>
      <c r="F14" s="23">
        <f>C14+D14+E14</f>
        <v>-428.47</v>
      </c>
      <c r="K14" s="24" t="s">
        <v>713</v>
      </c>
    </row>
    <row r="15" spans="2:11">
      <c r="B15" s="15" t="s">
        <v>236</v>
      </c>
      <c r="C15" s="22">
        <f>'特斯拉财务'!$G$88</f>
        <v>18710</v>
      </c>
      <c r="D15" s="22">
        <f>'SpaceX财务'!$G$99</f>
        <v>15762</v>
      </c>
      <c r="E15" s="22">
        <f>-'关联交易'!$G$19</f>
        <v>-293</v>
      </c>
      <c r="F15" s="23">
        <f>C15+D15+E15</f>
        <v>34179</v>
      </c>
      <c r="G15" s="34">
        <f>IF(F15=0,0,C15/(C15+D15))</f>
        <v>0.542759340914365</v>
      </c>
      <c r="H15" s="34">
        <f>IF(F15=0,0,D15/(C15+D15))</f>
        <v>0.457240659085635</v>
      </c>
      <c r="K15" s="24" t="s">
        <v>714</v>
      </c>
    </row>
    <row r="16" spans="2:11">
      <c r="B16" s="15" t="s">
        <v>374</v>
      </c>
      <c r="C16" s="22">
        <f>'特斯拉财务'!$G$89</f>
        <v>15407</v>
      </c>
      <c r="D16" s="22">
        <f>'SpaceX财务'!$G$100</f>
        <v>54960</v>
      </c>
      <c r="E16" s="22">
        <f>-'关联交易'!$G$19</f>
        <v>-293</v>
      </c>
      <c r="F16" s="23">
        <f>C16+D16+E16</f>
        <v>70074</v>
      </c>
      <c r="G16" s="34">
        <f>IF(F16=0,0,C16/(C16+D16))</f>
        <v>0.218952065598931</v>
      </c>
      <c r="H16" s="34">
        <f>IF(F16=0,0,D16/(C16+D16))</f>
        <v>0.781047934401069</v>
      </c>
      <c r="K16" s="24" t="s">
        <v>715</v>
      </c>
    </row>
    <row r="17" spans="2:11">
      <c r="B17" s="11" t="s">
        <v>400</v>
      </c>
      <c r="C17" s="22">
        <f>C15-C16</f>
        <v>3303</v>
      </c>
      <c r="D17" s="22">
        <f>D15-D16</f>
        <v>-39198</v>
      </c>
      <c r="E17" s="22">
        <f>E15-E16</f>
        <v>0</v>
      </c>
      <c r="F17" s="23">
        <f>C17+D17+E17</f>
        <v>-35895</v>
      </c>
      <c r="K17" s="24" t="s">
        <v>716</v>
      </c>
    </row>
    <row r="19" spans="2:11">
      <c r="B19" s="20" t="s">
        <v>717</v>
      </c>
    </row>
    <row r="20" spans="2:11">
      <c r="B20" s="21" t="s">
        <v>82</v>
      </c>
      <c r="C20" s="14" t="s">
        <v>403</v>
      </c>
      <c r="D20" s="14" t="s">
        <v>10</v>
      </c>
      <c r="E20" s="14" t="s">
        <v>702</v>
      </c>
      <c r="F20" s="14" t="s">
        <v>703</v>
      </c>
      <c r="G20" s="14" t="s">
        <v>704</v>
      </c>
      <c r="H20" s="14" t="s">
        <v>705</v>
      </c>
      <c r="K20" s="21" t="s">
        <v>170</v>
      </c>
    </row>
    <row r="21" spans="2:11">
      <c r="B21" s="11" t="s">
        <v>97</v>
      </c>
      <c r="C21" s="22">
        <f>'特斯拉财务'!$H$77</f>
        <v>94827</v>
      </c>
      <c r="D21" s="22">
        <f>'SpaceX财务'!$H$89</f>
        <v>18674</v>
      </c>
      <c r="E21" s="22">
        <f>-'关联交易'!$E$20</f>
        <v>-430</v>
      </c>
      <c r="F21" s="23">
        <f>C21+D21+E21</f>
        <v>113071</v>
      </c>
      <c r="G21" s="34">
        <f>IF(F21=0,0,C21/(C21+D21))</f>
        <v>0.835472815217487</v>
      </c>
      <c r="H21" s="34">
        <f>IF(F21=0,0,D21/(C21+D21))</f>
        <v>0.164527184782513</v>
      </c>
      <c r="K21" s="24" t="s">
        <v>706</v>
      </c>
    </row>
    <row r="22" spans="2:11">
      <c r="B22" s="15" t="s">
        <v>99</v>
      </c>
      <c r="C22" s="22">
        <f>'特斯拉财务'!$H$78</f>
        <v>77733</v>
      </c>
      <c r="D22" s="22">
        <f>'SpaceX财务'!$H$90</f>
        <v>9451</v>
      </c>
      <c r="E22" s="22">
        <f>-'关联交易'!$F$20</f>
        <v>-285</v>
      </c>
      <c r="F22" s="23">
        <f>C22+D22+E22</f>
        <v>86899</v>
      </c>
      <c r="K22" s="24"/>
    </row>
    <row r="23" spans="2:11">
      <c r="B23" s="11" t="s">
        <v>366</v>
      </c>
      <c r="C23" s="22">
        <f>C21-C22</f>
        <v>17094</v>
      </c>
      <c r="D23" s="22">
        <f>D21-D22</f>
        <v>9223</v>
      </c>
      <c r="E23" s="22">
        <f>E21-E22</f>
        <v>-145</v>
      </c>
      <c r="F23" s="23">
        <f>C23+D23+E23</f>
        <v>26172</v>
      </c>
      <c r="G23" s="34">
        <f>IF(F23=0,0,C23/(C23+D23))</f>
        <v>0.649542121062431</v>
      </c>
      <c r="H23" s="34">
        <f>IF(F23=0,0,D23/(C23+D23))</f>
        <v>0.350457878937569</v>
      </c>
      <c r="K23" s="24" t="s">
        <v>707</v>
      </c>
    </row>
    <row r="24" spans="2:11">
      <c r="B24" s="15" t="s">
        <v>225</v>
      </c>
      <c r="C24" s="34">
        <f>IF(C21=0,0,C23/C21)</f>
        <v>0.180265114366162</v>
      </c>
      <c r="D24" s="34">
        <f>IF(D21=0,0,D23/D21)</f>
        <v>0.493895255435365</v>
      </c>
      <c r="E24" s="34"/>
      <c r="F24" s="37">
        <f>IF(F21=0,0,F23/F21)</f>
        <v>0.231465185591354</v>
      </c>
      <c r="K24" s="24"/>
    </row>
    <row r="25" spans="2:11">
      <c r="B25" s="11" t="s">
        <v>227</v>
      </c>
      <c r="C25" s="22">
        <f>'特斯拉财务'!$H$81</f>
        <v>4355</v>
      </c>
      <c r="D25" s="22">
        <f>'SpaceX财务'!$H$93</f>
        <v>-2589</v>
      </c>
      <c r="E25" s="22">
        <f>-'关联交易'!$G$20</f>
        <v>-145</v>
      </c>
      <c r="F25" s="23">
        <f>C25+D25+E25</f>
        <v>1621</v>
      </c>
      <c r="K25" s="24"/>
    </row>
    <row r="26" spans="2:11">
      <c r="B26" s="15" t="s">
        <v>228</v>
      </c>
      <c r="C26" s="34">
        <f>IF(C21=0,0,C25/C21)</f>
        <v>0.0459257384500195</v>
      </c>
      <c r="D26" s="34">
        <f>IF(D21=0,0,D25/D21)</f>
        <v>-0.138641962086323</v>
      </c>
      <c r="E26" s="34"/>
      <c r="F26" s="37">
        <f>IF(F21=0,0,F25/F21)</f>
        <v>0.0143361250895455</v>
      </c>
      <c r="K26" s="24"/>
    </row>
    <row r="27" spans="2:11">
      <c r="B27" s="15" t="s">
        <v>708</v>
      </c>
      <c r="C27" s="22">
        <f>'特斯拉财务'!$H$85</f>
        <v>10503</v>
      </c>
      <c r="D27" s="22">
        <f>'SpaceX财务'!$H$97</f>
        <v>4112</v>
      </c>
      <c r="E27" s="22">
        <f>-'关联交易'!$G$20</f>
        <v>-145</v>
      </c>
      <c r="F27" s="23">
        <f>C27+D27+E27</f>
        <v>14470</v>
      </c>
      <c r="G27" s="34">
        <f>IF(F27=0,0,C27/(C27+D27))</f>
        <v>0.718645227505987</v>
      </c>
      <c r="H27" s="34">
        <f>IF(F27=0,0,D27/(C27+D27))</f>
        <v>0.281354772494013</v>
      </c>
      <c r="K27" s="24" t="s">
        <v>709</v>
      </c>
    </row>
    <row r="28" spans="2:11">
      <c r="B28" s="15" t="s">
        <v>710</v>
      </c>
      <c r="C28" s="22">
        <f>'特斯拉财务'!$H$86</f>
        <v>14596</v>
      </c>
      <c r="D28" s="22">
        <f>'SpaceX财务'!$H$98</f>
        <v>6584</v>
      </c>
      <c r="E28" s="22">
        <f>-'关联交易'!$G$20</f>
        <v>-145</v>
      </c>
      <c r="F28" s="23">
        <f>C28+D28+E28</f>
        <v>21035</v>
      </c>
      <c r="K28" s="24" t="s">
        <v>711</v>
      </c>
    </row>
    <row r="29" spans="2:11">
      <c r="B29" s="11" t="s">
        <v>712</v>
      </c>
      <c r="C29" s="22">
        <f>'特斯拉财务'!$H$83</f>
        <v>3794</v>
      </c>
      <c r="D29" s="22">
        <f>'SpaceX财务'!$H$95</f>
        <v>-4937</v>
      </c>
      <c r="E29" s="22">
        <f>-'关联交易'!$G$20*(1-TAX_ELIM)+'特斯拉财务'!$H$87</f>
        <v>-114.55</v>
      </c>
      <c r="F29" s="23">
        <f>C29+D29+E29</f>
        <v>-1257.55</v>
      </c>
      <c r="K29" s="24" t="s">
        <v>713</v>
      </c>
    </row>
    <row r="30" spans="2:11">
      <c r="B30" s="15" t="s">
        <v>236</v>
      </c>
      <c r="C30" s="22">
        <f>'特斯拉财务'!$H$88</f>
        <v>14747</v>
      </c>
      <c r="D30" s="22">
        <f>'SpaceX财务'!$H$99</f>
        <v>6785</v>
      </c>
      <c r="E30" s="22">
        <f>-'关联交易'!$G$20</f>
        <v>-145</v>
      </c>
      <c r="F30" s="23">
        <f>C30+D30+E30</f>
        <v>21387</v>
      </c>
      <c r="G30" s="34">
        <f>IF(F30=0,0,C30/(C30+D30))</f>
        <v>0.684887609139885</v>
      </c>
      <c r="H30" s="34">
        <f>IF(F30=0,0,D30/(C30+D30))</f>
        <v>0.315112390860115</v>
      </c>
      <c r="K30" s="24" t="s">
        <v>714</v>
      </c>
    </row>
    <row r="31" spans="2:11">
      <c r="B31" s="15" t="s">
        <v>374</v>
      </c>
      <c r="C31" s="22">
        <f>'特斯拉财务'!$H$89</f>
        <v>8527</v>
      </c>
      <c r="D31" s="22">
        <f>'SpaceX财务'!$H$100</f>
        <v>20737</v>
      </c>
      <c r="E31" s="22">
        <f>-'关联交易'!$G$20</f>
        <v>-145</v>
      </c>
      <c r="F31" s="23">
        <f>C31+D31+E31</f>
        <v>29119</v>
      </c>
      <c r="G31" s="34">
        <f>IF(F31=0,0,C31/(C31+D31))</f>
        <v>0.29138190267906</v>
      </c>
      <c r="H31" s="34">
        <f>IF(F31=0,0,D31/(C31+D31))</f>
        <v>0.70861809732094</v>
      </c>
      <c r="K31" s="24" t="s">
        <v>715</v>
      </c>
    </row>
    <row r="32" spans="2:11">
      <c r="B32" s="11" t="s">
        <v>400</v>
      </c>
      <c r="C32" s="22">
        <f>C30-C31</f>
        <v>6220</v>
      </c>
      <c r="D32" s="22">
        <f>D30-D31</f>
        <v>-13952</v>
      </c>
      <c r="E32" s="22">
        <f>E30-E31</f>
        <v>0</v>
      </c>
      <c r="F32" s="23">
        <f>C32+D32+E32</f>
        <v>-7732</v>
      </c>
      <c r="K32" s="24" t="s">
        <v>716</v>
      </c>
    </row>
    <row r="34" spans="2:11">
      <c r="B34" s="20" t="s">
        <v>718</v>
      </c>
    </row>
    <row r="35" spans="2:11" ht="30" customHeight="1">
      <c r="B35" s="21" t="s">
        <v>719</v>
      </c>
      <c r="C35" s="14" t="s">
        <v>506</v>
      </c>
      <c r="D35" s="14" t="s">
        <v>720</v>
      </c>
      <c r="E35" s="14" t="s">
        <v>721</v>
      </c>
      <c r="F35" s="14" t="s">
        <v>722</v>
      </c>
      <c r="G35" s="14" t="s">
        <v>723</v>
      </c>
      <c r="H35" s="14" t="s">
        <v>724</v>
      </c>
      <c r="I35" s="14" t="s">
        <v>725</v>
      </c>
      <c r="K35" s="21" t="s">
        <v>170</v>
      </c>
    </row>
    <row r="36" spans="2:11">
      <c r="B36" s="15" t="s">
        <v>726</v>
      </c>
      <c r="C36" s="22">
        <f>'特斯拉财务'!$G$98</f>
        <v>91305</v>
      </c>
      <c r="D36" s="37">
        <f>C36/$C$41</f>
        <v>0.678560015458133</v>
      </c>
      <c r="E36" s="22">
        <f>'特斯拉财务'!$H$98</f>
        <v>82056</v>
      </c>
      <c r="F36" s="34">
        <f>E36/$E$41</f>
        <v>0.725703319153452</v>
      </c>
      <c r="G36" s="22">
        <f>('特斯拉财务'!$F$98)*RUNRATE_X</f>
        <v>100660</v>
      </c>
      <c r="H36" s="34">
        <f>G36/$G$41</f>
        <v>0.593514150943396</v>
      </c>
      <c r="I36" s="34">
        <f>IF('特斯拉财务'!$C$98&lt;=0,0,('特斯拉财务'!$F$98/'特斯拉财务'!$C$98)^(1/3)-1)</f>
        <v>0.0610895306526462</v>
      </c>
    </row>
    <row r="37" spans="2:11">
      <c r="B37" s="15" t="s">
        <v>727</v>
      </c>
      <c r="C37" s="22">
        <f>'特斯拉财务'!$G$99-'关联交易'!$E$19</f>
        <v>11209</v>
      </c>
      <c r="D37" s="37">
        <f>C37/$C$41</f>
        <v>0.0833029868382916</v>
      </c>
      <c r="E37" s="22">
        <f>'特斯拉财务'!$H$99-'关联交易'!$E$20</f>
        <v>12341</v>
      </c>
      <c r="F37" s="34">
        <f>E37/$E$41</f>
        <v>0.10914381229493</v>
      </c>
      <c r="G37" s="22">
        <f>('特斯拉财务'!$F$99-'关联交易'!$E$21)*RUNRATE_X</f>
        <v>10640</v>
      </c>
      <c r="H37" s="34">
        <f>G37/$G$41</f>
        <v>0.0627358490566038</v>
      </c>
      <c r="I37" s="34">
        <f>IF('特斯拉财务'!$C$99&lt;=0,0,('特斯拉财务'!$F$99/'特斯拉财务'!$C$99)^(1/3)-1)</f>
        <v>-0.0910978033648525</v>
      </c>
    </row>
    <row r="38" spans="2:11">
      <c r="B38" s="15" t="s">
        <v>728</v>
      </c>
      <c r="C38" s="22">
        <f>'SpaceX财务'!$G$111</f>
        <v>16024</v>
      </c>
      <c r="D38" s="37">
        <f>C38/$C$41</f>
        <v>0.119087078338548</v>
      </c>
      <c r="E38" s="22">
        <f>'SpaceX财务'!$H$111</f>
        <v>11387</v>
      </c>
      <c r="F38" s="34">
        <f>E38/$E$41</f>
        <v>0.100706635653704</v>
      </c>
      <c r="G38" s="22">
        <f>('SpaceX财务'!$F$111)*RUNRATE_X</f>
        <v>20992</v>
      </c>
      <c r="H38" s="34">
        <f>G38/$G$41</f>
        <v>0.12377358490566</v>
      </c>
      <c r="I38" s="34">
        <f>IF('SpaceX财务'!$C$111&lt;=0,0,('SpaceX财务'!$F$111/'SpaceX财务'!$C$111)^(1/3)-1)</f>
        <v>0.175854088152207</v>
      </c>
    </row>
    <row r="39" spans="2:11">
      <c r="B39" s="15" t="s">
        <v>729</v>
      </c>
      <c r="C39" s="22">
        <f>'SpaceX财务'!$G$112</f>
        <v>11862</v>
      </c>
      <c r="D39" s="37">
        <f>C39/$C$41</f>
        <v>0.0881559487800709</v>
      </c>
      <c r="E39" s="22">
        <f>'SpaceX财务'!$H$112</f>
        <v>3201</v>
      </c>
      <c r="F39" s="34">
        <f>E39/$E$41</f>
        <v>0.0283096461515331</v>
      </c>
      <c r="G39" s="22">
        <f>('SpaceX财务'!$F$112)*RUNRATE_X</f>
        <v>30240</v>
      </c>
      <c r="H39" s="34">
        <f>G39/$G$41</f>
        <v>0.178301886792453</v>
      </c>
      <c r="I39" s="34">
        <f>IF('SpaceX财务'!$C$112&lt;=0,0,('SpaceX财务'!$F$112/'SpaceX财务'!$C$112)^(1/3)-1)</f>
        <v>1.01576560930394</v>
      </c>
    </row>
    <row r="40" spans="2:11">
      <c r="B40" s="15" t="s">
        <v>730</v>
      </c>
      <c r="C40" s="22">
        <f>'SpaceX财务'!$G$110</f>
        <v>4157</v>
      </c>
      <c r="D40" s="37">
        <f>C40/$C$41</f>
        <v>0.0308939705849566</v>
      </c>
      <c r="E40" s="22">
        <f>'SpaceX财务'!$H$110</f>
        <v>4086</v>
      </c>
      <c r="F40" s="34">
        <f>E40/$E$41</f>
        <v>0.0361365867463806</v>
      </c>
      <c r="G40" s="22">
        <f>('SpaceX财务'!$F$110)*RUNRATE_X</f>
        <v>7068</v>
      </c>
      <c r="H40" s="34">
        <f>G40/$G$41</f>
        <v>0.0416745283018868</v>
      </c>
      <c r="I40" s="34">
        <f>IF('SpaceX财务'!$C$110&lt;=0,0,('SpaceX财务'!$F$110/'SpaceX财务'!$C$110)^(1/3)-1)</f>
        <v>0.297466069558996</v>
      </c>
    </row>
    <row r="41" spans="2:11">
      <c r="B41" s="11" t="s">
        <v>731</v>
      </c>
      <c r="C41" s="23">
        <f>SUM(C36:C40)</f>
        <v>134557</v>
      </c>
      <c r="D41" s="42">
        <f>SUM(D36:D40)</f>
        <v>1</v>
      </c>
      <c r="E41" s="23">
        <f>SUM(E36:E40)</f>
        <v>113071</v>
      </c>
      <c r="F41" s="42">
        <f>SUM(F36:F40)</f>
        <v>1</v>
      </c>
      <c r="G41" s="23">
        <f>SUM(G36:G40)</f>
        <v>169600</v>
      </c>
      <c r="H41" s="42">
        <f>SUM(H36:H40)</f>
        <v>1</v>
      </c>
      <c r="K41" s="24" t="s">
        <v>732</v>
      </c>
    </row>
    <row r="42" spans="2:11">
      <c r="B42" s="27" t="s">
        <v>733</v>
      </c>
      <c r="C42" s="28">
        <f>C41-F6</f>
        <v>0</v>
      </c>
      <c r="E42" s="28">
        <f>E41-F21</f>
        <v>0</v>
      </c>
    </row>
    <row r="44" spans="2:11">
      <c r="B44" s="20" t="s">
        <v>734</v>
      </c>
    </row>
    <row r="45" spans="2:11" ht="30" customHeight="1">
      <c r="B45" s="21" t="s">
        <v>719</v>
      </c>
      <c r="C45" s="14" t="s">
        <v>735</v>
      </c>
      <c r="D45" s="14" t="s">
        <v>736</v>
      </c>
      <c r="E45" s="14" t="s">
        <v>737</v>
      </c>
      <c r="F45" s="14" t="s">
        <v>738</v>
      </c>
      <c r="G45" s="14" t="s">
        <v>228</v>
      </c>
      <c r="H45" s="14" t="s">
        <v>739</v>
      </c>
      <c r="K45" s="21" t="s">
        <v>170</v>
      </c>
    </row>
    <row r="46" spans="2:11">
      <c r="B46" s="15" t="s">
        <v>740</v>
      </c>
      <c r="C46" s="22">
        <f>'特斯拉财务'!$G$100</f>
        <v>16330</v>
      </c>
      <c r="D46" s="37">
        <f>C46/$C$51</f>
        <v>0.431314545310478</v>
      </c>
      <c r="E46" s="34">
        <f>IF('合并备考'!$C$36=0,0,C46/'合并备考'!$C$36)</f>
        <v>0.178851103444499</v>
      </c>
      <c r="F46" s="22">
        <f>'特斯拉财务'!$G$81-'关联交易'!$G$19</f>
        <v>3173</v>
      </c>
      <c r="G46" s="34">
        <f>F46/('合并备考'!$C$36+'合并备考'!$C$37)</f>
        <v>0.0309518699884894</v>
      </c>
      <c r="H46" s="52" t="s">
        <v>138</v>
      </c>
    </row>
    <row r="47" spans="2:11">
      <c r="B47" s="15" t="s">
        <v>741</v>
      </c>
      <c r="C47" s="22">
        <f>'特斯拉财务'!$G$101-'关联交易'!$G$19</f>
        <v>3351</v>
      </c>
      <c r="D47" s="37">
        <f>C47/$C$51</f>
        <v>0.0885079633395843</v>
      </c>
      <c r="E47" s="34">
        <f>IF('合并备考'!$C$37=0,0,C47/'合并备考'!$C$37)</f>
        <v>0.298956195913998</v>
      </c>
      <c r="F47" s="53" t="s">
        <v>742</v>
      </c>
      <c r="G47" s="52" t="s">
        <v>743</v>
      </c>
      <c r="H47" s="52" t="s">
        <v>138</v>
      </c>
    </row>
    <row r="48" spans="2:11">
      <c r="B48" s="15" t="s">
        <v>728</v>
      </c>
      <c r="C48" s="22">
        <f>'SpaceX财务'!$G$114</f>
        <v>8295</v>
      </c>
      <c r="D48" s="37">
        <f>C48/$C$51</f>
        <v>0.219090885079633</v>
      </c>
      <c r="E48" s="34">
        <f>IF('合并备考'!$C$38=0,0,C48/'合并备考'!$C$38)</f>
        <v>0.517661008487269</v>
      </c>
      <c r="F48" s="22">
        <f>'SpaceX财务'!$G$117</f>
        <v>6487</v>
      </c>
      <c r="G48" s="34">
        <f>IF('合并备考'!$C$38=0,0,F48/'合并备考'!$C$38)</f>
        <v>0.404830254618073</v>
      </c>
      <c r="H48" s="22">
        <f>'SpaceX财务'!$G$120</f>
        <v>10228</v>
      </c>
    </row>
    <row r="49" spans="2:11">
      <c r="B49" s="15" t="s">
        <v>729</v>
      </c>
      <c r="C49" s="22">
        <f>'SpaceX财务'!$G$115</f>
        <v>7021</v>
      </c>
      <c r="D49" s="37">
        <f>C49/$C$51</f>
        <v>0.185441483320567</v>
      </c>
      <c r="E49" s="34">
        <f>IF('合并备考'!$C$39=0,0,C49/'合并备考'!$C$39)</f>
        <v>0.591890069128309</v>
      </c>
      <c r="F49" s="22">
        <f>'SpaceX财务'!$G$118</f>
        <v>-5468</v>
      </c>
      <c r="G49" s="34">
        <f>IF('合并备考'!$C$39=0,0,F49/'合并备考'!$C$39)</f>
        <v>-0.460967796324397</v>
      </c>
      <c r="H49" s="22">
        <f>'SpaceX财务'!$G$121</f>
        <v>5066</v>
      </c>
    </row>
    <row r="50" spans="2:11">
      <c r="B50" s="15" t="s">
        <v>730</v>
      </c>
      <c r="C50" s="22">
        <f>'SpaceX财务'!$G$113</f>
        <v>2864</v>
      </c>
      <c r="D50" s="37">
        <f>C50/$C$51</f>
        <v>0.0756451229497372</v>
      </c>
      <c r="E50" s="34">
        <f>IF('合并备考'!$C$40=0,0,C50/'合并备考'!$C$40)</f>
        <v>0.688958383449603</v>
      </c>
      <c r="F50" s="22">
        <f>'SpaceX财务'!$G$116</f>
        <v>-1687</v>
      </c>
      <c r="G50" s="34">
        <f>IF('合并备考'!$C$40=0,0,F50/'合并备考'!$C$40)</f>
        <v>-0.405821505893673</v>
      </c>
      <c r="H50" s="22">
        <f>'SpaceX财务'!$G$119</f>
        <v>-349</v>
      </c>
    </row>
    <row r="51" spans="2:11">
      <c r="B51" s="11" t="s">
        <v>744</v>
      </c>
      <c r="C51" s="23">
        <f>SUM(C46:C50)</f>
        <v>37861</v>
      </c>
      <c r="D51" s="42">
        <f>SUM(D46:D50)</f>
        <v>1</v>
      </c>
      <c r="E51" s="42">
        <f>C51/C41</f>
        <v>0.281375179292047</v>
      </c>
      <c r="F51" s="23">
        <f>SUM(F46:F50)</f>
        <v>2505</v>
      </c>
      <c r="G51" s="42">
        <f>F51/C41</f>
        <v>0.0186166457337783</v>
      </c>
      <c r="H51" s="23"/>
      <c r="K51" s="24" t="s">
        <v>745</v>
      </c>
    </row>
    <row r="52" spans="2:11">
      <c r="B52" s="27" t="s">
        <v>746</v>
      </c>
      <c r="C52" s="28">
        <f>C51-F8</f>
        <v>0</v>
      </c>
      <c r="F52" s="28">
        <f>F51-F10</f>
        <v>0</v>
      </c>
    </row>
    <row r="54" spans="2:11">
      <c r="B54" s="20" t="s">
        <v>747</v>
      </c>
    </row>
    <row r="55" spans="2:11">
      <c r="B55" s="21" t="s">
        <v>82</v>
      </c>
      <c r="C55" s="14" t="s">
        <v>403</v>
      </c>
      <c r="D55" s="14" t="s">
        <v>10</v>
      </c>
      <c r="E55" s="14" t="s">
        <v>748</v>
      </c>
      <c r="F55" s="14" t="s">
        <v>749</v>
      </c>
      <c r="K55" s="21" t="s">
        <v>170</v>
      </c>
    </row>
    <row r="56" spans="2:11">
      <c r="B56" s="15" t="s">
        <v>750</v>
      </c>
      <c r="C56" s="22">
        <f>'特斯拉财务'!$G$91</f>
        <v>45447</v>
      </c>
      <c r="D56" s="22">
        <f>'SpaceX财务'!$G$102</f>
        <v>89855</v>
      </c>
      <c r="E56" s="22">
        <f>0</f>
        <v>0</v>
      </c>
      <c r="F56" s="23">
        <f>C56+D56+E56</f>
        <v>135302</v>
      </c>
      <c r="K56" s="24" t="s">
        <v>751</v>
      </c>
    </row>
    <row r="57" spans="2:11">
      <c r="B57" s="15" t="s">
        <v>752</v>
      </c>
      <c r="C57" s="22">
        <f>'特斯拉财务'!$G$92</f>
        <v>9523</v>
      </c>
      <c r="D57" s="22">
        <f>'SpaceX财务'!$G$103</f>
        <v>38844</v>
      </c>
      <c r="E57" s="22">
        <f>0</f>
        <v>0</v>
      </c>
      <c r="F57" s="23">
        <f>C57+D57+E57</f>
        <v>48367</v>
      </c>
      <c r="K57" s="24" t="s">
        <v>753</v>
      </c>
    </row>
    <row r="58" spans="2:11">
      <c r="B58" s="11" t="s">
        <v>754</v>
      </c>
      <c r="C58" s="22">
        <f>C56-C57</f>
        <v>35924</v>
      </c>
      <c r="D58" s="22">
        <f>D56-D57</f>
        <v>51011</v>
      </c>
      <c r="E58" s="22">
        <f>E56-E57</f>
        <v>0</v>
      </c>
      <c r="F58" s="23">
        <f>C58+D58+E58</f>
        <v>86935</v>
      </c>
      <c r="K58" s="24" t="s">
        <v>755</v>
      </c>
    </row>
    <row r="59" spans="2:11">
      <c r="B59" s="11" t="s">
        <v>756</v>
      </c>
      <c r="C59" s="22">
        <f>'特斯拉财务'!$G$94</f>
        <v>89289</v>
      </c>
      <c r="D59" s="22">
        <f>'SpaceX财务'!$G$106</f>
        <v>176768</v>
      </c>
      <c r="E59" s="22">
        <f>-'关联交易'!$E$14-'关联交易'!$G$22</f>
        <v>-3158</v>
      </c>
      <c r="F59" s="23">
        <f>C59+D59+E59</f>
        <v>262899</v>
      </c>
      <c r="K59" s="24" t="s">
        <v>757</v>
      </c>
    </row>
    <row r="60" spans="2:11">
      <c r="B60" s="15" t="s">
        <v>758</v>
      </c>
      <c r="C60" s="22">
        <f>'关联交易'!$E$12</f>
        <v>729</v>
      </c>
      <c r="D60" s="22">
        <f>0</f>
        <v>0</v>
      </c>
      <c r="E60" s="22">
        <f>-'关联交易'!$E$12</f>
        <v>-729</v>
      </c>
      <c r="F60" s="23">
        <f>C60+D60+E60</f>
        <v>0</v>
      </c>
      <c r="K60" s="24" t="s">
        <v>759</v>
      </c>
    </row>
    <row r="61" spans="2:11">
      <c r="B61" s="15" t="s">
        <v>760</v>
      </c>
      <c r="C61" s="22">
        <f>'关联交易'!$E$13</f>
        <v>648</v>
      </c>
      <c r="D61" s="22">
        <f>0</f>
        <v>0</v>
      </c>
      <c r="E61" s="22">
        <f>-'关联交易'!$E$13</f>
        <v>-648</v>
      </c>
      <c r="F61" s="23">
        <f>C61+D61+E61</f>
        <v>0</v>
      </c>
      <c r="K61" s="24" t="s">
        <v>761</v>
      </c>
    </row>
    <row r="63" spans="2:11">
      <c r="B63" s="20" t="s">
        <v>762</v>
      </c>
    </row>
    <row r="64" spans="2:11">
      <c r="B64" s="15" t="s">
        <v>763</v>
      </c>
      <c r="C64" s="22">
        <f>'换股比例'!$K$64*1000</f>
        <v>1477185.17199966</v>
      </c>
      <c r="K64" s="24" t="s">
        <v>764</v>
      </c>
    </row>
    <row r="65" spans="2:11">
      <c r="B65" s="15" t="s">
        <v>765</v>
      </c>
      <c r="C65" s="22">
        <f>IF(ACQ="SpaceX",'特斯拉财务'!$G$94,'SpaceX财务'!$G$106)</f>
        <v>89289</v>
      </c>
      <c r="K65" s="24" t="s">
        <v>766</v>
      </c>
    </row>
    <row r="66" spans="2:11">
      <c r="B66" s="11" t="s">
        <v>767</v>
      </c>
      <c r="C66" s="33">
        <f>C64-C65</f>
        <v>1387896.17199966</v>
      </c>
      <c r="K66" s="24" t="s">
        <v>768</v>
      </c>
    </row>
    <row r="67" spans="2:11">
      <c r="B67" s="15" t="s">
        <v>769</v>
      </c>
      <c r="C67" s="22">
        <f>C66*PPA_INT_SHARE</f>
        <v>277579.234399932</v>
      </c>
      <c r="K67" s="24" t="s">
        <v>770</v>
      </c>
    </row>
    <row r="68" spans="2:11">
      <c r="B68" s="15" t="s">
        <v>771</v>
      </c>
      <c r="C68" s="22">
        <f>C67/PPA_LIFE</f>
        <v>27757.9234399932</v>
      </c>
      <c r="K68" s="24" t="s">
        <v>770</v>
      </c>
    </row>
    <row r="69" spans="2:11">
      <c r="B69" s="11" t="s">
        <v>772</v>
      </c>
      <c r="C69" s="33">
        <f>F10-C68</f>
        <v>-25252.9234399932</v>
      </c>
      <c r="K69" s="24" t="s">
        <v>773</v>
      </c>
    </row>
  </sheetData>
  <pageMargins left="0.3" right="0.3" top="0.4" bottom="0.4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B1:H45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2.7109375" customWidth="1"/>
    <col min="2" max="2" width="5.7109375" customWidth="1"/>
    <col min="3" max="3" width="22.7109375" customWidth="1"/>
    <col min="4" max="4" width="46.7109375" customWidth="1"/>
    <col min="5" max="5" width="16.7109375" customWidth="1"/>
    <col min="6" max="6" width="14.7109375" customWidth="1"/>
    <col min="7" max="8" width="52.7109375" customWidth="1"/>
  </cols>
  <sheetData>
    <row r="1" spans="2:7">
      <c r="B1" s="12" t="s">
        <v>575</v>
      </c>
    </row>
    <row r="2" spans="2:7">
      <c r="B2" s="13" t="s">
        <v>576</v>
      </c>
    </row>
    <row r="4" spans="2:7">
      <c r="B4" s="20" t="s">
        <v>577</v>
      </c>
    </row>
    <row r="5" spans="2:7">
      <c r="B5" s="21" t="s">
        <v>578</v>
      </c>
      <c r="C5" s="14" t="s">
        <v>82</v>
      </c>
      <c r="E5" s="14" t="s">
        <v>579</v>
      </c>
      <c r="G5" s="14" t="s">
        <v>195</v>
      </c>
    </row>
    <row r="6" spans="2:7">
      <c r="B6" s="15">
        <v>1</v>
      </c>
      <c r="C6" s="15" t="s">
        <v>580</v>
      </c>
      <c r="D6" s="15"/>
      <c r="E6" s="26">
        <v>430</v>
      </c>
      <c r="G6" s="24" t="s">
        <v>581</v>
      </c>
    </row>
    <row r="7" spans="2:7">
      <c r="B7" s="15">
        <v>2</v>
      </c>
      <c r="C7" s="15" t="s">
        <v>582</v>
      </c>
      <c r="D7" s="15"/>
      <c r="E7" s="26">
        <v>285</v>
      </c>
      <c r="G7" s="24" t="s">
        <v>583</v>
      </c>
    </row>
    <row r="8" spans="2:7">
      <c r="B8" s="15">
        <v>3</v>
      </c>
      <c r="C8" s="15" t="s">
        <v>584</v>
      </c>
      <c r="D8" s="15"/>
      <c r="E8" s="26">
        <v>626</v>
      </c>
      <c r="G8" s="24" t="s">
        <v>585</v>
      </c>
    </row>
    <row r="9" spans="2:7">
      <c r="B9" s="15">
        <v>4</v>
      </c>
      <c r="C9" s="15" t="s">
        <v>586</v>
      </c>
      <c r="D9" s="15"/>
      <c r="E9" s="26">
        <v>478</v>
      </c>
      <c r="G9" s="24" t="s">
        <v>587</v>
      </c>
    </row>
    <row r="10" spans="2:7">
      <c r="B10" s="15">
        <v>5</v>
      </c>
      <c r="C10" s="15" t="s">
        <v>588</v>
      </c>
      <c r="D10" s="15"/>
      <c r="E10" s="26">
        <v>221</v>
      </c>
      <c r="G10" s="24" t="s">
        <v>589</v>
      </c>
    </row>
    <row r="11" spans="2:7">
      <c r="B11" s="15">
        <v>6</v>
      </c>
      <c r="C11" s="15" t="s">
        <v>590</v>
      </c>
      <c r="D11" s="15"/>
      <c r="E11" s="26">
        <v>171</v>
      </c>
      <c r="G11" s="24" t="s">
        <v>591</v>
      </c>
    </row>
    <row r="12" spans="2:7">
      <c r="B12" s="15">
        <v>7</v>
      </c>
      <c r="C12" s="15" t="s">
        <v>592</v>
      </c>
      <c r="D12" s="15"/>
      <c r="E12" s="26">
        <v>729</v>
      </c>
      <c r="G12" s="24" t="s">
        <v>593</v>
      </c>
    </row>
    <row r="13" spans="2:7">
      <c r="B13" s="15">
        <v>8</v>
      </c>
      <c r="C13" s="15" t="s">
        <v>594</v>
      </c>
      <c r="D13" s="15"/>
      <c r="E13" s="26">
        <v>648</v>
      </c>
      <c r="G13" s="24" t="s">
        <v>595</v>
      </c>
    </row>
    <row r="14" spans="2:7">
      <c r="B14" s="15">
        <v>9</v>
      </c>
      <c r="C14" s="15" t="s">
        <v>596</v>
      </c>
      <c r="D14" s="15"/>
      <c r="E14" s="26">
        <v>2865</v>
      </c>
      <c r="G14" s="24" t="s">
        <v>597</v>
      </c>
    </row>
    <row r="15" spans="2:7">
      <c r="B15" s="15">
        <v>10</v>
      </c>
      <c r="C15" s="15" t="s">
        <v>598</v>
      </c>
      <c r="D15" s="15"/>
      <c r="E15" s="26">
        <v>2002</v>
      </c>
      <c r="G15" s="24" t="s">
        <v>599</v>
      </c>
    </row>
    <row r="17" spans="2:8">
      <c r="B17" s="20" t="s">
        <v>600</v>
      </c>
    </row>
    <row r="18" spans="2:8">
      <c r="C18" s="14" t="s">
        <v>82</v>
      </c>
      <c r="E18" s="14" t="s">
        <v>97</v>
      </c>
      <c r="F18" s="14" t="s">
        <v>99</v>
      </c>
      <c r="G18" s="14" t="s">
        <v>601</v>
      </c>
    </row>
    <row r="19" spans="2:8">
      <c r="C19" s="15" t="s">
        <v>219</v>
      </c>
      <c r="D19" s="15"/>
      <c r="E19" s="33">
        <f>RP_RP_REV_FY25*Q4_RP_SHARE+RP_RP_REV_9M26</f>
        <v>1056</v>
      </c>
      <c r="F19" s="22">
        <f>RP_RP_COGS_FY25*Q4_RP_SHARE+RP_RP_COGS_9M26</f>
        <v>763</v>
      </c>
      <c r="G19" s="22">
        <f>E19-F19</f>
        <v>293</v>
      </c>
    </row>
    <row r="20" spans="2:8">
      <c r="C20" s="15" t="s">
        <v>83</v>
      </c>
      <c r="D20" s="15"/>
      <c r="E20" s="33">
        <f>RP_RP_REV_FY25</f>
        <v>430</v>
      </c>
      <c r="F20" s="22">
        <f>RP_RP_COGS_FY25</f>
        <v>285</v>
      </c>
      <c r="G20" s="22">
        <f>E20-F20</f>
        <v>145</v>
      </c>
    </row>
    <row r="21" spans="2:8">
      <c r="C21" s="15" t="s">
        <v>271</v>
      </c>
      <c r="D21" s="15"/>
      <c r="E21" s="33">
        <f>RP_RP_REV_Q326</f>
        <v>221</v>
      </c>
      <c r="F21" s="22">
        <f>RP_RP_COGS_Q326</f>
        <v>171</v>
      </c>
      <c r="G21" s="22">
        <f>E21-F21</f>
        <v>50</v>
      </c>
    </row>
    <row r="22" spans="2:8">
      <c r="C22" s="15" t="s">
        <v>602</v>
      </c>
      <c r="D22" s="15"/>
      <c r="E22" s="33">
        <f>RP_RP_REV_FY25+RP_RP_REV_9M26</f>
        <v>1056</v>
      </c>
      <c r="F22" s="22">
        <f>RP_RP_COGS_FY25+RP_RP_COGS_9M26</f>
        <v>763</v>
      </c>
      <c r="G22" s="22">
        <f>E22-F22</f>
        <v>293</v>
      </c>
    </row>
    <row r="23" spans="2:8">
      <c r="C23" s="13" t="s">
        <v>603</v>
      </c>
    </row>
    <row r="25" spans="2:8">
      <c r="B25" s="20" t="s">
        <v>604</v>
      </c>
    </row>
    <row r="26" spans="2:8" ht="22" customHeight="1">
      <c r="B26" s="21" t="s">
        <v>578</v>
      </c>
      <c r="C26" s="14" t="s">
        <v>605</v>
      </c>
      <c r="D26" s="14" t="s">
        <v>606</v>
      </c>
      <c r="E26" s="14" t="s">
        <v>607</v>
      </c>
      <c r="F26" s="14" t="s">
        <v>608</v>
      </c>
      <c r="G26" s="14" t="s">
        <v>195</v>
      </c>
      <c r="H26" s="14" t="s">
        <v>609</v>
      </c>
    </row>
    <row r="27" spans="2:8" ht="54" customHeight="1">
      <c r="B27" s="15">
        <v>1</v>
      </c>
      <c r="C27" s="54" t="s">
        <v>610</v>
      </c>
      <c r="D27" s="4" t="s">
        <v>611</v>
      </c>
      <c r="E27" s="4" t="s">
        <v>612</v>
      </c>
      <c r="F27" s="4" t="s">
        <v>613</v>
      </c>
      <c r="G27" s="4" t="s">
        <v>614</v>
      </c>
      <c r="H27" s="4" t="s">
        <v>615</v>
      </c>
    </row>
    <row r="28" spans="2:8" ht="54" customHeight="1">
      <c r="B28" s="15">
        <v>2</v>
      </c>
      <c r="C28" s="54" t="s">
        <v>616</v>
      </c>
      <c r="D28" s="4" t="s">
        <v>617</v>
      </c>
      <c r="E28" s="4" t="s">
        <v>618</v>
      </c>
      <c r="F28" s="4" t="s">
        <v>619</v>
      </c>
      <c r="G28" s="4" t="s">
        <v>620</v>
      </c>
      <c r="H28" s="4" t="s">
        <v>621</v>
      </c>
    </row>
    <row r="29" spans="2:8" ht="54" customHeight="1">
      <c r="B29" s="15">
        <v>3</v>
      </c>
      <c r="C29" s="54" t="s">
        <v>616</v>
      </c>
      <c r="D29" s="4" t="s">
        <v>622</v>
      </c>
      <c r="E29" s="4" t="s">
        <v>149</v>
      </c>
      <c r="F29" s="4" t="s">
        <v>623</v>
      </c>
      <c r="G29" s="4" t="s">
        <v>624</v>
      </c>
      <c r="H29" s="4" t="s">
        <v>625</v>
      </c>
    </row>
    <row r="30" spans="2:8" ht="54" customHeight="1">
      <c r="B30" s="15">
        <v>4</v>
      </c>
      <c r="C30" s="54" t="s">
        <v>626</v>
      </c>
      <c r="D30" s="4" t="s">
        <v>627</v>
      </c>
      <c r="E30" s="4" t="s">
        <v>149</v>
      </c>
      <c r="F30" s="4" t="s">
        <v>628</v>
      </c>
      <c r="G30" s="4" t="s">
        <v>629</v>
      </c>
      <c r="H30" s="4" t="s">
        <v>630</v>
      </c>
    </row>
    <row r="31" spans="2:8" ht="54" customHeight="1">
      <c r="B31" s="15">
        <v>5</v>
      </c>
      <c r="C31" s="54" t="s">
        <v>616</v>
      </c>
      <c r="D31" s="4" t="s">
        <v>631</v>
      </c>
      <c r="E31" s="4" t="s">
        <v>612</v>
      </c>
      <c r="F31" s="4" t="s">
        <v>632</v>
      </c>
      <c r="G31" s="4" t="s">
        <v>633</v>
      </c>
      <c r="H31" s="4" t="s">
        <v>634</v>
      </c>
    </row>
    <row r="32" spans="2:8" ht="54" customHeight="1">
      <c r="B32" s="15">
        <v>6</v>
      </c>
      <c r="C32" s="54" t="s">
        <v>635</v>
      </c>
      <c r="D32" s="4" t="s">
        <v>636</v>
      </c>
      <c r="E32" s="4" t="s">
        <v>612</v>
      </c>
      <c r="F32" s="4" t="s">
        <v>637</v>
      </c>
      <c r="G32" s="4" t="s">
        <v>638</v>
      </c>
      <c r="H32" s="4" t="s">
        <v>639</v>
      </c>
    </row>
    <row r="33" spans="2:8" ht="54" customHeight="1">
      <c r="B33" s="15">
        <v>7</v>
      </c>
      <c r="C33" s="54" t="s">
        <v>640</v>
      </c>
      <c r="D33" s="4" t="s">
        <v>641</v>
      </c>
      <c r="E33" s="4" t="s">
        <v>612</v>
      </c>
      <c r="F33" s="4" t="s">
        <v>642</v>
      </c>
      <c r="G33" s="4" t="s">
        <v>643</v>
      </c>
      <c r="H33" s="4" t="s">
        <v>644</v>
      </c>
    </row>
    <row r="34" spans="2:8" ht="54" customHeight="1">
      <c r="B34" s="15">
        <v>8</v>
      </c>
      <c r="C34" s="54" t="s">
        <v>645</v>
      </c>
      <c r="D34" s="4" t="s">
        <v>646</v>
      </c>
      <c r="E34" s="4" t="s">
        <v>612</v>
      </c>
      <c r="F34" s="4" t="s">
        <v>647</v>
      </c>
      <c r="G34" s="4" t="s">
        <v>643</v>
      </c>
      <c r="H34" s="4" t="s">
        <v>644</v>
      </c>
    </row>
    <row r="35" spans="2:8" ht="54" customHeight="1">
      <c r="B35" s="15">
        <v>9</v>
      </c>
      <c r="C35" s="54" t="s">
        <v>648</v>
      </c>
      <c r="D35" s="4" t="s">
        <v>649</v>
      </c>
      <c r="E35" s="4" t="s">
        <v>612</v>
      </c>
      <c r="F35" s="4" t="s">
        <v>650</v>
      </c>
      <c r="G35" s="4" t="s">
        <v>643</v>
      </c>
      <c r="H35" s="4" t="s">
        <v>644</v>
      </c>
    </row>
    <row r="36" spans="2:8" ht="54" customHeight="1">
      <c r="B36" s="15">
        <v>10</v>
      </c>
      <c r="C36" s="54" t="s">
        <v>651</v>
      </c>
      <c r="D36" s="4" t="s">
        <v>652</v>
      </c>
      <c r="E36" s="4" t="s">
        <v>653</v>
      </c>
      <c r="F36" s="4" t="s">
        <v>654</v>
      </c>
      <c r="G36" s="4" t="s">
        <v>655</v>
      </c>
      <c r="H36" s="4" t="s">
        <v>656</v>
      </c>
    </row>
    <row r="37" spans="2:8" ht="54" customHeight="1">
      <c r="B37" s="15">
        <v>11</v>
      </c>
      <c r="C37" s="54" t="s">
        <v>657</v>
      </c>
      <c r="D37" s="4" t="s">
        <v>658</v>
      </c>
      <c r="E37" s="4" t="s">
        <v>612</v>
      </c>
      <c r="F37" s="4" t="s">
        <v>659</v>
      </c>
      <c r="G37" s="4" t="s">
        <v>660</v>
      </c>
      <c r="H37" s="4" t="s">
        <v>661</v>
      </c>
    </row>
    <row r="38" spans="2:8" ht="54" customHeight="1">
      <c r="B38" s="15">
        <v>12</v>
      </c>
      <c r="C38" s="54" t="s">
        <v>662</v>
      </c>
      <c r="D38" s="4" t="s">
        <v>663</v>
      </c>
      <c r="E38" s="4" t="s">
        <v>612</v>
      </c>
      <c r="F38" s="4" t="s">
        <v>664</v>
      </c>
      <c r="G38" s="4" t="s">
        <v>660</v>
      </c>
      <c r="H38" s="4" t="s">
        <v>665</v>
      </c>
    </row>
    <row r="39" spans="2:8" ht="54" customHeight="1">
      <c r="B39" s="15">
        <v>13</v>
      </c>
      <c r="C39" s="54" t="s">
        <v>666</v>
      </c>
      <c r="D39" s="4" t="s">
        <v>667</v>
      </c>
      <c r="E39" s="4" t="s">
        <v>612</v>
      </c>
      <c r="F39" s="4" t="s">
        <v>668</v>
      </c>
      <c r="G39" s="4" t="s">
        <v>669</v>
      </c>
      <c r="H39" s="4" t="s">
        <v>665</v>
      </c>
    </row>
    <row r="40" spans="2:8" ht="54" customHeight="1">
      <c r="B40" s="15">
        <v>14</v>
      </c>
      <c r="C40" s="54" t="s">
        <v>670</v>
      </c>
      <c r="D40" s="4" t="s">
        <v>671</v>
      </c>
      <c r="E40" s="4" t="s">
        <v>612</v>
      </c>
      <c r="F40" s="4" t="s">
        <v>672</v>
      </c>
      <c r="G40" s="4" t="s">
        <v>669</v>
      </c>
      <c r="H40" s="4" t="s">
        <v>665</v>
      </c>
    </row>
    <row r="41" spans="2:8" ht="54" customHeight="1">
      <c r="B41" s="15">
        <v>15</v>
      </c>
      <c r="C41" s="54" t="s">
        <v>673</v>
      </c>
      <c r="D41" s="4" t="s">
        <v>674</v>
      </c>
      <c r="E41" s="4" t="s">
        <v>675</v>
      </c>
      <c r="F41" s="4" t="s">
        <v>676</v>
      </c>
      <c r="G41" s="4" t="s">
        <v>677</v>
      </c>
      <c r="H41" s="4" t="s">
        <v>678</v>
      </c>
    </row>
    <row r="42" spans="2:8" ht="54" customHeight="1">
      <c r="B42" s="15">
        <v>16</v>
      </c>
      <c r="C42" s="54" t="s">
        <v>679</v>
      </c>
      <c r="D42" s="4" t="s">
        <v>680</v>
      </c>
      <c r="E42" s="4" t="s">
        <v>612</v>
      </c>
      <c r="F42" s="4" t="s">
        <v>681</v>
      </c>
      <c r="G42" s="4" t="s">
        <v>682</v>
      </c>
      <c r="H42" s="4" t="s">
        <v>683</v>
      </c>
    </row>
    <row r="43" spans="2:8" ht="54" customHeight="1">
      <c r="B43" s="15">
        <v>17</v>
      </c>
      <c r="C43" s="54" t="s">
        <v>684</v>
      </c>
      <c r="D43" s="4" t="s">
        <v>685</v>
      </c>
      <c r="E43" s="4" t="s">
        <v>612</v>
      </c>
      <c r="F43" s="4" t="s">
        <v>686</v>
      </c>
      <c r="G43" s="4" t="s">
        <v>687</v>
      </c>
      <c r="H43" s="4" t="s">
        <v>688</v>
      </c>
    </row>
    <row r="44" spans="2:8" ht="54" customHeight="1">
      <c r="B44" s="15">
        <v>18</v>
      </c>
      <c r="C44" s="54" t="s">
        <v>689</v>
      </c>
      <c r="D44" s="4" t="s">
        <v>690</v>
      </c>
      <c r="E44" s="4" t="s">
        <v>691</v>
      </c>
      <c r="F44" s="4" t="s">
        <v>692</v>
      </c>
      <c r="G44" s="4" t="s">
        <v>693</v>
      </c>
      <c r="H44" s="4" t="s">
        <v>694</v>
      </c>
    </row>
    <row r="45" spans="2:8" ht="54" customHeight="1">
      <c r="B45" s="15">
        <v>19</v>
      </c>
      <c r="C45" s="54" t="s">
        <v>695</v>
      </c>
      <c r="D45" s="4" t="s">
        <v>696</v>
      </c>
      <c r="E45" s="4" t="s">
        <v>138</v>
      </c>
      <c r="F45" s="4" t="s">
        <v>138</v>
      </c>
      <c r="G45" s="4" t="s">
        <v>697</v>
      </c>
      <c r="H45" s="4" t="s">
        <v>698</v>
      </c>
    </row>
  </sheetData>
  <mergeCells count="14"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9:D19"/>
    <mergeCell ref="C20:D20"/>
    <mergeCell ref="C21:D21"/>
    <mergeCell ref="C22:D22"/>
  </mergeCells>
  <pageMargins left="0.3" right="0.3" top="0.4" bottom="0.4" header="0.3" footer="0.3"/>
  <pageSetup paperSize="9" fitToHeight="0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B1:N82"/>
  <sheetViews>
    <sheetView showGridLines="0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46.7109375" customWidth="1"/>
    <col min="3" max="13" width="14.28515625" customWidth="1"/>
    <col min="14" max="14" width="70.7109375" style="24" customWidth="1"/>
  </cols>
  <sheetData>
    <row r="1" spans="2:14">
      <c r="B1" s="12" t="s">
        <v>451</v>
      </c>
    </row>
    <row r="2" spans="2:14">
      <c r="B2" s="13" t="s">
        <v>452</v>
      </c>
    </row>
    <row r="4" spans="2:14">
      <c r="B4" s="20" t="s">
        <v>453</v>
      </c>
    </row>
    <row r="5" spans="2:14">
      <c r="B5" s="21" t="s">
        <v>82</v>
      </c>
      <c r="C5" s="14" t="s">
        <v>194</v>
      </c>
      <c r="N5" s="21" t="s">
        <v>195</v>
      </c>
    </row>
    <row r="6" spans="2:14">
      <c r="B6" s="15" t="s">
        <v>454</v>
      </c>
      <c r="C6" s="55">
        <v>3952.757946</v>
      </c>
      <c r="N6" s="24" t="s">
        <v>455</v>
      </c>
    </row>
    <row r="7" spans="2:14">
      <c r="B7" s="15" t="s">
        <v>456</v>
      </c>
      <c r="C7" s="32">
        <v>8240</v>
      </c>
      <c r="N7" s="24" t="s">
        <v>457</v>
      </c>
    </row>
    <row r="8" spans="2:14">
      <c r="B8" s="15" t="s">
        <v>458</v>
      </c>
      <c r="C8" s="32">
        <v>5339</v>
      </c>
      <c r="N8" s="24" t="s">
        <v>459</v>
      </c>
    </row>
    <row r="9" spans="2:14">
      <c r="B9" s="15" t="s">
        <v>460</v>
      </c>
      <c r="C9" s="55">
        <v>18.990195</v>
      </c>
      <c r="N9" s="24" t="s">
        <v>461</v>
      </c>
    </row>
    <row r="10" spans="2:14">
      <c r="B10" s="15" t="s">
        <v>462</v>
      </c>
      <c r="C10" s="55">
        <v>849.4944400000001</v>
      </c>
      <c r="N10" s="24" t="s">
        <v>463</v>
      </c>
    </row>
    <row r="11" spans="2:14">
      <c r="B11" s="15" t="s">
        <v>464</v>
      </c>
      <c r="C11" s="55">
        <v>5219.053075</v>
      </c>
      <c r="N11" s="24" t="s">
        <v>465</v>
      </c>
    </row>
    <row r="12" spans="2:14">
      <c r="B12" s="27" t="s">
        <v>466</v>
      </c>
      <c r="C12" s="55">
        <v>1302.072285</v>
      </c>
      <c r="N12" s="24" t="s">
        <v>467</v>
      </c>
    </row>
    <row r="13" spans="2:14">
      <c r="B13" s="15" t="s">
        <v>468</v>
      </c>
      <c r="C13" s="55">
        <v>350</v>
      </c>
      <c r="N13" s="24" t="s">
        <v>469</v>
      </c>
    </row>
    <row r="14" spans="2:14">
      <c r="B14" s="15" t="s">
        <v>470</v>
      </c>
      <c r="C14" s="55">
        <v>699.580882</v>
      </c>
      <c r="N14" s="24" t="s">
        <v>471</v>
      </c>
    </row>
    <row r="15" spans="2:14">
      <c r="B15" s="27" t="s">
        <v>472</v>
      </c>
      <c r="C15" s="55">
        <v>286.428773</v>
      </c>
      <c r="N15" s="24" t="s">
        <v>473</v>
      </c>
    </row>
    <row r="16" spans="2:14">
      <c r="B16" s="15" t="s">
        <v>474</v>
      </c>
      <c r="C16" s="55">
        <v>423.743904</v>
      </c>
      <c r="N16" s="24" t="s">
        <v>475</v>
      </c>
    </row>
    <row r="17" spans="2:14">
      <c r="B17" s="15" t="s">
        <v>476</v>
      </c>
      <c r="C17" s="55">
        <v>3952.648559</v>
      </c>
      <c r="N17" s="24" t="s">
        <v>477</v>
      </c>
    </row>
    <row r="18" spans="2:14">
      <c r="B18" s="11" t="s">
        <v>478</v>
      </c>
      <c r="C18" s="38">
        <f>N_S_A+N_S_B</f>
        <v>13579</v>
      </c>
      <c r="N18" s="24" t="s">
        <v>479</v>
      </c>
    </row>
    <row r="19" spans="2:14">
      <c r="B19" s="15" t="s">
        <v>480</v>
      </c>
      <c r="C19" s="56">
        <f>N_S-X_TS_SPCX</f>
        <v>13560.009805</v>
      </c>
    </row>
    <row r="20" spans="2:14">
      <c r="B20" s="15" t="s">
        <v>481</v>
      </c>
      <c r="C20" s="56">
        <f>M_S_A+M_S_B</f>
        <v>6068.547515</v>
      </c>
    </row>
    <row r="21" spans="2:14">
      <c r="B21" s="15" t="s">
        <v>482</v>
      </c>
      <c r="C21" s="56">
        <f>M_T_BEN+M_T_RS25</f>
        <v>1123.324786</v>
      </c>
    </row>
    <row r="23" spans="2:14">
      <c r="B23" s="20" t="s">
        <v>483</v>
      </c>
    </row>
    <row r="24" spans="2:14">
      <c r="B24" s="21" t="s">
        <v>484</v>
      </c>
      <c r="C24" s="14" t="s">
        <v>10</v>
      </c>
      <c r="D24" s="14" t="s">
        <v>403</v>
      </c>
      <c r="N24" s="21" t="s">
        <v>220</v>
      </c>
    </row>
    <row r="25" spans="2:14">
      <c r="B25" s="15" t="s">
        <v>485</v>
      </c>
      <c r="C25" s="37">
        <f>M_S_ALL/N_S</f>
        <v>0.446906805729435</v>
      </c>
      <c r="D25" s="37">
        <f>M_T_ALL/N_T</f>
        <v>0.284187597962266</v>
      </c>
      <c r="N25" s="24" t="s">
        <v>486</v>
      </c>
    </row>
    <row r="26" spans="2:14">
      <c r="B26" s="15" t="s">
        <v>487</v>
      </c>
      <c r="C26" s="37">
        <f>(M_S_ALL-M_S_RS)/(N_S-M_S_RS)</f>
        <v>0.388246582585666</v>
      </c>
      <c r="D26" s="37">
        <f>M_T_BEN/(N_T-M_T_RS25)</f>
        <v>0.198236922175443</v>
      </c>
      <c r="N26" s="24" t="s">
        <v>488</v>
      </c>
    </row>
    <row r="27" spans="2:14">
      <c r="B27" s="15" t="s">
        <v>489</v>
      </c>
      <c r="C27" s="37">
        <f>(M_S_A+10*M_S_B)/(N_S_A+10*N_S_B)</f>
        <v>0.860620236735356</v>
      </c>
      <c r="D27" s="37">
        <f>M_T_BEN/(N_T-M_T_RS25)</f>
        <v>0.198236922175443</v>
      </c>
      <c r="N27" s="24" t="s">
        <v>490</v>
      </c>
    </row>
    <row r="28" spans="2:14">
      <c r="B28" s="13" t="s">
        <v>491</v>
      </c>
    </row>
    <row r="30" spans="2:14">
      <c r="B30" s="20" t="s">
        <v>492</v>
      </c>
    </row>
    <row r="31" spans="2:14">
      <c r="B31" s="21" t="s">
        <v>82</v>
      </c>
      <c r="C31" s="14" t="s">
        <v>403</v>
      </c>
      <c r="D31" s="14" t="s">
        <v>10</v>
      </c>
      <c r="E31" s="14" t="s">
        <v>493</v>
      </c>
      <c r="N31" s="21" t="s">
        <v>494</v>
      </c>
    </row>
    <row r="32" spans="2:14">
      <c r="B32" s="11" t="s">
        <v>495</v>
      </c>
      <c r="C32" s="22">
        <f>P_T_U*N_T</f>
        <v>1477185.17199966</v>
      </c>
      <c r="D32" s="22">
        <f>P_S_U*N_S</f>
        <v>2006840.41</v>
      </c>
      <c r="E32" s="22">
        <f>C32+D32</f>
        <v>3484025.58199966</v>
      </c>
      <c r="N32" s="24" t="s">
        <v>496</v>
      </c>
    </row>
    <row r="33" spans="2:14">
      <c r="B33" s="15" t="s">
        <v>497</v>
      </c>
      <c r="C33" s="22">
        <f>'特斯拉财务'!$G$92</f>
        <v>9523</v>
      </c>
      <c r="D33" s="22">
        <f>'SpaceX财务'!$G$103</f>
        <v>38844</v>
      </c>
      <c r="E33" s="22">
        <f>C33+D33</f>
        <v>48367</v>
      </c>
      <c r="N33" s="24" t="s">
        <v>498</v>
      </c>
    </row>
    <row r="34" spans="2:14">
      <c r="B34" s="15" t="s">
        <v>499</v>
      </c>
      <c r="C34" s="22">
        <f>'特斯拉财务'!$G$91</f>
        <v>45447</v>
      </c>
      <c r="D34" s="22">
        <f>'SpaceX财务'!$G$102</f>
        <v>89855</v>
      </c>
      <c r="E34" s="22">
        <f>C34+D34</f>
        <v>135302</v>
      </c>
      <c r="N34" s="24" t="s">
        <v>222</v>
      </c>
    </row>
    <row r="35" spans="2:14">
      <c r="B35" s="15" t="s">
        <v>500</v>
      </c>
      <c r="C35" s="22">
        <f>'特斯拉财务'!$G$95</f>
        <v>600</v>
      </c>
      <c r="D35" s="22">
        <f>0</f>
        <v>0</v>
      </c>
      <c r="E35" s="22">
        <f>C35+D35</f>
        <v>600</v>
      </c>
      <c r="N35" s="24" t="s">
        <v>501</v>
      </c>
    </row>
    <row r="36" spans="2:14">
      <c r="B36" s="15" t="s">
        <v>502</v>
      </c>
      <c r="C36" s="22">
        <f>X_TS_SPCX*P_S_U</f>
        <v>2806.56091905</v>
      </c>
      <c r="D36" s="22">
        <f>0</f>
        <v>0</v>
      </c>
      <c r="E36" s="22">
        <f>C36+D36</f>
        <v>2806.56091905</v>
      </c>
      <c r="N36" s="24" t="s">
        <v>503</v>
      </c>
    </row>
    <row r="37" spans="2:14">
      <c r="B37" s="11" t="s">
        <v>504</v>
      </c>
      <c r="C37" s="33">
        <f>C32+C33-C34+C35-C36</f>
        <v>1439054.61108061</v>
      </c>
      <c r="D37" s="33">
        <f>D32+D33-D34+D35-D36</f>
        <v>1955829.41</v>
      </c>
      <c r="E37" s="33">
        <f>C37+D37</f>
        <v>3394884.02108061</v>
      </c>
      <c r="N37" s="24" t="s">
        <v>505</v>
      </c>
    </row>
    <row r="38" spans="2:14">
      <c r="B38" s="15" t="s">
        <v>506</v>
      </c>
      <c r="C38" s="22">
        <f>'特斯拉财务'!$G$77</f>
        <v>103570</v>
      </c>
      <c r="D38" s="22">
        <f>'SpaceX财务'!$G$89</f>
        <v>32043</v>
      </c>
      <c r="E38" s="22">
        <f>C38+D38</f>
        <v>135613</v>
      </c>
      <c r="N38" s="24" t="s">
        <v>507</v>
      </c>
    </row>
    <row r="39" spans="2:14">
      <c r="B39" s="15" t="s">
        <v>508</v>
      </c>
      <c r="C39" s="22">
        <f>IF(EBITDA_BASIS="公司口径",'特斯拉财务'!$G$86,'特斯拉财务'!$G$85)</f>
        <v>10170</v>
      </c>
      <c r="D39" s="22">
        <f>IF(EBITDA_BASIS="公司口径",'SpaceX财务'!$G$98,'SpaceX财务'!$G$97)</f>
        <v>10183</v>
      </c>
      <c r="E39" s="22">
        <f>C39+D39</f>
        <v>20353</v>
      </c>
      <c r="N39" s="24" t="s">
        <v>509</v>
      </c>
    </row>
    <row r="40" spans="2:14">
      <c r="B40" s="15" t="s">
        <v>510</v>
      </c>
      <c r="C40" s="34">
        <f>C38/E38</f>
        <v>0.763717342732629</v>
      </c>
      <c r="D40" s="34">
        <f>D38/E38</f>
        <v>0.236282657267371</v>
      </c>
      <c r="E40" s="34">
        <f>C40+D40</f>
        <v>1</v>
      </c>
      <c r="N40" s="24" t="s">
        <v>511</v>
      </c>
    </row>
    <row r="41" spans="2:14">
      <c r="B41" s="15" t="s">
        <v>512</v>
      </c>
      <c r="C41" s="34">
        <f>C39/E39</f>
        <v>0.499680636761165</v>
      </c>
      <c r="D41" s="34">
        <f>D39/E39</f>
        <v>0.500319363238835</v>
      </c>
      <c r="E41" s="34">
        <f>C41+D41</f>
        <v>1</v>
      </c>
      <c r="N41" s="24" t="s">
        <v>513</v>
      </c>
    </row>
    <row r="42" spans="2:14">
      <c r="B42" s="15" t="s">
        <v>514</v>
      </c>
      <c r="C42" s="57">
        <f>C37/C38</f>
        <v>13.8945120312891</v>
      </c>
      <c r="D42" s="57">
        <f>D37/D38</f>
        <v>61.0376497206878</v>
      </c>
      <c r="E42" s="57">
        <f>E37/E38</f>
        <v>25.0336178764618</v>
      </c>
      <c r="N42" s="24" t="s">
        <v>515</v>
      </c>
    </row>
    <row r="43" spans="2:14">
      <c r="B43" s="15" t="s">
        <v>516</v>
      </c>
      <c r="C43" s="57">
        <f>C37/C39</f>
        <v>141.499961758172</v>
      </c>
      <c r="D43" s="57">
        <f>D37/D39</f>
        <v>192.068094863989</v>
      </c>
      <c r="E43" s="57">
        <f>E37/E39</f>
        <v>166.800177913851</v>
      </c>
      <c r="N43" s="24" t="s">
        <v>222</v>
      </c>
    </row>
    <row r="45" spans="2:14">
      <c r="B45" s="21" t="s">
        <v>517</v>
      </c>
      <c r="C45" s="14" t="s">
        <v>403</v>
      </c>
      <c r="D45" s="14" t="s">
        <v>10</v>
      </c>
      <c r="E45" s="14" t="s">
        <v>493</v>
      </c>
      <c r="N45" s="21" t="s">
        <v>220</v>
      </c>
    </row>
    <row r="46" spans="2:14">
      <c r="B46" s="15" t="s">
        <v>518</v>
      </c>
      <c r="C46" s="22">
        <f>$E$37*C40</f>
        <v>2592731.80346515</v>
      </c>
      <c r="D46" s="22">
        <f>$E$37*D40</f>
        <v>802152.217615465</v>
      </c>
      <c r="E46" s="22">
        <f>C46+D46</f>
        <v>3394884.02108061</v>
      </c>
      <c r="N46" s="24" t="s">
        <v>519</v>
      </c>
    </row>
    <row r="47" spans="2:14">
      <c r="B47" s="15" t="s">
        <v>520</v>
      </c>
      <c r="C47" s="22">
        <f>C46-C33+C34-C35+C36</f>
        <v>2630862.3643842</v>
      </c>
      <c r="D47" s="22">
        <f>D46-D33+D34-D35+D36</f>
        <v>853163.217615465</v>
      </c>
      <c r="E47" s="22">
        <f>C47+D47</f>
        <v>3484025.58199966</v>
      </c>
    </row>
    <row r="48" spans="2:14">
      <c r="B48" s="11" t="s">
        <v>521</v>
      </c>
      <c r="C48" s="45">
        <f>C47/N_T</f>
        <v>665.576390035849</v>
      </c>
      <c r="D48" s="45">
        <f>D47/N_S</f>
        <v>62.8296058336744</v>
      </c>
    </row>
    <row r="49" spans="2:14">
      <c r="B49" s="15" t="s">
        <v>522</v>
      </c>
      <c r="C49" s="22">
        <f>$E$37*C41</f>
        <v>1696357.80938387</v>
      </c>
      <c r="D49" s="22">
        <f>$E$37*D41</f>
        <v>1698526.21169675</v>
      </c>
      <c r="E49" s="22">
        <f>C49+D49</f>
        <v>3394884.02108061</v>
      </c>
      <c r="N49" s="24" t="s">
        <v>519</v>
      </c>
    </row>
    <row r="50" spans="2:14">
      <c r="B50" s="15" t="s">
        <v>523</v>
      </c>
      <c r="C50" s="22">
        <f>C49-C33+C34-C35+C36</f>
        <v>1734488.37030292</v>
      </c>
      <c r="D50" s="22">
        <f>D49-D33+D34-D35+D36</f>
        <v>1749537.21169675</v>
      </c>
      <c r="E50" s="22">
        <f>C50+D50</f>
        <v>3484025.58199966</v>
      </c>
    </row>
    <row r="51" spans="2:14">
      <c r="B51" s="11" t="s">
        <v>524</v>
      </c>
      <c r="C51" s="45">
        <f>C50/N_T</f>
        <v>438.804600230615</v>
      </c>
      <c r="D51" s="45">
        <f>D50/N_S</f>
        <v>128.841388297868</v>
      </c>
    </row>
    <row r="53" spans="2:14">
      <c r="B53" s="20" t="s">
        <v>525</v>
      </c>
    </row>
    <row r="54" spans="2:14" ht="32" customHeight="1">
      <c r="B54" s="21" t="s">
        <v>526</v>
      </c>
      <c r="C54" s="14" t="s">
        <v>527</v>
      </c>
      <c r="D54" s="14" t="s">
        <v>528</v>
      </c>
      <c r="E54" s="14" t="s">
        <v>529</v>
      </c>
      <c r="F54" s="14" t="s">
        <v>530</v>
      </c>
      <c r="G54" s="14" t="s">
        <v>531</v>
      </c>
      <c r="H54" s="14" t="s">
        <v>532</v>
      </c>
      <c r="N54" s="21" t="s">
        <v>533</v>
      </c>
    </row>
    <row r="55" spans="2:14">
      <c r="B55" s="11" t="s">
        <v>534</v>
      </c>
      <c r="C55" s="58">
        <f>P_T_U</f>
        <v>373.71</v>
      </c>
      <c r="D55" s="58">
        <f>P_S_U</f>
        <v>147.79</v>
      </c>
      <c r="E55" s="59">
        <f>C55*N_T/1000</f>
        <v>1477.18517199966</v>
      </c>
      <c r="F55" s="59">
        <f>D55*N_S/1000</f>
        <v>2006.84041</v>
      </c>
      <c r="G55" s="60">
        <f>C55/D55</f>
        <v>2.52865552473104</v>
      </c>
      <c r="H55" s="34">
        <f>E55/(E55+F55-X_TS_SPCX*D55/1000)</f>
        <v>0.424329857746533</v>
      </c>
      <c r="N55" s="24" t="s">
        <v>535</v>
      </c>
    </row>
    <row r="56" spans="2:14">
      <c r="B56" s="11" t="s">
        <v>536</v>
      </c>
      <c r="C56" s="58">
        <f>P_T_VWAP</f>
        <v>367.942226880821</v>
      </c>
      <c r="D56" s="58">
        <f>P_S_VWAP</f>
        <v>153.564371123715</v>
      </c>
      <c r="E56" s="59">
        <f>C56*N_T/1000</f>
        <v>1454.3865609721</v>
      </c>
      <c r="F56" s="59">
        <f>D56*N_S/1000</f>
        <v>2085.25059548892</v>
      </c>
      <c r="G56" s="60">
        <f>C56/D56</f>
        <v>2.39601298262342</v>
      </c>
      <c r="H56" s="34">
        <f>E56/(E56+F56-X_TS_SPCX*D56/1000)</f>
        <v>0.411224573838946</v>
      </c>
      <c r="N56" s="24" t="s">
        <v>537</v>
      </c>
    </row>
    <row r="57" spans="2:14">
      <c r="B57" s="11" t="s">
        <v>538</v>
      </c>
      <c r="C57" s="58">
        <f>P_T_P</f>
        <v>386.47</v>
      </c>
      <c r="D57" s="58">
        <f>P_S_P</f>
        <v>159.31</v>
      </c>
      <c r="E57" s="59">
        <f>C57*N_T/1000</f>
        <v>1527.62236339062</v>
      </c>
      <c r="F57" s="59">
        <f>D57*N_S/1000</f>
        <v>2163.27049</v>
      </c>
      <c r="G57" s="60">
        <f>C57/D57</f>
        <v>2.42589919025799</v>
      </c>
      <c r="H57" s="34">
        <f>E57/(E57+F57-X_TS_SPCX*D57/1000)</f>
        <v>0.414229186069937</v>
      </c>
      <c r="N57" s="24" t="s">
        <v>539</v>
      </c>
    </row>
    <row r="58" spans="2:14">
      <c r="B58" s="11" t="s">
        <v>540</v>
      </c>
      <c r="C58" s="58">
        <f>C48</f>
        <v>665.576390035849</v>
      </c>
      <c r="D58" s="58">
        <f>D48</f>
        <v>62.8296058336744</v>
      </c>
      <c r="E58" s="59">
        <f>C58*N_T/1000</f>
        <v>2630.8623643842</v>
      </c>
      <c r="F58" s="59">
        <f>D58*N_S/1000</f>
        <v>853.163217615465</v>
      </c>
      <c r="G58" s="60">
        <f>C58/D58</f>
        <v>10.5933561289211</v>
      </c>
      <c r="H58" s="34">
        <f>E58/(E58+F58-X_TS_SPCX*D58/1000)</f>
        <v>0.755380114628311</v>
      </c>
      <c r="N58" s="24" t="s">
        <v>541</v>
      </c>
    </row>
    <row r="59" spans="2:14">
      <c r="B59" s="11" t="s">
        <v>542</v>
      </c>
      <c r="C59" s="58">
        <f>C51</f>
        <v>438.804600230615</v>
      </c>
      <c r="D59" s="58">
        <f>D51</f>
        <v>128.841388297868</v>
      </c>
      <c r="E59" s="59">
        <f>C59*N_T/1000</f>
        <v>1734.48837030292</v>
      </c>
      <c r="F59" s="59">
        <f>D59*N_S/1000</f>
        <v>1749.53721169675</v>
      </c>
      <c r="G59" s="60">
        <f>C59/D59</f>
        <v>3.40577361069833</v>
      </c>
      <c r="H59" s="34">
        <f>E59/(E59+F59-X_TS_SPCX*D59/1000)</f>
        <v>0.498190171928215</v>
      </c>
      <c r="N59" s="24" t="s">
        <v>543</v>
      </c>
    </row>
    <row r="61" spans="2:14">
      <c r="B61" s="20" t="s">
        <v>544</v>
      </c>
    </row>
    <row r="62" spans="2:14">
      <c r="B62" s="15" t="s">
        <v>545</v>
      </c>
      <c r="C62" s="11" t="str">
        <f>ACQ</f>
        <v>SpaceX</v>
      </c>
      <c r="D62" s="61" t="str">
        <f>IF(ACQ="SpaceX","收购特斯拉","收购SpaceX")</f>
        <v>收购特斯拉</v>
      </c>
      <c r="E62" s="15" t="s">
        <v>546</v>
      </c>
      <c r="F62" s="62">
        <f>PREM</f>
        <v>0</v>
      </c>
      <c r="G62" s="61" t="str">
        <f>IF(ACQ="SpaceX","换股比例 = 每1股特斯拉换取的SpaceX A类股数","换股比例 = 每1股SpaceX换取的特斯拉股数")</f>
        <v>换股比例 = 每1股特斯拉换取的SpaceX A类股数</v>
      </c>
    </row>
    <row r="63" spans="2:14" ht="32" customHeight="1">
      <c r="B63" s="21" t="s">
        <v>526</v>
      </c>
      <c r="C63" s="14" t="s">
        <v>547</v>
      </c>
      <c r="D63" s="14" t="s">
        <v>548</v>
      </c>
      <c r="E63" s="14" t="s">
        <v>549</v>
      </c>
      <c r="F63" s="14" t="s">
        <v>550</v>
      </c>
      <c r="G63" s="14" t="s">
        <v>551</v>
      </c>
      <c r="H63" s="14" t="s">
        <v>552</v>
      </c>
      <c r="I63" s="14" t="s">
        <v>553</v>
      </c>
      <c r="J63" s="14" t="s">
        <v>74</v>
      </c>
      <c r="K63" s="14" t="s">
        <v>554</v>
      </c>
      <c r="L63" s="14" t="s">
        <v>555</v>
      </c>
    </row>
    <row r="64" spans="2:14">
      <c r="B64" s="11" t="s">
        <v>534</v>
      </c>
      <c r="C64" s="63">
        <f>IF(ACQ="SpaceX",R_M1*(1+PREM),(1/R_M1)*(1+PREM))</f>
        <v>2.52865552473104</v>
      </c>
      <c r="D64" s="59">
        <f>IF(ACQ="SpaceX",C64*N_T,C64*N_S_EX)</f>
        <v>9995.16321807741</v>
      </c>
      <c r="E64" s="59">
        <f>IF(ACQ="SpaceX",N_S_EX+D64,N_T+D64)</f>
        <v>23555.1730230774</v>
      </c>
      <c r="F64" s="37">
        <f>IF(ACQ="SpaceX",D64,N_T)/E64</f>
        <v>0.424329857746533</v>
      </c>
      <c r="G64" s="37">
        <f>1-F64</f>
        <v>0.575670142253467</v>
      </c>
      <c r="H64" s="37">
        <f>IF(ACQ="SpaceX",(M_S_ALL+C64*M_T_ALL)/(N_S_EX+C64*N_T),(M_T_ALL+C64*M_S_ALL)/(N_T+C64*N_S_EX))</f>
        <v>0.378220483987015</v>
      </c>
      <c r="I64" s="37">
        <f>IF(ACQ="SpaceX",(M_S_ALL-M_S_RS+C64*M_T_BEN)/(N_S_EX-M_S_RS+C64*(N_T-M_T_RS25)),(M_T_BEN+C64*(M_S_ALL-M_S_RS))/(N_T-M_T_RS25+C64*(N_S_EX-M_S_RS)))</f>
        <v>0.308544906612871</v>
      </c>
      <c r="J64" s="34">
        <f>IF(ACQ="SpaceX",(M_S_A+10*M_S_B+C64*M_T_BEN)/(N_S_A-X_TS_SPCX+10*N_S_B+C64*(N_T-M_T_RS25)),(M_T_BEN+C64*M_S_ALL)/(N_T-M_T_RS25+C64*N_S_EX))</f>
        <v>0.777050828196506</v>
      </c>
      <c r="K64" s="59">
        <f>IF(ACQ="SpaceX",D64*PS_M1,D64*PT_M1)/1000</f>
        <v>1477.18517199966</v>
      </c>
      <c r="L64" s="58">
        <f>IF(ACQ="SpaceX",C64*PS_M1,C64*PT_M1)</f>
        <v>373.71</v>
      </c>
    </row>
    <row r="65" spans="2:14">
      <c r="B65" s="11" t="s">
        <v>536</v>
      </c>
      <c r="C65" s="63">
        <f>IF(ACQ="SpaceX",R_M2*(1+PREM),(1/R_M2)*(1+PREM))</f>
        <v>2.39601298262342</v>
      </c>
      <c r="D65" s="59">
        <f>IF(ACQ="SpaceX",C65*N_T,C65*N_S_EX)</f>
        <v>9470.85935578386</v>
      </c>
      <c r="E65" s="59">
        <f>IF(ACQ="SpaceX",N_S_EX+D65,N_T+D65)</f>
        <v>23030.8691607839</v>
      </c>
      <c r="F65" s="37">
        <f>IF(ACQ="SpaceX",D65,N_T)/E65</f>
        <v>0.411224573838946</v>
      </c>
      <c r="G65" s="37">
        <f>1-F65</f>
        <v>0.588775426161054</v>
      </c>
      <c r="H65" s="37">
        <f>IF(ACQ="SpaceX",(M_S_ALL+C65*M_T_ALL)/(N_S_EX+C65*N_T),(M_T_ALL+C65*M_S_ALL)/(N_T+C65*N_S_EX))</f>
        <v>0.380361167648634</v>
      </c>
      <c r="I65" s="37">
        <f>IF(ACQ="SpaceX",(M_S_ALL-M_S_RS+C65*M_T_BEN)/(N_S_EX-M_S_RS+C65*(N_T-M_T_RS25)),(M_T_BEN+C65*(M_S_ALL-M_S_RS))/(N_T-M_T_RS25+C65*(N_S_EX-M_S_RS)))</f>
        <v>0.31103771939542</v>
      </c>
      <c r="J65" s="34">
        <f>IF(ACQ="SpaceX",(M_S_A+10*M_S_B+C65*M_T_BEN)/(N_S_A-X_TS_SPCX+10*N_S_B+C65*(N_T-M_T_RS25)),(M_T_BEN+C65*M_S_ALL)/(N_T-M_T_RS25+C65*N_S_EX))</f>
        <v>0.78091774030877</v>
      </c>
      <c r="K65" s="59">
        <f>IF(ACQ="SpaceX",D65*PS_M2,D65*PT_M2)/1000</f>
        <v>1454.3865609721</v>
      </c>
      <c r="L65" s="58">
        <f>IF(ACQ="SpaceX",C65*PS_M2,C65*PT_M2)</f>
        <v>367.942226880821</v>
      </c>
    </row>
    <row r="66" spans="2:14">
      <c r="B66" s="11" t="s">
        <v>538</v>
      </c>
      <c r="C66" s="63">
        <f>IF(ACQ="SpaceX",R_M3*(1+PREM),(1/R_M3)*(1+PREM))</f>
        <v>2.42589919025799</v>
      </c>
      <c r="D66" s="59">
        <f>IF(ACQ="SpaceX",C66*N_T,C66*N_S_EX)</f>
        <v>9588.99230048723</v>
      </c>
      <c r="E66" s="59">
        <f>IF(ACQ="SpaceX",N_S_EX+D66,N_T+D66)</f>
        <v>23149.0021054872</v>
      </c>
      <c r="F66" s="37">
        <f>IF(ACQ="SpaceX",D66,N_T)/E66</f>
        <v>0.414229186069937</v>
      </c>
      <c r="G66" s="37">
        <f>1-F66</f>
        <v>0.585770813930063</v>
      </c>
      <c r="H66" s="37">
        <f>IF(ACQ="SpaceX",(M_S_ALL+C66*M_T_ALL)/(N_S_EX+C66*N_T),(M_T_ALL+C66*M_S_ALL)/(N_T+C66*N_S_EX))</f>
        <v>0.379870379020342</v>
      </c>
      <c r="I66" s="37">
        <f>IF(ACQ="SpaceX",(M_S_ALL-M_S_RS+C66*M_T_BEN)/(N_S_EX-M_S_RS+C66*(N_T-M_T_RS25)),(M_T_BEN+C66*(M_S_ALL-M_S_RS))/(N_T-M_T_RS25+C66*(N_S_EX-M_S_RS)))</f>
        <v>0.310466270853287</v>
      </c>
      <c r="J66" s="34">
        <f>IF(ACQ="SpaceX",(M_S_A+10*M_S_B+C66*M_T_BEN)/(N_S_A-X_TS_SPCX+10*N_S_B+C66*(N_T-M_T_RS25)),(M_T_BEN+C66*M_S_ALL)/(N_T-M_T_RS25+C66*N_S_EX))</f>
        <v>0.780041968821137</v>
      </c>
      <c r="K66" s="59">
        <f>IF(ACQ="SpaceX",D66*PS_M3,D66*PT_M3)/1000</f>
        <v>1527.62236339062</v>
      </c>
      <c r="L66" s="58">
        <f>IF(ACQ="SpaceX",C66*PS_M3,C66*PT_M3)</f>
        <v>386.47</v>
      </c>
    </row>
    <row r="67" spans="2:14">
      <c r="B67" s="11" t="s">
        <v>540</v>
      </c>
      <c r="C67" s="63">
        <f>IF(ACQ="SpaceX",R_M4*(1+PREM),(1/R_M4)*(1+PREM))</f>
        <v>10.5933561289211</v>
      </c>
      <c r="D67" s="59">
        <f>IF(ACQ="SpaceX",C67*N_T,C67*N_S_EX)</f>
        <v>41872.9726134005</v>
      </c>
      <c r="E67" s="59">
        <f>IF(ACQ="SpaceX",N_S_EX+D67,N_T+D67)</f>
        <v>55432.9824184005</v>
      </c>
      <c r="F67" s="37">
        <f>IF(ACQ="SpaceX",D67,N_T)/E67</f>
        <v>0.755380114628311</v>
      </c>
      <c r="G67" s="37">
        <f>1-F67</f>
        <v>0.244619885371689</v>
      </c>
      <c r="H67" s="37">
        <f>IF(ACQ="SpaceX",(M_S_ALL+C67*M_T_ALL)/(N_S_EX+C67*N_T),(M_T_ALL+C67*M_S_ALL)/(N_T+C67*N_S_EX))</f>
        <v>0.324145052956371</v>
      </c>
      <c r="I67" s="37">
        <f>IF(ACQ="SpaceX",(M_S_ALL-M_S_RS+C67*M_T_BEN)/(N_S_EX-M_S_RS+C67*(N_T-M_T_RS25)),(M_T_BEN+C67*(M_S_ALL-M_S_RS))/(N_T-M_T_RS25+C67*(N_S_EX-M_S_RS)))</f>
        <v>0.245303872313311</v>
      </c>
      <c r="J67" s="34">
        <f>IF(ACQ="SpaceX",(M_S_A+10*M_S_B+C67*M_T_BEN)/(N_S_A-X_TS_SPCX+10*N_S_B+C67*(N_T-M_T_RS25)),(M_T_BEN+C67*M_S_ALL)/(N_T-M_T_RS25+C67*N_S_EX))</f>
        <v>0.610645648937835</v>
      </c>
      <c r="K67" s="59">
        <f>IF(ACQ="SpaceX",D67*PS_M4,D67*PT_M4)/1000</f>
        <v>2630.8623643842</v>
      </c>
      <c r="L67" s="58">
        <f>IF(ACQ="SpaceX",C67*PS_M4,C67*PT_M4)</f>
        <v>665.576390035849</v>
      </c>
    </row>
    <row r="68" spans="2:14">
      <c r="B68" s="11" t="s">
        <v>542</v>
      </c>
      <c r="C68" s="63">
        <f>IF(ACQ="SpaceX",R_M5*(1+PREM),(1/R_M5)*(1+PREM))</f>
        <v>3.40577361069833</v>
      </c>
      <c r="D68" s="59">
        <f>IF(ACQ="SpaceX",C68*N_T,C68*N_S_EX)</f>
        <v>13462.1987019649</v>
      </c>
      <c r="E68" s="59">
        <f>IF(ACQ="SpaceX",N_S_EX+D68,N_T+D68)</f>
        <v>27022.2085069649</v>
      </c>
      <c r="F68" s="37">
        <f>IF(ACQ="SpaceX",D68,N_T)/E68</f>
        <v>0.498190171928215</v>
      </c>
      <c r="G68" s="37">
        <f>1-F68</f>
        <v>0.501809828071785</v>
      </c>
      <c r="H68" s="37">
        <f>IF(ACQ="SpaceX",(M_S_ALL+C68*M_T_ALL)/(N_S_EX+C68*N_T),(M_T_ALL+C68*M_S_ALL)/(N_T+C68*N_S_EX))</f>
        <v>0.366155764983158</v>
      </c>
      <c r="I68" s="37">
        <f>IF(ACQ="SpaceX",(M_S_ALL-M_S_RS+C68*M_T_BEN)/(N_S_EX-M_S_RS+C68*(N_T-M_T_RS25)),(M_T_BEN+C68*(M_S_ALL-M_S_RS))/(N_T-M_T_RS25+C68*(N_S_EX-M_S_RS)))</f>
        <v>0.294480413278793</v>
      </c>
      <c r="J68" s="34">
        <f>IF(ACQ="SpaceX",(M_S_A+10*M_S_B+C68*M_T_BEN)/(N_S_A-X_TS_SPCX+10*N_S_B+C68*(N_T-M_T_RS25)),(M_T_BEN+C68*M_S_ALL)/(N_T-M_T_RS25+C68*N_S_EX))</f>
        <v>0.752717841665325</v>
      </c>
      <c r="K68" s="59">
        <f>IF(ACQ="SpaceX",D68*PS_M5,D68*PT_M5)/1000</f>
        <v>1734.48837030292</v>
      </c>
      <c r="L68" s="58">
        <f>IF(ACQ="SpaceX",C68*PS_M5,C68*PT_M5)</f>
        <v>438.804600230615</v>
      </c>
    </row>
    <row r="69" spans="2:14">
      <c r="B69" s="13" t="s">
        <v>556</v>
      </c>
    </row>
    <row r="71" spans="2:14">
      <c r="B71" s="20" t="s">
        <v>557</v>
      </c>
    </row>
    <row r="72" spans="2:14">
      <c r="B72" s="15" t="s">
        <v>558</v>
      </c>
      <c r="C72" s="64">
        <f>(P_T_U*N_T+P_S_U*N_S-X_TS_SPCX*P_S_U)/1000</f>
        <v>3481.21902108061</v>
      </c>
    </row>
    <row r="73" spans="2:14">
      <c r="B73" s="15" t="s">
        <v>559</v>
      </c>
      <c r="C73" s="64">
        <f>E37/1000</f>
        <v>3394.88402108061</v>
      </c>
    </row>
    <row r="74" spans="2:14">
      <c r="B74" s="15" t="s">
        <v>560</v>
      </c>
      <c r="C74" s="33">
        <f>E64</f>
        <v>23555.1730230774</v>
      </c>
    </row>
    <row r="76" spans="2:14">
      <c r="B76" s="20" t="s">
        <v>561</v>
      </c>
    </row>
    <row r="77" spans="2:14" ht="30" customHeight="1">
      <c r="B77" s="21" t="s">
        <v>526</v>
      </c>
      <c r="C77" s="14" t="s">
        <v>562</v>
      </c>
      <c r="D77" s="14" t="s">
        <v>563</v>
      </c>
      <c r="E77" s="14" t="s">
        <v>564</v>
      </c>
      <c r="N77" s="21" t="s">
        <v>220</v>
      </c>
    </row>
    <row r="78" spans="2:14">
      <c r="B78" s="15" t="s">
        <v>534</v>
      </c>
      <c r="C78" s="37">
        <f>IF(ACQ="SpaceX",'换股比例'!$C$64*(N_T-M_T_ALL)/(N_S_EX+'换股比例'!$C$64*N_T),(N_T-M_T_ALL)/(N_T+'换股比例'!$C$64*N_S_EX))</f>
        <v>0.303740574729876</v>
      </c>
      <c r="D78" s="37">
        <f>IF(ACQ="SpaceX",'换股比例'!$C$64*(N_T-M_T_BEN-M_T_RS25)/(N_S_A-X_TS_SPCX+10*N_S_B+'换股比例'!$C$64*(N_T-M_T_RS25)),(N_T-M_T_BEN-M_T_RS25)/(N_T-M_T_RS25+'换股比例'!$C$64*N_S_EX))</f>
        <v>0.101434680633366</v>
      </c>
      <c r="E78" s="34">
        <f>(N_T-M_T_BEN-M_T_RS25)/(N_T-M_T_RS25)</f>
        <v>0.801763077824557</v>
      </c>
      <c r="N78" s="24" t="s">
        <v>565</v>
      </c>
    </row>
    <row r="79" spans="2:14">
      <c r="B79" s="15" t="s">
        <v>536</v>
      </c>
      <c r="C79" s="37">
        <f>IF(ACQ="SpaceX",'换股比例'!$C$65*(N_T-M_T_ALL)/(N_S_EX+'换股比例'!$C$65*N_T),(N_T-M_T_ALL)/(N_T+'换股比例'!$C$65*N_S_EX))</f>
        <v>0.294359649976599</v>
      </c>
      <c r="D79" s="37">
        <f>IF(ACQ="SpaceX",'换股比例'!$C$65*(N_T-M_T_BEN-M_T_RS25)/(N_S_A-X_TS_SPCX+10*N_S_B+'换股比例'!$C$65*(N_T-M_T_RS25)),(N_T-M_T_BEN-M_T_RS25)/(N_T-M_T_RS25+'换股比例'!$C$65*N_S_EX))</f>
        <v>0.0967559603512681</v>
      </c>
      <c r="E79" s="34">
        <f>(N_T-M_T_BEN-M_T_RS25)/(N_T-M_T_RS25)</f>
        <v>0.801763077824557</v>
      </c>
      <c r="N79" s="24" t="s">
        <v>565</v>
      </c>
    </row>
    <row r="80" spans="2:14">
      <c r="B80" s="15" t="s">
        <v>538</v>
      </c>
      <c r="C80" s="37">
        <f>IF(ACQ="SpaceX",'换股比例'!$C$66*(N_T-M_T_ALL)/(N_S_EX+'换股比例'!$C$66*N_T),(N_T-M_T_ALL)/(N_T+'换股比例'!$C$66*N_S_EX))</f>
        <v>0.296510388674857</v>
      </c>
      <c r="D80" s="37">
        <f>IF(ACQ="SpaceX",'换股比例'!$C$66*(N_T-M_T_BEN-M_T_RS25)/(N_S_A-X_TS_SPCX+10*N_S_B+'换股比例'!$C$66*(N_T-M_T_RS25)),(N_T-M_T_BEN-M_T_RS25)/(N_T-M_T_RS25+'换股比例'!$C$66*N_S_EX))</f>
        <v>0.0978155887324448</v>
      </c>
      <c r="E80" s="34">
        <f>(N_T-M_T_BEN-M_T_RS25)/(N_T-M_T_RS25)</f>
        <v>0.801763077824557</v>
      </c>
      <c r="N80" s="24" t="s">
        <v>565</v>
      </c>
    </row>
    <row r="81" spans="2:14">
      <c r="B81" s="15" t="s">
        <v>540</v>
      </c>
      <c r="C81" s="37">
        <f>IF(ACQ="SpaceX",'换股比例'!$C$67*(N_T-M_T_ALL)/(N_S_EX+'换股比例'!$C$67*N_T),(N_T-M_T_ALL)/(N_T+'换股比例'!$C$67*N_S_EX))</f>
        <v>0.54071045430363</v>
      </c>
      <c r="D81" s="37">
        <f>IF(ACQ="SpaceX",'换股比例'!$C$67*(N_T-M_T_BEN-M_T_RS25)/(N_S_A-X_TS_SPCX+10*N_S_B+'换股比例'!$C$67*(N_T-M_T_RS25)),(N_T-M_T_BEN-M_T_RS25)/(N_T-M_T_RS25+'换股比例'!$C$67*N_S_EX))</f>
        <v>0.302774474412089</v>
      </c>
      <c r="E81" s="34">
        <f>(N_T-M_T_BEN-M_T_RS25)/(N_T-M_T_RS25)</f>
        <v>0.801763077824557</v>
      </c>
      <c r="N81" s="24" t="s">
        <v>565</v>
      </c>
    </row>
    <row r="82" spans="2:14">
      <c r="B82" s="15" t="s">
        <v>542</v>
      </c>
      <c r="C82" s="37">
        <f>IF(ACQ="SpaceX",'换股比例'!$C$68*(N_T-M_T_ALL)/(N_S_EX+'换股比例'!$C$68*N_T),(N_T-M_T_ALL)/(N_T+'换股比例'!$C$68*N_S_EX))</f>
        <v>0.356610703639527</v>
      </c>
      <c r="D82" s="37">
        <f>IF(ACQ="SpaceX",'换股比例'!$C$68*(N_T-M_T_BEN-M_T_RS25)/(N_S_A-X_TS_SPCX+10*N_S_B+'换股比例'!$C$68*(N_T-M_T_RS25)),(N_T-M_T_BEN-M_T_RS25)/(N_T-M_T_RS25+'换股比例'!$C$68*N_S_EX))</f>
        <v>0.130876062879004</v>
      </c>
      <c r="E82" s="34">
        <f>(N_T-M_T_BEN-M_T_RS25)/(N_T-M_T_RS25)</f>
        <v>0.801763077824557</v>
      </c>
      <c r="N82" s="24" t="s">
        <v>565</v>
      </c>
    </row>
  </sheetData>
  <pageMargins left="0.3" right="0.3" top="0.4" bottom="0.4" header="0.3" footer="0.3"/>
  <pageSetup paperSize="9"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B1:I64"/>
  <sheetViews>
    <sheetView showGridLines="0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22.7109375" customWidth="1"/>
    <col min="3" max="8" width="16.7109375" customWidth="1"/>
    <col min="9" max="9" width="50.7109375" customWidth="1"/>
  </cols>
  <sheetData>
    <row r="1" spans="2:9">
      <c r="B1" s="12" t="s">
        <v>566</v>
      </c>
    </row>
    <row r="2" spans="2:9">
      <c r="B2" s="13" t="s">
        <v>567</v>
      </c>
    </row>
    <row r="4" spans="2:9">
      <c r="B4" s="20" t="s">
        <v>568</v>
      </c>
      <c r="I4" s="13" t="str">
        <f>IF(ACQ="SpaceX","收购方：SpaceX；被收购方：特斯拉","收购方：特斯拉；被收购方：SpaceX")</f>
        <v>收购方：SpaceX；被收购方：特斯拉</v>
      </c>
    </row>
    <row r="5" spans="2:9" ht="32" customHeight="1">
      <c r="B5" s="21" t="s">
        <v>569</v>
      </c>
      <c r="C5" s="14" t="s">
        <v>534</v>
      </c>
      <c r="D5" s="14" t="s">
        <v>536</v>
      </c>
      <c r="E5" s="14" t="s">
        <v>538</v>
      </c>
      <c r="F5" s="14" t="s">
        <v>540</v>
      </c>
      <c r="G5" s="14" t="s">
        <v>542</v>
      </c>
    </row>
    <row r="6" spans="2:9">
      <c r="B6" s="65">
        <v>0</v>
      </c>
      <c r="C6" s="66">
        <f>IF(ACQ="SpaceX",R_M1*(1+$B$6),(1/R_M1)*(1+$B$6))</f>
        <v>2.52865552473104</v>
      </c>
      <c r="D6" s="66">
        <f>IF(ACQ="SpaceX",R_M2*(1+$B$6),(1/R_M2)*(1+$B$6))</f>
        <v>2.39601298262342</v>
      </c>
      <c r="E6" s="66">
        <f>IF(ACQ="SpaceX",R_M3*(1+$B$6),(1/R_M3)*(1+$B$6))</f>
        <v>2.42589919025799</v>
      </c>
      <c r="F6" s="66">
        <f>IF(ACQ="SpaceX",R_M4*(1+$B$6),(1/R_M4)*(1+$B$6))</f>
        <v>10.5933561289211</v>
      </c>
      <c r="G6" s="66">
        <f>IF(ACQ="SpaceX",R_M5*(1+$B$6),(1/R_M5)*(1+$B$6))</f>
        <v>3.40577361069833</v>
      </c>
    </row>
    <row r="7" spans="2:9">
      <c r="B7" s="65">
        <v>0.05</v>
      </c>
      <c r="C7" s="66">
        <f>IF(ACQ="SpaceX",R_M1*(1+$B$7),(1/R_M1)*(1+$B$7))</f>
        <v>2.65508830096759</v>
      </c>
      <c r="D7" s="66">
        <f>IF(ACQ="SpaceX",R_M2*(1+$B$7),(1/R_M2)*(1+$B$7))</f>
        <v>2.51581363175459</v>
      </c>
      <c r="E7" s="66">
        <f>IF(ACQ="SpaceX",R_M3*(1+$B$7),(1/R_M3)*(1+$B$7))</f>
        <v>2.54719414977089</v>
      </c>
      <c r="F7" s="66">
        <f>IF(ACQ="SpaceX",R_M4*(1+$B$7),(1/R_M4)*(1+$B$7))</f>
        <v>11.1230239353671</v>
      </c>
      <c r="G7" s="66">
        <f>IF(ACQ="SpaceX",R_M5*(1+$B$7),(1/R_M5)*(1+$B$7))</f>
        <v>3.57606229123325</v>
      </c>
    </row>
    <row r="8" spans="2:9">
      <c r="B8" s="65">
        <v>0.1</v>
      </c>
      <c r="C8" s="66">
        <f>IF(ACQ="SpaceX",R_M1*(1+$B$8),(1/R_M1)*(1+$B$8))</f>
        <v>2.78152107720414</v>
      </c>
      <c r="D8" s="66">
        <f>IF(ACQ="SpaceX",R_M2*(1+$B$8),(1/R_M2)*(1+$B$8))</f>
        <v>2.63561428088576</v>
      </c>
      <c r="E8" s="66">
        <f>IF(ACQ="SpaceX",R_M3*(1+$B$8),(1/R_M3)*(1+$B$8))</f>
        <v>2.66848910928379</v>
      </c>
      <c r="F8" s="66">
        <f>IF(ACQ="SpaceX",R_M4*(1+$B$8),(1/R_M4)*(1+$B$8))</f>
        <v>11.6526917418132</v>
      </c>
      <c r="G8" s="66">
        <f>IF(ACQ="SpaceX",R_M5*(1+$B$8),(1/R_M5)*(1+$B$8))</f>
        <v>3.74635097176817</v>
      </c>
    </row>
    <row r="9" spans="2:9">
      <c r="B9" s="65">
        <v>0.15</v>
      </c>
      <c r="C9" s="66">
        <f>IF(ACQ="SpaceX",R_M1*(1+$B$9),(1/R_M1)*(1+$B$9))</f>
        <v>2.90795385344069</v>
      </c>
      <c r="D9" s="66">
        <f>IF(ACQ="SpaceX",R_M2*(1+$B$9),(1/R_M2)*(1+$B$9))</f>
        <v>2.75541493001693</v>
      </c>
      <c r="E9" s="66">
        <f>IF(ACQ="SpaceX",R_M3*(1+$B$9),(1/R_M3)*(1+$B$9))</f>
        <v>2.78978406879669</v>
      </c>
      <c r="F9" s="66">
        <f>IF(ACQ="SpaceX",R_M4*(1+$B$9),(1/R_M4)*(1+$B$9))</f>
        <v>12.1823595482592</v>
      </c>
      <c r="G9" s="66">
        <f>IF(ACQ="SpaceX",R_M5*(1+$B$9),(1/R_M5)*(1+$B$9))</f>
        <v>3.91663965230308</v>
      </c>
    </row>
    <row r="10" spans="2:9">
      <c r="B10" s="65">
        <v>0.2</v>
      </c>
      <c r="C10" s="66">
        <f>IF(ACQ="SpaceX",R_M1*(1+$B$10),(1/R_M1)*(1+$B$10))</f>
        <v>3.03438662967724</v>
      </c>
      <c r="D10" s="66">
        <f>IF(ACQ="SpaceX",R_M2*(1+$B$10),(1/R_M2)*(1+$B$10))</f>
        <v>2.8752155791481</v>
      </c>
      <c r="E10" s="66">
        <f>IF(ACQ="SpaceX",R_M3*(1+$B$10),(1/R_M3)*(1+$B$10))</f>
        <v>2.91107902830959</v>
      </c>
      <c r="F10" s="66">
        <f>IF(ACQ="SpaceX",R_M4*(1+$B$10),(1/R_M4)*(1+$B$10))</f>
        <v>12.7120273547053</v>
      </c>
      <c r="G10" s="66">
        <f>IF(ACQ="SpaceX",R_M5*(1+$B$10),(1/R_M5)*(1+$B$10))</f>
        <v>4.086928332838</v>
      </c>
    </row>
    <row r="11" spans="2:9">
      <c r="B11" s="65">
        <v>0.25</v>
      </c>
      <c r="C11" s="66">
        <f>IF(ACQ="SpaceX",R_M1*(1+$B$11),(1/R_M1)*(1+$B$11))</f>
        <v>3.1608194059138</v>
      </c>
      <c r="D11" s="66">
        <f>IF(ACQ="SpaceX",R_M2*(1+$B$11),(1/R_M2)*(1+$B$11))</f>
        <v>2.99501622827927</v>
      </c>
      <c r="E11" s="66">
        <f>IF(ACQ="SpaceX",R_M3*(1+$B$11),(1/R_M3)*(1+$B$11))</f>
        <v>3.03237398782249</v>
      </c>
      <c r="F11" s="66">
        <f>IF(ACQ="SpaceX",R_M4*(1+$B$11),(1/R_M4)*(1+$B$11))</f>
        <v>13.2416951611513</v>
      </c>
      <c r="G11" s="66">
        <f>IF(ACQ="SpaceX",R_M5*(1+$B$11),(1/R_M5)*(1+$B$11))</f>
        <v>4.25721701337292</v>
      </c>
    </row>
    <row r="12" spans="2:9">
      <c r="B12" s="65">
        <v>0.3</v>
      </c>
      <c r="C12" s="66">
        <f>IF(ACQ="SpaceX",R_M1*(1+$B$12),(1/R_M1)*(1+$B$12))</f>
        <v>3.28725218215035</v>
      </c>
      <c r="D12" s="66">
        <f>IF(ACQ="SpaceX",R_M2*(1+$B$12),(1/R_M2)*(1+$B$12))</f>
        <v>3.11481687741044</v>
      </c>
      <c r="E12" s="66">
        <f>IF(ACQ="SpaceX",R_M3*(1+$B$12),(1/R_M3)*(1+$B$12))</f>
        <v>3.15366894733538</v>
      </c>
      <c r="F12" s="66">
        <f>IF(ACQ="SpaceX",R_M4*(1+$B$12),(1/R_M4)*(1+$B$12))</f>
        <v>13.7713629675974</v>
      </c>
      <c r="G12" s="66">
        <f>IF(ACQ="SpaceX",R_M5*(1+$B$12),(1/R_M5)*(1+$B$12))</f>
        <v>4.42750569390783</v>
      </c>
    </row>
    <row r="13" spans="2:9">
      <c r="B13" s="65">
        <v>0.35</v>
      </c>
      <c r="C13" s="66">
        <f>IF(ACQ="SpaceX",R_M1*(1+$B$13),(1/R_M1)*(1+$B$13))</f>
        <v>3.4136849583869</v>
      </c>
      <c r="D13" s="66">
        <f>IF(ACQ="SpaceX",R_M2*(1+$B$13),(1/R_M2)*(1+$B$13))</f>
        <v>3.23461752654161</v>
      </c>
      <c r="E13" s="66">
        <f>IF(ACQ="SpaceX",R_M3*(1+$B$13),(1/R_M3)*(1+$B$13))</f>
        <v>3.27496390684828</v>
      </c>
      <c r="F13" s="66">
        <f>IF(ACQ="SpaceX",R_M4*(1+$B$13),(1/R_M4)*(1+$B$13))</f>
        <v>14.3010307740434</v>
      </c>
      <c r="G13" s="66">
        <f>IF(ACQ="SpaceX",R_M5*(1+$B$13),(1/R_M5)*(1+$B$13))</f>
        <v>4.59779437444275</v>
      </c>
    </row>
    <row r="14" spans="2:9">
      <c r="B14" s="65">
        <v>0.4</v>
      </c>
      <c r="C14" s="66">
        <f>IF(ACQ="SpaceX",R_M1*(1+$B$14),(1/R_M1)*(1+$B$14))</f>
        <v>3.54011773462345</v>
      </c>
      <c r="D14" s="66">
        <f>IF(ACQ="SpaceX",R_M2*(1+$B$14),(1/R_M2)*(1+$B$14))</f>
        <v>3.35441817567278</v>
      </c>
      <c r="E14" s="66">
        <f>IF(ACQ="SpaceX",R_M3*(1+$B$14),(1/R_M3)*(1+$B$14))</f>
        <v>3.39625886636118</v>
      </c>
      <c r="F14" s="66">
        <f>IF(ACQ="SpaceX",R_M4*(1+$B$14),(1/R_M4)*(1+$B$14))</f>
        <v>14.8306985804895</v>
      </c>
      <c r="G14" s="66">
        <f>IF(ACQ="SpaceX",R_M5*(1+$B$14),(1/R_M5)*(1+$B$14))</f>
        <v>4.76808305497766</v>
      </c>
    </row>
    <row r="16" spans="2:9">
      <c r="B16" s="20" t="s">
        <v>570</v>
      </c>
      <c r="I16" s="13" t="str">
        <f>IF(ACQ="SpaceX","收购方：SpaceX；被收购方：特斯拉","收购方：特斯拉；被收购方：SpaceX")</f>
        <v>收购方：SpaceX；被收购方：特斯拉</v>
      </c>
    </row>
    <row r="17" spans="2:9" ht="32" customHeight="1">
      <c r="B17" s="21" t="s">
        <v>569</v>
      </c>
      <c r="C17" s="14" t="s">
        <v>534</v>
      </c>
      <c r="D17" s="14" t="s">
        <v>536</v>
      </c>
      <c r="E17" s="14" t="s">
        <v>538</v>
      </c>
      <c r="F17" s="14" t="s">
        <v>540</v>
      </c>
      <c r="G17" s="14" t="s">
        <v>542</v>
      </c>
    </row>
    <row r="18" spans="2:9">
      <c r="B18" s="67">
        <f>B6</f>
        <v>0</v>
      </c>
      <c r="C18" s="34">
        <f>IF(ACQ="SpaceX",(R_M1*(1+B$18))*N_T/(N_S_EX+(R_M1*(1+B$18))*N_T),N_T/(N_T+((1/R_M1)*(1+B$18))*N_S_EX))</f>
        <v>0.424329857746533</v>
      </c>
      <c r="D18" s="34">
        <f>IF(ACQ="SpaceX",(R_M2*(1+B$18))*N_T/(N_S_EX+(R_M2*(1+B$18))*N_T),N_T/(N_T+((1/R_M2)*(1+B$18))*N_S_EX))</f>
        <v>0.411224573838946</v>
      </c>
      <c r="E18" s="34">
        <f>IF(ACQ="SpaceX",(R_M3*(1+B$18))*N_T/(N_S_EX+(R_M3*(1+B$18))*N_T),N_T/(N_T+((1/R_M3)*(1+B$18))*N_S_EX))</f>
        <v>0.414229186069937</v>
      </c>
      <c r="F18" s="34">
        <f>IF(ACQ="SpaceX",(R_M4*(1+B$18))*N_T/(N_S_EX+(R_M4*(1+B$18))*N_T),N_T/(N_T+((1/R_M4)*(1+B$18))*N_S_EX))</f>
        <v>0.755380114628311</v>
      </c>
      <c r="G18" s="34">
        <f>IF(ACQ="SpaceX",(R_M5*(1+B$18))*N_T/(N_S_EX+(R_M5*(1+B$18))*N_T),N_T/(N_T+((1/R_M5)*(1+B$18))*N_S_EX))</f>
        <v>0.498190171928215</v>
      </c>
    </row>
    <row r="19" spans="2:9">
      <c r="B19" s="67">
        <f>B7</f>
        <v>0.05</v>
      </c>
      <c r="C19" s="34">
        <f>IF(ACQ="SpaceX",(R_M1*(1+B$19))*N_T/(N_S_EX+(R_M1*(1+B$19))*N_T),N_T/(N_T+((1/R_M1)*(1+B$19))*N_S_EX))</f>
        <v>0.436289810962755</v>
      </c>
      <c r="D19" s="34">
        <f>IF(ACQ="SpaceX",(R_M2*(1+B$19))*N_T/(N_S_EX+(R_M2*(1+B$19))*N_T),N_T/(N_T+((1/R_M2)*(1+B$19))*N_S_EX))</f>
        <v>0.423086621744697</v>
      </c>
      <c r="E19" s="34">
        <f>IF(ACQ="SpaceX",(R_M3*(1+B$19))*N_T/(N_S_EX+(R_M3*(1+B$19))*N_T),N_T/(N_T+((1/R_M3)*(1+B$19))*N_S_EX))</f>
        <v>0.426115178201511</v>
      </c>
      <c r="F19" s="34">
        <f>IF(ACQ="SpaceX",(R_M4*(1+B$19))*N_T/(N_S_EX+(R_M4*(1+B$19))*N_T),N_T/(N_T+((1/R_M4)*(1+B$19))*N_S_EX))</f>
        <v>0.764282914578585</v>
      </c>
      <c r="G19" s="34">
        <f>IF(ACQ="SpaceX",(R_M5*(1+B$19))*N_T/(N_S_EX+(R_M5*(1+B$19))*N_T),N_T/(N_T+((1/R_M5)*(1+B$19))*N_S_EX))</f>
        <v>0.510386210818747</v>
      </c>
    </row>
    <row r="20" spans="2:9">
      <c r="B20" s="67">
        <f>B8</f>
        <v>0.1</v>
      </c>
      <c r="C20" s="34">
        <f>IF(ACQ="SpaceX",(R_M1*(1+B$20))*N_T/(N_S_EX+(R_M1*(1+B$20))*N_T),N_T/(N_T+((1/R_M1)*(1+B$20))*N_S_EX))</f>
        <v>0.447762925665985</v>
      </c>
      <c r="D20" s="34">
        <f>IF(ACQ="SpaceX",(R_M2*(1+B$20))*N_T/(N_S_EX+(R_M2*(1+B$20))*N_T),N_T/(N_T+((1/R_M2)*(1+B$20))*N_S_EX))</f>
        <v>0.434480140174371</v>
      </c>
      <c r="E20" s="34">
        <f>IF(ACQ="SpaceX",(R_M3*(1+B$20))*N_T/(N_S_EX+(R_M3*(1+B$20))*N_T),N_T/(N_T+((1/R_M3)*(1+B$20))*N_S_EX))</f>
        <v>0.437528401320772</v>
      </c>
      <c r="F20" s="34">
        <f>IF(ACQ="SpaceX",(R_M4*(1+B$20))*N_T/(N_S_EX+(R_M4*(1+B$20))*N_T),N_T/(N_T+((1/R_M4)*(1+B$20))*N_S_EX))</f>
        <v>0.77256044624682</v>
      </c>
      <c r="G20" s="34">
        <f>IF(ACQ="SpaceX",(R_M5*(1+B$20))*N_T/(N_S_EX+(R_M5*(1+B$20))*N_T),N_T/(N_T+((1/R_M5)*(1+B$20))*N_S_EX))</f>
        <v>0.522003488359731</v>
      </c>
    </row>
    <row r="21" spans="2:9">
      <c r="B21" s="67">
        <f>B9</f>
        <v>0.15</v>
      </c>
      <c r="C21" s="34">
        <f>IF(ACQ="SpaceX",(R_M1*(1+B$21))*N_T/(N_S_EX+(R_M1*(1+B$21))*N_T),N_T/(N_T+((1/R_M1)*(1+B$21))*N_S_EX))</f>
        <v>0.458778334590421</v>
      </c>
      <c r="D21" s="34">
        <f>IF(ACQ="SpaceX",(R_M2*(1+B$21))*N_T/(N_S_EX+(R_M2*(1+B$21))*N_T),N_T/(N_T+((1/R_M2)*(1+B$21))*N_S_EX))</f>
        <v>0.445432350630473</v>
      </c>
      <c r="E21" s="34">
        <f>IF(ACQ="SpaceX",(R_M3*(1+B$21))*N_T/(N_S_EX+(R_M3*(1+B$21))*N_T),N_T/(N_T+((1/R_M3)*(1+B$21))*N_S_EX))</f>
        <v>0.448496512199864</v>
      </c>
      <c r="F21" s="34">
        <f>IF(ACQ="SpaceX",(R_M4*(1+B$21))*N_T/(N_S_EX+(R_M4*(1+B$21))*N_T),N_T/(N_T+((1/R_M4)*(1+B$21))*N_S_EX))</f>
        <v>0.78027634642223</v>
      </c>
      <c r="G21" s="34">
        <f>IF(ACQ="SpaceX",(R_M5*(1+B$21))*N_T/(N_S_EX+(R_M5*(1+B$21))*N_T),N_T/(N_T+((1/R_M5)*(1+B$21))*N_S_EX))</f>
        <v>0.533082247255624</v>
      </c>
    </row>
    <row r="22" spans="2:9">
      <c r="B22" s="67">
        <f>B10</f>
        <v>0.2</v>
      </c>
      <c r="C22" s="34">
        <f>IF(ACQ="SpaceX",(R_M1*(1+B$22))*N_T/(N_S_EX+(R_M1*(1+B$22))*N_T),N_T/(N_T+((1/R_M1)*(1+B$22))*N_S_EX))</f>
        <v>0.469362891499539</v>
      </c>
      <c r="D22" s="34">
        <f>IF(ACQ="SpaceX",(R_M2*(1+B$22))*N_T/(N_S_EX+(R_M2*(1+B$22))*N_T),N_T/(N_T+((1/R_M2)*(1+B$22))*N_S_EX))</f>
        <v>0.455968405924657</v>
      </c>
      <c r="E22" s="34">
        <f>IF(ACQ="SpaceX",(R_M3*(1+B$22))*N_T/(N_S_EX+(R_M3*(1+B$22))*N_T),N_T/(N_T+((1/R_M3)*(1+B$22))*N_S_EX))</f>
        <v>0.459045051660197</v>
      </c>
      <c r="F22" s="34">
        <f>IF(ACQ="SpaceX",(R_M4*(1+B$22))*N_T/(N_S_EX+(R_M4*(1+B$22))*N_T),N_T/(N_T+((1/R_M4)*(1+B$22))*N_S_EX))</f>
        <v>0.787485899714995</v>
      </c>
      <c r="G22" s="34">
        <f>IF(ACQ="SpaceX",(R_M5*(1+B$22))*N_T/(N_S_EX+(R_M5*(1+B$22))*N_T),N_T/(N_T+((1/R_M5)*(1+B$22))*N_S_EX))</f>
        <v>0.543659083825578</v>
      </c>
    </row>
    <row r="23" spans="2:9">
      <c r="B23" s="67">
        <f>B11</f>
        <v>0.25</v>
      </c>
      <c r="C23" s="34">
        <f>IF(ACQ="SpaceX",(R_M1*(1+B$23))*N_T/(N_S_EX+(R_M1*(1+B$23))*N_T),N_T/(N_T+((1/R_M1)*(1+B$23))*N_S_EX))</f>
        <v>0.479541389758244</v>
      </c>
      <c r="D23" s="34">
        <f>IF(ACQ="SpaceX",(R_M2*(1+B$23))*N_T/(N_S_EX+(R_M2*(1+B$23))*N_T),N_T/(N_T+((1/R_M2)*(1+B$23))*N_S_EX))</f>
        <v>0.466111583025879</v>
      </c>
      <c r="E23" s="34">
        <f>IF(ACQ="SpaceX",(R_M3*(1+B$23))*N_T/(N_S_EX+(R_M3*(1+B$23))*N_T),N_T/(N_T+((1/R_M3)*(1+B$23))*N_S_EX))</f>
        <v>0.469197643132268</v>
      </c>
      <c r="F23" s="34">
        <f>IF(ACQ="SpaceX",(R_M4*(1+B$23))*N_T/(N_S_EX+(R_M4*(1+B$23))*N_T),N_T/(N_T+((1/R_M4)*(1+B$23))*N_S_EX))</f>
        <v>0.794237365278793</v>
      </c>
      <c r="G23" s="34">
        <f>IF(ACQ="SpaceX",(R_M5*(1+B$23))*N_T/(N_S_EX+(R_M5*(1+B$23))*N_T),N_T/(N_T+((1/R_M5)*(1+B$23))*N_S_EX))</f>
        <v>0.553767351853266</v>
      </c>
    </row>
    <row r="24" spans="2:9">
      <c r="B24" s="67">
        <f>B12</f>
        <v>0.3</v>
      </c>
      <c r="C24" s="34">
        <f>IF(ACQ="SpaceX",(R_M1*(1+B$24))*N_T/(N_S_EX+(R_M1*(1+B$24))*N_T),N_T/(N_T+((1/R_M1)*(1+B$24))*N_S_EX))</f>
        <v>0.489336756223014</v>
      </c>
      <c r="D24" s="34">
        <f>IF(ACQ="SpaceX",(R_M2*(1+B$24))*N_T/(N_S_EX+(R_M2*(1+B$24))*N_T),N_T/(N_T+((1/R_M2)*(1+B$24))*N_S_EX))</f>
        <v>0.475883454730111</v>
      </c>
      <c r="E24" s="34">
        <f>IF(ACQ="SpaceX",(R_M3*(1+B$24))*N_T/(N_S_EX+(R_M3*(1+B$24))*N_T),N_T/(N_T+((1/R_M3)*(1+B$24))*N_S_EX))</f>
        <v>0.478976169268075</v>
      </c>
      <c r="F24" s="34">
        <f>IF(ACQ="SpaceX",(R_M4*(1+B$24))*N_T/(N_S_EX+(R_M4*(1+B$24))*N_T),N_T/(N_T+((1/R_M4)*(1+B$24))*N_S_EX))</f>
        <v>0.800573058424494</v>
      </c>
      <c r="G24" s="34">
        <f>IF(ACQ="SpaceX",(R_M5*(1+B$24))*N_T/(N_S_EX+(R_M5*(1+B$24))*N_T),N_T/(N_T+((1/R_M5)*(1+B$24))*N_S_EX))</f>
        <v>0.563437513926522</v>
      </c>
    </row>
    <row r="25" spans="2:9">
      <c r="B25" s="67">
        <f>B13</f>
        <v>0.35</v>
      </c>
      <c r="C25" s="34">
        <f>IF(ACQ="SpaceX",(R_M1*(1+B$25))*N_T/(N_S_EX+(R_M1*(1+B$25))*N_T),N_T/(N_T+((1/R_M1)*(1+B$25))*N_S_EX))</f>
        <v>0.49877022364169</v>
      </c>
      <c r="D25" s="34">
        <f>IF(ACQ="SpaceX",(R_M2*(1+B$25))*N_T/(N_S_EX+(R_M2*(1+B$25))*N_T),N_T/(N_T+((1/R_M2)*(1+B$25))*N_S_EX))</f>
        <v>0.485304042816273</v>
      </c>
      <c r="E25" s="34">
        <f>IF(ACQ="SpaceX",(R_M3*(1+B$25))*N_T/(N_S_EX+(R_M3*(1+B$25))*N_T),N_T/(N_T+((1/R_M3)*(1+B$25))*N_S_EX))</f>
        <v>0.488400929385159</v>
      </c>
      <c r="F25" s="34">
        <f>IF(ACQ="SpaceX",(R_M4*(1+B$25))*N_T/(N_S_EX+(R_M4*(1+B$25))*N_T),N_T/(N_T+((1/R_M4)*(1+B$25))*N_S_EX))</f>
        <v>0.806530238377375</v>
      </c>
      <c r="G25" s="34">
        <f>IF(ACQ="SpaceX",(R_M5*(1+B$25))*N_T/(N_S_EX+(R_M5*(1+B$25))*N_T),N_T/(N_T+((1/R_M5)*(1+B$25))*N_S_EX))</f>
        <v>0.572697448063354</v>
      </c>
    </row>
    <row r="26" spans="2:9">
      <c r="B26" s="67">
        <f>B14</f>
        <v>0.4</v>
      </c>
      <c r="C26" s="34">
        <f>IF(ACQ="SpaceX",(R_M1*(1+B$26))*N_T/(N_S_EX+(R_M1*(1+B$26))*N_T),N_T/(N_T+((1/R_M1)*(1+B$26))*N_S_EX))</f>
        <v>0.507861484291418</v>
      </c>
      <c r="D26" s="34">
        <f>IF(ACQ="SpaceX",(R_M2*(1+B$26))*N_T/(N_S_EX+(R_M2*(1+B$26))*N_T),N_T/(N_T+((1/R_M2)*(1+B$26))*N_S_EX))</f>
        <v>0.494391954976653</v>
      </c>
      <c r="E26" s="34">
        <f>IF(ACQ="SpaceX",(R_M3*(1+B$26))*N_T/(N_S_EX+(R_M3*(1+B$26))*N_T),N_T/(N_T+((1/R_M3)*(1+B$26))*N_S_EX))</f>
        <v>0.497490780126305</v>
      </c>
      <c r="F26" s="34">
        <f>IF(ACQ="SpaceX",(R_M4*(1+B$26))*N_T/(N_S_EX+(R_M4*(1+B$26))*N_T),N_T/(N_T+((1/R_M4)*(1+B$26))*N_S_EX))</f>
        <v>0.81214184153759</v>
      </c>
      <c r="G26" s="34">
        <f>IF(ACQ="SpaceX",(R_M5*(1+B$26))*N_T/(N_S_EX+(R_M5*(1+B$26))*N_T),N_T/(N_T+((1/R_M5)*(1+B$26))*N_S_EX))</f>
        <v>0.581572716125394</v>
      </c>
    </row>
    <row r="28" spans="2:9">
      <c r="B28" s="20" t="s">
        <v>571</v>
      </c>
      <c r="I28" s="13" t="str">
        <f>IF(ACQ="SpaceX","收购方：SpaceX；被收购方：特斯拉","收购方：特斯拉；被收购方：SpaceX")</f>
        <v>收购方：SpaceX；被收购方：特斯拉</v>
      </c>
    </row>
    <row r="29" spans="2:9" ht="32" customHeight="1">
      <c r="B29" s="21" t="s">
        <v>569</v>
      </c>
      <c r="C29" s="14" t="s">
        <v>534</v>
      </c>
      <c r="D29" s="14" t="s">
        <v>536</v>
      </c>
      <c r="E29" s="14" t="s">
        <v>538</v>
      </c>
      <c r="F29" s="14" t="s">
        <v>540</v>
      </c>
      <c r="G29" s="14" t="s">
        <v>542</v>
      </c>
    </row>
    <row r="30" spans="2:9">
      <c r="B30" s="67">
        <f>B6</f>
        <v>0</v>
      </c>
      <c r="C30" s="34">
        <f>IF(ACQ="SpaceX",(M_S_ALL+R_M1*(1+B$30)*M_T_ALL)/(N_S_EX+R_M1*(1+B$30)*N_T),(M_T_ALL+(1/R_M1)*(1+B$30)*M_S_ALL)/(N_T+(1/R_M1)*(1+B$30)*N_S_EX))</f>
        <v>0.378220483987015</v>
      </c>
      <c r="D30" s="34">
        <f>IF(ACQ="SpaceX",(M_S_ALL+R_M2*(1+B$30)*M_T_ALL)/(N_S_EX+R_M2*(1+B$30)*N_T),(M_T_ALL+(1/R_M2)*(1+B$30)*M_S_ALL)/(N_T+(1/R_M2)*(1+B$30)*N_S_EX))</f>
        <v>0.380361167648634</v>
      </c>
      <c r="E30" s="34">
        <f>IF(ACQ="SpaceX",(M_S_ALL+R_M3*(1+B$30)*M_T_ALL)/(N_S_EX+R_M3*(1+B$30)*N_T),(M_T_ALL+(1/R_M3)*(1+B$30)*M_S_ALL)/(N_T+(1/R_M3)*(1+B$30)*N_S_EX))</f>
        <v>0.379870379020342</v>
      </c>
      <c r="F30" s="34">
        <f>IF(ACQ="SpaceX",(M_S_ALL+R_M4*(1+B$30)*M_T_ALL)/(N_S_EX+R_M4*(1+B$30)*N_T),(M_T_ALL+(1/R_M4)*(1+B$30)*M_S_ALL)/(N_T+(1/R_M4)*(1+B$30)*N_S_EX))</f>
        <v>0.324145052956371</v>
      </c>
      <c r="G30" s="34">
        <f>IF(ACQ="SpaceX",(M_S_ALL+R_M5*(1+B$30)*M_T_ALL)/(N_S_EX+R_M5*(1+B$30)*N_T),(M_T_ALL+(1/R_M5)*(1+B$30)*M_S_ALL)/(N_T+(1/R_M5)*(1+B$30)*N_S_EX))</f>
        <v>0.366155764983158</v>
      </c>
    </row>
    <row r="31" spans="2:9">
      <c r="B31" s="67">
        <f>B7</f>
        <v>0.05</v>
      </c>
      <c r="C31" s="34">
        <f>IF(ACQ="SpaceX",(M_S_ALL+R_M1*(1+B$31)*M_T_ALL)/(N_S_EX+R_M1*(1+B$31)*N_T),(M_T_ALL+(1/R_M1)*(1+B$31)*M_S_ALL)/(N_T+(1/R_M1)*(1+B$31)*N_S_EX))</f>
        <v>0.376266884459966</v>
      </c>
      <c r="D31" s="34">
        <f>IF(ACQ="SpaceX",(M_S_ALL+R_M2*(1+B$31)*M_T_ALL)/(N_S_EX+R_M2*(1+B$31)*N_T),(M_T_ALL+(1/R_M2)*(1+B$31)*M_S_ALL)/(N_T+(1/R_M2)*(1+B$31)*N_S_EX))</f>
        <v>0.378423560472456</v>
      </c>
      <c r="E31" s="34">
        <f>IF(ACQ="SpaceX",(M_S_ALL+R_M3*(1+B$31)*M_T_ALL)/(N_S_EX+R_M3*(1+B$31)*N_T),(M_T_ALL+(1/R_M3)*(1+B$31)*M_S_ALL)/(N_T+(1/R_M3)*(1+B$31)*N_S_EX))</f>
        <v>0.377928860672657</v>
      </c>
      <c r="F31" s="34">
        <f>IF(ACQ="SpaceX",(M_S_ALL+R_M4*(1+B$31)*M_T_ALL)/(N_S_EX+R_M4*(1+B$31)*N_T),(M_T_ALL+(1/R_M4)*(1+B$31)*M_S_ALL)/(N_T+(1/R_M4)*(1+B$31)*N_S_EX))</f>
        <v>0.322690824377227</v>
      </c>
      <c r="G31" s="34">
        <f>IF(ACQ="SpaceX",(M_S_ALL+R_M5*(1+B$31)*M_T_ALL)/(N_S_EX+R_M5*(1+B$31)*N_T),(M_T_ALL+(1/R_M5)*(1+B$31)*M_S_ALL)/(N_T+(1/R_M5)*(1+B$31)*N_S_EX))</f>
        <v>0.364163602022513</v>
      </c>
    </row>
    <row r="32" spans="2:9">
      <c r="B32" s="67">
        <f>B8</f>
        <v>0.1</v>
      </c>
      <c r="C32" s="34">
        <f>IF(ACQ="SpaceX",(M_S_ALL+R_M1*(1+B$32)*M_T_ALL)/(N_S_EX+R_M1*(1+B$32)*N_T),(M_T_ALL+(1/R_M1)*(1+B$32)*M_S_ALL)/(N_T+(1/R_M1)*(1+B$32)*N_S_EX))</f>
        <v>0.374392807609264</v>
      </c>
      <c r="D32" s="34">
        <f>IF(ACQ="SpaceX",(M_S_ALL+R_M2*(1+B$32)*M_T_ALL)/(N_S_EX+R_M2*(1+B$32)*N_T),(M_T_ALL+(1/R_M2)*(1+B$32)*M_S_ALL)/(N_T+(1/R_M2)*(1+B$32)*N_S_EX))</f>
        <v>0.376562485281507</v>
      </c>
      <c r="E32" s="34">
        <f>IF(ACQ="SpaceX",(M_S_ALL+R_M3*(1+B$32)*M_T_ALL)/(N_S_EX+R_M3*(1+B$32)*N_T),(M_T_ALL+(1/R_M3)*(1+B$32)*M_S_ALL)/(N_T+(1/R_M3)*(1+B$32)*N_S_EX))</f>
        <v>0.376064566817591</v>
      </c>
      <c r="F32" s="34">
        <f>IF(ACQ="SpaceX",(M_S_ALL+R_M4*(1+B$32)*M_T_ALL)/(N_S_EX+R_M4*(1+B$32)*N_T),(M_T_ALL+(1/R_M4)*(1+B$32)*M_S_ALL)/(N_T+(1/R_M4)*(1+B$32)*N_S_EX))</f>
        <v>0.321338730296268</v>
      </c>
      <c r="G32" s="34">
        <f>IF(ACQ="SpaceX",(M_S_ALL+R_M5*(1+B$32)*M_T_ALL)/(N_S_EX+R_M5*(1+B$32)*N_T),(M_T_ALL+(1/R_M5)*(1+B$32)*M_S_ALL)/(N_T+(1/R_M5)*(1+B$32)*N_S_EX))</f>
        <v>0.362265976881398</v>
      </c>
    </row>
    <row r="33" spans="2:9">
      <c r="B33" s="67">
        <f>B9</f>
        <v>0.15</v>
      </c>
      <c r="C33" s="34">
        <f>IF(ACQ="SpaceX",(M_S_ALL+R_M1*(1+B$33)*M_T_ALL)/(N_S_EX+R_M1*(1+B$33)*N_T),(M_T_ALL+(1/R_M1)*(1+B$33)*M_S_ALL)/(N_T+(1/R_M1)*(1+B$33)*N_S_EX))</f>
        <v>0.37259349474608</v>
      </c>
      <c r="D33" s="34">
        <f>IF(ACQ="SpaceX",(M_S_ALL+R_M2*(1+B$33)*M_T_ALL)/(N_S_EX+R_M2*(1+B$33)*N_T),(M_T_ALL+(1/R_M2)*(1+B$33)*M_S_ALL)/(N_T+(1/R_M2)*(1+B$33)*N_S_EX))</f>
        <v>0.374773495577253</v>
      </c>
      <c r="E33" s="34">
        <f>IF(ACQ="SpaceX",(M_S_ALL+R_M3*(1+B$33)*M_T_ALL)/(N_S_EX+R_M3*(1+B$33)*N_T),(M_T_ALL+(1/R_M3)*(1+B$33)*M_S_ALL)/(N_T+(1/R_M3)*(1+B$33)*N_S_EX))</f>
        <v>0.374272979857455</v>
      </c>
      <c r="F33" s="34">
        <f>IF(ACQ="SpaceX",(M_S_ALL+R_M4*(1+B$33)*M_T_ALL)/(N_S_EX+R_M4*(1+B$33)*N_T),(M_T_ALL+(1/R_M4)*(1+B$33)*M_S_ALL)/(N_T+(1/R_M4)*(1+B$33)*N_S_EX))</f>
        <v>0.320078375957006</v>
      </c>
      <c r="G33" s="34">
        <f>IF(ACQ="SpaceX",(M_S_ALL+R_M5*(1+B$33)*M_T_ALL)/(N_S_EX+R_M5*(1+B$33)*N_T),(M_T_ALL+(1/R_M5)*(1+B$33)*M_S_ALL)/(N_T+(1/R_M5)*(1+B$33)*N_S_EX))</f>
        <v>0.360456316111994</v>
      </c>
    </row>
    <row r="34" spans="2:9">
      <c r="B34" s="67">
        <f>B10</f>
        <v>0.2</v>
      </c>
      <c r="C34" s="34">
        <f>IF(ACQ="SpaceX",(M_S_ALL+R_M1*(1+B$34)*M_T_ALL)/(N_S_EX+R_M1*(1+B$34)*N_T),(M_T_ALL+(1/R_M1)*(1+B$34)*M_S_ALL)/(N_T+(1/R_M1)*(1+B$34)*N_S_EX))</f>
        <v>0.370864559440244</v>
      </c>
      <c r="D34" s="34">
        <f>IF(ACQ="SpaceX",(M_S_ALL+R_M2*(1+B$34)*M_T_ALL)/(N_S_EX+R_M2*(1+B$34)*N_T),(M_T_ALL+(1/R_M2)*(1+B$34)*M_S_ALL)/(N_T+(1/R_M2)*(1+B$34)*N_S_EX))</f>
        <v>0.373052482771638</v>
      </c>
      <c r="E34" s="34">
        <f>IF(ACQ="SpaceX",(M_S_ALL+R_M3*(1+B$34)*M_T_ALL)/(N_S_EX+R_M3*(1+B$34)*N_T),(M_T_ALL+(1/R_M3)*(1+B$34)*M_S_ALL)/(N_T+(1/R_M3)*(1+B$34)*N_S_EX))</f>
        <v>0.372549927824709</v>
      </c>
      <c r="F34" s="34">
        <f>IF(ACQ="SpaceX",(M_S_ALL+R_M4*(1+B$34)*M_T_ALL)/(N_S_EX+R_M4*(1+B$34)*N_T),(M_T_ALL+(1/R_M4)*(1+B$34)*M_S_ALL)/(N_T+(1/R_M4)*(1+B$34)*N_S_EX))</f>
        <v>0.318900730890312</v>
      </c>
      <c r="G34" s="34">
        <f>IF(ACQ="SpaceX",(M_S_ALL+R_M5*(1+B$34)*M_T_ALL)/(N_S_EX+R_M5*(1+B$34)*N_T),(M_T_ALL+(1/R_M5)*(1+B$34)*M_S_ALL)/(N_T+(1/R_M5)*(1+B$34)*N_S_EX))</f>
        <v>0.358728641885585</v>
      </c>
    </row>
    <row r="35" spans="2:9">
      <c r="B35" s="67">
        <f>B11</f>
        <v>0.25</v>
      </c>
      <c r="C35" s="34">
        <f>IF(ACQ="SpaceX",(M_S_ALL+R_M1*(1+B$35)*M_T_ALL)/(N_S_EX+R_M1*(1+B$35)*N_T),(M_T_ALL+(1/R_M1)*(1+B$35)*M_S_ALL)/(N_T+(1/R_M1)*(1+B$35)*N_S_EX))</f>
        <v>0.369201951817557</v>
      </c>
      <c r="D35" s="34">
        <f>IF(ACQ="SpaceX",(M_S_ALL+R_M2*(1+B$35)*M_T_ALL)/(N_S_EX+R_M2*(1+B$35)*N_T),(M_T_ALL+(1/R_M2)*(1+B$35)*M_S_ALL)/(N_T+(1/R_M2)*(1+B$35)*N_S_EX))</f>
        <v>0.371395644686282</v>
      </c>
      <c r="E35" s="34">
        <f>IF(ACQ="SpaceX",(M_S_ALL+R_M3*(1+B$35)*M_T_ALL)/(N_S_EX+R_M3*(1+B$35)*N_T),(M_T_ALL+(1/R_M3)*(1+B$35)*M_S_ALL)/(N_T+(1/R_M3)*(1+B$35)*N_S_EX))</f>
        <v>0.370891551948184</v>
      </c>
      <c r="F35" s="34">
        <f>IF(ACQ="SpaceX",(M_S_ALL+R_M4*(1+B$35)*M_T_ALL)/(N_S_EX+R_M4*(1+B$35)*N_T),(M_T_ALL+(1/R_M4)*(1+B$35)*M_S_ALL)/(N_T+(1/R_M4)*(1+B$35)*N_S_EX))</f>
        <v>0.317797912200818</v>
      </c>
      <c r="G35" s="34">
        <f>IF(ACQ="SpaceX",(M_S_ALL+R_M5*(1+B$35)*M_T_ALL)/(N_S_EX+R_M5*(1+B$35)*N_T),(M_T_ALL+(1/R_M5)*(1+B$35)*M_S_ALL)/(N_T+(1/R_M5)*(1+B$35)*N_S_EX))</f>
        <v>0.357077506025673</v>
      </c>
    </row>
    <row r="36" spans="2:9">
      <c r="B36" s="67">
        <f>B12</f>
        <v>0.3</v>
      </c>
      <c r="C36" s="34">
        <f>IF(ACQ="SpaceX",(M_S_ALL+R_M1*(1+B$36)*M_T_ALL)/(N_S_EX+R_M1*(1+B$36)*N_T),(M_T_ALL+(1/R_M1)*(1+B$36)*M_S_ALL)/(N_T+(1/R_M1)*(1+B$36)*N_S_EX))</f>
        <v>0.36760192688879</v>
      </c>
      <c r="D36" s="34">
        <f>IF(ACQ="SpaceX",(M_S_ALL+R_M2*(1+B$36)*M_T_ALL)/(N_S_EX+R_M2*(1+B$36)*N_T),(M_T_ALL+(1/R_M2)*(1+B$36)*M_S_ALL)/(N_T+(1/R_M2)*(1+B$36)*N_S_EX))</f>
        <v>0.369799457511078</v>
      </c>
      <c r="E36" s="34">
        <f>IF(ACQ="SpaceX",(M_S_ALL+R_M3*(1+B$36)*M_T_ALL)/(N_S_EX+R_M3*(1+B$36)*N_T),(M_T_ALL+(1/R_M3)*(1+B$36)*M_S_ALL)/(N_T+(1/R_M3)*(1+B$36)*N_S_EX))</f>
        <v>0.369294277804316</v>
      </c>
      <c r="F36" s="34">
        <f>IF(ACQ="SpaceX",(M_S_ALL+R_M4*(1+B$36)*M_T_ALL)/(N_S_EX+R_M4*(1+B$36)*N_T),(M_T_ALL+(1/R_M4)*(1+B$36)*M_S_ALL)/(N_T+(1/R_M4)*(1+B$36)*N_S_EX))</f>
        <v>0.316763007890643</v>
      </c>
      <c r="G36" s="34">
        <f>IF(ACQ="SpaceX",(M_S_ALL+R_M5*(1+B$36)*M_T_ALL)/(N_S_EX+R_M5*(1+B$36)*N_T),(M_T_ALL+(1/R_M5)*(1+B$36)*M_S_ALL)/(N_T+(1/R_M5)*(1+B$36)*N_S_EX))</f>
        <v>0.355497932618382</v>
      </c>
    </row>
    <row r="37" spans="2:9">
      <c r="B37" s="67">
        <f>B13</f>
        <v>0.35</v>
      </c>
      <c r="C37" s="34">
        <f>IF(ACQ="SpaceX",(M_S_ALL+R_M1*(1+B$37)*M_T_ALL)/(N_S_EX+R_M1*(1+B$37)*N_T),(M_T_ALL+(1/R_M1)*(1+B$37)*M_S_ALL)/(N_T+(1/R_M1)*(1+B$37)*N_S_EX))</f>
        <v>0.366061016389027</v>
      </c>
      <c r="D37" s="34">
        <f>IF(ACQ="SpaceX",(M_S_ALL+R_M2*(1+B$37)*M_T_ALL)/(N_S_EX+R_M2*(1+B$37)*N_T),(M_T_ALL+(1/R_M2)*(1+B$37)*M_S_ALL)/(N_T+(1/R_M2)*(1+B$37)*N_S_EX))</f>
        <v>0.368260650786928</v>
      </c>
      <c r="E37" s="34">
        <f>IF(ACQ="SpaceX",(M_S_ALL+R_M3*(1+B$37)*M_T_ALL)/(N_S_EX+R_M3*(1+B$37)*N_T),(M_T_ALL+(1/R_M3)*(1+B$37)*M_S_ALL)/(N_T+(1/R_M3)*(1+B$37)*N_S_EX))</f>
        <v>0.367754789599436</v>
      </c>
      <c r="F37" s="34">
        <f>IF(ACQ="SpaceX",(M_S_ALL+R_M4*(1+B$37)*M_T_ALL)/(N_S_EX+R_M4*(1+B$37)*N_T),(M_T_ALL+(1/R_M4)*(1+B$37)*M_S_ALL)/(N_T+(1/R_M4)*(1+B$37)*N_S_EX))</f>
        <v>0.315789931848614</v>
      </c>
      <c r="G37" s="34">
        <f>IF(ACQ="SpaceX",(M_S_ALL+R_M5*(1+B$37)*M_T_ALL)/(N_S_EX+R_M5*(1+B$37)*N_T),(M_T_ALL+(1/R_M5)*(1+B$37)*M_S_ALL)/(N_T+(1/R_M5)*(1+B$37)*N_S_EX))</f>
        <v>0.3539853679266</v>
      </c>
    </row>
    <row r="38" spans="2:9">
      <c r="B38" s="67">
        <f>B14</f>
        <v>0.4</v>
      </c>
      <c r="C38" s="34">
        <f>IF(ACQ="SpaceX",(M_S_ALL+R_M1*(1+B$38)*M_T_ALL)/(N_S_EX+R_M1*(1+B$38)*N_T),(M_T_ALL+(1/R_M1)*(1+B$38)*M_S_ALL)/(N_T+(1/R_M1)*(1+B$38)*N_S_EX))</f>
        <v>0.364576003681662</v>
      </c>
      <c r="D38" s="34">
        <f>IF(ACQ="SpaceX",(M_S_ALL+R_M2*(1+B$38)*M_T_ALL)/(N_S_EX+R_M2*(1+B$38)*N_T),(M_T_ALL+(1/R_M2)*(1+B$38)*M_S_ALL)/(N_T+(1/R_M2)*(1+B$38)*N_S_EX))</f>
        <v>0.366776185038826</v>
      </c>
      <c r="E38" s="34">
        <f>IF(ACQ="SpaceX",(M_S_ALL+R_M3*(1+B$38)*M_T_ALL)/(N_S_EX+R_M3*(1+B$38)*N_T),(M_T_ALL+(1/R_M3)*(1+B$38)*M_S_ALL)/(N_T+(1/R_M3)*(1+B$38)*N_S_EX))</f>
        <v>0.366270007193703</v>
      </c>
      <c r="F38" s="34">
        <f>IF(ACQ="SpaceX",(M_S_ALL+R_M4*(1+B$38)*M_T_ALL)/(N_S_EX+R_M4*(1+B$38)*N_T),(M_T_ALL+(1/R_M4)*(1+B$38)*M_S_ALL)/(N_T+(1/R_M4)*(1+B$38)*N_S_EX))</f>
        <v>0.31487330407578</v>
      </c>
      <c r="G38" s="34">
        <f>IF(ACQ="SpaceX",(M_S_ALL+R_M5*(1+B$38)*M_T_ALL)/(N_S_EX+R_M5*(1+B$38)*N_T),(M_T_ALL+(1/R_M5)*(1+B$38)*M_S_ALL)/(N_T+(1/R_M5)*(1+B$38)*N_S_EX))</f>
        <v>0.35253563654597</v>
      </c>
    </row>
    <row r="40" spans="2:9">
      <c r="B40" s="20" t="s">
        <v>572</v>
      </c>
      <c r="I40" s="13" t="str">
        <f>IF(ACQ="SpaceX","收购方：SpaceX；被收购方：特斯拉","收购方：特斯拉；被收购方：SpaceX")</f>
        <v>收购方：SpaceX；被收购方：特斯拉</v>
      </c>
    </row>
    <row r="41" spans="2:9" ht="32" customHeight="1">
      <c r="B41" s="21" t="s">
        <v>569</v>
      </c>
      <c r="C41" s="14" t="s">
        <v>534</v>
      </c>
      <c r="D41" s="14" t="s">
        <v>536</v>
      </c>
      <c r="E41" s="14" t="s">
        <v>538</v>
      </c>
      <c r="F41" s="14" t="s">
        <v>540</v>
      </c>
      <c r="G41" s="14" t="s">
        <v>542</v>
      </c>
    </row>
    <row r="42" spans="2:9">
      <c r="B42" s="67">
        <f>B6</f>
        <v>0</v>
      </c>
      <c r="C42" s="34">
        <f>IF(ACQ="SpaceX",(M_S_ALL-M_S_RS+R_M1*(1+B$42)*M_T_BEN)/(N_S_EX-M_S_RS+R_M1*(1+B$42)*(N_T-M_T_RS25)),(M_T_BEN+(1/R_M1)*(1+B$42)*(M_S_ALL-M_S_RS))/(N_T-M_T_RS25+(1/R_M1)*(1+B$42)*(N_S_EX-M_S_RS)))</f>
        <v>0.308544906612871</v>
      </c>
      <c r="D42" s="34">
        <f>IF(ACQ="SpaceX",(M_S_ALL-M_S_RS+R_M2*(1+B$42)*M_T_BEN)/(N_S_EX-M_S_RS+R_M2*(1+B$42)*(N_T-M_T_RS25)),(M_T_BEN+(1/R_M2)*(1+B$42)*(M_S_ALL-M_S_RS))/(N_T-M_T_RS25+(1/R_M2)*(1+B$42)*(N_S_EX-M_S_RS)))</f>
        <v>0.31103771939542</v>
      </c>
      <c r="E42" s="34">
        <f>IF(ACQ="SpaceX",(M_S_ALL-M_S_RS+R_M3*(1+B$42)*M_T_BEN)/(N_S_EX-M_S_RS+R_M3*(1+B$42)*(N_T-M_T_RS25)),(M_T_BEN+(1/R_M3)*(1+B$42)*(M_S_ALL-M_S_RS))/(N_T-M_T_RS25+(1/R_M3)*(1+B$42)*(N_S_EX-M_S_RS)))</f>
        <v>0.310466270853287</v>
      </c>
      <c r="F42" s="34">
        <f>IF(ACQ="SpaceX",(M_S_ALL-M_S_RS+R_M4*(1+B$42)*M_T_BEN)/(N_S_EX-M_S_RS+R_M4*(1+B$42)*(N_T-M_T_RS25)),(M_T_BEN+(1/R_M4)*(1+B$42)*(M_S_ALL-M_S_RS))/(N_T-M_T_RS25+(1/R_M4)*(1+B$42)*(N_S_EX-M_S_RS)))</f>
        <v>0.245303872313311</v>
      </c>
      <c r="G42" s="34">
        <f>IF(ACQ="SpaceX",(M_S_ALL-M_S_RS+R_M5*(1+B$42)*M_T_BEN)/(N_S_EX-M_S_RS+R_M5*(1+B$42)*(N_T-M_T_RS25)),(M_T_BEN+(1/R_M5)*(1+B$42)*(M_S_ALL-M_S_RS))/(N_T-M_T_RS25+(1/R_M5)*(1+B$42)*(N_S_EX-M_S_RS)))</f>
        <v>0.294480413278793</v>
      </c>
    </row>
    <row r="43" spans="2:9">
      <c r="B43" s="67">
        <f>B7</f>
        <v>0.05</v>
      </c>
      <c r="C43" s="34">
        <f>IF(ACQ="SpaceX",(M_S_ALL-M_S_RS+R_M1*(1+B$43)*M_T_BEN)/(N_S_EX-M_S_RS+R_M1*(1+B$43)*(N_T-M_T_RS25)),(M_T_BEN+(1/R_M1)*(1+B$43)*(M_S_ALL-M_S_RS))/(N_T-M_T_RS25+(1/R_M1)*(1+B$43)*(N_S_EX-M_S_RS)))</f>
        <v>0.306269243141772</v>
      </c>
      <c r="D43" s="34">
        <f>IF(ACQ="SpaceX",(M_S_ALL-M_S_RS+R_M2*(1+B$43)*M_T_BEN)/(N_S_EX-M_S_RS+R_M2*(1+B$43)*(N_T-M_T_RS25)),(M_T_BEN+(1/R_M2)*(1+B$43)*(M_S_ALL-M_S_RS))/(N_T-M_T_RS25+(1/R_M2)*(1+B$43)*(N_S_EX-M_S_RS)))</f>
        <v>0.308781422787205</v>
      </c>
      <c r="E43" s="34">
        <f>IF(ACQ="SpaceX",(M_S_ALL-M_S_RS+R_M3*(1+B$43)*M_T_BEN)/(N_S_EX-M_S_RS+R_M3*(1+B$43)*(N_T-M_T_RS25)),(M_T_BEN+(1/R_M3)*(1+B$43)*(M_S_ALL-M_S_RS))/(N_T-M_T_RS25+(1/R_M3)*(1+B$43)*(N_S_EX-M_S_RS)))</f>
        <v>0.308205250214641</v>
      </c>
      <c r="F43" s="34">
        <f>IF(ACQ="SpaceX",(M_S_ALL-M_S_RS+R_M4*(1+B$43)*M_T_BEN)/(N_S_EX-M_S_RS+R_M4*(1+B$43)*(N_T-M_T_RS25)),(M_T_BEN+(1/R_M4)*(1+B$43)*(M_S_ALL-M_S_RS))/(N_T-M_T_RS25+(1/R_M4)*(1+B$43)*(N_S_EX-M_S_RS)))</f>
        <v>0.243595938750738</v>
      </c>
      <c r="G43" s="34">
        <f>IF(ACQ="SpaceX",(M_S_ALL-M_S_RS+R_M5*(1+B$43)*M_T_BEN)/(N_S_EX-M_S_RS+R_M5*(1+B$43)*(N_T-M_T_RS25)),(M_T_BEN+(1/R_M5)*(1+B$43)*(M_S_ALL-M_S_RS))/(N_T-M_T_RS25+(1/R_M5)*(1+B$43)*(N_S_EX-M_S_RS)))</f>
        <v>0.292155554296285</v>
      </c>
    </row>
    <row r="44" spans="2:9">
      <c r="B44" s="67">
        <f>B8</f>
        <v>0.1</v>
      </c>
      <c r="C44" s="34">
        <f>IF(ACQ="SpaceX",(M_S_ALL-M_S_RS+R_M1*(1+B$44)*M_T_BEN)/(N_S_EX-M_S_RS+R_M1*(1+B$44)*(N_T-M_T_RS25)),(M_T_BEN+(1/R_M1)*(1+B$44)*(M_S_ALL-M_S_RS))/(N_T-M_T_RS25+(1/R_M1)*(1+B$44)*(N_S_EX-M_S_RS)))</f>
        <v>0.304085576054339</v>
      </c>
      <c r="D44" s="34">
        <f>IF(ACQ="SpaceX",(M_S_ALL-M_S_RS+R_M2*(1+B$44)*M_T_BEN)/(N_S_EX-M_S_RS+R_M2*(1+B$44)*(N_T-M_T_RS25)),(M_T_BEN+(1/R_M2)*(1+B$44)*(M_S_ALL-M_S_RS))/(N_T-M_T_RS25+(1/R_M2)*(1+B$44)*(N_S_EX-M_S_RS)))</f>
        <v>0.306613619190847</v>
      </c>
      <c r="E44" s="34">
        <f>IF(ACQ="SpaceX",(M_S_ALL-M_S_RS+R_M3*(1+B$44)*M_T_BEN)/(N_S_EX-M_S_RS+R_M3*(1+B$44)*(N_T-M_T_RS25)),(M_T_BEN+(1/R_M3)*(1+B$44)*(M_S_ALL-M_S_RS))/(N_T-M_T_RS25+(1/R_M3)*(1+B$44)*(N_S_EX-M_S_RS)))</f>
        <v>0.306033533407557</v>
      </c>
      <c r="F44" s="34">
        <f>IF(ACQ="SpaceX",(M_S_ALL-M_S_RS+R_M4*(1+B$44)*M_T_BEN)/(N_S_EX-M_S_RS+R_M4*(1+B$44)*(N_T-M_T_RS25)),(M_T_BEN+(1/R_M4)*(1+B$44)*(M_S_ALL-M_S_RS))/(N_T-M_T_RS25+(1/R_M4)*(1+B$44)*(N_S_EX-M_S_RS)))</f>
        <v>0.242007617448936</v>
      </c>
      <c r="G44" s="34">
        <f>IF(ACQ="SpaceX",(M_S_ALL-M_S_RS+R_M5*(1+B$44)*M_T_BEN)/(N_S_EX-M_S_RS+R_M5*(1+B$44)*(N_T-M_T_RS25)),(M_T_BEN+(1/R_M5)*(1+B$44)*(M_S_ALL-M_S_RS))/(N_T-M_T_RS25+(1/R_M5)*(1+B$44)*(N_S_EX-M_S_RS)))</f>
        <v>0.289940364782401</v>
      </c>
    </row>
    <row r="45" spans="2:9">
      <c r="B45" s="67">
        <f>B9</f>
        <v>0.15</v>
      </c>
      <c r="C45" s="34">
        <f>IF(ACQ="SpaceX",(M_S_ALL-M_S_RS+R_M1*(1+B$45)*M_T_BEN)/(N_S_EX-M_S_RS+R_M1*(1+B$45)*(N_T-M_T_RS25)),(M_T_BEN+(1/R_M1)*(1+B$45)*(M_S_ALL-M_S_RS))/(N_T-M_T_RS25+(1/R_M1)*(1+B$45)*(N_S_EX-M_S_RS)))</f>
        <v>0.301988437283403</v>
      </c>
      <c r="D45" s="34">
        <f>IF(ACQ="SpaceX",(M_S_ALL-M_S_RS+R_M2*(1+B$45)*M_T_BEN)/(N_S_EX-M_S_RS+R_M2*(1+B$45)*(N_T-M_T_RS25)),(M_T_BEN+(1/R_M2)*(1+B$45)*(M_S_ALL-M_S_RS))/(N_T-M_T_RS25+(1/R_M2)*(1+B$45)*(N_S_EX-M_S_RS)))</f>
        <v>0.304529202629567</v>
      </c>
      <c r="E45" s="34">
        <f>IF(ACQ="SpaceX",(M_S_ALL-M_S_RS+R_M3*(1+B$45)*M_T_BEN)/(N_S_EX-M_S_RS+R_M3*(1+B$45)*(N_T-M_T_RS25)),(M_T_BEN+(1/R_M3)*(1+B$45)*(M_S_ALL-M_S_RS))/(N_T-M_T_RS25+(1/R_M3)*(1+B$45)*(N_S_EX-M_S_RS)))</f>
        <v>0.303945932027689</v>
      </c>
      <c r="F45" s="34">
        <f>IF(ACQ="SpaceX",(M_S_ALL-M_S_RS+R_M4*(1+B$45)*M_T_BEN)/(N_S_EX-M_S_RS+R_M4*(1+B$45)*(N_T-M_T_RS25)),(M_T_BEN+(1/R_M4)*(1+B$45)*(M_S_ALL-M_S_RS))/(N_T-M_T_RS25+(1/R_M4)*(1+B$45)*(N_S_EX-M_S_RS)))</f>
        <v>0.240526768249786</v>
      </c>
      <c r="G45" s="34">
        <f>IF(ACQ="SpaceX",(M_S_ALL-M_S_RS+R_M5*(1+B$45)*M_T_BEN)/(N_S_EX-M_S_RS+R_M5*(1+B$45)*(N_T-M_T_RS25)),(M_T_BEN+(1/R_M5)*(1+B$45)*(M_S_ALL-M_S_RS))/(N_T-M_T_RS25+(1/R_M5)*(1+B$45)*(N_S_EX-M_S_RS)))</f>
        <v>0.28782726347221</v>
      </c>
    </row>
    <row r="46" spans="2:9">
      <c r="B46" s="67">
        <f>B10</f>
        <v>0.2</v>
      </c>
      <c r="C46" s="34">
        <f>IF(ACQ="SpaceX",(M_S_ALL-M_S_RS+R_M1*(1+B$46)*M_T_BEN)/(N_S_EX-M_S_RS+R_M1*(1+B$46)*(N_T-M_T_RS25)),(M_T_BEN+(1/R_M1)*(1+B$46)*(M_S_ALL-M_S_RS))/(N_T-M_T_RS25+(1/R_M1)*(1+B$46)*(N_S_EX-M_S_RS)))</f>
        <v>0.299972783689733</v>
      </c>
      <c r="D46" s="34">
        <f>IF(ACQ="SpaceX",(M_S_ALL-M_S_RS+R_M2*(1+B$46)*M_T_BEN)/(N_S_EX-M_S_RS+R_M2*(1+B$46)*(N_T-M_T_RS25)),(M_T_BEN+(1/R_M2)*(1+B$46)*(M_S_ALL-M_S_RS))/(N_T-M_T_RS25+(1/R_M2)*(1+B$46)*(N_S_EX-M_S_RS)))</f>
        <v>0.302523452528552</v>
      </c>
      <c r="E46" s="34">
        <f>IF(ACQ="SpaceX",(M_S_ALL-M_S_RS+R_M3*(1+B$46)*M_T_BEN)/(N_S_EX-M_S_RS+R_M3*(1+B$46)*(N_T-M_T_RS25)),(M_T_BEN+(1/R_M3)*(1+B$46)*(M_S_ALL-M_S_RS))/(N_T-M_T_RS25+(1/R_M3)*(1+B$46)*(N_S_EX-M_S_RS)))</f>
        <v>0.301937651951903</v>
      </c>
      <c r="F46" s="34">
        <f>IF(ACQ="SpaceX",(M_S_ALL-M_S_RS+R_M4*(1+B$46)*M_T_BEN)/(N_S_EX-M_S_RS+R_M4*(1+B$46)*(N_T-M_T_RS25)),(M_T_BEN+(1/R_M4)*(1+B$46)*(M_S_ALL-M_S_RS))/(N_T-M_T_RS25+(1/R_M4)*(1+B$46)*(N_S_EX-M_S_RS)))</f>
        <v>0.239142840133714</v>
      </c>
      <c r="G46" s="34">
        <f>IF(ACQ="SpaceX",(M_S_ALL-M_S_RS+R_M5*(1+B$46)*M_T_BEN)/(N_S_EX-M_S_RS+R_M5*(1+B$46)*(N_T-M_T_RS25)),(M_T_BEN+(1/R_M5)*(1+B$46)*(M_S_ALL-M_S_RS))/(N_T-M_T_RS25+(1/R_M5)*(1+B$46)*(N_S_EX-M_S_RS)))</f>
        <v>0.285809352135145</v>
      </c>
    </row>
    <row r="47" spans="2:9">
      <c r="B47" s="67">
        <f>B11</f>
        <v>0.25</v>
      </c>
      <c r="C47" s="34">
        <f>IF(ACQ="SpaceX",(M_S_ALL-M_S_RS+R_M1*(1+B$47)*M_T_BEN)/(N_S_EX-M_S_RS+R_M1*(1+B$47)*(N_T-M_T_RS25)),(M_T_BEN+(1/R_M1)*(1+B$47)*(M_S_ALL-M_S_RS))/(N_T-M_T_RS25+(1/R_M1)*(1+B$47)*(N_S_EX-M_S_RS)))</f>
        <v>0.298033956571794</v>
      </c>
      <c r="D47" s="34">
        <f>IF(ACQ="SpaceX",(M_S_ALL-M_S_RS+R_M2*(1+B$47)*M_T_BEN)/(N_S_EX-M_S_RS+R_M2*(1+B$47)*(N_T-M_T_RS25)),(M_T_BEN+(1/R_M2)*(1+B$47)*(M_S_ALL-M_S_RS))/(N_T-M_T_RS25+(1/R_M2)*(1+B$47)*(N_S_EX-M_S_RS)))</f>
        <v>0.300591998025473</v>
      </c>
      <c r="E47" s="34">
        <f>IF(ACQ="SpaceX",(M_S_ALL-M_S_RS+R_M3*(1+B$47)*M_T_BEN)/(N_S_EX-M_S_RS+R_M3*(1+B$47)*(N_T-M_T_RS25)),(M_T_BEN+(1/R_M3)*(1+B$47)*(M_S_ALL-M_S_RS))/(N_T-M_T_RS25+(1/R_M3)*(1+B$47)*(N_S_EX-M_S_RS)))</f>
        <v>0.300004256583401</v>
      </c>
      <c r="F47" s="34">
        <f>IF(ACQ="SpaceX",(M_S_ALL-M_S_RS+R_M4*(1+B$47)*M_T_BEN)/(N_S_EX-M_S_RS+R_M4*(1+B$47)*(N_T-M_T_RS25)),(M_T_BEN+(1/R_M4)*(1+B$47)*(M_S_ALL-M_S_RS))/(N_T-M_T_RS25+(1/R_M4)*(1+B$47)*(N_S_EX-M_S_RS)))</f>
        <v>0.237846619437756</v>
      </c>
      <c r="G47" s="34">
        <f>IF(ACQ="SpaceX",(M_S_ALL-M_S_RS+R_M5*(1+B$47)*M_T_BEN)/(N_S_EX-M_S_RS+R_M5*(1+B$47)*(N_T-M_T_RS25)),(M_T_BEN+(1/R_M5)*(1+B$47)*(M_S_ALL-M_S_RS))/(N_T-M_T_RS25+(1/R_M5)*(1+B$47)*(N_S_EX-M_S_RS)))</f>
        <v>0.283880340346914</v>
      </c>
    </row>
    <row r="48" spans="2:9">
      <c r="B48" s="67">
        <f>B12</f>
        <v>0.3</v>
      </c>
      <c r="C48" s="34">
        <f>IF(ACQ="SpaceX",(M_S_ALL-M_S_RS+R_M1*(1+B$48)*M_T_BEN)/(N_S_EX-M_S_RS+R_M1*(1+B$48)*(N_T-M_T_RS25)),(M_T_BEN+(1/R_M1)*(1+B$48)*(M_S_ALL-M_S_RS))/(N_T-M_T_RS25+(1/R_M1)*(1+B$48)*(N_S_EX-M_S_RS)))</f>
        <v>0.296167645718776</v>
      </c>
      <c r="D48" s="34">
        <f>IF(ACQ="SpaceX",(M_S_ALL-M_S_RS+R_M2*(1+B$48)*M_T_BEN)/(N_S_EX-M_S_RS+R_M2*(1+B$48)*(N_T-M_T_RS25)),(M_T_BEN+(1/R_M2)*(1+B$48)*(M_S_ALL-M_S_RS))/(N_T-M_T_RS25+(1/R_M2)*(1+B$48)*(N_S_EX-M_S_RS)))</f>
        <v>0.298730786174851</v>
      </c>
      <c r="E48" s="34">
        <f>IF(ACQ="SpaceX",(M_S_ALL-M_S_RS+R_M3*(1+B$48)*M_T_BEN)/(N_S_EX-M_S_RS+R_M3*(1+B$48)*(N_T-M_T_RS25)),(M_T_BEN+(1/R_M3)*(1+B$48)*(M_S_ALL-M_S_RS))/(N_T-M_T_RS25+(1/R_M3)*(1+B$48)*(N_S_EX-M_S_RS)))</f>
        <v>0.298141634133135</v>
      </c>
      <c r="F48" s="34">
        <f>IF(ACQ="SpaceX",(M_S_ALL-M_S_RS+R_M4*(1+B$48)*M_T_BEN)/(N_S_EX-M_S_RS+R_M4*(1+B$48)*(N_T-M_T_RS25)),(M_T_BEN+(1/R_M4)*(1+B$48)*(M_S_ALL-M_S_RS))/(N_T-M_T_RS25+(1/R_M4)*(1+B$48)*(N_S_EX-M_S_RS)))</f>
        <v>0.236630024473869</v>
      </c>
      <c r="G48" s="34">
        <f>IF(ACQ="SpaceX",(M_S_ALL-M_S_RS+R_M5*(1+B$48)*M_T_BEN)/(N_S_EX-M_S_RS+R_M5*(1+B$48)*(N_T-M_T_RS25)),(M_T_BEN+(1/R_M5)*(1+B$48)*(M_S_ALL-M_S_RS))/(N_T-M_T_RS25+(1/R_M5)*(1+B$48)*(N_S_EX-M_S_RS)))</f>
        <v>0.282034479989686</v>
      </c>
    </row>
    <row r="49" spans="2:9">
      <c r="B49" s="67">
        <f>B13</f>
        <v>0.35</v>
      </c>
      <c r="C49" s="34">
        <f>IF(ACQ="SpaceX",(M_S_ALL-M_S_RS+R_M1*(1+B$49)*M_T_BEN)/(N_S_EX-M_S_RS+R_M1*(1+B$49)*(N_T-M_T_RS25)),(M_T_BEN+(1/R_M1)*(1+B$49)*(M_S_ALL-M_S_RS))/(N_T-M_T_RS25+(1/R_M1)*(1+B$49)*(N_S_EX-M_S_RS)))</f>
        <v>0.294369857423058</v>
      </c>
      <c r="D49" s="34">
        <f>IF(ACQ="SpaceX",(M_S_ALL-M_S_RS+R_M2*(1+B$49)*M_T_BEN)/(N_S_EX-M_S_RS+R_M2*(1+B$49)*(N_T-M_T_RS25)),(M_T_BEN+(1/R_M2)*(1+B$49)*(M_S_ALL-M_S_RS))/(N_T-M_T_RS25+(1/R_M2)*(1+B$49)*(N_S_EX-M_S_RS)))</f>
        <v>0.296936053559468</v>
      </c>
      <c r="E49" s="34">
        <f>IF(ACQ="SpaceX",(M_S_ALL-M_S_RS+R_M3*(1+B$49)*M_T_BEN)/(N_S_EX-M_S_RS+R_M3*(1+B$49)*(N_T-M_T_RS25)),(M_T_BEN+(1/R_M3)*(1+B$49)*(M_S_ALL-M_S_RS))/(N_T-M_T_RS25+(1/R_M3)*(1+B$49)*(N_S_EX-M_S_RS)))</f>
        <v>0.296345968429691</v>
      </c>
      <c r="F49" s="34">
        <f>IF(ACQ="SpaceX",(M_S_ALL-M_S_RS+R_M4*(1+B$49)*M_T_BEN)/(N_S_EX-M_S_RS+R_M4*(1+B$49)*(N_T-M_T_RS25)),(M_T_BEN+(1/R_M4)*(1+B$49)*(M_S_ALL-M_S_RS))/(N_T-M_T_RS25+(1/R_M4)*(1+B$49)*(N_S_EX-M_S_RS)))</f>
        <v>0.235485936868619</v>
      </c>
      <c r="G49" s="34">
        <f>IF(ACQ="SpaceX",(M_S_ALL-M_S_RS+R_M5*(1+B$49)*M_T_BEN)/(N_S_EX-M_S_RS+R_M5*(1+B$49)*(N_T-M_T_RS25)),(M_T_BEN+(1/R_M5)*(1+B$49)*(M_S_ALL-M_S_RS))/(N_T-M_T_RS25+(1/R_M5)*(1+B$49)*(N_S_EX-M_S_RS)))</f>
        <v>0.280266508043831</v>
      </c>
    </row>
    <row r="50" spans="2:9">
      <c r="B50" s="67">
        <f>B14</f>
        <v>0.4</v>
      </c>
      <c r="C50" s="34">
        <f>IF(ACQ="SpaceX",(M_S_ALL-M_S_RS+R_M1*(1+B$50)*M_T_BEN)/(N_S_EX-M_S_RS+R_M1*(1+B$50)*(N_T-M_T_RS25)),(M_T_BEN+(1/R_M1)*(1+B$50)*(M_S_ALL-M_S_RS))/(N_T-M_T_RS25+(1/R_M1)*(1+B$50)*(N_S_EX-M_S_RS)))</f>
        <v>0.292636885952472</v>
      </c>
      <c r="D50" s="34">
        <f>IF(ACQ="SpaceX",(M_S_ALL-M_S_RS+R_M2*(1+B$50)*M_T_BEN)/(N_S_EX-M_S_RS+R_M2*(1+B$50)*(N_T-M_T_RS25)),(M_T_BEN+(1/R_M2)*(1+B$50)*(M_S_ALL-M_S_RS))/(N_T-M_T_RS25+(1/R_M2)*(1+B$50)*(N_S_EX-M_S_RS)))</f>
        <v>0.29520430089038</v>
      </c>
      <c r="E50" s="34">
        <f>IF(ACQ="SpaceX",(M_S_ALL-M_S_RS+R_M3*(1+B$50)*M_T_BEN)/(N_S_EX-M_S_RS+R_M3*(1+B$50)*(N_T-M_T_RS25)),(M_T_BEN+(1/R_M3)*(1+B$50)*(M_S_ALL-M_S_RS))/(N_T-M_T_RS25+(1/R_M3)*(1+B$50)*(N_S_EX-M_S_RS)))</f>
        <v>0.294613712821522</v>
      </c>
      <c r="F50" s="34">
        <f>IF(ACQ="SpaceX",(M_S_ALL-M_S_RS+R_M4*(1+B$50)*M_T_BEN)/(N_S_EX-M_S_RS+R_M4*(1+B$50)*(N_T-M_T_RS25)),(M_T_BEN+(1/R_M4)*(1+B$50)*(M_S_ALL-M_S_RS))/(N_T-M_T_RS25+(1/R_M4)*(1+B$50)*(N_S_EX-M_S_RS)))</f>
        <v>0.234408062186022</v>
      </c>
      <c r="G50" s="34">
        <f>IF(ACQ="SpaceX",(M_S_ALL-M_S_RS+R_M5*(1+B$50)*M_T_BEN)/(N_S_EX-M_S_RS+R_M5*(1+B$50)*(N_T-M_T_RS25)),(M_T_BEN+(1/R_M5)*(1+B$50)*(M_S_ALL-M_S_RS))/(N_T-M_T_RS25+(1/R_M5)*(1+B$50)*(N_S_EX-M_S_RS)))</f>
        <v>0.27857159647194</v>
      </c>
    </row>
    <row r="52" spans="2:9">
      <c r="B52" s="20" t="s">
        <v>573</v>
      </c>
      <c r="I52" s="13" t="str">
        <f>IF(ACQ="SpaceX","收购方：SpaceX；被收购方：特斯拉","收购方：特斯拉；被收购方：SpaceX")</f>
        <v>收购方：SpaceX；被收购方：特斯拉</v>
      </c>
    </row>
    <row r="53" spans="2:9" ht="32" customHeight="1">
      <c r="B53" s="21" t="s">
        <v>569</v>
      </c>
      <c r="C53" s="14" t="s">
        <v>534</v>
      </c>
      <c r="D53" s="14" t="s">
        <v>536</v>
      </c>
      <c r="E53" s="14" t="s">
        <v>538</v>
      </c>
      <c r="F53" s="14" t="s">
        <v>540</v>
      </c>
      <c r="G53" s="14" t="s">
        <v>542</v>
      </c>
    </row>
    <row r="54" spans="2:9">
      <c r="B54" s="67">
        <f>B6</f>
        <v>0</v>
      </c>
      <c r="C54" s="59">
        <f>IF(ACQ="SpaceX",R_M1*(1+B$54)*N_T*PS_M1,(1/R_M1)*(1+B$54)*N_S_EX*PT_M1)/1000</f>
        <v>1477.18517199966</v>
      </c>
      <c r="D54" s="59">
        <f>IF(ACQ="SpaceX",R_M2*(1+B$54)*N_T*PS_M2,(1/R_M2)*(1+B$54)*N_S_EX*PT_M2)/1000</f>
        <v>1454.3865609721</v>
      </c>
      <c r="E54" s="59">
        <f>IF(ACQ="SpaceX",R_M3*(1+B$54)*N_T*PS_M3,(1/R_M3)*(1+B$54)*N_S_EX*PT_M3)/1000</f>
        <v>1527.62236339062</v>
      </c>
      <c r="F54" s="59">
        <f>IF(ACQ="SpaceX",R_M4*(1+B$54)*N_T*PS_M4,(1/R_M4)*(1+B$54)*N_S_EX*PT_M4)/1000</f>
        <v>2630.8623643842</v>
      </c>
      <c r="G54" s="59">
        <f>IF(ACQ="SpaceX",R_M5*(1+B$54)*N_T*PS_M5,(1/R_M5)*(1+B$54)*N_S_EX*PT_M5)/1000</f>
        <v>1734.48837030292</v>
      </c>
    </row>
    <row r="55" spans="2:9">
      <c r="B55" s="67">
        <f>B7</f>
        <v>0.05</v>
      </c>
      <c r="C55" s="59">
        <f>IF(ACQ="SpaceX",R_M1*(1+B$55)*N_T*PS_M1,(1/R_M1)*(1+B$55)*N_S_EX*PT_M1)/1000</f>
        <v>1551.04443059964</v>
      </c>
      <c r="D55" s="59">
        <f>IF(ACQ="SpaceX",R_M2*(1+B$55)*N_T*PS_M2,(1/R_M2)*(1+B$55)*N_S_EX*PT_M2)/1000</f>
        <v>1527.1058890207</v>
      </c>
      <c r="E55" s="59">
        <f>IF(ACQ="SpaceX",R_M3*(1+B$55)*N_T*PS_M3,(1/R_M3)*(1+B$55)*N_S_EX*PT_M3)/1000</f>
        <v>1604.00348156015</v>
      </c>
      <c r="F55" s="59">
        <f>IF(ACQ="SpaceX",R_M4*(1+B$55)*N_T*PS_M4,(1/R_M4)*(1+B$55)*N_S_EX*PT_M4)/1000</f>
        <v>2762.40548260341</v>
      </c>
      <c r="G55" s="59">
        <f>IF(ACQ="SpaceX",R_M5*(1+B$55)*N_T*PS_M5,(1/R_M5)*(1+B$55)*N_S_EX*PT_M5)/1000</f>
        <v>1821.21278881806</v>
      </c>
    </row>
    <row r="56" spans="2:9">
      <c r="B56" s="67">
        <f>B8</f>
        <v>0.1</v>
      </c>
      <c r="C56" s="59">
        <f>IF(ACQ="SpaceX",R_M1*(1+B$56)*N_T*PS_M1,(1/R_M1)*(1+B$56)*N_S_EX*PT_M1)/1000</f>
        <v>1624.90368919963</v>
      </c>
      <c r="D56" s="59">
        <f>IF(ACQ="SpaceX",R_M2*(1+B$56)*N_T*PS_M2,(1/R_M2)*(1+B$56)*N_S_EX*PT_M2)/1000</f>
        <v>1599.82521706931</v>
      </c>
      <c r="E56" s="59">
        <f>IF(ACQ="SpaceX",R_M3*(1+B$56)*N_T*PS_M3,(1/R_M3)*(1+B$56)*N_S_EX*PT_M3)/1000</f>
        <v>1680.38459972968</v>
      </c>
      <c r="F56" s="59">
        <f>IF(ACQ="SpaceX",R_M4*(1+B$56)*N_T*PS_M4,(1/R_M4)*(1+B$56)*N_S_EX*PT_M4)/1000</f>
        <v>2893.94860082262</v>
      </c>
      <c r="G56" s="59">
        <f>IF(ACQ="SpaceX",R_M5*(1+B$56)*N_T*PS_M5,(1/R_M5)*(1+B$56)*N_S_EX*PT_M5)/1000</f>
        <v>1907.93720733321</v>
      </c>
    </row>
    <row r="57" spans="2:9">
      <c r="B57" s="67">
        <f>B9</f>
        <v>0.15</v>
      </c>
      <c r="C57" s="59">
        <f>IF(ACQ="SpaceX",R_M1*(1+B$57)*N_T*PS_M1,(1/R_M1)*(1+B$57)*N_S_EX*PT_M1)/1000</f>
        <v>1698.76294779961</v>
      </c>
      <c r="D57" s="59">
        <f>IF(ACQ="SpaceX",R_M2*(1+B$57)*N_T*PS_M2,(1/R_M2)*(1+B$57)*N_S_EX*PT_M2)/1000</f>
        <v>1672.54454511791</v>
      </c>
      <c r="E57" s="59">
        <f>IF(ACQ="SpaceX",R_M3*(1+B$57)*N_T*PS_M3,(1/R_M3)*(1+B$57)*N_S_EX*PT_M3)/1000</f>
        <v>1756.76571789921</v>
      </c>
      <c r="F57" s="59">
        <f>IF(ACQ="SpaceX",R_M4*(1+B$57)*N_T*PS_M4,(1/R_M4)*(1+B$57)*N_S_EX*PT_M4)/1000</f>
        <v>3025.49171904183</v>
      </c>
      <c r="G57" s="59">
        <f>IF(ACQ="SpaceX",R_M5*(1+B$57)*N_T*PS_M5,(1/R_M5)*(1+B$57)*N_S_EX*PT_M5)/1000</f>
        <v>1994.66162584835</v>
      </c>
    </row>
    <row r="58" spans="2:9">
      <c r="B58" s="67">
        <f>B10</f>
        <v>0.2</v>
      </c>
      <c r="C58" s="59">
        <f>IF(ACQ="SpaceX",R_M1*(1+B$58)*N_T*PS_M1,(1/R_M1)*(1+B$58)*N_S_EX*PT_M1)/1000</f>
        <v>1772.62220639959</v>
      </c>
      <c r="D58" s="59">
        <f>IF(ACQ="SpaceX",R_M2*(1+B$58)*N_T*PS_M2,(1/R_M2)*(1+B$58)*N_S_EX*PT_M2)/1000</f>
        <v>1745.26387316652</v>
      </c>
      <c r="E58" s="59">
        <f>IF(ACQ="SpaceX",R_M3*(1+B$58)*N_T*PS_M3,(1/R_M3)*(1+B$58)*N_S_EX*PT_M3)/1000</f>
        <v>1833.14683606874</v>
      </c>
      <c r="F58" s="59">
        <f>IF(ACQ="SpaceX",R_M4*(1+B$58)*N_T*PS_M4,(1/R_M4)*(1+B$58)*N_S_EX*PT_M4)/1000</f>
        <v>3157.03483726104</v>
      </c>
      <c r="G58" s="59">
        <f>IF(ACQ="SpaceX",R_M5*(1+B$58)*N_T*PS_M5,(1/R_M5)*(1+B$58)*N_S_EX*PT_M5)/1000</f>
        <v>2081.3860443635</v>
      </c>
    </row>
    <row r="59" spans="2:9">
      <c r="B59" s="67">
        <f>B11</f>
        <v>0.25</v>
      </c>
      <c r="C59" s="59">
        <f>IF(ACQ="SpaceX",R_M1*(1+B$59)*N_T*PS_M1,(1/R_M1)*(1+B$59)*N_S_EX*PT_M1)/1000</f>
        <v>1846.48146499958</v>
      </c>
      <c r="D59" s="59">
        <f>IF(ACQ="SpaceX",R_M2*(1+B$59)*N_T*PS_M2,(1/R_M2)*(1+B$59)*N_S_EX*PT_M2)/1000</f>
        <v>1817.98320121512</v>
      </c>
      <c r="E59" s="59">
        <f>IF(ACQ="SpaceX",R_M3*(1+B$59)*N_T*PS_M3,(1/R_M3)*(1+B$59)*N_S_EX*PT_M3)/1000</f>
        <v>1909.52795423828</v>
      </c>
      <c r="F59" s="59">
        <f>IF(ACQ="SpaceX",R_M4*(1+B$59)*N_T*PS_M4,(1/R_M4)*(1+B$59)*N_S_EX*PT_M4)/1000</f>
        <v>3288.57795548025</v>
      </c>
      <c r="G59" s="59">
        <f>IF(ACQ="SpaceX",R_M5*(1+B$59)*N_T*PS_M5,(1/R_M5)*(1+B$59)*N_S_EX*PT_M5)/1000</f>
        <v>2168.11046287864</v>
      </c>
    </row>
    <row r="60" spans="2:9">
      <c r="B60" s="67">
        <f>B12</f>
        <v>0.3</v>
      </c>
      <c r="C60" s="59">
        <f>IF(ACQ="SpaceX",R_M1*(1+B$60)*N_T*PS_M1,(1/R_M1)*(1+B$60)*N_S_EX*PT_M1)/1000</f>
        <v>1920.34072359956</v>
      </c>
      <c r="D60" s="59">
        <f>IF(ACQ="SpaceX",R_M2*(1+B$60)*N_T*PS_M2,(1/R_M2)*(1+B$60)*N_S_EX*PT_M2)/1000</f>
        <v>1890.70252926373</v>
      </c>
      <c r="E60" s="59">
        <f>IF(ACQ="SpaceX",R_M3*(1+B$60)*N_T*PS_M3,(1/R_M3)*(1+B$60)*N_S_EX*PT_M3)/1000</f>
        <v>1985.90907240781</v>
      </c>
      <c r="F60" s="59">
        <f>IF(ACQ="SpaceX",R_M4*(1+B$60)*N_T*PS_M4,(1/R_M4)*(1+B$60)*N_S_EX*PT_M4)/1000</f>
        <v>3420.12107369946</v>
      </c>
      <c r="G60" s="59">
        <f>IF(ACQ="SpaceX",R_M5*(1+B$60)*N_T*PS_M5,(1/R_M5)*(1+B$60)*N_S_EX*PT_M5)/1000</f>
        <v>2254.83488139379</v>
      </c>
    </row>
    <row r="61" spans="2:9">
      <c r="B61" s="67">
        <f>B13</f>
        <v>0.35</v>
      </c>
      <c r="C61" s="59">
        <f>IF(ACQ="SpaceX",R_M1*(1+B$61)*N_T*PS_M1,(1/R_M1)*(1+B$61)*N_S_EX*PT_M1)/1000</f>
        <v>1994.19998219954</v>
      </c>
      <c r="D61" s="59">
        <f>IF(ACQ="SpaceX",R_M2*(1+B$61)*N_T*PS_M2,(1/R_M2)*(1+B$61)*N_S_EX*PT_M2)/1000</f>
        <v>1963.42185731233</v>
      </c>
      <c r="E61" s="59">
        <f>IF(ACQ="SpaceX",R_M3*(1+B$61)*N_T*PS_M3,(1/R_M3)*(1+B$61)*N_S_EX*PT_M3)/1000</f>
        <v>2062.29019057734</v>
      </c>
      <c r="F61" s="59">
        <f>IF(ACQ="SpaceX",R_M4*(1+B$61)*N_T*PS_M4,(1/R_M4)*(1+B$61)*N_S_EX*PT_M4)/1000</f>
        <v>3551.66419191867</v>
      </c>
      <c r="G61" s="59">
        <f>IF(ACQ="SpaceX",R_M5*(1+B$61)*N_T*PS_M5,(1/R_M5)*(1+B$61)*N_S_EX*PT_M5)/1000</f>
        <v>2341.55929990894</v>
      </c>
    </row>
    <row r="62" spans="2:9">
      <c r="B62" s="67">
        <f>B14</f>
        <v>0.4</v>
      </c>
      <c r="C62" s="59">
        <f>IF(ACQ="SpaceX",R_M1*(1+B$62)*N_T*PS_M1,(1/R_M1)*(1+B$62)*N_S_EX*PT_M1)/1000</f>
        <v>2068.05924079952</v>
      </c>
      <c r="D62" s="59">
        <f>IF(ACQ="SpaceX",R_M2*(1+B$62)*N_T*PS_M2,(1/R_M2)*(1+B$62)*N_S_EX*PT_M2)/1000</f>
        <v>2036.14118536094</v>
      </c>
      <c r="E62" s="59">
        <f>IF(ACQ="SpaceX",R_M3*(1+B$62)*N_T*PS_M3,(1/R_M3)*(1+B$62)*N_S_EX*PT_M3)/1000</f>
        <v>2138.67130874687</v>
      </c>
      <c r="F62" s="59">
        <f>IF(ACQ="SpaceX",R_M4*(1+B$62)*N_T*PS_M4,(1/R_M4)*(1+B$62)*N_S_EX*PT_M4)/1000</f>
        <v>3683.20731013788</v>
      </c>
      <c r="G62" s="59">
        <f>IF(ACQ="SpaceX",R_M5*(1+B$62)*N_T*PS_M5,(1/R_M5)*(1+B$62)*N_S_EX*PT_M5)/1000</f>
        <v>2428.28371842408</v>
      </c>
    </row>
    <row r="64" spans="2:9">
      <c r="B64" s="13" t="s">
        <v>574</v>
      </c>
    </row>
  </sheetData>
  <pageMargins left="0.3" right="0.3" top="0.4" bottom="0.4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B1:E139"/>
  <sheetViews>
    <sheetView showGridLines="0" zoomScale="90" zoomScaleNormal="90" workbookViewId="0"/>
  </sheetViews>
  <sheetFormatPr defaultRowHeight="15"/>
  <cols>
    <col min="1" max="1" width="2.7109375" customWidth="1"/>
    <col min="2" max="2" width="6.7109375" customWidth="1"/>
    <col min="3" max="3" width="52.7109375" customWidth="1"/>
    <col min="4" max="5" width="14.7109375" customWidth="1"/>
  </cols>
  <sheetData>
    <row r="1" spans="2:5">
      <c r="B1" s="12" t="s">
        <v>774</v>
      </c>
    </row>
    <row r="2" spans="2:5">
      <c r="B2" s="13" t="s">
        <v>775</v>
      </c>
    </row>
    <row r="4" spans="2:5">
      <c r="B4" s="21" t="s">
        <v>578</v>
      </c>
      <c r="C4" s="14" t="s">
        <v>776</v>
      </c>
      <c r="D4" s="14" t="s">
        <v>777</v>
      </c>
      <c r="E4" s="14" t="s">
        <v>778</v>
      </c>
    </row>
    <row r="5" spans="2:5">
      <c r="B5" s="15">
        <v>1</v>
      </c>
      <c r="C5" s="15" t="s">
        <v>779</v>
      </c>
      <c r="D5" s="68">
        <f>'SpaceX财务'!$C$25</f>
        <v>0</v>
      </c>
      <c r="E5" s="61" t="str">
        <f>IF(ABS(D5)&lt;0.5,"通过","差异")</f>
        <v>通过</v>
      </c>
    </row>
    <row r="6" spans="2:5">
      <c r="B6" s="15">
        <v>2</v>
      </c>
      <c r="C6" s="15" t="s">
        <v>780</v>
      </c>
      <c r="D6" s="68">
        <f>'SpaceX财务'!$D$25</f>
        <v>0</v>
      </c>
      <c r="E6" s="61" t="str">
        <f>IF(ABS(D6)&lt;0.5,"通过","差异")</f>
        <v>通过</v>
      </c>
    </row>
    <row r="7" spans="2:5">
      <c r="B7" s="15">
        <v>3</v>
      </c>
      <c r="C7" s="15" t="s">
        <v>781</v>
      </c>
      <c r="D7" s="68">
        <f>'SpaceX财务'!$E$25</f>
        <v>0</v>
      </c>
      <c r="E7" s="61" t="str">
        <f>IF(ABS(D7)&lt;0.5,"通过","差异")</f>
        <v>通过</v>
      </c>
    </row>
    <row r="8" spans="2:5">
      <c r="B8" s="15">
        <v>4</v>
      </c>
      <c r="C8" s="15" t="s">
        <v>782</v>
      </c>
      <c r="D8" s="68">
        <f>'SpaceX财务'!$F$25</f>
        <v>0</v>
      </c>
      <c r="E8" s="61" t="str">
        <f>IF(ABS(D8)&lt;0.5,"通过","差异")</f>
        <v>通过</v>
      </c>
    </row>
    <row r="9" spans="2:5">
      <c r="B9" s="15">
        <v>5</v>
      </c>
      <c r="C9" s="15" t="s">
        <v>783</v>
      </c>
      <c r="D9" s="68">
        <f>'SpaceX财务'!$G$25</f>
        <v>0</v>
      </c>
      <c r="E9" s="61" t="str">
        <f>IF(ABS(D9)&lt;0.5,"通过","差异")</f>
        <v>通过</v>
      </c>
    </row>
    <row r="10" spans="2:5">
      <c r="B10" s="15">
        <v>6</v>
      </c>
      <c r="C10" s="15" t="s">
        <v>784</v>
      </c>
      <c r="D10" s="68">
        <f>'SpaceX财务'!$H$25</f>
        <v>0</v>
      </c>
      <c r="E10" s="61" t="str">
        <f>IF(ABS(D10)&lt;0.5,"通过","差异")</f>
        <v>通过</v>
      </c>
    </row>
    <row r="11" spans="2:5">
      <c r="B11" s="15">
        <v>7</v>
      </c>
      <c r="C11" s="15" t="s">
        <v>785</v>
      </c>
      <c r="D11" s="68">
        <f>'SpaceX财务'!$I$25</f>
        <v>0</v>
      </c>
      <c r="E11" s="61" t="str">
        <f>IF(ABS(D11)&lt;0.5,"通过","差异")</f>
        <v>通过</v>
      </c>
    </row>
    <row r="12" spans="2:5">
      <c r="B12" s="15">
        <v>8</v>
      </c>
      <c r="C12" s="15" t="s">
        <v>786</v>
      </c>
      <c r="D12" s="68">
        <f>'SpaceX财务'!$C$26</f>
        <v>0</v>
      </c>
      <c r="E12" s="61" t="str">
        <f>IF(ABS(D12)&lt;0.5,"通过","差异")</f>
        <v>通过</v>
      </c>
    </row>
    <row r="13" spans="2:5">
      <c r="B13" s="15">
        <v>9</v>
      </c>
      <c r="C13" s="15" t="s">
        <v>787</v>
      </c>
      <c r="D13" s="68">
        <f>'SpaceX财务'!$D$26</f>
        <v>0</v>
      </c>
      <c r="E13" s="61" t="str">
        <f>IF(ABS(D13)&lt;0.5,"通过","差异")</f>
        <v>通过</v>
      </c>
    </row>
    <row r="14" spans="2:5">
      <c r="B14" s="15">
        <v>10</v>
      </c>
      <c r="C14" s="15" t="s">
        <v>788</v>
      </c>
      <c r="D14" s="68">
        <f>'SpaceX财务'!$E$26</f>
        <v>0</v>
      </c>
      <c r="E14" s="61" t="str">
        <f>IF(ABS(D14)&lt;0.5,"通过","差异")</f>
        <v>通过</v>
      </c>
    </row>
    <row r="15" spans="2:5">
      <c r="B15" s="15">
        <v>11</v>
      </c>
      <c r="C15" s="15" t="s">
        <v>789</v>
      </c>
      <c r="D15" s="68">
        <f>'SpaceX财务'!$F$26</f>
        <v>0</v>
      </c>
      <c r="E15" s="61" t="str">
        <f>IF(ABS(D15)&lt;0.5,"通过","差异")</f>
        <v>通过</v>
      </c>
    </row>
    <row r="16" spans="2:5">
      <c r="B16" s="15">
        <v>12</v>
      </c>
      <c r="C16" s="15" t="s">
        <v>790</v>
      </c>
      <c r="D16" s="68">
        <f>'SpaceX财务'!$G$26</f>
        <v>0</v>
      </c>
      <c r="E16" s="61" t="str">
        <f>IF(ABS(D16)&lt;0.5,"通过","差异")</f>
        <v>通过</v>
      </c>
    </row>
    <row r="17" spans="2:5">
      <c r="B17" s="15">
        <v>13</v>
      </c>
      <c r="C17" s="15" t="s">
        <v>791</v>
      </c>
      <c r="D17" s="68">
        <f>'SpaceX财务'!$H$26</f>
        <v>0</v>
      </c>
      <c r="E17" s="61" t="str">
        <f>IF(ABS(D17)&lt;0.5,"通过","差异")</f>
        <v>通过</v>
      </c>
    </row>
    <row r="18" spans="2:5">
      <c r="B18" s="15">
        <v>14</v>
      </c>
      <c r="C18" s="15" t="s">
        <v>792</v>
      </c>
      <c r="D18" s="68">
        <f>'SpaceX财务'!$I$26</f>
        <v>0</v>
      </c>
      <c r="E18" s="61" t="str">
        <f>IF(ABS(D18)&lt;0.5,"通过","差异")</f>
        <v>通过</v>
      </c>
    </row>
    <row r="19" spans="2:5">
      <c r="B19" s="15">
        <v>15</v>
      </c>
      <c r="C19" s="15" t="s">
        <v>793</v>
      </c>
      <c r="D19" s="68">
        <f>'SpaceX财务'!$C$27</f>
        <v>0</v>
      </c>
      <c r="E19" s="61" t="str">
        <f>IF(ABS(D19)&lt;0.5,"通过","差异")</f>
        <v>通过</v>
      </c>
    </row>
    <row r="20" spans="2:5">
      <c r="B20" s="15">
        <v>16</v>
      </c>
      <c r="C20" s="15" t="s">
        <v>794</v>
      </c>
      <c r="D20" s="68">
        <f>'SpaceX财务'!$D$27</f>
        <v>0</v>
      </c>
      <c r="E20" s="61" t="str">
        <f>IF(ABS(D20)&lt;0.5,"通过","差异")</f>
        <v>通过</v>
      </c>
    </row>
    <row r="21" spans="2:5">
      <c r="B21" s="15">
        <v>17</v>
      </c>
      <c r="C21" s="15" t="s">
        <v>795</v>
      </c>
      <c r="D21" s="68">
        <f>'SpaceX财务'!$E$27</f>
        <v>0</v>
      </c>
      <c r="E21" s="61" t="str">
        <f>IF(ABS(D21)&lt;0.5,"通过","差异")</f>
        <v>通过</v>
      </c>
    </row>
    <row r="22" spans="2:5">
      <c r="B22" s="15">
        <v>18</v>
      </c>
      <c r="C22" s="15" t="s">
        <v>796</v>
      </c>
      <c r="D22" s="68">
        <f>'SpaceX财务'!$F$27</f>
        <v>0</v>
      </c>
      <c r="E22" s="61" t="str">
        <f>IF(ABS(D22)&lt;0.5,"通过","差异")</f>
        <v>通过</v>
      </c>
    </row>
    <row r="23" spans="2:5">
      <c r="B23" s="15">
        <v>19</v>
      </c>
      <c r="C23" s="15" t="s">
        <v>797</v>
      </c>
      <c r="D23" s="68">
        <f>'SpaceX财务'!$G$27</f>
        <v>0</v>
      </c>
      <c r="E23" s="61" t="str">
        <f>IF(ABS(D23)&lt;0.5,"通过","差异")</f>
        <v>通过</v>
      </c>
    </row>
    <row r="24" spans="2:5">
      <c r="B24" s="15">
        <v>20</v>
      </c>
      <c r="C24" s="15" t="s">
        <v>798</v>
      </c>
      <c r="D24" s="68">
        <f>'SpaceX财务'!$H$27</f>
        <v>0</v>
      </c>
      <c r="E24" s="61" t="str">
        <f>IF(ABS(D24)&lt;0.5,"通过","差异")</f>
        <v>通过</v>
      </c>
    </row>
    <row r="25" spans="2:5">
      <c r="B25" s="15">
        <v>21</v>
      </c>
      <c r="C25" s="15" t="s">
        <v>799</v>
      </c>
      <c r="D25" s="68">
        <f>'SpaceX财务'!$I$27</f>
        <v>0</v>
      </c>
      <c r="E25" s="61" t="str">
        <f>IF(ABS(D25)&lt;0.5,"通过","差异")</f>
        <v>通过</v>
      </c>
    </row>
    <row r="26" spans="2:5">
      <c r="B26" s="15">
        <v>22</v>
      </c>
      <c r="C26" s="15" t="s">
        <v>800</v>
      </c>
      <c r="D26" s="68">
        <f>'SpaceX财务'!$F$28</f>
        <v>0</v>
      </c>
      <c r="E26" s="61" t="str">
        <f>IF(ABS(D26)&lt;0.5,"通过","差异")</f>
        <v>通过</v>
      </c>
    </row>
    <row r="27" spans="2:5">
      <c r="B27" s="15">
        <v>23</v>
      </c>
      <c r="C27" s="15" t="s">
        <v>801</v>
      </c>
      <c r="D27" s="68">
        <f>'SpaceX财务'!$H$28</f>
        <v>0</v>
      </c>
      <c r="E27" s="61" t="str">
        <f>IF(ABS(D27)&lt;0.5,"通过","差异")</f>
        <v>通过</v>
      </c>
    </row>
    <row r="28" spans="2:5">
      <c r="B28" s="15">
        <v>24</v>
      </c>
      <c r="C28" s="15" t="s">
        <v>802</v>
      </c>
      <c r="D28" s="68">
        <f>'SpaceX财务'!$C$52</f>
        <v>0</v>
      </c>
      <c r="E28" s="61" t="str">
        <f>IF(ABS(D28)&lt;0.5,"通过","差异")</f>
        <v>通过</v>
      </c>
    </row>
    <row r="29" spans="2:5">
      <c r="B29" s="15">
        <v>25</v>
      </c>
      <c r="C29" s="15" t="s">
        <v>803</v>
      </c>
      <c r="D29" s="68">
        <f>'SpaceX财务'!$D$52</f>
        <v>0</v>
      </c>
      <c r="E29" s="61" t="str">
        <f>IF(ABS(D29)&lt;0.5,"通过","差异")</f>
        <v>通过</v>
      </c>
    </row>
    <row r="30" spans="2:5">
      <c r="B30" s="15">
        <v>26</v>
      </c>
      <c r="C30" s="15" t="s">
        <v>804</v>
      </c>
      <c r="D30" s="68">
        <f>'SpaceX财务'!$E$52</f>
        <v>0</v>
      </c>
      <c r="E30" s="61" t="str">
        <f>IF(ABS(D30)&lt;0.5,"通过","差异")</f>
        <v>通过</v>
      </c>
    </row>
    <row r="31" spans="2:5">
      <c r="B31" s="15">
        <v>27</v>
      </c>
      <c r="C31" s="15" t="s">
        <v>805</v>
      </c>
      <c r="D31" s="68">
        <f>'SpaceX财务'!$F$52</f>
        <v>0</v>
      </c>
      <c r="E31" s="61" t="str">
        <f>IF(ABS(D31)&lt;0.5,"通过","差异")</f>
        <v>通过</v>
      </c>
    </row>
    <row r="32" spans="2:5">
      <c r="B32" s="15">
        <v>28</v>
      </c>
      <c r="C32" s="15" t="s">
        <v>806</v>
      </c>
      <c r="D32" s="68">
        <f>'SpaceX财务'!$G$52</f>
        <v>0</v>
      </c>
      <c r="E32" s="61" t="str">
        <f>IF(ABS(D32)&lt;0.5,"通过","差异")</f>
        <v>通过</v>
      </c>
    </row>
    <row r="33" spans="2:5">
      <c r="B33" s="15">
        <v>29</v>
      </c>
      <c r="C33" s="15" t="s">
        <v>807</v>
      </c>
      <c r="D33" s="68">
        <f>'SpaceX财务'!$H$52</f>
        <v>0</v>
      </c>
      <c r="E33" s="61" t="str">
        <f>IF(ABS(D33)&lt;0.5,"通过","差异")</f>
        <v>通过</v>
      </c>
    </row>
    <row r="34" spans="2:5">
      <c r="B34" s="15">
        <v>30</v>
      </c>
      <c r="C34" s="15" t="s">
        <v>808</v>
      </c>
      <c r="D34" s="68">
        <f>'SpaceX财务'!$C$56</f>
        <v>0</v>
      </c>
      <c r="E34" s="61" t="str">
        <f>IF(ABS(D34)&lt;0.5,"通过","差异")</f>
        <v>通过</v>
      </c>
    </row>
    <row r="35" spans="2:5">
      <c r="B35" s="15">
        <v>31</v>
      </c>
      <c r="C35" s="15" t="s">
        <v>809</v>
      </c>
      <c r="D35" s="68">
        <f>'SpaceX财务'!$D$56</f>
        <v>0</v>
      </c>
      <c r="E35" s="61" t="str">
        <f>IF(ABS(D35)&lt;0.5,"通过","差异")</f>
        <v>通过</v>
      </c>
    </row>
    <row r="36" spans="2:5">
      <c r="B36" s="15">
        <v>32</v>
      </c>
      <c r="C36" s="15" t="s">
        <v>810</v>
      </c>
      <c r="D36" s="68">
        <f>'SpaceX财务'!$E$56</f>
        <v>0</v>
      </c>
      <c r="E36" s="61" t="str">
        <f>IF(ABS(D36)&lt;0.5,"通过","差异")</f>
        <v>通过</v>
      </c>
    </row>
    <row r="37" spans="2:5">
      <c r="B37" s="15">
        <v>33</v>
      </c>
      <c r="C37" s="15" t="s">
        <v>811</v>
      </c>
      <c r="D37" s="68">
        <f>'SpaceX财务'!$F$56</f>
        <v>0</v>
      </c>
      <c r="E37" s="61" t="str">
        <f>IF(ABS(D37)&lt;0.5,"通过","差异")</f>
        <v>通过</v>
      </c>
    </row>
    <row r="38" spans="2:5">
      <c r="B38" s="15">
        <v>34</v>
      </c>
      <c r="C38" s="15" t="s">
        <v>812</v>
      </c>
      <c r="D38" s="68">
        <f>'SpaceX财务'!$G$56</f>
        <v>0</v>
      </c>
      <c r="E38" s="61" t="str">
        <f>IF(ABS(D38)&lt;0.5,"通过","差异")</f>
        <v>通过</v>
      </c>
    </row>
    <row r="39" spans="2:5">
      <c r="B39" s="15">
        <v>35</v>
      </c>
      <c r="C39" s="15" t="s">
        <v>813</v>
      </c>
      <c r="D39" s="68">
        <f>'SpaceX财务'!$H$56</f>
        <v>0</v>
      </c>
      <c r="E39" s="61" t="str">
        <f>IF(ABS(D39)&lt;0.5,"通过","差异")</f>
        <v>通过</v>
      </c>
    </row>
    <row r="40" spans="2:5">
      <c r="B40" s="15">
        <v>36</v>
      </c>
      <c r="C40" s="15" t="s">
        <v>814</v>
      </c>
      <c r="D40" s="68">
        <f>'SpaceX财务'!$C$60</f>
        <v>0</v>
      </c>
      <c r="E40" s="61" t="str">
        <f>IF(ABS(D40)&lt;0.5,"通过","差异")</f>
        <v>通过</v>
      </c>
    </row>
    <row r="41" spans="2:5">
      <c r="B41" s="15">
        <v>37</v>
      </c>
      <c r="C41" s="15" t="s">
        <v>815</v>
      </c>
      <c r="D41" s="68">
        <f>'SpaceX财务'!$D$60</f>
        <v>0</v>
      </c>
      <c r="E41" s="61" t="str">
        <f>IF(ABS(D41)&lt;0.5,"通过","差异")</f>
        <v>通过</v>
      </c>
    </row>
    <row r="42" spans="2:5">
      <c r="B42" s="15">
        <v>38</v>
      </c>
      <c r="C42" s="15" t="s">
        <v>816</v>
      </c>
      <c r="D42" s="68">
        <f>'SpaceX财务'!$E$60</f>
        <v>0</v>
      </c>
      <c r="E42" s="61" t="str">
        <f>IF(ABS(D42)&lt;0.5,"通过","差异")</f>
        <v>通过</v>
      </c>
    </row>
    <row r="43" spans="2:5">
      <c r="B43" s="15">
        <v>39</v>
      </c>
      <c r="C43" s="15" t="s">
        <v>817</v>
      </c>
      <c r="D43" s="68">
        <f>'SpaceX财务'!$F$60</f>
        <v>0</v>
      </c>
      <c r="E43" s="61" t="str">
        <f>IF(ABS(D43)&lt;0.5,"通过","差异")</f>
        <v>通过</v>
      </c>
    </row>
    <row r="44" spans="2:5">
      <c r="B44" s="15">
        <v>40</v>
      </c>
      <c r="C44" s="15" t="s">
        <v>818</v>
      </c>
      <c r="D44" s="68">
        <f>'SpaceX财务'!$G$60</f>
        <v>0</v>
      </c>
      <c r="E44" s="61" t="str">
        <f>IF(ABS(D44)&lt;0.5,"通过","差异")</f>
        <v>通过</v>
      </c>
    </row>
    <row r="45" spans="2:5">
      <c r="B45" s="15">
        <v>41</v>
      </c>
      <c r="C45" s="15" t="s">
        <v>819</v>
      </c>
      <c r="D45" s="68">
        <f>'SpaceX财务'!$H$60</f>
        <v>0</v>
      </c>
      <c r="E45" s="61" t="str">
        <f>IF(ABS(D45)&lt;0.5,"通过","差异")</f>
        <v>通过</v>
      </c>
    </row>
    <row r="46" spans="2:5">
      <c r="B46" s="15">
        <v>42</v>
      </c>
      <c r="C46" s="15" t="s">
        <v>820</v>
      </c>
      <c r="D46" s="68">
        <f>'SpaceX财务'!$C$64</f>
        <v>0</v>
      </c>
      <c r="E46" s="61" t="str">
        <f>IF(ABS(D46)&lt;0.5,"通过","差异")</f>
        <v>通过</v>
      </c>
    </row>
    <row r="47" spans="2:5">
      <c r="B47" s="15">
        <v>43</v>
      </c>
      <c r="C47" s="15" t="s">
        <v>821</v>
      </c>
      <c r="D47" s="68">
        <f>'SpaceX财务'!$D$64</f>
        <v>0</v>
      </c>
      <c r="E47" s="61" t="str">
        <f>IF(ABS(D47)&lt;0.5,"通过","差异")</f>
        <v>通过</v>
      </c>
    </row>
    <row r="48" spans="2:5">
      <c r="B48" s="15">
        <v>44</v>
      </c>
      <c r="C48" s="15" t="s">
        <v>822</v>
      </c>
      <c r="D48" s="68">
        <f>'SpaceX财务'!$E$64</f>
        <v>0</v>
      </c>
      <c r="E48" s="61" t="str">
        <f>IF(ABS(D48)&lt;0.5,"通过","差异")</f>
        <v>通过</v>
      </c>
    </row>
    <row r="49" spans="2:5">
      <c r="B49" s="15">
        <v>45</v>
      </c>
      <c r="C49" s="15" t="s">
        <v>823</v>
      </c>
      <c r="D49" s="68">
        <f>'SpaceX财务'!$F$64</f>
        <v>0</v>
      </c>
      <c r="E49" s="61" t="str">
        <f>IF(ABS(D49)&lt;0.5,"通过","差异")</f>
        <v>通过</v>
      </c>
    </row>
    <row r="50" spans="2:5">
      <c r="B50" s="15">
        <v>46</v>
      </c>
      <c r="C50" s="15" t="s">
        <v>824</v>
      </c>
      <c r="D50" s="68">
        <f>'SpaceX财务'!$G$64</f>
        <v>0</v>
      </c>
      <c r="E50" s="61" t="str">
        <f>IF(ABS(D50)&lt;0.5,"通过","差异")</f>
        <v>通过</v>
      </c>
    </row>
    <row r="51" spans="2:5">
      <c r="B51" s="15">
        <v>47</v>
      </c>
      <c r="C51" s="15" t="s">
        <v>825</v>
      </c>
      <c r="D51" s="68">
        <f>'SpaceX财务'!$H$64</f>
        <v>0</v>
      </c>
      <c r="E51" s="61" t="str">
        <f>IF(ABS(D51)&lt;0.5,"通过","差异")</f>
        <v>通过</v>
      </c>
    </row>
    <row r="52" spans="2:5">
      <c r="B52" s="15">
        <v>48</v>
      </c>
      <c r="C52" s="15" t="s">
        <v>826</v>
      </c>
      <c r="D52" s="68">
        <f>'SpaceX财务'!$C$68</f>
        <v>0</v>
      </c>
      <c r="E52" s="61" t="str">
        <f>IF(ABS(D52)&lt;0.5,"通过","差异")</f>
        <v>通过</v>
      </c>
    </row>
    <row r="53" spans="2:5">
      <c r="B53" s="15">
        <v>49</v>
      </c>
      <c r="C53" s="15" t="s">
        <v>827</v>
      </c>
      <c r="D53" s="68">
        <f>'SpaceX财务'!$D$68</f>
        <v>0</v>
      </c>
      <c r="E53" s="61" t="str">
        <f>IF(ABS(D53)&lt;0.5,"通过","差异")</f>
        <v>通过</v>
      </c>
    </row>
    <row r="54" spans="2:5">
      <c r="B54" s="15">
        <v>50</v>
      </c>
      <c r="C54" s="15" t="s">
        <v>828</v>
      </c>
      <c r="D54" s="68">
        <f>'SpaceX财务'!$E$68</f>
        <v>0</v>
      </c>
      <c r="E54" s="61" t="str">
        <f>IF(ABS(D54)&lt;0.5,"通过","差异")</f>
        <v>通过</v>
      </c>
    </row>
    <row r="55" spans="2:5">
      <c r="B55" s="15">
        <v>51</v>
      </c>
      <c r="C55" s="15" t="s">
        <v>829</v>
      </c>
      <c r="D55" s="68">
        <f>'SpaceX财务'!$F$68</f>
        <v>0</v>
      </c>
      <c r="E55" s="61" t="str">
        <f>IF(ABS(D55)&lt;0.5,"通过","差异")</f>
        <v>通过</v>
      </c>
    </row>
    <row r="56" spans="2:5">
      <c r="B56" s="15">
        <v>52</v>
      </c>
      <c r="C56" s="15" t="s">
        <v>830</v>
      </c>
      <c r="D56" s="68">
        <f>'SpaceX财务'!$G$68</f>
        <v>0</v>
      </c>
      <c r="E56" s="61" t="str">
        <f>IF(ABS(D56)&lt;0.5,"通过","差异")</f>
        <v>通过</v>
      </c>
    </row>
    <row r="57" spans="2:5">
      <c r="B57" s="15">
        <v>53</v>
      </c>
      <c r="C57" s="15" t="s">
        <v>831</v>
      </c>
      <c r="D57" s="68">
        <f>'SpaceX财务'!$H$68</f>
        <v>0</v>
      </c>
      <c r="E57" s="61" t="str">
        <f>IF(ABS(D57)&lt;0.5,"通过","差异")</f>
        <v>通过</v>
      </c>
    </row>
    <row r="58" spans="2:5">
      <c r="B58" s="15">
        <v>54</v>
      </c>
      <c r="C58" s="15" t="s">
        <v>832</v>
      </c>
      <c r="D58" s="68">
        <f>'SpaceX财务'!$C$132</f>
        <v>0</v>
      </c>
      <c r="E58" s="61" t="str">
        <f>IF(ABS(D58)&lt;0.5,"通过","差异")</f>
        <v>通过</v>
      </c>
    </row>
    <row r="59" spans="2:5">
      <c r="B59" s="15">
        <v>55</v>
      </c>
      <c r="C59" s="15" t="s">
        <v>833</v>
      </c>
      <c r="D59" s="68">
        <f>'SpaceX财务'!$D$132</f>
        <v>0</v>
      </c>
      <c r="E59" s="61" t="str">
        <f>IF(ABS(D59)&lt;0.5,"通过","差异")</f>
        <v>通过</v>
      </c>
    </row>
    <row r="60" spans="2:5">
      <c r="B60" s="15">
        <v>56</v>
      </c>
      <c r="C60" s="15" t="s">
        <v>834</v>
      </c>
      <c r="D60" s="68">
        <f>'SpaceX财务'!$E$132</f>
        <v>0</v>
      </c>
      <c r="E60" s="61" t="str">
        <f>IF(ABS(D60)&lt;0.5,"通过","差异")</f>
        <v>通过</v>
      </c>
    </row>
    <row r="61" spans="2:5">
      <c r="B61" s="15">
        <v>57</v>
      </c>
      <c r="C61" s="15" t="s">
        <v>835</v>
      </c>
      <c r="D61" s="68">
        <f>'SpaceX财务'!$F$132</f>
        <v>0</v>
      </c>
      <c r="E61" s="61" t="str">
        <f>IF(ABS(D61)&lt;0.5,"通过","差异")</f>
        <v>通过</v>
      </c>
    </row>
    <row r="62" spans="2:5">
      <c r="B62" s="15">
        <v>58</v>
      </c>
      <c r="C62" s="15" t="s">
        <v>836</v>
      </c>
      <c r="D62" s="68">
        <f>'SpaceX财务'!$G$132</f>
        <v>0</v>
      </c>
      <c r="E62" s="61" t="str">
        <f>IF(ABS(D62)&lt;0.5,"通过","差异")</f>
        <v>通过</v>
      </c>
    </row>
    <row r="63" spans="2:5">
      <c r="B63" s="15">
        <v>59</v>
      </c>
      <c r="C63" s="15" t="s">
        <v>837</v>
      </c>
      <c r="D63" s="68">
        <f>'SpaceX财务'!$H$132</f>
        <v>0</v>
      </c>
      <c r="E63" s="61" t="str">
        <f>IF(ABS(D63)&lt;0.5,"通过","差异")</f>
        <v>通过</v>
      </c>
    </row>
    <row r="64" spans="2:5">
      <c r="B64" s="15">
        <v>60</v>
      </c>
      <c r="C64" s="15" t="s">
        <v>838</v>
      </c>
      <c r="D64" s="68">
        <f>'SpaceX财务'!$C$133</f>
        <v>0</v>
      </c>
      <c r="E64" s="61" t="str">
        <f>IF(ABS(D64)&lt;0.5,"通过","差异")</f>
        <v>通过</v>
      </c>
    </row>
    <row r="65" spans="2:5">
      <c r="B65" s="15">
        <v>61</v>
      </c>
      <c r="C65" s="15" t="s">
        <v>839</v>
      </c>
      <c r="D65" s="68">
        <f>'SpaceX财务'!$D$133</f>
        <v>0</v>
      </c>
      <c r="E65" s="61" t="str">
        <f>IF(ABS(D65)&lt;0.5,"通过","差异")</f>
        <v>通过</v>
      </c>
    </row>
    <row r="66" spans="2:5">
      <c r="B66" s="15">
        <v>62</v>
      </c>
      <c r="C66" s="15" t="s">
        <v>840</v>
      </c>
      <c r="D66" s="68">
        <f>'SpaceX财务'!$E$133</f>
        <v>0</v>
      </c>
      <c r="E66" s="61" t="str">
        <f>IF(ABS(D66)&lt;0.5,"通过","差异")</f>
        <v>通过</v>
      </c>
    </row>
    <row r="67" spans="2:5">
      <c r="B67" s="15">
        <v>63</v>
      </c>
      <c r="C67" s="15" t="s">
        <v>841</v>
      </c>
      <c r="D67" s="68">
        <f>'SpaceX财务'!$F$133</f>
        <v>0</v>
      </c>
      <c r="E67" s="61" t="str">
        <f>IF(ABS(D67)&lt;0.5,"通过","差异")</f>
        <v>通过</v>
      </c>
    </row>
    <row r="68" spans="2:5">
      <c r="B68" s="15">
        <v>64</v>
      </c>
      <c r="C68" s="15" t="s">
        <v>842</v>
      </c>
      <c r="D68" s="68">
        <f>'SpaceX财务'!$G$133</f>
        <v>0</v>
      </c>
      <c r="E68" s="61" t="str">
        <f>IF(ABS(D68)&lt;0.5,"通过","差异")</f>
        <v>通过</v>
      </c>
    </row>
    <row r="69" spans="2:5">
      <c r="B69" s="15">
        <v>65</v>
      </c>
      <c r="C69" s="15" t="s">
        <v>843</v>
      </c>
      <c r="D69" s="68">
        <f>'SpaceX财务'!$H$133</f>
        <v>0</v>
      </c>
      <c r="E69" s="61" t="str">
        <f>IF(ABS(D69)&lt;0.5,"通过","差异")</f>
        <v>通过</v>
      </c>
    </row>
    <row r="70" spans="2:5">
      <c r="B70" s="15">
        <v>66</v>
      </c>
      <c r="C70" s="15" t="s">
        <v>844</v>
      </c>
      <c r="D70" s="68">
        <f>'SpaceX财务'!$C$134</f>
        <v>0</v>
      </c>
      <c r="E70" s="61" t="str">
        <f>IF(ABS(D70)&lt;0.5,"通过","差异")</f>
        <v>通过</v>
      </c>
    </row>
    <row r="71" spans="2:5">
      <c r="B71" s="15">
        <v>67</v>
      </c>
      <c r="C71" s="15" t="s">
        <v>845</v>
      </c>
      <c r="D71" s="68">
        <f>'SpaceX财务'!$D$134</f>
        <v>0</v>
      </c>
      <c r="E71" s="61" t="str">
        <f>IF(ABS(D71)&lt;0.5,"通过","差异")</f>
        <v>通过</v>
      </c>
    </row>
    <row r="72" spans="2:5">
      <c r="B72" s="15">
        <v>68</v>
      </c>
      <c r="C72" s="15" t="s">
        <v>846</v>
      </c>
      <c r="D72" s="68">
        <f>'SpaceX财务'!$E$134</f>
        <v>0</v>
      </c>
      <c r="E72" s="61" t="str">
        <f>IF(ABS(D72)&lt;0.5,"通过","差异")</f>
        <v>通过</v>
      </c>
    </row>
    <row r="73" spans="2:5">
      <c r="B73" s="15">
        <v>69</v>
      </c>
      <c r="C73" s="15" t="s">
        <v>847</v>
      </c>
      <c r="D73" s="68">
        <f>'SpaceX财务'!$F$134</f>
        <v>0</v>
      </c>
      <c r="E73" s="61" t="str">
        <f>IF(ABS(D73)&lt;0.5,"通过","差异")</f>
        <v>通过</v>
      </c>
    </row>
    <row r="74" spans="2:5">
      <c r="B74" s="15">
        <v>70</v>
      </c>
      <c r="C74" s="15" t="s">
        <v>848</v>
      </c>
      <c r="D74" s="68">
        <f>'SpaceX财务'!$G$134</f>
        <v>0</v>
      </c>
      <c r="E74" s="61" t="str">
        <f>IF(ABS(D74)&lt;0.5,"通过","差异")</f>
        <v>通过</v>
      </c>
    </row>
    <row r="75" spans="2:5">
      <c r="B75" s="15">
        <v>71</v>
      </c>
      <c r="C75" s="15" t="s">
        <v>849</v>
      </c>
      <c r="D75" s="68">
        <f>'SpaceX财务'!$H$134</f>
        <v>0</v>
      </c>
      <c r="E75" s="61" t="str">
        <f>IF(ABS(D75)&lt;0.5,"通过","差异")</f>
        <v>通过</v>
      </c>
    </row>
    <row r="76" spans="2:5">
      <c r="B76" s="15">
        <v>72</v>
      </c>
      <c r="C76" s="15" t="s">
        <v>850</v>
      </c>
      <c r="D76" s="68">
        <f>'特斯拉财务'!$C$36</f>
        <v>0</v>
      </c>
      <c r="E76" s="61" t="str">
        <f>IF(ABS(D76)&lt;0.5,"通过","差异")</f>
        <v>通过</v>
      </c>
    </row>
    <row r="77" spans="2:5">
      <c r="B77" s="15">
        <v>73</v>
      </c>
      <c r="C77" s="15" t="s">
        <v>851</v>
      </c>
      <c r="D77" s="68">
        <f>'特斯拉财务'!$D$36</f>
        <v>0</v>
      </c>
      <c r="E77" s="61" t="str">
        <f>IF(ABS(D77)&lt;0.5,"通过","差异")</f>
        <v>通过</v>
      </c>
    </row>
    <row r="78" spans="2:5">
      <c r="B78" s="15">
        <v>74</v>
      </c>
      <c r="C78" s="15" t="s">
        <v>852</v>
      </c>
      <c r="D78" s="68">
        <f>'特斯拉财务'!$E$36</f>
        <v>0</v>
      </c>
      <c r="E78" s="61" t="str">
        <f>IF(ABS(D78)&lt;0.5,"通过","差异")</f>
        <v>通过</v>
      </c>
    </row>
    <row r="79" spans="2:5">
      <c r="B79" s="15">
        <v>75</v>
      </c>
      <c r="C79" s="15" t="s">
        <v>853</v>
      </c>
      <c r="D79" s="68">
        <f>'特斯拉财务'!$F$36</f>
        <v>0</v>
      </c>
      <c r="E79" s="61" t="str">
        <f>IF(ABS(D79)&lt;0.5,"通过","差异")</f>
        <v>通过</v>
      </c>
    </row>
    <row r="80" spans="2:5">
      <c r="B80" s="15">
        <v>76</v>
      </c>
      <c r="C80" s="15" t="s">
        <v>854</v>
      </c>
      <c r="D80" s="68">
        <f>'特斯拉财务'!$G$36</f>
        <v>0</v>
      </c>
      <c r="E80" s="61" t="str">
        <f>IF(ABS(D80)&lt;0.5,"通过","差异")</f>
        <v>通过</v>
      </c>
    </row>
    <row r="81" spans="2:5">
      <c r="B81" s="15">
        <v>77</v>
      </c>
      <c r="C81" s="15" t="s">
        <v>855</v>
      </c>
      <c r="D81" s="68">
        <f>'特斯拉财务'!$H$36</f>
        <v>0</v>
      </c>
      <c r="E81" s="61" t="str">
        <f>IF(ABS(D81)&lt;0.5,"通过","差异")</f>
        <v>通过</v>
      </c>
    </row>
    <row r="82" spans="2:5">
      <c r="B82" s="15">
        <v>78</v>
      </c>
      <c r="C82" s="15" t="s">
        <v>856</v>
      </c>
      <c r="D82" s="68">
        <f>'特斯拉财务'!$C$37</f>
        <v>0</v>
      </c>
      <c r="E82" s="61" t="str">
        <f>IF(ABS(D82)&lt;0.5,"通过","差异")</f>
        <v>通过</v>
      </c>
    </row>
    <row r="83" spans="2:5">
      <c r="B83" s="15">
        <v>79</v>
      </c>
      <c r="C83" s="15" t="s">
        <v>857</v>
      </c>
      <c r="D83" s="68">
        <f>'特斯拉财务'!$D$37</f>
        <v>0</v>
      </c>
      <c r="E83" s="61" t="str">
        <f>IF(ABS(D83)&lt;0.5,"通过","差异")</f>
        <v>通过</v>
      </c>
    </row>
    <row r="84" spans="2:5">
      <c r="B84" s="15">
        <v>80</v>
      </c>
      <c r="C84" s="15" t="s">
        <v>858</v>
      </c>
      <c r="D84" s="68">
        <f>'特斯拉财务'!$E$37</f>
        <v>0</v>
      </c>
      <c r="E84" s="61" t="str">
        <f>IF(ABS(D84)&lt;0.5,"通过","差异")</f>
        <v>通过</v>
      </c>
    </row>
    <row r="85" spans="2:5">
      <c r="B85" s="15">
        <v>81</v>
      </c>
      <c r="C85" s="15" t="s">
        <v>859</v>
      </c>
      <c r="D85" s="68">
        <f>'特斯拉财务'!$F$37</f>
        <v>0</v>
      </c>
      <c r="E85" s="61" t="str">
        <f>IF(ABS(D85)&lt;0.5,"通过","差异")</f>
        <v>通过</v>
      </c>
    </row>
    <row r="86" spans="2:5">
      <c r="B86" s="15">
        <v>82</v>
      </c>
      <c r="C86" s="15" t="s">
        <v>860</v>
      </c>
      <c r="D86" s="68">
        <f>'特斯拉财务'!$G$37</f>
        <v>0</v>
      </c>
      <c r="E86" s="61" t="str">
        <f>IF(ABS(D86)&lt;0.5,"通过","差异")</f>
        <v>通过</v>
      </c>
    </row>
    <row r="87" spans="2:5">
      <c r="B87" s="15">
        <v>83</v>
      </c>
      <c r="C87" s="15" t="s">
        <v>861</v>
      </c>
      <c r="D87" s="68">
        <f>'特斯拉财务'!$H$37</f>
        <v>0</v>
      </c>
      <c r="E87" s="61" t="str">
        <f>IF(ABS(D87)&lt;0.5,"通过","差异")</f>
        <v>通过</v>
      </c>
    </row>
    <row r="88" spans="2:5">
      <c r="B88" s="15">
        <v>84</v>
      </c>
      <c r="C88" s="15" t="s">
        <v>862</v>
      </c>
      <c r="D88" s="68">
        <f>'特斯拉财务'!$C$38</f>
        <v>0</v>
      </c>
      <c r="E88" s="61" t="str">
        <f>IF(ABS(D88)&lt;0.5,"通过","差异")</f>
        <v>通过</v>
      </c>
    </row>
    <row r="89" spans="2:5">
      <c r="B89" s="15">
        <v>85</v>
      </c>
      <c r="C89" s="15" t="s">
        <v>863</v>
      </c>
      <c r="D89" s="68">
        <f>'特斯拉财务'!$D$38</f>
        <v>0</v>
      </c>
      <c r="E89" s="61" t="str">
        <f>IF(ABS(D89)&lt;0.5,"通过","差异")</f>
        <v>通过</v>
      </c>
    </row>
    <row r="90" spans="2:5">
      <c r="B90" s="15">
        <v>86</v>
      </c>
      <c r="C90" s="15" t="s">
        <v>864</v>
      </c>
      <c r="D90" s="68">
        <f>'特斯拉财务'!$E$38</f>
        <v>0</v>
      </c>
      <c r="E90" s="61" t="str">
        <f>IF(ABS(D90)&lt;0.5,"通过","差异")</f>
        <v>通过</v>
      </c>
    </row>
    <row r="91" spans="2:5">
      <c r="B91" s="15">
        <v>87</v>
      </c>
      <c r="C91" s="15" t="s">
        <v>865</v>
      </c>
      <c r="D91" s="68">
        <f>'特斯拉财务'!$F$38</f>
        <v>0</v>
      </c>
      <c r="E91" s="61" t="str">
        <f>IF(ABS(D91)&lt;0.5,"通过","差异")</f>
        <v>通过</v>
      </c>
    </row>
    <row r="92" spans="2:5">
      <c r="B92" s="15">
        <v>88</v>
      </c>
      <c r="C92" s="15" t="s">
        <v>866</v>
      </c>
      <c r="D92" s="68">
        <f>'特斯拉财务'!$G$38</f>
        <v>0</v>
      </c>
      <c r="E92" s="61" t="str">
        <f>IF(ABS(D92)&lt;0.5,"通过","差异")</f>
        <v>通过</v>
      </c>
    </row>
    <row r="93" spans="2:5">
      <c r="B93" s="15">
        <v>89</v>
      </c>
      <c r="C93" s="15" t="s">
        <v>867</v>
      </c>
      <c r="D93" s="68">
        <f>'特斯拉财务'!$H$38</f>
        <v>0</v>
      </c>
      <c r="E93" s="61" t="str">
        <f>IF(ABS(D93)&lt;0.5,"通过","差异")</f>
        <v>通过</v>
      </c>
    </row>
    <row r="94" spans="2:5">
      <c r="B94" s="15">
        <v>90</v>
      </c>
      <c r="C94" s="15" t="s">
        <v>868</v>
      </c>
      <c r="D94" s="68">
        <f>'特斯拉财务'!$C$39</f>
        <v>0</v>
      </c>
      <c r="E94" s="61" t="str">
        <f>IF(ABS(D94)&lt;0.5,"通过","差异")</f>
        <v>通过</v>
      </c>
    </row>
    <row r="95" spans="2:5">
      <c r="B95" s="15">
        <v>91</v>
      </c>
      <c r="C95" s="15" t="s">
        <v>869</v>
      </c>
      <c r="D95" s="68">
        <f>'特斯拉财务'!$D$39</f>
        <v>0</v>
      </c>
      <c r="E95" s="61" t="str">
        <f>IF(ABS(D95)&lt;0.5,"通过","差异")</f>
        <v>通过</v>
      </c>
    </row>
    <row r="96" spans="2:5">
      <c r="B96" s="15">
        <v>92</v>
      </c>
      <c r="C96" s="15" t="s">
        <v>870</v>
      </c>
      <c r="D96" s="68">
        <f>'特斯拉财务'!$E$39</f>
        <v>0</v>
      </c>
      <c r="E96" s="61" t="str">
        <f>IF(ABS(D96)&lt;0.5,"通过","差异")</f>
        <v>通过</v>
      </c>
    </row>
    <row r="97" spans="2:5">
      <c r="B97" s="15">
        <v>93</v>
      </c>
      <c r="C97" s="15" t="s">
        <v>871</v>
      </c>
      <c r="D97" s="68">
        <f>'特斯拉财务'!$F$39</f>
        <v>0</v>
      </c>
      <c r="E97" s="61" t="str">
        <f>IF(ABS(D97)&lt;0.5,"通过","差异")</f>
        <v>通过</v>
      </c>
    </row>
    <row r="98" spans="2:5">
      <c r="B98" s="15">
        <v>94</v>
      </c>
      <c r="C98" s="15" t="s">
        <v>872</v>
      </c>
      <c r="D98" s="68">
        <f>'特斯拉财务'!$G$39</f>
        <v>0</v>
      </c>
      <c r="E98" s="61" t="str">
        <f>IF(ABS(D98)&lt;0.5,"通过","差异")</f>
        <v>通过</v>
      </c>
    </row>
    <row r="99" spans="2:5">
      <c r="B99" s="15">
        <v>95</v>
      </c>
      <c r="C99" s="15" t="s">
        <v>873</v>
      </c>
      <c r="D99" s="68">
        <f>'特斯拉财务'!$H$39</f>
        <v>0</v>
      </c>
      <c r="E99" s="61" t="str">
        <f>IF(ABS(D99)&lt;0.5,"通过","差异")</f>
        <v>通过</v>
      </c>
    </row>
    <row r="100" spans="2:5">
      <c r="B100" s="15">
        <v>96</v>
      </c>
      <c r="C100" s="15" t="s">
        <v>874</v>
      </c>
      <c r="D100" s="68">
        <f>'特斯拉财务'!$C$40</f>
        <v>0</v>
      </c>
      <c r="E100" s="61" t="str">
        <f>IF(ABS(D100)&lt;0.5,"通过","差异")</f>
        <v>通过</v>
      </c>
    </row>
    <row r="101" spans="2:5">
      <c r="B101" s="15">
        <v>97</v>
      </c>
      <c r="C101" s="15" t="s">
        <v>875</v>
      </c>
      <c r="D101" s="68">
        <f>'特斯拉财务'!$D$40</f>
        <v>0</v>
      </c>
      <c r="E101" s="61" t="str">
        <f>IF(ABS(D101)&lt;0.5,"通过","差异")</f>
        <v>通过</v>
      </c>
    </row>
    <row r="102" spans="2:5">
      <c r="B102" s="15">
        <v>98</v>
      </c>
      <c r="C102" s="15" t="s">
        <v>876</v>
      </c>
      <c r="D102" s="68">
        <f>'特斯拉财务'!$E$40</f>
        <v>0</v>
      </c>
      <c r="E102" s="61" t="str">
        <f>IF(ABS(D102)&lt;0.5,"通过","差异")</f>
        <v>通过</v>
      </c>
    </row>
    <row r="103" spans="2:5">
      <c r="B103" s="15">
        <v>99</v>
      </c>
      <c r="C103" s="15" t="s">
        <v>877</v>
      </c>
      <c r="D103" s="68">
        <f>'特斯拉财务'!$F$40</f>
        <v>0</v>
      </c>
      <c r="E103" s="61" t="str">
        <f>IF(ABS(D103)&lt;0.5,"通过","差异")</f>
        <v>通过</v>
      </c>
    </row>
    <row r="104" spans="2:5">
      <c r="B104" s="15">
        <v>100</v>
      </c>
      <c r="C104" s="15" t="s">
        <v>878</v>
      </c>
      <c r="D104" s="68">
        <f>'特斯拉财务'!$G$40</f>
        <v>0</v>
      </c>
      <c r="E104" s="61" t="str">
        <f>IF(ABS(D104)&lt;0.5,"通过","差异")</f>
        <v>通过</v>
      </c>
    </row>
    <row r="105" spans="2:5">
      <c r="B105" s="15">
        <v>101</v>
      </c>
      <c r="C105" s="15" t="s">
        <v>879</v>
      </c>
      <c r="D105" s="68">
        <f>'特斯拉财务'!$H$41</f>
        <v>0</v>
      </c>
      <c r="E105" s="61" t="str">
        <f>IF(ABS(D105)&lt;0.5,"通过","差异")</f>
        <v>通过</v>
      </c>
    </row>
    <row r="106" spans="2:5">
      <c r="B106" s="15">
        <v>102</v>
      </c>
      <c r="C106" s="15" t="s">
        <v>880</v>
      </c>
      <c r="D106" s="68">
        <f>'特斯拉财务'!$H$47</f>
        <v>0</v>
      </c>
      <c r="E106" s="61" t="str">
        <f>IF(ABS(D106)&lt;0.5,"通过","差异")</f>
        <v>通过</v>
      </c>
    </row>
    <row r="107" spans="2:5">
      <c r="B107" s="15">
        <v>103</v>
      </c>
      <c r="C107" s="15" t="s">
        <v>881</v>
      </c>
      <c r="D107" s="68">
        <f>'特斯拉财务'!$C$104</f>
        <v>0</v>
      </c>
      <c r="E107" s="61" t="str">
        <f>IF(ABS(D107)&lt;0.5,"通过","差异")</f>
        <v>通过</v>
      </c>
    </row>
    <row r="108" spans="2:5">
      <c r="B108" s="15">
        <v>104</v>
      </c>
      <c r="C108" s="15" t="s">
        <v>882</v>
      </c>
      <c r="D108" s="68">
        <f>'特斯拉财务'!$D$104</f>
        <v>0</v>
      </c>
      <c r="E108" s="61" t="str">
        <f>IF(ABS(D108)&lt;0.5,"通过","差异")</f>
        <v>通过</v>
      </c>
    </row>
    <row r="109" spans="2:5">
      <c r="B109" s="15">
        <v>105</v>
      </c>
      <c r="C109" s="15" t="s">
        <v>883</v>
      </c>
      <c r="D109" s="68">
        <f>'特斯拉财务'!$E$104</f>
        <v>0</v>
      </c>
      <c r="E109" s="61" t="str">
        <f>IF(ABS(D109)&lt;0.5,"通过","差异")</f>
        <v>通过</v>
      </c>
    </row>
    <row r="110" spans="2:5">
      <c r="B110" s="15">
        <v>106</v>
      </c>
      <c r="C110" s="15" t="s">
        <v>884</v>
      </c>
      <c r="D110" s="68">
        <f>'特斯拉财务'!$F$104</f>
        <v>0</v>
      </c>
      <c r="E110" s="61" t="str">
        <f>IF(ABS(D110)&lt;0.5,"通过","差异")</f>
        <v>通过</v>
      </c>
    </row>
    <row r="111" spans="2:5">
      <c r="B111" s="15">
        <v>107</v>
      </c>
      <c r="C111" s="15" t="s">
        <v>885</v>
      </c>
      <c r="D111" s="68">
        <f>'特斯拉财务'!$G$104</f>
        <v>0</v>
      </c>
      <c r="E111" s="61" t="str">
        <f>IF(ABS(D111)&lt;0.5,"通过","差异")</f>
        <v>通过</v>
      </c>
    </row>
    <row r="112" spans="2:5">
      <c r="B112" s="15">
        <v>108</v>
      </c>
      <c r="C112" s="15" t="s">
        <v>886</v>
      </c>
      <c r="D112" s="68">
        <f>'特斯拉财务'!$H$104</f>
        <v>0</v>
      </c>
      <c r="E112" s="61" t="str">
        <f>IF(ABS(D112)&lt;0.5,"通过","差异")</f>
        <v>通过</v>
      </c>
    </row>
    <row r="113" spans="2:5">
      <c r="B113" s="15">
        <v>109</v>
      </c>
      <c r="C113" s="15" t="s">
        <v>887</v>
      </c>
      <c r="D113" s="68">
        <f>'特斯拉财务'!$C$105</f>
        <v>0</v>
      </c>
      <c r="E113" s="61" t="str">
        <f>IF(ABS(D113)&lt;0.5,"通过","差异")</f>
        <v>通过</v>
      </c>
    </row>
    <row r="114" spans="2:5">
      <c r="B114" s="15">
        <v>110</v>
      </c>
      <c r="C114" s="15" t="s">
        <v>888</v>
      </c>
      <c r="D114" s="68">
        <f>'特斯拉财务'!$D$105</f>
        <v>0</v>
      </c>
      <c r="E114" s="61" t="str">
        <f>IF(ABS(D114)&lt;0.5,"通过","差异")</f>
        <v>通过</v>
      </c>
    </row>
    <row r="115" spans="2:5">
      <c r="B115" s="15">
        <v>111</v>
      </c>
      <c r="C115" s="15" t="s">
        <v>889</v>
      </c>
      <c r="D115" s="68">
        <f>'特斯拉财务'!$E$105</f>
        <v>0</v>
      </c>
      <c r="E115" s="61" t="str">
        <f>IF(ABS(D115)&lt;0.5,"通过","差异")</f>
        <v>通过</v>
      </c>
    </row>
    <row r="116" spans="2:5">
      <c r="B116" s="15">
        <v>112</v>
      </c>
      <c r="C116" s="15" t="s">
        <v>890</v>
      </c>
      <c r="D116" s="68">
        <f>'特斯拉财务'!$F$105</f>
        <v>0</v>
      </c>
      <c r="E116" s="61" t="str">
        <f>IF(ABS(D116)&lt;0.5,"通过","差异")</f>
        <v>通过</v>
      </c>
    </row>
    <row r="117" spans="2:5">
      <c r="B117" s="15">
        <v>113</v>
      </c>
      <c r="C117" s="15" t="s">
        <v>891</v>
      </c>
      <c r="D117" s="68">
        <f>'特斯拉财务'!$G$105</f>
        <v>0</v>
      </c>
      <c r="E117" s="61" t="str">
        <f>IF(ABS(D117)&lt;0.5,"通过","差异")</f>
        <v>通过</v>
      </c>
    </row>
    <row r="118" spans="2:5">
      <c r="B118" s="15">
        <v>114</v>
      </c>
      <c r="C118" s="15" t="s">
        <v>892</v>
      </c>
      <c r="D118" s="68">
        <f>'特斯拉财务'!$H$105</f>
        <v>0</v>
      </c>
      <c r="E118" s="61" t="str">
        <f>IF(ABS(D118)&lt;0.5,"通过","差异")</f>
        <v>通过</v>
      </c>
    </row>
    <row r="119" spans="2:5">
      <c r="B119" s="15">
        <v>115</v>
      </c>
      <c r="C119" s="15" t="s">
        <v>893</v>
      </c>
      <c r="D119" s="68">
        <f>'特斯拉财务'!$C$109</f>
        <v>0</v>
      </c>
      <c r="E119" s="61" t="str">
        <f>IF(ABS(D119)&lt;0.5,"通过","差异")</f>
        <v>通过</v>
      </c>
    </row>
    <row r="120" spans="2:5">
      <c r="B120" s="15">
        <v>116</v>
      </c>
      <c r="C120" s="15" t="s">
        <v>894</v>
      </c>
      <c r="D120" s="68">
        <f>'特斯拉财务'!$D$109</f>
        <v>0</v>
      </c>
      <c r="E120" s="61" t="str">
        <f>IF(ABS(D120)&lt;0.5,"通过","差异")</f>
        <v>通过</v>
      </c>
    </row>
    <row r="121" spans="2:5">
      <c r="B121" s="15">
        <v>117</v>
      </c>
      <c r="C121" s="15" t="s">
        <v>895</v>
      </c>
      <c r="D121" s="68">
        <f>'市场数据'!$C$15</f>
        <v>0</v>
      </c>
      <c r="E121" s="61" t="str">
        <f>IF(ABS(D121)&lt;0.5,"通过","差异")</f>
        <v>通过</v>
      </c>
    </row>
    <row r="122" spans="2:5">
      <c r="B122" s="15">
        <v>118</v>
      </c>
      <c r="C122" s="15" t="s">
        <v>896</v>
      </c>
      <c r="D122" s="68">
        <f>'合并备考'!$C$42</f>
        <v>0</v>
      </c>
      <c r="E122" s="61" t="str">
        <f>IF(ABS(D122)&lt;0.5,"通过","差异")</f>
        <v>通过</v>
      </c>
    </row>
    <row r="123" spans="2:5">
      <c r="B123" s="15">
        <v>119</v>
      </c>
      <c r="C123" s="15" t="s">
        <v>897</v>
      </c>
      <c r="D123" s="68">
        <f>'合并备考'!$E$42</f>
        <v>0</v>
      </c>
      <c r="E123" s="61" t="str">
        <f>IF(ABS(D123)&lt;0.5,"通过","差异")</f>
        <v>通过</v>
      </c>
    </row>
    <row r="124" spans="2:5">
      <c r="B124" s="15">
        <v>120</v>
      </c>
      <c r="C124" s="15" t="s">
        <v>898</v>
      </c>
      <c r="D124" s="68">
        <f>'合并备考'!$C$52</f>
        <v>0</v>
      </c>
      <c r="E124" s="61" t="str">
        <f>IF(ABS(D124)&lt;0.5,"通过","差异")</f>
        <v>通过</v>
      </c>
    </row>
    <row r="125" spans="2:5">
      <c r="B125" s="15">
        <v>121</v>
      </c>
      <c r="C125" s="15" t="s">
        <v>899</v>
      </c>
      <c r="D125" s="68">
        <f>'合并备考'!$F$52</f>
        <v>0</v>
      </c>
      <c r="E125" s="61" t="str">
        <f>IF(ABS(D125)&lt;0.5,"通过","差异")</f>
        <v>通过</v>
      </c>
    </row>
    <row r="127" spans="2:5">
      <c r="C127" s="11" t="s">
        <v>900</v>
      </c>
      <c r="D127" s="69">
        <f>COUNTIF(E5:E125,"通过")</f>
        <v>121</v>
      </c>
      <c r="E127" s="69">
        <f>COUNTA(E5:E125)</f>
        <v>121</v>
      </c>
    </row>
    <row r="129" spans="3:4">
      <c r="C129" s="20" t="s">
        <v>901</v>
      </c>
    </row>
    <row r="130" spans="3:4">
      <c r="C130" s="15" t="s">
        <v>902</v>
      </c>
      <c r="D130" s="44">
        <f>SUMPRODUCT(--ISERROR('假设'!A1:H40))</f>
        <v>0</v>
      </c>
    </row>
    <row r="131" spans="3:4">
      <c r="C131" s="15" t="s">
        <v>217</v>
      </c>
      <c r="D131" s="44">
        <f>SUMPRODUCT(--ISERROR('关键数字'!A1:I60))</f>
        <v>0</v>
      </c>
    </row>
    <row r="132" spans="3:4">
      <c r="C132" s="15" t="s">
        <v>903</v>
      </c>
      <c r="D132" s="44">
        <f>SUMPRODUCT(--ISERROR('SpaceX财务'!A1:J200))</f>
        <v>0</v>
      </c>
    </row>
    <row r="133" spans="3:4">
      <c r="C133" s="15" t="s">
        <v>904</v>
      </c>
      <c r="D133" s="44">
        <f>SUMPRODUCT(--ISERROR('特斯拉财务'!A1:J200))</f>
        <v>0</v>
      </c>
    </row>
    <row r="134" spans="3:4">
      <c r="C134" s="15" t="s">
        <v>905</v>
      </c>
      <c r="D134" s="44">
        <f>SUMPRODUCT(--ISERROR('市场数据'!A1:N90))</f>
        <v>0</v>
      </c>
    </row>
    <row r="135" spans="3:4">
      <c r="C135" s="15" t="s">
        <v>703</v>
      </c>
      <c r="D135" s="44">
        <f>SUMPRODUCT(--ISERROR('合并备考'!A1:K120))</f>
        <v>0</v>
      </c>
    </row>
    <row r="136" spans="3:4">
      <c r="C136" s="15" t="s">
        <v>906</v>
      </c>
      <c r="D136" s="44">
        <f>SUMPRODUCT(--ISERROR('关联交易'!A1:H60))</f>
        <v>0</v>
      </c>
    </row>
    <row r="137" spans="3:4">
      <c r="C137" s="15" t="s">
        <v>547</v>
      </c>
      <c r="D137" s="44">
        <f>SUMPRODUCT(--ISERROR('换股比例'!A1:N120))</f>
        <v>0</v>
      </c>
    </row>
    <row r="138" spans="3:4">
      <c r="C138" s="15" t="s">
        <v>907</v>
      </c>
      <c r="D138" s="44">
        <f>SUMPRODUCT(--ISERROR('敏感性'!A1:I80))</f>
        <v>0</v>
      </c>
    </row>
    <row r="139" spans="3:4">
      <c r="C139" s="11" t="s">
        <v>908</v>
      </c>
      <c r="D139" s="69">
        <f>SUM(D130:D138)</f>
        <v>0</v>
      </c>
    </row>
  </sheetData>
  <pageMargins left="0.3" right="0.3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59</vt:i4>
      </vt:variant>
    </vt:vector>
  </HeadingPairs>
  <TitlesOfParts>
    <vt:vector size="70" baseType="lpstr">
      <vt:lpstr>说明</vt:lpstr>
      <vt:lpstr>假设</vt:lpstr>
      <vt:lpstr>关键数字</vt:lpstr>
      <vt:lpstr>SpaceX财务</vt:lpstr>
      <vt:lpstr>特斯拉财务</vt:lpstr>
      <vt:lpstr>市场数据</vt:lpstr>
      <vt:lpstr>合并备考</vt:lpstr>
      <vt:lpstr>关联交易</vt:lpstr>
      <vt:lpstr>换股比例</vt:lpstr>
      <vt:lpstr>敏感性</vt:lpstr>
      <vt:lpstr>校验</vt:lpstr>
      <vt:lpstr>ACQ</vt:lpstr>
      <vt:lpstr>DATE_P</vt:lpstr>
      <vt:lpstr>DATE_U</vt:lpstr>
      <vt:lpstr>EBITDA_BASIS</vt:lpstr>
      <vt:lpstr>M_S_A</vt:lpstr>
      <vt:lpstr>M_S_ALL</vt:lpstr>
      <vt:lpstr>M_S_B</vt:lpstr>
      <vt:lpstr>M_S_OPT</vt:lpstr>
      <vt:lpstr>M_S_RS</vt:lpstr>
      <vt:lpstr>M_T_ALL</vt:lpstr>
      <vt:lpstr>M_T_BEN</vt:lpstr>
      <vt:lpstr>M_T_RS18</vt:lpstr>
      <vt:lpstr>M_T_RS25</vt:lpstr>
      <vt:lpstr>N_S</vt:lpstr>
      <vt:lpstr>N_S_A</vt:lpstr>
      <vt:lpstr>N_S_B</vt:lpstr>
      <vt:lpstr>N_S_EX</vt:lpstr>
      <vt:lpstr>N_T</vt:lpstr>
      <vt:lpstr>N_T_PRX</vt:lpstr>
      <vt:lpstr>P_S_P</vt:lpstr>
      <vt:lpstr>P_S_U</vt:lpstr>
      <vt:lpstr>P_S_VWAP</vt:lpstr>
      <vt:lpstr>P_T_P</vt:lpstr>
      <vt:lpstr>P_T_U</vt:lpstr>
      <vt:lpstr>P_T_VWAP</vt:lpstr>
      <vt:lpstr>PPA_INT_SHARE</vt:lpstr>
      <vt:lpstr>PPA_LIFE</vt:lpstr>
      <vt:lpstr>PREM</vt:lpstr>
      <vt:lpstr>PS_M1</vt:lpstr>
      <vt:lpstr>PS_M2</vt:lpstr>
      <vt:lpstr>PS_M3</vt:lpstr>
      <vt:lpstr>PS_M4</vt:lpstr>
      <vt:lpstr>PS_M5</vt:lpstr>
      <vt:lpstr>PT_M1</vt:lpstr>
      <vt:lpstr>PT_M2</vt:lpstr>
      <vt:lpstr>PT_M3</vt:lpstr>
      <vt:lpstr>PT_M4</vt:lpstr>
      <vt:lpstr>PT_M5</vt:lpstr>
      <vt:lpstr>Q4_RP_SHARE</vt:lpstr>
      <vt:lpstr>R_M1</vt:lpstr>
      <vt:lpstr>R_M2</vt:lpstr>
      <vt:lpstr>R_M3</vt:lpstr>
      <vt:lpstr>R_M4</vt:lpstr>
      <vt:lpstr>R_M5</vt:lpstr>
      <vt:lpstr>RP_RP_AR</vt:lpstr>
      <vt:lpstr>RP_RP_COGS_9M26</vt:lpstr>
      <vt:lpstr>RP_RP_COGS_FY25</vt:lpstr>
      <vt:lpstr>RP_RP_COGS_Q326</vt:lpstr>
      <vt:lpstr>RP_RP_DR</vt:lpstr>
      <vt:lpstr>RP_RP_INV_COST</vt:lpstr>
      <vt:lpstr>RP_RP_INV_FV</vt:lpstr>
      <vt:lpstr>RP_RP_REV_9M26</vt:lpstr>
      <vt:lpstr>RP_RP_REV_FY25</vt:lpstr>
      <vt:lpstr>RP_RP_REV_Q326</vt:lpstr>
      <vt:lpstr>RUNRATE_X</vt:lpstr>
      <vt:lpstr>TAX_ELIM</vt:lpstr>
      <vt:lpstr>VWAP_N</vt:lpstr>
      <vt:lpstr>VWAP_TXT</vt:lpstr>
      <vt:lpstr>X_TS_SPCX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SpaceX × 特斯拉 合并财务分析模型</dc:title>
  <dc:subject>内部讨论用研究分析（非投资建议）</dc:subject>
  <dc:creator>并购分析</dc:creator>
  <dc:description>公式联动模型；取数日期 2026-10-22</dc:description>
  <cp:lastModifiedBy>并购分析</cp:lastModifiedBy>
  <dcterms:created xsi:type="dcterms:W3CDTF">2026-10-22T21:12:59Z</dcterms:created>
  <dcterms:modified xsi:type="dcterms:W3CDTF">2026-10-22T21:12:59Z</dcterms:modified>
</cp:coreProperties>
</file>