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市场数据" sheetId="2" state="visible" r:id="rId2"/>
    <sheet xmlns:r="http://schemas.openxmlformats.org/officeDocument/2006/relationships" name="SpaceX数据" sheetId="3" state="visible" r:id="rId3"/>
    <sheet xmlns:r="http://schemas.openxmlformats.org/officeDocument/2006/relationships" name="Tesla数据" sheetId="4" state="visible" r:id="rId4"/>
    <sheet xmlns:r="http://schemas.openxmlformats.org/officeDocument/2006/relationships" name="合并备考" sheetId="5" state="visible" r:id="rId5"/>
    <sheet xmlns:r="http://schemas.openxmlformats.org/officeDocument/2006/relationships" name="换股比例" sheetId="6" state="visible" r:id="rId6"/>
    <sheet xmlns:r="http://schemas.openxmlformats.org/officeDocument/2006/relationships" name="敏感性" sheetId="7" state="visible" r:id="rId7"/>
    <sheet xmlns:r="http://schemas.openxmlformats.org/officeDocument/2006/relationships" name="检查" sheetId="8" state="visible" r:id="rId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.0;(#,##0.0);&quot;-&quot;"/>
    <numFmt numFmtId="166" formatCode="#,##0;(#,##0);&quot;-&quot;"/>
    <numFmt numFmtId="167" formatCode="0.0&quot;x&quot;"/>
    <numFmt numFmtId="168" formatCode="0.0%"/>
    <numFmt numFmtId="169" formatCode="0.0&quot;pp&quot;"/>
    <numFmt numFmtId="170" formatCode="0.000"/>
  </numFmts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7"/>
    </font>
    <font>
      <name val="Microsoft YaHei"/>
      <i val="1"/>
      <color rgb="005B6B7C"/>
      <sz val="9"/>
    </font>
    <font>
      <name val="Microsoft YaHei"/>
      <b val="1"/>
      <color rgb="00FFFFFF"/>
      <sz val="10.5"/>
    </font>
    <font>
      <name val="Microsoft YaHei"/>
      <color rgb="001B2A3A"/>
      <sz val="9.5"/>
    </font>
    <font>
      <name val="Microsoft YaHei"/>
      <b val="1"/>
      <color rgb="001B2A3A"/>
      <sz val="9"/>
    </font>
    <font>
      <name val="Microsoft YaHei"/>
      <color rgb="001B2A3A"/>
      <sz val="9"/>
    </font>
    <font>
      <name val="Microsoft YaHei"/>
      <b val="1"/>
      <color rgb="000B2545"/>
      <sz val="9"/>
    </font>
    <font>
      <name val="Microsoft YaHei"/>
      <color rgb="001B2A3A"/>
      <sz val="8.5"/>
    </font>
    <font>
      <name val="Microsoft YaHei"/>
      <i val="1"/>
      <color rgb="005B6B7C"/>
      <sz val="8.5"/>
    </font>
    <font>
      <name val="Microsoft YaHei"/>
      <color rgb="001B2A3A"/>
      <sz val="8"/>
    </font>
    <font>
      <name val="Microsoft YaHei"/>
      <b val="1"/>
      <color rgb="001B2A3A"/>
      <sz val="9.5"/>
    </font>
    <font>
      <name val="Microsoft YaHei"/>
      <color rgb="001B2A3A"/>
      <sz val="7.5"/>
    </font>
  </fonts>
  <fills count="10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0E7C7B"/>
      </patternFill>
    </fill>
    <fill>
      <patternFill patternType="solid">
        <fgColor rgb="00FFF2CC"/>
      </patternFill>
    </fill>
    <fill>
      <patternFill patternType="solid">
        <fgColor rgb="00DCEBF7"/>
      </patternFill>
    </fill>
    <fill>
      <patternFill patternType="solid">
        <fgColor rgb="00EEF2F6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7" borderId="0" applyAlignment="1" pivotButton="0" quotePrefix="0" xfId="0">
      <alignment vertical="top" wrapText="1"/>
    </xf>
    <xf numFmtId="0" fontId="4" fillId="8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166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0" fillId="0" borderId="4" pivotButton="0" quotePrefix="0" xfId="0"/>
    <xf numFmtId="0" fontId="8" fillId="8" borderId="1" applyAlignment="1" pivotButton="0" quotePrefix="0" xfId="0">
      <alignment horizontal="left" vertical="center"/>
    </xf>
    <xf numFmtId="0" fontId="0" fillId="0" borderId="5" pivotButton="0" quotePrefix="0" xfId="0"/>
    <xf numFmtId="170" fontId="4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168" fontId="11" fillId="5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8" fillId="9" borderId="0" applyAlignment="1" pivotButton="0" quotePrefix="0" xfId="0">
      <alignment vertical="top" wrapText="1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11" fillId="4" borderId="1" applyAlignment="1" pivotButton="0" quotePrefix="0" xfId="0">
      <alignment horizontal="right" vertical="center"/>
    </xf>
    <xf numFmtId="170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E4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9" customWidth="1" min="2" max="2"/>
    <col width="66" customWidth="1" min="3" max="3"/>
    <col width="30" customWidth="1" min="4" max="4"/>
    <col width="45" customWidth="1" min="5" max="5"/>
  </cols>
  <sheetData>
    <row r="1" ht="34" customHeight="1">
      <c r="A1" s="1" t="inlineStr">
        <is>
          <t>SpaceX × Tesla 合并财务分析模型</t>
        </is>
      </c>
    </row>
    <row r="2" ht="20" customHeight="1">
      <c r="A2" s="2" t="inlineStr">
        <is>
          <t>投行并购组内部讨论稿 ｜ 数据截止 2026 年 9 月 30 日 ｜ 市场数据 2026 年 10 月 21 日收盘 ｜ 编制日期 2026 年 10 月 22 日</t>
        </is>
      </c>
    </row>
    <row r="4" ht="22" customHeight="1">
      <c r="A4" s="3" t="inlineStr">
        <is>
          <t>一、模型目的与使用说明</t>
        </is>
      </c>
    </row>
    <row r="5" ht="44" customHeight="1">
      <c r="B5" s="4" t="inlineStr">
        <is>
          <t>目的：把 SpaceX 与 Tesla 视为一家公司，测算合并后的收入、利润、现金与负债结构，并用至少三种方法测算换股比例、双方原股东持股与马斯克个人持股变化。本模型为潜在交易的情景分析，不假设交易必然发生；仅用于内部研究与演示，不构成投资建议，不含买入/卖出/持有评级或目标价。</t>
        </is>
      </c>
    </row>
    <row r="6" ht="44" customHeight="1">
      <c r="B6" s="4" t="inlineStr">
        <is>
          <t>口径：除特别注明外，金额单位为百万美元（$M），股数为百万股，股价为美元/股。财年均为自然年。SpaceX 的“SI”即 Super Intelligence 分部（原 AI 分部）；Tesla 的“汽车”分部含服务及其他。</t>
        </is>
      </c>
    </row>
    <row r="7" ht="44" customHeight="1">
      <c r="B7" s="4" t="inlineStr">
        <is>
          <t>期间：最近四个季度（LTM）= 2025Q4 + 2026Q1 + 2026Q2 + 2026Q3；最近一个完整财年 = 2025 财年。SpaceX 2025Q4 由 2025 全年减去 2025 年前三季度推导；Tesla 2025Q4 及 2026 各季度取自 2026Q3 业绩公告的季度财务摘要。</t>
        </is>
      </c>
    </row>
    <row r="8" ht="44" customHeight="1">
      <c r="B8" s="4" t="inlineStr">
        <is>
          <t>来源：所有历史财务数字以“材料/”文件夹内的原始披露文件为准（招股书、季报、年报、业绩公告、委托书）；市场数据来自公开行情网站，具体日期与链接见“市场数据”页。每个数字在 H 列标注了文件名与章节/表名。</t>
        </is>
      </c>
    </row>
    <row r="9" ht="44" customHeight="1">
      <c r="B9" s="4" t="inlineStr">
        <is>
          <t>假设与事实分离：黄色底色为输入/披露数据，蓝色底色为公式计算；所有估算、假设均以“假设”字样标注，并在“合并备考”第六节与 README 中集中列示。不要将假设当作披露事实。</t>
        </is>
      </c>
    </row>
    <row r="10" ht="44" customHeight="1">
      <c r="B10" s="4" t="inlineStr">
        <is>
          <t>公式联动：修改“换股比例”页的溢价率、倍数，或“市场数据”页的股价、股本，换股比例、持股结构、敏感性表与备考商誉会自动更新。请勿覆盖蓝色公式格。</t>
        </is>
      </c>
    </row>
    <row r="11" ht="44" customHeight="1">
      <c r="B11" s="4" t="inlineStr">
        <is>
          <t>限制：本模型未做完整购买会计（PPA）、未做税务结构设计、未计入协同效应、未做协同成本、未考虑异议股东评估权与监管审批条件；换股比例仅为财务测算，不构成交易报价。</t>
        </is>
      </c>
    </row>
    <row r="13" ht="22" customHeight="1">
      <c r="A13" s="3" t="inlineStr">
        <is>
          <t>二、颜色与标记图例</t>
        </is>
      </c>
    </row>
    <row r="14">
      <c r="B14" s="5" t="inlineStr">
        <is>
          <t>输入/披露</t>
        </is>
      </c>
      <c r="C14" s="6" t="inlineStr">
        <is>
          <t>来自原始文件的数字，或需要用户调整的假设</t>
        </is>
      </c>
    </row>
    <row r="15">
      <c r="B15" s="7" t="inlineStr">
        <is>
          <t>公式</t>
        </is>
      </c>
      <c r="C15" s="6" t="inlineStr">
        <is>
          <t>由其他单元格计算，不应手动覆盖</t>
        </is>
      </c>
    </row>
    <row r="16">
      <c r="B16" s="8" t="inlineStr">
        <is>
          <t>表头</t>
        </is>
      </c>
      <c r="C16" s="6" t="inlineStr">
        <is>
          <t>列标题/小计标签</t>
        </is>
      </c>
    </row>
    <row r="17">
      <c r="B17" s="5" t="inlineStr">
        <is>
          <t>假设</t>
        </is>
      </c>
      <c r="C17" s="6" t="inlineStr">
        <is>
          <t>带“假设”字样的输入格，属于估算而非披露</t>
        </is>
      </c>
    </row>
    <row r="19" ht="22" customHeight="1">
      <c r="A19" s="3" t="inlineStr">
        <is>
          <t>三、原始文件清单</t>
        </is>
      </c>
    </row>
    <row r="20" ht="30" customHeight="1">
      <c r="A20" s="9" t="inlineStr"/>
      <c r="B20" s="9" t="inlineStr"/>
      <c r="C20" s="9" t="inlineStr">
        <is>
          <t>文件</t>
        </is>
      </c>
      <c r="D20" s="9" t="inlineStr">
        <is>
          <t>内容/用途</t>
        </is>
      </c>
      <c r="E20" s="9" t="inlineStr">
        <is>
          <t>日期</t>
        </is>
      </c>
    </row>
    <row r="21" ht="40" customHeight="1">
      <c r="B21" s="10" t="inlineStr"/>
      <c r="C21" s="11" t="inlineStr">
        <is>
          <t>SpaceX_招股书__spaceexplorationtechnologi.htm</t>
        </is>
      </c>
      <c r="D21" s="11" t="inlineStr">
        <is>
          <t>424B4 招股书：2025 全年及 2026Q1 财务、分部、关联交易、股权结构</t>
        </is>
      </c>
      <c r="E21" s="12" t="inlineStr">
        <is>
          <t>2026-06</t>
        </is>
      </c>
    </row>
    <row r="22" ht="40" customHeight="1">
      <c r="B22" s="10" t="inlineStr"/>
      <c r="C22" s="11" t="inlineStr">
        <is>
          <t>SpaceX_2026Q2季报__spcx-20260630.htm</t>
        </is>
      </c>
      <c r="D22" s="11" t="inlineStr">
        <is>
          <t>2026Q2 Form 10-Q：Q2/H1 财务、分部、关联交易</t>
        </is>
      </c>
      <c r="E22" s="12" t="inlineStr">
        <is>
          <t>2026-08</t>
        </is>
      </c>
    </row>
    <row r="23" ht="40" customHeight="1">
      <c r="B23" s="10" t="inlineStr"/>
      <c r="C23" s="11" t="inlineStr">
        <is>
          <t>SpaceX_2026Q3业绩公告__spaceexplorationtechnologi.htm</t>
        </is>
      </c>
      <c r="D23" s="11" t="inlineStr">
        <is>
          <t>2026Q3 业绩公告：Q3/9M 财务、分部、资产负债表、现金流</t>
        </is>
      </c>
      <c r="E23" s="12" t="inlineStr">
        <is>
          <t>2026-10-20</t>
        </is>
      </c>
    </row>
    <row r="24" ht="40" customHeight="1">
      <c r="B24" s="10" t="inlineStr"/>
      <c r="C24" s="11" t="inlineStr">
        <is>
          <t>Tesla_2025年报__tsla-20251231.htm</t>
        </is>
      </c>
      <c r="D24" s="11" t="inlineStr">
        <is>
          <t>2025 Form 10-K：全年财务、分部、关联交易</t>
        </is>
      </c>
      <c r="E24" s="12" t="inlineStr">
        <is>
          <t>2026-02</t>
        </is>
      </c>
    </row>
    <row r="25" ht="40" customHeight="1">
      <c r="B25" s="10" t="inlineStr"/>
      <c r="C25" s="11" t="inlineStr">
        <is>
          <t>Tesla_2026Q3季报__tsla-20260930.htm</t>
        </is>
      </c>
      <c r="D25" s="11" t="inlineStr">
        <is>
          <t>2026Q3 Form 10-Q：Q3/9M 财务、资产负债表、关联交易</t>
        </is>
      </c>
      <c r="E25" s="12" t="inlineStr">
        <is>
          <t>2026-10-22</t>
        </is>
      </c>
    </row>
    <row r="26" ht="40" customHeight="1">
      <c r="B26" s="10" t="inlineStr"/>
      <c r="C26" s="11" t="inlineStr">
        <is>
          <t>Tesla_2026Q3业绩公告__exhibit9914.htm</t>
        </is>
      </c>
      <c r="D26" s="11" t="inlineStr">
        <is>
          <t>2026Q3 业绩公告：季度财务摘要、TTM、非GAAP调节</t>
        </is>
      </c>
      <c r="E26" s="12" t="inlineStr">
        <is>
          <t>2026-10-21</t>
        </is>
      </c>
    </row>
    <row r="27" ht="40" customHeight="1">
      <c r="B27" s="10" t="inlineStr"/>
      <c r="C27" s="11" t="inlineStr">
        <is>
          <t>Tesla_2026股东大会委托书__tm267596-1_def14a.htm</t>
        </is>
      </c>
      <c r="D27" s="11" t="inlineStr">
        <is>
          <t>2026 委托书：马斯克持股、关联交易、高管薪酬</t>
        </is>
      </c>
      <c r="E27" s="12" t="inlineStr">
        <is>
          <t>2026-09</t>
        </is>
      </c>
    </row>
    <row r="29" ht="22" customHeight="1">
      <c r="A29" s="3" t="inlineStr">
        <is>
          <t>四、核心假设清单（均标为“假设”，与披露事实分开）</t>
        </is>
      </c>
    </row>
    <row r="30" ht="30" customHeight="1">
      <c r="A30" s="9" t="inlineStr"/>
      <c r="B30" s="9" t="inlineStr">
        <is>
          <t>编号</t>
        </is>
      </c>
      <c r="C30" s="9" t="inlineStr">
        <is>
          <t>假设</t>
        </is>
      </c>
      <c r="D30" s="9" t="inlineStr">
        <is>
          <t>数值/处理</t>
        </is>
      </c>
      <c r="E30" s="9" t="inlineStr">
        <is>
          <t>影响</t>
        </is>
      </c>
    </row>
    <row r="31" ht="26" customHeight="1">
      <c r="B31" s="13" t="inlineStr">
        <is>
          <t>A1</t>
        </is>
      </c>
      <c r="C31" s="14" t="inlineStr">
        <is>
          <t>换股溢价率（相对 Tesla 2026-10-21 收盘市值）</t>
        </is>
      </c>
      <c r="D31" s="14" t="inlineStr">
        <is>
          <t>20%</t>
        </is>
      </c>
      <c r="E31" s="14" t="inlineStr">
        <is>
          <t>基准情形换股比例与持股结构</t>
        </is>
      </c>
    </row>
    <row r="32" ht="26" customHeight="1">
      <c r="B32" s="13" t="inlineStr">
        <is>
          <t>A2</t>
        </is>
      </c>
      <c r="C32" s="14" t="inlineStr">
        <is>
          <t>收入倍数法：SpaceX / Tesla LTM 收入倍数</t>
        </is>
      </c>
      <c r="D32" s="14" t="inlineStr">
        <is>
          <t>50.0x / 12.0x</t>
        </is>
      </c>
      <c r="E32" s="14" t="inlineStr">
        <is>
          <t>方法 D 的隐含股权价值</t>
        </is>
      </c>
    </row>
    <row r="33" ht="26" customHeight="1">
      <c r="B33" s="13" t="inlineStr">
        <is>
          <t>A3</t>
        </is>
      </c>
      <c r="C33" s="14" t="inlineStr">
        <is>
          <t>EBITDA 倍数法：SpaceX / Tesla LTM Adj. EBITDA 倍数</t>
        </is>
      </c>
      <c r="D33" s="14" t="inlineStr">
        <is>
          <t>110.0x / 70.0x</t>
        </is>
      </c>
      <c r="E33" s="14" t="inlineStr">
        <is>
          <t>方法 E 的隐含股权价值</t>
        </is>
      </c>
    </row>
    <row r="34" ht="26" customHeight="1">
      <c r="B34" s="13" t="inlineStr">
        <is>
          <t>A4</t>
        </is>
      </c>
      <c r="C34" s="14" t="inlineStr">
        <is>
          <t>2025Q4 Tesla→SpaceX/xAI 关联收入</t>
        </is>
      </c>
      <c r="D34" s="14" t="inlineStr">
        <is>
          <t>250.4（=573.4−323.0）</t>
        </is>
      </c>
      <c r="E34" s="14" t="inlineStr">
        <is>
          <t>LTM 内部收入抵消</t>
        </is>
      </c>
    </row>
    <row r="35" ht="26" customHeight="1">
      <c r="B35" s="13" t="inlineStr">
        <is>
          <t>A5</t>
        </is>
      </c>
      <c r="C35" s="14" t="inlineStr">
        <is>
          <t>2025 前三季度 Tesla 关联方收入</t>
        </is>
      </c>
      <c r="D35" s="14" t="inlineStr">
        <is>
          <t>323.0</t>
        </is>
      </c>
      <c r="E35" s="14" t="inlineStr">
        <is>
          <t>仅用于推导 2025Q4，属估算</t>
        </is>
      </c>
    </row>
    <row r="36" ht="26" customHeight="1">
      <c r="B36" s="13" t="inlineStr">
        <is>
          <t>A6</t>
        </is>
      </c>
      <c r="C36" s="14" t="inlineStr">
        <is>
          <t>Tesla 总部运营费用按毛利占比分摊至汽车/服务/能源</t>
        </is>
      </c>
      <c r="D36" s="14" t="inlineStr">
        <is>
          <t>按毛利占比</t>
        </is>
      </c>
      <c r="E36" s="14" t="inlineStr">
        <is>
          <t>利润结构中的业务贡献</t>
        </is>
      </c>
    </row>
    <row r="37" ht="26" customHeight="1">
      <c r="B37" s="13" t="inlineStr">
        <is>
          <t>A7</t>
        </is>
      </c>
      <c r="C37" s="14" t="inlineStr">
        <is>
          <t>备考所得税率（用于调整项）</t>
        </is>
      </c>
      <c r="D37" s="14" t="inlineStr">
        <is>
          <t>21%</t>
        </is>
      </c>
      <c r="E37" s="14" t="inlineStr">
        <is>
          <t>关联交易与公允价值变动调整的税盾</t>
        </is>
      </c>
    </row>
    <row r="38" ht="26" customHeight="1">
      <c r="B38" s="13" t="inlineStr">
        <is>
          <t>A8</t>
        </is>
      </c>
      <c r="C38" s="14" t="inlineStr">
        <is>
          <t>购买会计：可辨认无形资产增值 / 摊销年限</t>
        </is>
      </c>
      <c r="D38" s="14" t="inlineStr">
        <is>
          <t>30,000 / 10 年</t>
        </is>
      </c>
      <c r="E38" s="14" t="inlineStr">
        <is>
          <t>商誉与增量摊销（仅示意）</t>
        </is>
      </c>
    </row>
    <row r="39" ht="26" customHeight="1">
      <c r="B39" s="13" t="inlineStr">
        <is>
          <t>A9</t>
        </is>
      </c>
      <c r="C39" s="14" t="inlineStr">
        <is>
          <t>交易费用率</t>
        </is>
      </c>
      <c r="D39" s="14" t="inlineStr">
        <is>
          <t>对价的 0.5%</t>
        </is>
      </c>
      <c r="E39" s="14" t="inlineStr">
        <is>
          <t>一次性费用（未计入备考利润）</t>
        </is>
      </c>
    </row>
    <row r="40" ht="26" customHeight="1">
      <c r="B40" s="13" t="inlineStr">
        <is>
          <t>A10</t>
        </is>
      </c>
      <c r="C40" s="14" t="inlineStr">
        <is>
          <t>Tesla 持有的 SpaceX 股权按库存股/交叉持股抵消</t>
        </is>
      </c>
      <c r="D40" s="14" t="inlineStr">
        <is>
          <t>2,865（9/30/26 公允价值）</t>
        </is>
      </c>
      <c r="E40" s="14" t="inlineStr">
        <is>
          <t>减少备考权益与资产</t>
        </is>
      </c>
    </row>
    <row r="41" ht="26" customHeight="1">
      <c r="B41" s="13" t="inlineStr">
        <is>
          <t>A11</t>
        </is>
      </c>
      <c r="C41" s="14" t="inlineStr">
        <is>
          <t>SpaceX 股本口径：8,240 A + 5,339 B（含未归属限制性股票）</t>
        </is>
      </c>
      <c r="D41" s="14" t="inlineStr">
        <is>
          <t>13,579</t>
        </is>
      </c>
      <c r="E41" s="14" t="inlineStr">
        <is>
          <t>换股分母；不含未行权期权</t>
        </is>
      </c>
    </row>
    <row r="42" ht="26" customHeight="1">
      <c r="B42" s="13" t="inlineStr">
        <is>
          <t>A12</t>
        </is>
      </c>
      <c r="C42" s="14" t="inlineStr">
        <is>
          <t>Tesla 股本口径：3,952.758（含未归属限制性股票）</t>
        </is>
      </c>
      <c r="D42" s="14" t="inlineStr">
        <is>
          <t>3,952.758</t>
        </is>
      </c>
      <c r="E42" s="14" t="inlineStr">
        <is>
          <t>换股分母；不含未行权期权</t>
        </is>
      </c>
    </row>
    <row r="43" ht="26" customHeight="1">
      <c r="B43" s="13" t="inlineStr">
        <is>
          <t>A13</t>
        </is>
      </c>
      <c r="C43" s="14" t="inlineStr">
        <is>
          <t>马斯克持股按 2026-05-01 招股书 / 2026-09-30 委托书静态处理</t>
        </is>
      </c>
      <c r="D43" s="14" t="inlineStr">
        <is>
          <t>不随合并调整</t>
        </is>
      </c>
      <c r="E43" s="14" t="inlineStr">
        <is>
          <t>持股比例测算</t>
        </is>
      </c>
    </row>
    <row r="44" ht="26" customHeight="1">
      <c r="B44" s="13" t="inlineStr">
        <is>
          <t>A14</t>
        </is>
      </c>
      <c r="C44" s="14" t="inlineStr">
        <is>
          <t>协同效应</t>
        </is>
      </c>
      <c r="D44" s="14" t="inlineStr">
        <is>
          <t>0（未计入）</t>
        </is>
      </c>
      <c r="E44" s="14" t="inlineStr">
        <is>
          <t>备考利润不含协同，属保守处理</t>
        </is>
      </c>
    </row>
    <row r="46" ht="22" customHeight="1">
      <c r="A46" s="3" t="inlineStr">
        <is>
          <t>五、重要提示</t>
        </is>
      </c>
    </row>
    <row r="47" ht="52" customHeight="1">
      <c r="B47" s="15" t="inlineStr">
        <is>
          <t>本模型中的“备考”数字是把两家公司历史报表简单相加并做关联交易/交叉持股抵消，不是购买会计后的合并报表。实际交易完成后，收购价格分摊、商誉、无形资产摊销、库存增值、递延税、交易费用与协同效应都会改变报告利润。换股比例是财务测算，不是报价，也不构成任何投资建议。</t>
        </is>
      </c>
    </row>
  </sheetData>
  <mergeCells count="19">
    <mergeCell ref="B11:D11"/>
    <mergeCell ref="C15:D15"/>
    <mergeCell ref="B8:D8"/>
    <mergeCell ref="C14:D14"/>
    <mergeCell ref="A1:E1"/>
    <mergeCell ref="B10:D10"/>
    <mergeCell ref="C16:D16"/>
    <mergeCell ref="B9:D9"/>
    <mergeCell ref="A46:E46"/>
    <mergeCell ref="B47:E47"/>
    <mergeCell ref="B6:D6"/>
    <mergeCell ref="B5:D5"/>
    <mergeCell ref="A2:E2"/>
    <mergeCell ref="B7:D7"/>
    <mergeCell ref="C17:D17"/>
    <mergeCell ref="A29:E29"/>
    <mergeCell ref="A4:E4"/>
    <mergeCell ref="A19:E19"/>
    <mergeCell ref="A13:E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3A89E"/>
    <outlinePr summaryBelow="1" summaryRight="1"/>
    <pageSetUpPr fitToPage="1"/>
  </sheetPr>
  <dimension ref="A1:E5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5" customWidth="1" min="2" max="2"/>
    <col width="11" customWidth="1" min="3" max="3"/>
    <col width="16" customWidth="1" min="4" max="4"/>
    <col width="62" customWidth="1" min="5" max="5"/>
  </cols>
  <sheetData>
    <row r="1" ht="34" customHeight="1">
      <c r="A1" s="1" t="inlineStr">
        <is>
          <t>市场数据、股本与持股</t>
        </is>
      </c>
    </row>
    <row r="2" ht="20" customHeight="1">
      <c r="A2" s="2" t="inlineStr">
        <is>
          <t>价格日期 2026-10-21 收盘（宣布前参考 2026-10-19）；行情来源 stockanalysis.com，访问日期 2026-10-22；股数来自公司披露</t>
        </is>
      </c>
    </row>
    <row r="4" ht="30" customHeight="1">
      <c r="A4" s="9" t="inlineStr">
        <is>
          <t>项目</t>
        </is>
      </c>
      <c r="B4" s="9" t="inlineStr">
        <is>
          <t>数值</t>
        </is>
      </c>
      <c r="C4" s="9" t="inlineStr">
        <is>
          <t>单位</t>
        </is>
      </c>
      <c r="D4" s="9" t="inlineStr">
        <is>
          <t>日期</t>
        </is>
      </c>
      <c r="E4" s="9" t="inlineStr">
        <is>
          <t>来源/备注</t>
        </is>
      </c>
    </row>
    <row r="5">
      <c r="A5" s="16" t="inlineStr">
        <is>
          <t>SpaceX（SPCX）收盘价</t>
        </is>
      </c>
      <c r="B5" s="17" t="n">
        <v>159.31</v>
      </c>
      <c r="C5" s="18" t="inlineStr">
        <is>
          <t>$/股</t>
        </is>
      </c>
      <c r="D5" s="18" t="inlineStr">
        <is>
          <t>2026-10-21</t>
        </is>
      </c>
      <c r="E5" s="19" t="inlineStr">
        <is>
          <t>stockanalysis.com/stocks/spcx/history/；收盘价</t>
        </is>
      </c>
    </row>
    <row r="6">
      <c r="A6" s="16" t="inlineStr">
        <is>
          <t>Tesla（TSLA）收盘价</t>
        </is>
      </c>
      <c r="B6" s="17" t="n">
        <v>386.47</v>
      </c>
      <c r="C6" s="18" t="inlineStr">
        <is>
          <t>$/股</t>
        </is>
      </c>
      <c r="D6" s="18" t="inlineStr">
        <is>
          <t>2026-10-21</t>
        </is>
      </c>
      <c r="E6" s="19" t="inlineStr">
        <is>
          <t>stockanalysis.com/stocks/tsla/history/；收盘价</t>
        </is>
      </c>
    </row>
    <row r="7">
      <c r="A7" s="16" t="inlineStr">
        <is>
          <t>SPCX 收盘价（宣布前）</t>
        </is>
      </c>
      <c r="B7" s="17" t="n">
        <v>147.96</v>
      </c>
      <c r="C7" s="18" t="inlineStr">
        <is>
          <t>$/股</t>
        </is>
      </c>
      <c r="D7" s="18" t="inlineStr">
        <is>
          <t>2026-10-19</t>
        </is>
      </c>
      <c r="E7" s="19" t="inlineStr">
        <is>
          <t>合并消息前最后一个交易日收盘</t>
        </is>
      </c>
    </row>
    <row r="8">
      <c r="A8" s="16" t="inlineStr">
        <is>
          <t>TSLA 收盘价（宣布前）</t>
        </is>
      </c>
      <c r="B8" s="17" t="n">
        <v>368.06</v>
      </c>
      <c r="C8" s="18" t="inlineStr">
        <is>
          <t>$/股</t>
        </is>
      </c>
      <c r="D8" s="18" t="inlineStr">
        <is>
          <t>2026-10-19</t>
        </is>
      </c>
      <c r="E8" s="19" t="inlineStr">
        <is>
          <t>合并消息前最后一个交易日收盘</t>
        </is>
      </c>
    </row>
    <row r="9">
      <c r="A9" s="16" t="inlineStr">
        <is>
          <t>SPCX 30日成交量加权均价</t>
        </is>
      </c>
      <c r="B9" s="17" t="n">
        <v>154.35</v>
      </c>
      <c r="C9" s="18" t="inlineStr">
        <is>
          <t>$/股</t>
        </is>
      </c>
      <c r="D9" s="18" t="inlineStr">
        <is>
          <t>2026-09-10至10-21</t>
        </is>
      </c>
      <c r="E9" s="19" t="inlineStr">
        <is>
          <t>按收盘价×成交量计算，30个交易日；近似VWAP</t>
        </is>
      </c>
    </row>
    <row r="10">
      <c r="A10" s="16" t="inlineStr">
        <is>
          <t>TSLA 30日成交量加权均价</t>
        </is>
      </c>
      <c r="B10" s="17" t="n">
        <v>368.4</v>
      </c>
      <c r="C10" s="18" t="inlineStr">
        <is>
          <t>$/股</t>
        </is>
      </c>
      <c r="D10" s="18" t="inlineStr">
        <is>
          <t>2026-09-10至10-21</t>
        </is>
      </c>
      <c r="E10" s="19" t="inlineStr">
        <is>
          <t>按收盘价×成交量计算，30个交易日；近似VWAP</t>
        </is>
      </c>
    </row>
    <row r="11">
      <c r="A11" s="16" t="inlineStr">
        <is>
          <t>SPCX 在外股本</t>
        </is>
      </c>
      <c r="B11" s="20" t="n">
        <v>13579</v>
      </c>
      <c r="C11" s="18" t="inlineStr">
        <is>
          <t>百万股</t>
        </is>
      </c>
      <c r="D11" s="18" t="inlineStr">
        <is>
          <t>2026-09-30</t>
        </is>
      </c>
      <c r="E11" s="19" t="inlineStr">
        <is>
          <t>Q3业绩公告资产负债表：8,240 A + 5,339 B</t>
        </is>
      </c>
    </row>
    <row r="12">
      <c r="A12" s="16" t="inlineStr">
        <is>
          <t>TSLA 在外股本</t>
        </is>
      </c>
      <c r="B12" s="20" t="n">
        <v>3952.758</v>
      </c>
      <c r="C12" s="18" t="inlineStr">
        <is>
          <t>百万股</t>
        </is>
      </c>
      <c r="D12" s="18" t="inlineStr">
        <is>
          <t>2026-10-15</t>
        </is>
      </c>
      <c r="E12" s="19" t="inlineStr">
        <is>
          <t>2026Q3 Form 10-Q 封面：3,952,757,946 股</t>
        </is>
      </c>
    </row>
    <row r="13">
      <c r="A13" s="16" t="inlineStr">
        <is>
          <t>SPCX 市值</t>
        </is>
      </c>
      <c r="B13" s="21">
        <f>B5*B11</f>
        <v/>
      </c>
      <c r="C13" s="18" t="inlineStr">
        <is>
          <t>$M</t>
        </is>
      </c>
      <c r="D13" s="18" t="inlineStr">
        <is>
          <t>2026-10-21</t>
        </is>
      </c>
      <c r="E13" s="19" t="inlineStr">
        <is>
          <t>公式：收盘价×股本</t>
        </is>
      </c>
    </row>
    <row r="14">
      <c r="A14" s="16" t="inlineStr">
        <is>
          <t>TSLA 市值</t>
        </is>
      </c>
      <c r="B14" s="21">
        <f>B6*B12</f>
        <v/>
      </c>
      <c r="C14" s="18" t="inlineStr">
        <is>
          <t>$M</t>
        </is>
      </c>
      <c r="D14" s="18" t="inlineStr">
        <is>
          <t>2026-10-21</t>
        </is>
      </c>
      <c r="E14" s="19" t="inlineStr">
        <is>
          <t>公式：收盘价×股本</t>
        </is>
      </c>
    </row>
    <row r="15">
      <c r="A15" s="16" t="inlineStr">
        <is>
          <t>SPCX 市值（宣布前）</t>
        </is>
      </c>
      <c r="B15" s="21">
        <f>B7*B11</f>
        <v/>
      </c>
      <c r="C15" s="18" t="inlineStr">
        <is>
          <t>$M</t>
        </is>
      </c>
      <c r="D15" s="18" t="inlineStr">
        <is>
          <t>2026-10-19</t>
        </is>
      </c>
      <c r="E15" s="19" t="inlineStr">
        <is>
          <t>公式</t>
        </is>
      </c>
    </row>
    <row r="16">
      <c r="A16" s="16" t="inlineStr">
        <is>
          <t>TSLA 市值（宣布前）</t>
        </is>
      </c>
      <c r="B16" s="21">
        <f>B8*B12</f>
        <v/>
      </c>
      <c r="C16" s="18" t="inlineStr">
        <is>
          <t>$M</t>
        </is>
      </c>
      <c r="D16" s="18" t="inlineStr">
        <is>
          <t>2026-10-19</t>
        </is>
      </c>
      <c r="E16" s="19" t="inlineStr">
        <is>
          <t>公式</t>
        </is>
      </c>
    </row>
    <row r="17">
      <c r="A17" s="16" t="inlineStr">
        <is>
          <t>SPCX 市值（30日VWAP）</t>
        </is>
      </c>
      <c r="B17" s="21">
        <f>B9*B11</f>
        <v/>
      </c>
      <c r="C17" s="18" t="inlineStr">
        <is>
          <t>$M</t>
        </is>
      </c>
      <c r="D17" s="18" t="inlineStr">
        <is>
          <t>2026-09-10至10-21</t>
        </is>
      </c>
      <c r="E17" s="19" t="inlineStr">
        <is>
          <t>公式</t>
        </is>
      </c>
    </row>
    <row r="18">
      <c r="A18" s="16" t="inlineStr">
        <is>
          <t>TSLA 市值（30日VWAP）</t>
        </is>
      </c>
      <c r="B18" s="21">
        <f>B10*B12</f>
        <v/>
      </c>
      <c r="C18" s="18" t="inlineStr">
        <is>
          <t>$M</t>
        </is>
      </c>
      <c r="D18" s="18" t="inlineStr">
        <is>
          <t>2026-09-10至10-21</t>
        </is>
      </c>
      <c r="E18" s="19" t="inlineStr">
        <is>
          <t>公式</t>
        </is>
      </c>
    </row>
    <row r="19">
      <c r="A19" s="16" t="inlineStr">
        <is>
          <t>SPCX 净债务/(净现金)</t>
        </is>
      </c>
      <c r="B19" s="21">
        <f>'SpaceX数据'!G28</f>
        <v/>
      </c>
      <c r="C19" s="18" t="inlineStr">
        <is>
          <t>$M</t>
        </is>
      </c>
      <c r="D19" s="18" t="inlineStr">
        <is>
          <t>2026-09-30</t>
        </is>
      </c>
      <c r="E19" s="19" t="inlineStr">
        <is>
          <t>有息负债−现金及短期投资；负数为净现金</t>
        </is>
      </c>
    </row>
    <row r="20">
      <c r="A20" s="16" t="inlineStr">
        <is>
          <t>TSLA 净债务/(净现金)</t>
        </is>
      </c>
      <c r="B20" s="21">
        <f>'Tesla数据'!G28</f>
        <v/>
      </c>
      <c r="C20" s="18" t="inlineStr">
        <is>
          <t>$M</t>
        </is>
      </c>
      <c r="D20" s="18" t="inlineStr">
        <is>
          <t>2026-09-30</t>
        </is>
      </c>
      <c r="E20" s="19" t="inlineStr">
        <is>
          <t>有息负债−现金及短期投资；负数为净现金</t>
        </is>
      </c>
    </row>
    <row r="21">
      <c r="A21" s="16" t="inlineStr">
        <is>
          <t>SPCX 企业价值</t>
        </is>
      </c>
      <c r="B21" s="21">
        <f>B13+B19</f>
        <v/>
      </c>
      <c r="C21" s="18" t="inlineStr">
        <is>
          <t>$M</t>
        </is>
      </c>
      <c r="D21" s="18" t="inlineStr">
        <is>
          <t>2026-10-21</t>
        </is>
      </c>
      <c r="E21" s="19" t="inlineStr">
        <is>
          <t>市值+净债务</t>
        </is>
      </c>
    </row>
    <row r="22">
      <c r="A22" s="16" t="inlineStr">
        <is>
          <t>TSLA 企业价值</t>
        </is>
      </c>
      <c r="B22" s="21">
        <f>B14+B20</f>
        <v/>
      </c>
      <c r="C22" s="18" t="inlineStr">
        <is>
          <t>$M</t>
        </is>
      </c>
      <c r="D22" s="18" t="inlineStr">
        <is>
          <t>2026-10-21</t>
        </is>
      </c>
      <c r="E22" s="19" t="inlineStr">
        <is>
          <t>市值+净债务</t>
        </is>
      </c>
    </row>
    <row r="23">
      <c r="A23" s="16" t="inlineStr">
        <is>
          <t>SPCX LTM 营业收入</t>
        </is>
      </c>
      <c r="B23" s="21">
        <f>'SpaceX数据'!G5</f>
        <v/>
      </c>
      <c r="C23" s="18" t="inlineStr">
        <is>
          <t>$M</t>
        </is>
      </c>
      <c r="D23" s="18" t="inlineStr">
        <is>
          <t>2025Q4-2026Q3</t>
        </is>
      </c>
      <c r="E23" s="19" t="inlineStr">
        <is>
          <t>最近四个季度合计</t>
        </is>
      </c>
    </row>
    <row r="24">
      <c r="A24" s="16" t="inlineStr">
        <is>
          <t>TSLA LTM 营业收入</t>
        </is>
      </c>
      <c r="B24" s="21">
        <f>'Tesla数据'!G5</f>
        <v/>
      </c>
      <c r="C24" s="18" t="inlineStr">
        <is>
          <t>$M</t>
        </is>
      </c>
      <c r="D24" s="18" t="inlineStr">
        <is>
          <t>2025Q4-2026Q3</t>
        </is>
      </c>
      <c r="E24" s="19" t="inlineStr">
        <is>
          <t>最近四个季度合计</t>
        </is>
      </c>
    </row>
    <row r="25">
      <c r="A25" s="16" t="inlineStr">
        <is>
          <t>SPCX LTM 调整后EBITDA</t>
        </is>
      </c>
      <c r="B25" s="21">
        <f>'SpaceX数据'!G31</f>
        <v/>
      </c>
      <c r="C25" s="18" t="inlineStr">
        <is>
          <t>$M</t>
        </is>
      </c>
      <c r="D25" s="18" t="inlineStr">
        <is>
          <t>2025Q4-2026Q3</t>
        </is>
      </c>
      <c r="E25" s="19" t="inlineStr">
        <is>
          <t>公司披露口径</t>
        </is>
      </c>
    </row>
    <row r="26">
      <c r="A26" s="16" t="inlineStr">
        <is>
          <t>TSLA LTM 调整后EBITDA</t>
        </is>
      </c>
      <c r="B26" s="21">
        <f>'Tesla数据'!G31</f>
        <v/>
      </c>
      <c r="C26" s="18" t="inlineStr">
        <is>
          <t>$M</t>
        </is>
      </c>
      <c r="D26" s="18" t="inlineStr">
        <is>
          <t>2025Q4-2026Q3</t>
        </is>
      </c>
      <c r="E26" s="19" t="inlineStr">
        <is>
          <t>公司披露口径</t>
        </is>
      </c>
    </row>
    <row r="27">
      <c r="A27" s="16" t="inlineStr">
        <is>
          <t>SPCX EV / LTM 营收</t>
        </is>
      </c>
      <c r="B27" s="22">
        <f>B21/B23</f>
        <v/>
      </c>
      <c r="C27" s="18" t="inlineStr">
        <is>
          <t>x</t>
        </is>
      </c>
      <c r="D27" s="18" t="inlineStr">
        <is>
          <t>2026-10-21</t>
        </is>
      </c>
      <c r="E27" s="19" t="inlineStr">
        <is>
          <t>公式</t>
        </is>
      </c>
    </row>
    <row r="28">
      <c r="A28" s="16" t="inlineStr">
        <is>
          <t>TSLA EV / LTM 营收</t>
        </is>
      </c>
      <c r="B28" s="22">
        <f>B22/B24</f>
        <v/>
      </c>
      <c r="C28" s="18" t="inlineStr">
        <is>
          <t>x</t>
        </is>
      </c>
      <c r="D28" s="18" t="inlineStr">
        <is>
          <t>2026-10-21</t>
        </is>
      </c>
      <c r="E28" s="19" t="inlineStr">
        <is>
          <t>公式</t>
        </is>
      </c>
    </row>
    <row r="29">
      <c r="A29" s="16" t="inlineStr">
        <is>
          <t>SPCX EV / LTM Adj. EBITDA</t>
        </is>
      </c>
      <c r="B29" s="22">
        <f>B21/B25</f>
        <v/>
      </c>
      <c r="C29" s="18" t="inlineStr">
        <is>
          <t>x</t>
        </is>
      </c>
      <c r="D29" s="18" t="inlineStr">
        <is>
          <t>2026-10-21</t>
        </is>
      </c>
      <c r="E29" s="19" t="inlineStr">
        <is>
          <t>公式</t>
        </is>
      </c>
    </row>
    <row r="30">
      <c r="A30" s="16" t="inlineStr">
        <is>
          <t>TSLA EV / LTM Adj. EBITDA</t>
        </is>
      </c>
      <c r="B30" s="22">
        <f>B22/B26</f>
        <v/>
      </c>
      <c r="C30" s="18" t="inlineStr">
        <is>
          <t>x</t>
        </is>
      </c>
      <c r="D30" s="18" t="inlineStr">
        <is>
          <t>2026-10-21</t>
        </is>
      </c>
      <c r="E30" s="19" t="inlineStr">
        <is>
          <t>公式</t>
        </is>
      </c>
    </row>
    <row r="33" ht="22" customHeight="1">
      <c r="A33" s="3" t="inlineStr">
        <is>
          <t>持股与交叉持股（用于换股与马斯克持股测算）</t>
        </is>
      </c>
    </row>
    <row r="34" ht="30" customHeight="1">
      <c r="A34" s="9" t="inlineStr">
        <is>
          <t>项目</t>
        </is>
      </c>
      <c r="B34" s="9" t="inlineStr">
        <is>
          <t>数值</t>
        </is>
      </c>
      <c r="C34" s="9" t="inlineStr">
        <is>
          <t>单位</t>
        </is>
      </c>
      <c r="D34" s="9" t="inlineStr">
        <is>
          <t>日期</t>
        </is>
      </c>
      <c r="E34" s="9" t="inlineStr">
        <is>
          <t>来源/备注</t>
        </is>
      </c>
    </row>
    <row r="35">
      <c r="A35" s="16" t="inlineStr">
        <is>
          <t>马斯克持有 SPCX 股数</t>
        </is>
      </c>
      <c r="B35" s="20" t="n">
        <v>6418.547515</v>
      </c>
      <c r="C35" s="18" t="inlineStr">
        <is>
          <t>百万股</t>
        </is>
      </c>
      <c r="D35" s="18" t="inlineStr">
        <is>
          <t>2026-05-01</t>
        </is>
      </c>
      <c r="E35" s="19" t="inlineStr">
        <is>
          <t>招股书 Security Ownership：849.5 A + 5,569.1 B（含 350.0 期权/限制性股票）</t>
        </is>
      </c>
    </row>
    <row r="36">
      <c r="A36" s="16" t="inlineStr">
        <is>
          <t>马斯克持有 TSLA 股数</t>
        </is>
      </c>
      <c r="B36" s="20" t="n">
        <v>699.580882</v>
      </c>
      <c r="C36" s="18" t="inlineStr">
        <is>
          <t>百万股</t>
        </is>
      </c>
      <c r="D36" s="18" t="inlineStr">
        <is>
          <t>2026-09-30</t>
        </is>
      </c>
      <c r="E36" s="19" t="inlineStr">
        <is>
          <t>2026 委托书 Ownership of Securities：699,580,882 股</t>
        </is>
      </c>
    </row>
    <row r="37">
      <c r="A37" s="16" t="inlineStr">
        <is>
          <t>马斯克持有 SPCX 比例</t>
        </is>
      </c>
      <c r="B37" s="23">
        <f>B35/B11</f>
        <v/>
      </c>
      <c r="C37" s="18" t="inlineStr">
        <is>
          <t>%</t>
        </is>
      </c>
      <c r="D37" s="18" t="inlineStr">
        <is>
          <t>2026-09-30</t>
        </is>
      </c>
      <c r="E37" s="19" t="inlineStr">
        <is>
          <t>按 9/30 在外股本计算；招股书按 5/1 口径披露 49.0% 经济权益</t>
        </is>
      </c>
    </row>
    <row r="38">
      <c r="A38" s="16" t="inlineStr">
        <is>
          <t>马斯克持有 TSLA 比例</t>
        </is>
      </c>
      <c r="B38" s="23">
        <f>B36/B12</f>
        <v/>
      </c>
      <c r="C38" s="18" t="inlineStr">
        <is>
          <t>%</t>
        </is>
      </c>
      <c r="D38" s="18" t="inlineStr">
        <is>
          <t>2026-09-30</t>
        </is>
      </c>
      <c r="E38" s="19" t="inlineStr">
        <is>
          <t>按 10-Q 股本计算；委托书按自身口径披露 19.8%</t>
        </is>
      </c>
    </row>
    <row r="39">
      <c r="A39" s="16" t="inlineStr">
        <is>
          <t>Tesla 持有 SPCX 股数（假设）</t>
        </is>
      </c>
      <c r="B39" s="20" t="n">
        <v>14.8</v>
      </c>
      <c r="C39" s="18" t="inlineStr">
        <is>
          <t>百万股</t>
        </is>
      </c>
      <c r="D39" s="18" t="inlineStr">
        <is>
          <t>2026-09-30</t>
        </is>
      </c>
      <c r="E39" s="19" t="inlineStr">
        <is>
          <t>假设：$2.0bn 投资 / $135 IPO价；公司披露持股 &lt;1%</t>
        </is>
      </c>
    </row>
    <row r="40">
      <c r="A40" s="16" t="inlineStr">
        <is>
          <t>Tesla 持有 SPCX 公允价值</t>
        </is>
      </c>
      <c r="B40" s="24" t="n">
        <v>2865</v>
      </c>
      <c r="C40" s="18" t="inlineStr">
        <is>
          <t>$M</t>
        </is>
      </c>
      <c r="D40" s="18" t="inlineStr">
        <is>
          <t>2026-09-30</t>
        </is>
      </c>
      <c r="E40" s="19" t="inlineStr">
        <is>
          <t>Tesla Q3 10-Q Note 2：Level 1 公允价值 2,865</t>
        </is>
      </c>
    </row>
    <row r="41">
      <c r="A41" s="16" t="inlineStr">
        <is>
          <t>Tesla 持有 SPCX 比例</t>
        </is>
      </c>
      <c r="B41" s="23">
        <f>B39/B11</f>
        <v/>
      </c>
      <c r="C41" s="18" t="inlineStr">
        <is>
          <t>%</t>
        </is>
      </c>
      <c r="D41" s="18" t="inlineStr">
        <is>
          <t>2026-09-30</t>
        </is>
      </c>
      <c r="E41" s="19" t="inlineStr">
        <is>
          <t>公式；与“&lt;1%”披露一致</t>
        </is>
      </c>
    </row>
    <row r="42">
      <c r="A42" s="16" t="inlineStr">
        <is>
          <t>马斯克合并前 look-through 经济权益</t>
        </is>
      </c>
      <c r="B42" s="23">
        <f>(B35*B5+B36*B6)/(B13+B14)</f>
        <v/>
      </c>
      <c r="C42" s="18" t="inlineStr">
        <is>
          <t>%</t>
        </is>
      </c>
      <c r="D42" s="18" t="inlineStr">
        <is>
          <t>2026-10-21</t>
        </is>
      </c>
      <c r="E42" s="19" t="inlineStr">
        <is>
          <t>按两家市值加权：马斯克持股市值 / 两家合计市值</t>
        </is>
      </c>
    </row>
    <row r="43">
      <c r="A43" s="16" t="inlineStr">
        <is>
          <t>SPCX Class A 总股数</t>
        </is>
      </c>
      <c r="B43" s="20" t="n">
        <v>8240</v>
      </c>
      <c r="C43" s="18" t="inlineStr">
        <is>
          <t>百万股</t>
        </is>
      </c>
      <c r="D43" s="18" t="inlineStr">
        <is>
          <t>2026-09-30</t>
        </is>
      </c>
      <c r="E43" s="19" t="inlineStr">
        <is>
          <t>Q3业绩公告资产负债表</t>
        </is>
      </c>
    </row>
    <row r="44">
      <c r="A44" s="16" t="inlineStr">
        <is>
          <t>SPCX Class B 总股数</t>
        </is>
      </c>
      <c r="B44" s="20" t="n">
        <v>5339</v>
      </c>
      <c r="C44" s="18" t="inlineStr">
        <is>
          <t>百万股</t>
        </is>
      </c>
      <c r="D44" s="18" t="inlineStr">
        <is>
          <t>2026-09-30</t>
        </is>
      </c>
      <c r="E44" s="19" t="inlineStr">
        <is>
          <t>Q3业绩公告资产负债表</t>
        </is>
      </c>
    </row>
    <row r="45">
      <c r="A45" s="16" t="inlineStr">
        <is>
          <t>马斯克 Class A 股数</t>
        </is>
      </c>
      <c r="B45" s="20" t="n">
        <v>849.4944400000001</v>
      </c>
      <c r="C45" s="18" t="inlineStr">
        <is>
          <t>百万股</t>
        </is>
      </c>
      <c r="D45" s="18" t="inlineStr">
        <is>
          <t>2026-05-01</t>
        </is>
      </c>
      <c r="E45" s="19" t="inlineStr">
        <is>
          <t>招股书</t>
        </is>
      </c>
    </row>
    <row r="46">
      <c r="A46" s="16" t="inlineStr">
        <is>
          <t>马斯克 Class B 股数（推算）</t>
        </is>
      </c>
      <c r="B46" s="20" t="n">
        <v>5219.053075</v>
      </c>
      <c r="C46" s="18" t="inlineStr">
        <is>
          <t>百万股</t>
        </is>
      </c>
      <c r="D46" s="18" t="inlineStr">
        <is>
          <t>2026-05-01</t>
        </is>
      </c>
      <c r="E46" s="19" t="inlineStr">
        <is>
          <t>5,569.053 − 350.0 期权 = 5,219.053（假设期权未行权）</t>
        </is>
      </c>
    </row>
    <row r="47">
      <c r="A47" s="16" t="inlineStr">
        <is>
          <t>马斯克 SPCX 投票权（计算）</t>
        </is>
      </c>
      <c r="B47" s="23">
        <f>(B45+B46*10)/(B43+B44*10)</f>
        <v/>
      </c>
      <c r="C47" s="18" t="inlineStr">
        <is>
          <t>%</t>
        </is>
      </c>
      <c r="D47" s="18" t="inlineStr">
        <is>
          <t>2026-05-01</t>
        </is>
      </c>
      <c r="E47" s="19" t="inlineStr">
        <is>
          <t>假设 Class B 每股 10 票</t>
        </is>
      </c>
    </row>
    <row r="48">
      <c r="A48" s="16" t="inlineStr">
        <is>
          <t>马斯克 SPCX 投票权（披露）</t>
        </is>
      </c>
      <c r="B48" s="25" t="n">
        <v>0.844</v>
      </c>
      <c r="C48" s="18" t="inlineStr">
        <is>
          <t>%</t>
        </is>
      </c>
      <c r="D48" s="18" t="inlineStr">
        <is>
          <t>2026-05-01</t>
        </is>
      </c>
      <c r="E48" s="19" t="inlineStr">
        <is>
          <t>招股书：合并投票权约 84.4%</t>
        </is>
      </c>
    </row>
    <row r="49">
      <c r="A49" s="16" t="inlineStr">
        <is>
          <t>差异说明（计算 vs 披露）</t>
        </is>
      </c>
      <c r="B49" s="26">
        <f>B47-B48</f>
        <v/>
      </c>
      <c r="C49" s="18" t="inlineStr">
        <is>
          <t>pp</t>
        </is>
      </c>
      <c r="D49" s="18" t="inlineStr">
        <is>
          <t>—</t>
        </is>
      </c>
      <c r="E49" s="19" t="inlineStr">
        <is>
          <t>主要因期权/限制性股票是否计入、Class B 归属口径不同</t>
        </is>
      </c>
    </row>
    <row r="51" ht="34" customHeight="1">
      <c r="A51" s="27" t="inlineStr">
        <is>
          <t>注：行情网站为公开数据，仅用于定价参考；公司披露的股本与持股以原始文件为准。Tesla 对 SpaceX 的 2,865 美元公允价值含 2026 年 9M 累计 863 美元公允价值变动收益。</t>
        </is>
      </c>
    </row>
  </sheetData>
  <mergeCells count="4">
    <mergeCell ref="A2:E2"/>
    <mergeCell ref="A1:E1"/>
    <mergeCell ref="A51:E51"/>
    <mergeCell ref="A33:E3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I55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62" customWidth="1" min="8" max="8"/>
    <col width="15" customWidth="1" min="9" max="9"/>
  </cols>
  <sheetData>
    <row r="1" ht="34" customHeight="1">
      <c r="A1" s="1" t="inlineStr">
        <is>
          <t>SpaceX：最近四个季度与 2025 财年关键财务</t>
        </is>
      </c>
    </row>
    <row r="2" ht="20" customHeight="1">
      <c r="A2" s="2" t="inlineStr">
        <is>
          <t>$M；Q4-25 由 FY2025 − 9M2025 推导；Q1-26 来自招股书，Q2-26 来自 10-Q，Q3-26 来自业绩公告；LTM = Q4-25+Q1-26+Q2-26+Q3-26</t>
        </is>
      </c>
    </row>
    <row r="4" ht="30" customHeight="1">
      <c r="A4" s="9" t="inlineStr">
        <is>
          <t>项目</t>
        </is>
      </c>
      <c r="B4" s="9" t="inlineStr">
        <is>
          <t>FY2025</t>
        </is>
      </c>
      <c r="C4" s="9" t="inlineStr">
        <is>
          <t>Q4-25</t>
        </is>
      </c>
      <c r="D4" s="9" t="inlineStr">
        <is>
          <t>Q1-26</t>
        </is>
      </c>
      <c r="E4" s="9" t="inlineStr">
        <is>
          <t>Q2-26</t>
        </is>
      </c>
      <c r="F4" s="9" t="inlineStr">
        <is>
          <t>Q3-26</t>
        </is>
      </c>
      <c r="G4" s="9" t="inlineStr">
        <is>
          <t>LTM</t>
        </is>
      </c>
      <c r="H4" s="9" t="inlineStr">
        <is>
          <t>来源/口径</t>
        </is>
      </c>
      <c r="I4" s="9" t="inlineStr">
        <is>
          <t>2025前三季度（推导用）</t>
        </is>
      </c>
    </row>
    <row r="5" ht="22" customHeight="1">
      <c r="A5" s="16" t="inlineStr">
        <is>
          <t>营业收入</t>
        </is>
      </c>
      <c r="B5" s="24" t="n">
        <v>18674</v>
      </c>
      <c r="C5" s="21">
        <f>B5-I5</f>
        <v/>
      </c>
      <c r="D5" s="24" t="n">
        <v>4694</v>
      </c>
      <c r="E5" s="24" t="n">
        <v>7814</v>
      </c>
      <c r="F5" s="24" t="n">
        <v>14575</v>
      </c>
      <c r="G5" s="21">
        <f>SUM(C5:F5)</f>
        <v/>
      </c>
      <c r="H5" s="28" t="inlineStr">
        <is>
          <t>招股书 Summary/利润表；Q1 招股书；Q2 10-Q；Q3 公告</t>
        </is>
      </c>
      <c r="I5" s="24" t="n">
        <v>13714</v>
      </c>
    </row>
    <row r="6" ht="22" customHeight="1">
      <c r="A6" s="16" t="inlineStr">
        <is>
          <t>营业成本</t>
        </is>
      </c>
      <c r="B6" s="24" t="n">
        <v>9451</v>
      </c>
      <c r="C6" s="21">
        <f>B6-I6</f>
        <v/>
      </c>
      <c r="D6" s="24" t="n">
        <v>2388</v>
      </c>
      <c r="E6" s="24" t="n">
        <v>3495</v>
      </c>
      <c r="F6" s="24" t="n">
        <v>5478</v>
      </c>
      <c r="G6" s="21">
        <f>SUM(C6:F6)</f>
        <v/>
      </c>
      <c r="H6" s="28" t="inlineStr">
        <is>
          <t>招股书 MD&amp;A/利润表；Q2 10-Q；Q3 公告</t>
        </is>
      </c>
      <c r="I6" s="24" t="n">
        <v>6949</v>
      </c>
    </row>
    <row r="7" ht="22" customHeight="1">
      <c r="A7" s="16" t="inlineStr">
        <is>
          <t>毛利</t>
        </is>
      </c>
      <c r="B7" s="21">
        <f>B5-B6</f>
        <v/>
      </c>
      <c r="C7" s="21">
        <f>B7-I7</f>
        <v/>
      </c>
      <c r="D7" s="21">
        <f>D5-D6</f>
        <v/>
      </c>
      <c r="E7" s="21">
        <f>E5-E6</f>
        <v/>
      </c>
      <c r="F7" s="21">
        <f>F5-F6</f>
        <v/>
      </c>
      <c r="G7" s="21">
        <f>SUM(C7:F7)</f>
        <v/>
      </c>
      <c r="H7" s="28" t="inlineStr">
        <is>
          <t>= 营业收入 − 营业成本</t>
        </is>
      </c>
      <c r="I7" s="21">
        <f>I5-I6</f>
        <v/>
      </c>
    </row>
    <row r="8" ht="22" customHeight="1">
      <c r="A8" s="16" t="inlineStr">
        <is>
          <t>研发费用</t>
        </is>
      </c>
      <c r="B8" s="24" t="n">
        <v>8643</v>
      </c>
      <c r="C8" s="21">
        <f>B8-I8</f>
        <v/>
      </c>
      <c r="D8" s="24" t="n">
        <v>3514</v>
      </c>
      <c r="E8" s="24" t="n">
        <v>3548</v>
      </c>
      <c r="F8" s="24" t="n">
        <v>4596</v>
      </c>
      <c r="G8" s="21">
        <f>SUM(C8:F8)</f>
        <v/>
      </c>
      <c r="H8" s="28" t="inlineStr">
        <is>
          <t>招股书利润表；Q2 10-Q；Q3 公告</t>
        </is>
      </c>
      <c r="I8" s="24" t="n">
        <v>5806</v>
      </c>
    </row>
    <row r="9" ht="22" customHeight="1">
      <c r="A9" s="16" t="inlineStr">
        <is>
          <t>销售及管理费用</t>
        </is>
      </c>
      <c r="B9" s="24" t="n">
        <v>2644</v>
      </c>
      <c r="C9" s="21">
        <f>B9-I9</f>
        <v/>
      </c>
      <c r="D9" s="24" t="n">
        <v>746</v>
      </c>
      <c r="E9" s="24" t="n">
        <v>912</v>
      </c>
      <c r="F9" s="24" t="n">
        <v>1707</v>
      </c>
      <c r="G9" s="21">
        <f>SUM(C9:F9)</f>
        <v/>
      </c>
      <c r="H9" s="28" t="inlineStr">
        <is>
          <t>同上</t>
        </is>
      </c>
      <c r="I9" s="24" t="n">
        <v>1674</v>
      </c>
    </row>
    <row r="10" ht="22" customHeight="1">
      <c r="A10" s="16" t="inlineStr">
        <is>
          <t>重组费用（收益）</t>
        </is>
      </c>
      <c r="B10" s="24" t="n">
        <v>487</v>
      </c>
      <c r="C10" s="21">
        <f>B10-I10</f>
        <v/>
      </c>
      <c r="D10" s="24" t="n">
        <v>-11</v>
      </c>
      <c r="E10" s="24" t="n">
        <v>2</v>
      </c>
      <c r="F10" s="24" t="n">
        <v>3</v>
      </c>
      <c r="G10" s="21">
        <f>SUM(C10:F10)</f>
        <v/>
      </c>
      <c r="H10" s="28" t="inlineStr">
        <is>
          <t>同上</t>
        </is>
      </c>
      <c r="I10" s="24" t="n">
        <v>472</v>
      </c>
    </row>
    <row r="11" ht="22" customHeight="1">
      <c r="A11" s="16" t="inlineStr">
        <is>
          <t>减值</t>
        </is>
      </c>
      <c r="B11" s="24" t="n">
        <v>38</v>
      </c>
      <c r="C11" s="21">
        <f>B11-I11</f>
        <v/>
      </c>
      <c r="D11" s="24" t="n">
        <v>0</v>
      </c>
      <c r="E11" s="24" t="n">
        <v>0</v>
      </c>
      <c r="F11" s="24" t="n">
        <v>0</v>
      </c>
      <c r="G11" s="21">
        <f>SUM(C11:F11)</f>
        <v/>
      </c>
      <c r="H11" s="28" t="inlineStr">
        <is>
          <t>同上</t>
        </is>
      </c>
      <c r="I11" s="24" t="n">
        <v>29</v>
      </c>
    </row>
    <row r="12" ht="22" customHeight="1">
      <c r="A12" s="16" t="inlineStr">
        <is>
          <t>总成本与费用</t>
        </is>
      </c>
      <c r="B12" s="21">
        <f>B6+B8+B9+B10+B11</f>
        <v/>
      </c>
      <c r="C12" s="21">
        <f>B12-I12</f>
        <v/>
      </c>
      <c r="D12" s="21">
        <f>D6+D8+D9+D10+D11</f>
        <v/>
      </c>
      <c r="E12" s="21">
        <f>E6+E8+E9+E10+E11</f>
        <v/>
      </c>
      <c r="F12" s="21">
        <f>F6+F8+F9+F10+F11</f>
        <v/>
      </c>
      <c r="G12" s="21">
        <f>SUM(C12:F12)</f>
        <v/>
      </c>
      <c r="H12" s="28" t="inlineStr">
        <is>
          <t>= 营业成本+研发+销售管理+重组+减值</t>
        </is>
      </c>
      <c r="I12" s="21">
        <f>I6+I8+I9+I10+I11</f>
        <v/>
      </c>
    </row>
    <row r="13" ht="22" customHeight="1">
      <c r="A13" s="16" t="inlineStr">
        <is>
          <t>经营利润/(亏损)</t>
        </is>
      </c>
      <c r="B13" s="21">
        <f>B5-B12</f>
        <v/>
      </c>
      <c r="C13" s="21">
        <f>B13-I13</f>
        <v/>
      </c>
      <c r="D13" s="21">
        <f>D5-D12</f>
        <v/>
      </c>
      <c r="E13" s="21">
        <f>E5-E12</f>
        <v/>
      </c>
      <c r="F13" s="21">
        <f>F5-F12</f>
        <v/>
      </c>
      <c r="G13" s="21">
        <f>SUM(C13:F13)</f>
        <v/>
      </c>
      <c r="H13" s="28" t="inlineStr">
        <is>
          <t>= 毛利 − 总成本与费用</t>
        </is>
      </c>
      <c r="I13" s="21">
        <f>I5-I12</f>
        <v/>
      </c>
    </row>
    <row r="14" ht="22" customHeight="1">
      <c r="A14" s="16" t="inlineStr">
        <is>
          <t>利息费用</t>
        </is>
      </c>
      <c r="B14" s="24" t="n">
        <v>1945</v>
      </c>
      <c r="C14" s="21">
        <f>B14-I14</f>
        <v/>
      </c>
      <c r="D14" s="24" t="n">
        <v>664</v>
      </c>
      <c r="E14" s="24" t="n">
        <v>629</v>
      </c>
      <c r="F14" s="24" t="n">
        <v>675</v>
      </c>
      <c r="G14" s="21">
        <f>SUM(C14:F14)</f>
        <v/>
      </c>
      <c r="H14" s="28" t="inlineStr">
        <is>
          <t>利润表；Q3 公告（其中关联方 351）</t>
        </is>
      </c>
      <c r="I14" s="24" t="n">
        <v>1372</v>
      </c>
    </row>
    <row r="15" ht="22" customHeight="1">
      <c r="A15" s="16" t="inlineStr">
        <is>
          <t>利息收入</t>
        </is>
      </c>
      <c r="B15" s="24" t="n">
        <v>492</v>
      </c>
      <c r="C15" s="21">
        <f>B15-I15</f>
        <v/>
      </c>
      <c r="D15" s="24" t="n">
        <v>213</v>
      </c>
      <c r="E15" s="24" t="n">
        <v>340</v>
      </c>
      <c r="F15" s="24" t="n">
        <v>873</v>
      </c>
      <c r="G15" s="21">
        <f>SUM(C15:F15)</f>
        <v/>
      </c>
      <c r="H15" s="28" t="inlineStr">
        <is>
          <t>利润表</t>
        </is>
      </c>
      <c r="I15" s="24" t="n">
        <v>370</v>
      </c>
    </row>
    <row r="16" ht="22" customHeight="1">
      <c r="A16" s="16" t="inlineStr">
        <is>
          <t>其他收益/(费用)净额</t>
        </is>
      </c>
      <c r="B16" s="24" t="n">
        <v>-177</v>
      </c>
      <c r="C16" s="21">
        <f>B16-I16</f>
        <v/>
      </c>
      <c r="D16" s="24" t="n">
        <v>-1876</v>
      </c>
      <c r="E16" s="24" t="n">
        <v>-86</v>
      </c>
      <c r="F16" s="24" t="n">
        <v>1025</v>
      </c>
      <c r="G16" s="21">
        <f>SUM(C16:F16)</f>
        <v/>
      </c>
      <c r="H16" s="28" t="inlineStr">
        <is>
          <t>利润表；Q3 含关联方 561</t>
        </is>
      </c>
      <c r="I16" s="24" t="n">
        <v>342</v>
      </c>
    </row>
    <row r="17" ht="22" customHeight="1">
      <c r="A17" s="16" t="inlineStr">
        <is>
          <t>税前利润</t>
        </is>
      </c>
      <c r="B17" s="21">
        <f>B13-B14+B15+B16</f>
        <v/>
      </c>
      <c r="C17" s="21">
        <f>B17-I17</f>
        <v/>
      </c>
      <c r="D17" s="21">
        <f>D13-D14+D15+D16</f>
        <v/>
      </c>
      <c r="E17" s="21">
        <f>E13-E14+E15+E16</f>
        <v/>
      </c>
      <c r="F17" s="21">
        <f>F13-F14+F15+F16</f>
        <v/>
      </c>
      <c r="G17" s="21">
        <f>SUM(C17:F17)</f>
        <v/>
      </c>
      <c r="H17" s="28" t="inlineStr">
        <is>
          <t>= 经营利润 − 利息费用 + 利息收入 + 其他</t>
        </is>
      </c>
      <c r="I17" s="21">
        <f>I13-I14+I15+I16</f>
        <v/>
      </c>
    </row>
    <row r="18" ht="22" customHeight="1">
      <c r="A18" s="16" t="inlineStr">
        <is>
          <t>所得税费用/(收益)</t>
        </is>
      </c>
      <c r="B18" s="24" t="n">
        <v>718</v>
      </c>
      <c r="C18" s="21">
        <f>B18-I18</f>
        <v/>
      </c>
      <c r="D18" s="24" t="n">
        <v>6</v>
      </c>
      <c r="E18" s="24" t="n">
        <v>23</v>
      </c>
      <c r="F18" s="24" t="n">
        <v>-390</v>
      </c>
      <c r="G18" s="21">
        <f>SUM(C18:F18)</f>
        <v/>
      </c>
      <c r="H18" s="28" t="inlineStr">
        <is>
          <t>利润表</t>
        </is>
      </c>
      <c r="I18" s="24" t="n">
        <v>714</v>
      </c>
    </row>
    <row r="19" ht="22" customHeight="1">
      <c r="A19" s="16" t="inlineStr">
        <is>
          <t>净利润/(亏损)</t>
        </is>
      </c>
      <c r="B19" s="21">
        <f>B17-B18</f>
        <v/>
      </c>
      <c r="C19" s="21">
        <f>B19-I19</f>
        <v/>
      </c>
      <c r="D19" s="21">
        <f>D17-D18</f>
        <v/>
      </c>
      <c r="E19" s="21">
        <f>E17-E18</f>
        <v/>
      </c>
      <c r="F19" s="21">
        <f>F17-F18</f>
        <v/>
      </c>
      <c r="G19" s="21">
        <f>SUM(C19:F19)</f>
        <v/>
      </c>
      <c r="H19" s="28" t="inlineStr">
        <is>
          <t>= 税前利润 − 所得税</t>
        </is>
      </c>
      <c r="I19" s="21">
        <f>I17-I18</f>
        <v/>
      </c>
    </row>
    <row r="20" ht="22" customHeight="1">
      <c r="A20" s="16" t="inlineStr">
        <is>
          <t>归母净利润</t>
        </is>
      </c>
      <c r="B20" s="21">
        <f>B19</f>
        <v/>
      </c>
      <c r="C20" s="21">
        <f>B20-I20</f>
        <v/>
      </c>
      <c r="D20" s="21">
        <f>D19</f>
        <v/>
      </c>
      <c r="E20" s="21">
        <f>E19</f>
        <v/>
      </c>
      <c r="F20" s="21">
        <f>F19</f>
        <v/>
      </c>
      <c r="G20" s="21">
        <f>SUM(C20:F20)</f>
        <v/>
      </c>
      <c r="H20" s="28" t="inlineStr">
        <is>
          <t>SpaceX 无少数股东，等于净利润</t>
        </is>
      </c>
      <c r="I20" s="21">
        <f>I19</f>
        <v/>
      </c>
    </row>
    <row r="21" ht="22" customHeight="1">
      <c r="A21" s="16" t="inlineStr">
        <is>
          <t>经营活动现金流</t>
        </is>
      </c>
      <c r="B21" s="24" t="n">
        <v>6785</v>
      </c>
      <c r="C21" s="21">
        <f>B21-I21</f>
        <v/>
      </c>
      <c r="D21" s="24" t="n">
        <v>1047</v>
      </c>
      <c r="E21" s="24" t="n">
        <v>2419</v>
      </c>
      <c r="F21" s="24" t="n">
        <v>9631</v>
      </c>
      <c r="G21" s="21">
        <f>SUM(C21:F21)</f>
        <v/>
      </c>
      <c r="H21" s="28" t="inlineStr">
        <is>
          <t>Q3 公告现金流量表；Q2 10-Q；Q1 招股书</t>
        </is>
      </c>
      <c r="I21" s="24" t="n">
        <v>4120</v>
      </c>
    </row>
    <row r="22" ht="22" customHeight="1">
      <c r="A22" s="16" t="inlineStr">
        <is>
          <t>资本开支</t>
        </is>
      </c>
      <c r="B22" s="24" t="n">
        <v>20737</v>
      </c>
      <c r="C22" s="21">
        <f>B22-I22</f>
        <v/>
      </c>
      <c r="D22" s="24" t="n">
        <v>10107</v>
      </c>
      <c r="E22" s="24" t="n">
        <v>18369</v>
      </c>
      <c r="F22" s="24" t="n">
        <v>19593</v>
      </c>
      <c r="G22" s="21">
        <f>SUM(C22:F22)</f>
        <v/>
      </c>
      <c r="H22" s="28" t="inlineStr">
        <is>
          <t>Q3 公告现金流量表：购置 PP&amp;E</t>
        </is>
      </c>
      <c r="I22" s="24" t="n">
        <v>13846</v>
      </c>
    </row>
    <row r="23" ht="22" customHeight="1">
      <c r="A23" s="16" t="inlineStr">
        <is>
          <t>自由现金流</t>
        </is>
      </c>
      <c r="B23" s="21">
        <f>B21-B22</f>
        <v/>
      </c>
      <c r="C23" s="21">
        <f>B23-I23</f>
        <v/>
      </c>
      <c r="D23" s="21">
        <f>D21-D22</f>
        <v/>
      </c>
      <c r="E23" s="21">
        <f>E21-E22</f>
        <v/>
      </c>
      <c r="F23" s="21">
        <f>F21-F22</f>
        <v/>
      </c>
      <c r="G23" s="21">
        <f>SUM(C23:F23)</f>
        <v/>
      </c>
      <c r="H23" s="28" t="inlineStr">
        <is>
          <t>= 经营现金流 − 资本开支</t>
        </is>
      </c>
      <c r="I23" s="21">
        <f>I21-I22</f>
        <v/>
      </c>
    </row>
    <row r="24">
      <c r="A24" s="16" t="inlineStr">
        <is>
          <t>现金及现金等价物</t>
        </is>
      </c>
      <c r="B24" s="24" t="n">
        <v>24747</v>
      </c>
      <c r="F24" s="24" t="n">
        <v>51294</v>
      </c>
      <c r="G24" s="21">
        <f>F24</f>
        <v/>
      </c>
      <c r="H24" s="28" t="inlineStr">
        <is>
          <t>Q3公告资产负债表；FY2025 招股书</t>
        </is>
      </c>
    </row>
    <row r="25">
      <c r="A25" s="16" t="inlineStr">
        <is>
          <t>有价证券（短期投资）</t>
        </is>
      </c>
      <c r="B25" s="24" t="n">
        <v>0</v>
      </c>
      <c r="F25" s="24" t="n">
        <v>38561</v>
      </c>
      <c r="G25" s="21">
        <f>F25</f>
        <v/>
      </c>
      <c r="H25" s="28" t="inlineStr">
        <is>
          <t>同上</t>
        </is>
      </c>
    </row>
    <row r="26">
      <c r="A26" s="16" t="inlineStr">
        <is>
          <t>现金及短期投资</t>
        </is>
      </c>
      <c r="B26" s="21">
        <f>B24+B25</f>
        <v/>
      </c>
      <c r="F26" s="21">
        <f>F24+F25</f>
        <v/>
      </c>
      <c r="G26" s="21">
        <f>F26</f>
        <v/>
      </c>
      <c r="H26" s="29" t="inlineStr">
        <is>
          <t>= 现金 + 有价证券</t>
        </is>
      </c>
    </row>
    <row r="27">
      <c r="A27" s="16" t="inlineStr">
        <is>
          <t>有息负债（含融资租赁）</t>
        </is>
      </c>
      <c r="B27" s="24" t="n">
        <v>22896</v>
      </c>
      <c r="F27" s="24" t="n">
        <v>38844</v>
      </c>
      <c r="G27" s="21">
        <f>F27</f>
        <v/>
      </c>
      <c r="H27" s="28" t="inlineStr">
        <is>
          <t>Q3公告：流动 2,698 + 长期 36,146；FY：928+21,968</t>
        </is>
      </c>
    </row>
    <row r="28">
      <c r="A28" s="16" t="inlineStr">
        <is>
          <t>净债务/(净现金)</t>
        </is>
      </c>
      <c r="B28" s="21">
        <f>B27-B26</f>
        <v/>
      </c>
      <c r="F28" s="21">
        <f>F27-F26</f>
        <v/>
      </c>
      <c r="G28" s="21">
        <f>F28</f>
        <v/>
      </c>
      <c r="H28" s="29" t="inlineStr">
        <is>
          <t>= 有息负债 − 现金及短期投资</t>
        </is>
      </c>
    </row>
    <row r="29">
      <c r="A29" s="16" t="inlineStr">
        <is>
          <t>股东权益合计</t>
        </is>
      </c>
      <c r="B29" s="24" t="n">
        <v>2573</v>
      </c>
      <c r="F29" s="24" t="n">
        <v>176768</v>
      </c>
      <c r="G29" s="21">
        <f>F29</f>
        <v/>
      </c>
      <c r="H29" s="29" t="inlineStr">
        <is>
          <t>Q3公告资产负债表</t>
        </is>
      </c>
    </row>
    <row r="30">
      <c r="A30" s="16" t="inlineStr">
        <is>
          <t>可转换优先股（夹层权益）</t>
        </is>
      </c>
      <c r="B30" s="24" t="n">
        <v>38752</v>
      </c>
      <c r="F30" s="24" t="n">
        <v>0</v>
      </c>
      <c r="G30" s="21">
        <f>F30</f>
        <v/>
      </c>
      <c r="H30" s="28" t="inlineStr">
        <is>
          <t>FY2025 38,752；IPO 时已转普通股，Q3 为 0</t>
        </is>
      </c>
    </row>
    <row r="31">
      <c r="A31" s="16" t="inlineStr">
        <is>
          <t>调整后 EBITDA</t>
        </is>
      </c>
      <c r="B31" s="24" t="n">
        <v>6584</v>
      </c>
      <c r="C31" s="21">
        <f>B31-I31</f>
        <v/>
      </c>
      <c r="D31" s="24" t="n">
        <v>1127</v>
      </c>
      <c r="E31" s="24" t="n">
        <v>3538</v>
      </c>
      <c r="F31" s="24" t="n">
        <v>8809</v>
      </c>
      <c r="G31" s="21">
        <f>SUM(C31:F31)</f>
        <v/>
      </c>
      <c r="H31" s="28" t="inlineStr">
        <is>
          <t>公司披露的非GAAP口径；FY 6,584 / 9M25 5,113</t>
        </is>
      </c>
      <c r="I31" s="24" t="n">
        <v>5113</v>
      </c>
    </row>
    <row r="34" ht="22" customHeight="1">
      <c r="A34" s="3" t="inlineStr">
        <is>
          <t>分业务数据（按公司披露的分部；Space / Connectivity / SI）</t>
        </is>
      </c>
    </row>
    <row r="35" ht="30" customHeight="1">
      <c r="A35" s="9" t="inlineStr">
        <is>
          <t>项目</t>
        </is>
      </c>
      <c r="B35" s="9" t="inlineStr">
        <is>
          <t>FY2025</t>
        </is>
      </c>
      <c r="C35" s="9" t="inlineStr">
        <is>
          <t>Q4-25</t>
        </is>
      </c>
      <c r="D35" s="9" t="inlineStr">
        <is>
          <t>Q1-26</t>
        </is>
      </c>
      <c r="E35" s="9" t="inlineStr">
        <is>
          <t>Q2-26</t>
        </is>
      </c>
      <c r="F35" s="9" t="inlineStr">
        <is>
          <t>Q3-26</t>
        </is>
      </c>
      <c r="G35" s="9" t="inlineStr">
        <is>
          <t>LTM</t>
        </is>
      </c>
      <c r="H35" s="9" t="inlineStr">
        <is>
          <t>来源/口径</t>
        </is>
      </c>
      <c r="I35" s="9" t="inlineStr">
        <is>
          <t>2025前三季度（推导用）</t>
        </is>
      </c>
    </row>
    <row r="36">
      <c r="A36" s="16" t="inlineStr">
        <is>
          <t>Space 收入</t>
        </is>
      </c>
      <c r="B36" s="24" t="n">
        <v>4086</v>
      </c>
      <c r="C36" s="21">
        <f>B36-I36</f>
        <v/>
      </c>
      <c r="D36" s="24" t="n">
        <v>619</v>
      </c>
      <c r="E36" s="24" t="n">
        <v>962</v>
      </c>
      <c r="F36" s="24" t="n">
        <v>1767</v>
      </c>
      <c r="G36" s="21">
        <f>SUM(C36:F36)</f>
        <v/>
      </c>
      <c r="H36" s="28" t="inlineStr">
        <is>
          <t>Q3公告分部表；Q2 10-Q Note 18；Q1 招股书</t>
        </is>
      </c>
      <c r="I36" s="24" t="n">
        <v>3277</v>
      </c>
    </row>
    <row r="37">
      <c r="A37" s="16" t="inlineStr">
        <is>
          <t>Connectivity 收入</t>
        </is>
      </c>
      <c r="B37" s="24" t="n">
        <v>11387</v>
      </c>
      <c r="C37" s="21">
        <f>B37-I37</f>
        <v/>
      </c>
      <c r="D37" s="24" t="n">
        <v>3257</v>
      </c>
      <c r="E37" s="24" t="n">
        <v>4291</v>
      </c>
      <c r="F37" s="24" t="n">
        <v>5248</v>
      </c>
      <c r="G37" s="21">
        <f>SUM(C37:F37)</f>
        <v/>
      </c>
      <c r="H37" s="28" t="inlineStr">
        <is>
          <t>同上</t>
        </is>
      </c>
      <c r="I37" s="24" t="n">
        <v>8159</v>
      </c>
    </row>
    <row r="38">
      <c r="A38" s="16" t="inlineStr">
        <is>
          <t>SI（原AI）收入</t>
        </is>
      </c>
      <c r="B38" s="24" t="n">
        <v>3201</v>
      </c>
      <c r="C38" s="21">
        <f>B38-I38</f>
        <v/>
      </c>
      <c r="D38" s="24" t="n">
        <v>818</v>
      </c>
      <c r="E38" s="24" t="n">
        <v>2561</v>
      </c>
      <c r="F38" s="24" t="n">
        <v>7560</v>
      </c>
      <c r="G38" s="21">
        <f>SUM(C38:F38)</f>
        <v/>
      </c>
      <c r="H38" s="28" t="inlineStr">
        <is>
          <t>同上</t>
        </is>
      </c>
      <c r="I38" s="24" t="n">
        <v>2278</v>
      </c>
    </row>
    <row r="39">
      <c r="A39" s="30" t="inlineStr">
        <is>
          <t>分部收入合计</t>
        </is>
      </c>
      <c r="B39" s="21">
        <f>SUM(B36:B38)</f>
        <v/>
      </c>
      <c r="C39" s="21">
        <f>B39-I39</f>
        <v/>
      </c>
      <c r="D39" s="21">
        <f>SUM(D36:D38)</f>
        <v/>
      </c>
      <c r="E39" s="21">
        <f>SUM(E36:E38)</f>
        <v/>
      </c>
      <c r="F39" s="21">
        <f>SUM(F36:F38)</f>
        <v/>
      </c>
      <c r="G39" s="21">
        <f>SUM(C39:F39)</f>
        <v/>
      </c>
      <c r="H39" s="29" t="inlineStr">
        <is>
          <t>分部加总</t>
        </is>
      </c>
      <c r="I39" s="21">
        <f>SUM(I36:I38)</f>
        <v/>
      </c>
    </row>
    <row r="40">
      <c r="A40" s="16" t="inlineStr">
        <is>
          <t>Space 毛利</t>
        </is>
      </c>
      <c r="B40" s="24" t="n">
        <v>2734</v>
      </c>
      <c r="D40" s="24" t="n">
        <v>338</v>
      </c>
      <c r="E40" s="24" t="n">
        <v>633</v>
      </c>
      <c r="F40" s="24" t="n">
        <v>1332</v>
      </c>
      <c r="H40" s="28" t="inlineStr">
        <is>
          <t>FY2025 Note 19；Q1 招股书；Q2 10-Q；Q3 公告；Q4 分部毛利未披露</t>
        </is>
      </c>
    </row>
    <row r="41">
      <c r="A41" s="16" t="inlineStr">
        <is>
          <t>Connectivity 毛利</t>
        </is>
      </c>
      <c r="B41" s="24" t="n">
        <v>5466</v>
      </c>
      <c r="D41" s="24" t="n">
        <v>1606</v>
      </c>
      <c r="E41" s="24" t="n">
        <v>2231</v>
      </c>
      <c r="F41" s="24" t="n">
        <v>2880</v>
      </c>
      <c r="H41" s="28" t="inlineStr">
        <is>
          <t>同上</t>
        </is>
      </c>
    </row>
    <row r="42">
      <c r="A42" s="16" t="inlineStr">
        <is>
          <t>SI 毛利</t>
        </is>
      </c>
      <c r="B42" s="24" t="n">
        <v>1023</v>
      </c>
      <c r="D42" s="24" t="n">
        <v>362</v>
      </c>
      <c r="E42" s="24" t="n">
        <v>1455</v>
      </c>
      <c r="F42" s="24" t="n">
        <v>4885</v>
      </c>
      <c r="H42" s="28" t="inlineStr">
        <is>
          <t>同上</t>
        </is>
      </c>
    </row>
    <row r="43">
      <c r="A43" s="30" t="inlineStr">
        <is>
          <t>分部毛利合计</t>
        </is>
      </c>
      <c r="B43" s="21">
        <f>SUM(B40:B42)</f>
        <v/>
      </c>
      <c r="H43" s="29" t="inlineStr">
        <is>
          <t>分部加总</t>
        </is>
      </c>
    </row>
    <row r="44">
      <c r="A44" s="16" t="inlineStr">
        <is>
          <t>Space 经营利润</t>
        </is>
      </c>
      <c r="B44" s="24" t="n">
        <v>-657</v>
      </c>
      <c r="C44" s="21">
        <f>B44-I44</f>
        <v/>
      </c>
      <c r="D44" s="24" t="n">
        <v>-662</v>
      </c>
      <c r="E44" s="24" t="n">
        <v>-542</v>
      </c>
      <c r="F44" s="24" t="n">
        <v>-7</v>
      </c>
      <c r="G44" s="21">
        <f>SUM(C44:F44)</f>
        <v/>
      </c>
      <c r="H44" s="28" t="inlineStr">
        <is>
          <t>Q3公告分部表</t>
        </is>
      </c>
      <c r="I44" s="24" t="n">
        <v>-181</v>
      </c>
    </row>
    <row r="45">
      <c r="A45" s="16" t="inlineStr">
        <is>
          <t>Connectivity 经营利润</t>
        </is>
      </c>
      <c r="B45" s="24" t="n">
        <v>4423</v>
      </c>
      <c r="C45" s="21">
        <f>B45-I45</f>
        <v/>
      </c>
      <c r="D45" s="24" t="n">
        <v>1188</v>
      </c>
      <c r="E45" s="24" t="n">
        <v>1656</v>
      </c>
      <c r="F45" s="24" t="n">
        <v>2367</v>
      </c>
      <c r="G45" s="21">
        <f>SUM(C45:F45)</f>
        <v/>
      </c>
      <c r="H45" s="28" t="inlineStr">
        <is>
          <t>同上</t>
        </is>
      </c>
      <c r="I45" s="24" t="n">
        <v>3147</v>
      </c>
    </row>
    <row r="46">
      <c r="A46" s="16" t="inlineStr">
        <is>
          <t>SI 经营利润</t>
        </is>
      </c>
      <c r="B46" s="24" t="n">
        <v>-6355</v>
      </c>
      <c r="C46" s="21">
        <f>B46-I46</f>
        <v/>
      </c>
      <c r="D46" s="24" t="n">
        <v>-2469</v>
      </c>
      <c r="E46" s="24" t="n">
        <v>-1257</v>
      </c>
      <c r="F46" s="24" t="n">
        <v>431</v>
      </c>
      <c r="G46" s="21">
        <f>SUM(C46:F46)</f>
        <v/>
      </c>
      <c r="H46" s="28" t="inlineStr">
        <is>
          <t>同上</t>
        </is>
      </c>
      <c r="I46" s="24" t="n">
        <v>-4182</v>
      </c>
    </row>
    <row r="47">
      <c r="A47" s="30" t="inlineStr">
        <is>
          <t>分部经营利润合计</t>
        </is>
      </c>
      <c r="B47" s="21">
        <f>SUM(B44:B46)</f>
        <v/>
      </c>
      <c r="C47" s="21">
        <f>B47-I47</f>
        <v/>
      </c>
      <c r="D47" s="21">
        <f>SUM(D44:D46)</f>
        <v/>
      </c>
      <c r="E47" s="21">
        <f>SUM(E44:E46)</f>
        <v/>
      </c>
      <c r="F47" s="21">
        <f>SUM(F44:F46)</f>
        <v/>
      </c>
      <c r="G47" s="21">
        <f>SUM(C47:F47)</f>
        <v/>
      </c>
      <c r="H47" s="29" t="inlineStr">
        <is>
          <t>分部加总</t>
        </is>
      </c>
      <c r="I47" s="21">
        <f>SUM(I44:I46)</f>
        <v/>
      </c>
    </row>
    <row r="48">
      <c r="A48" s="16" t="inlineStr">
        <is>
          <t>Space 资本开支</t>
        </is>
      </c>
      <c r="B48" s="24" t="n">
        <v>3832</v>
      </c>
      <c r="C48" s="21">
        <f>B48-I48</f>
        <v/>
      </c>
      <c r="D48" s="24" t="n">
        <v>1052</v>
      </c>
      <c r="E48" s="24" t="n">
        <v>1174</v>
      </c>
      <c r="F48" s="24" t="n">
        <v>1606</v>
      </c>
      <c r="G48" s="21">
        <f>SUM(C48:F48)</f>
        <v/>
      </c>
      <c r="H48" s="28" t="inlineStr">
        <is>
          <t>Q3公告分部表</t>
        </is>
      </c>
      <c r="I48" s="24" t="n">
        <v>2818</v>
      </c>
    </row>
    <row r="49">
      <c r="A49" s="16" t="inlineStr">
        <is>
          <t>Connectivity 资本开支</t>
        </is>
      </c>
      <c r="B49" s="24" t="n">
        <v>4178</v>
      </c>
      <c r="C49" s="21">
        <f>B49-I49</f>
        <v/>
      </c>
      <c r="D49" s="24" t="n">
        <v>1332</v>
      </c>
      <c r="E49" s="24" t="n">
        <v>1367</v>
      </c>
      <c r="F49" s="24" t="n">
        <v>1543</v>
      </c>
      <c r="G49" s="21">
        <f>SUM(C49:F49)</f>
        <v/>
      </c>
      <c r="H49" s="28" t="inlineStr">
        <is>
          <t>同上</t>
        </is>
      </c>
      <c r="I49" s="24" t="n">
        <v>2951</v>
      </c>
    </row>
    <row r="50">
      <c r="A50" s="16" t="inlineStr">
        <is>
          <t>SI 资本开支</t>
        </is>
      </c>
      <c r="B50" s="24" t="n">
        <v>12727</v>
      </c>
      <c r="C50" s="21">
        <f>B50-I50</f>
        <v/>
      </c>
      <c r="D50" s="24" t="n">
        <v>7723</v>
      </c>
      <c r="E50" s="24" t="n">
        <v>15828</v>
      </c>
      <c r="F50" s="24" t="n">
        <v>16444</v>
      </c>
      <c r="G50" s="21">
        <f>SUM(C50:F50)</f>
        <v/>
      </c>
      <c r="H50" s="28" t="inlineStr">
        <is>
          <t>同上</t>
        </is>
      </c>
      <c r="I50" s="24" t="n">
        <v>8077</v>
      </c>
    </row>
    <row r="51">
      <c r="A51" s="30" t="inlineStr">
        <is>
          <t>分部资本开支合计</t>
        </is>
      </c>
      <c r="B51" s="21">
        <f>SUM(B48:B50)</f>
        <v/>
      </c>
      <c r="C51" s="21">
        <f>B51-I51</f>
        <v/>
      </c>
      <c r="D51" s="21">
        <f>SUM(D48:D50)</f>
        <v/>
      </c>
      <c r="E51" s="21">
        <f>SUM(E48:E50)</f>
        <v/>
      </c>
      <c r="F51" s="21">
        <f>SUM(F48:F50)</f>
        <v/>
      </c>
      <c r="G51" s="21">
        <f>SUM(C51:F51)</f>
        <v/>
      </c>
      <c r="H51" s="29" t="inlineStr">
        <is>
          <t>分部加总</t>
        </is>
      </c>
      <c r="I51" s="21">
        <f>SUM(I48:I50)</f>
        <v/>
      </c>
    </row>
    <row r="52">
      <c r="A52" s="16" t="inlineStr">
        <is>
          <t>Space 调整后EBITDA</t>
        </is>
      </c>
      <c r="B52" s="24" t="n">
        <v>653</v>
      </c>
      <c r="C52" s="21">
        <f>B52-I52</f>
        <v/>
      </c>
      <c r="D52" s="24" t="n">
        <v>-351</v>
      </c>
      <c r="E52" s="24" t="n">
        <v>-205</v>
      </c>
      <c r="F52" s="24" t="n">
        <v>357</v>
      </c>
      <c r="G52" s="21">
        <f>SUM(C52:F52)</f>
        <v/>
      </c>
      <c r="H52" s="28" t="inlineStr">
        <is>
          <t>Q3公告分部表</t>
        </is>
      </c>
      <c r="I52" s="24" t="n">
        <v>803</v>
      </c>
    </row>
    <row r="53">
      <c r="A53" s="16" t="inlineStr">
        <is>
          <t>Connectivity 调整后EBITDA</t>
        </is>
      </c>
      <c r="B53" s="24" t="n">
        <v>7168</v>
      </c>
      <c r="C53" s="21">
        <f>B53-I53</f>
        <v/>
      </c>
      <c r="D53" s="24" t="n">
        <v>2087</v>
      </c>
      <c r="E53" s="24" t="n">
        <v>2597</v>
      </c>
      <c r="F53" s="24" t="n">
        <v>3499</v>
      </c>
      <c r="G53" s="21">
        <f>SUM(C53:F53)</f>
        <v/>
      </c>
      <c r="H53" s="28" t="inlineStr">
        <is>
          <t>同上</t>
        </is>
      </c>
      <c r="I53" s="24" t="n">
        <v>5123</v>
      </c>
    </row>
    <row r="54">
      <c r="A54" s="16" t="inlineStr">
        <is>
          <t>SI 调整后EBITDA</t>
        </is>
      </c>
      <c r="B54" s="24" t="n">
        <v>-1237</v>
      </c>
      <c r="C54" s="21">
        <f>B54-I54</f>
        <v/>
      </c>
      <c r="D54" s="24" t="n">
        <v>-609</v>
      </c>
      <c r="E54" s="24" t="n">
        <v>1146</v>
      </c>
      <c r="F54" s="24" t="n">
        <v>4953</v>
      </c>
      <c r="G54" s="21">
        <f>SUM(C54:F54)</f>
        <v/>
      </c>
      <c r="H54" s="28" t="inlineStr">
        <is>
          <t>同上</t>
        </is>
      </c>
      <c r="I54" s="24" t="n">
        <v>-813</v>
      </c>
    </row>
    <row r="55">
      <c r="A55" s="30" t="inlineStr">
        <is>
          <t>分部调整后EBITDA合计</t>
        </is>
      </c>
      <c r="B55" s="21">
        <f>SUM(B52:B54)</f>
        <v/>
      </c>
      <c r="C55" s="21">
        <f>B55-I55</f>
        <v/>
      </c>
      <c r="D55" s="21">
        <f>SUM(D52:D54)</f>
        <v/>
      </c>
      <c r="E55" s="21">
        <f>SUM(E52:E54)</f>
        <v/>
      </c>
      <c r="F55" s="21">
        <f>SUM(F52:F54)</f>
        <v/>
      </c>
      <c r="G55" s="21">
        <f>SUM(C55:F55)</f>
        <v/>
      </c>
      <c r="H55" s="29" t="inlineStr">
        <is>
          <t>分部加总</t>
        </is>
      </c>
      <c r="I55" s="21">
        <f>SUM(I52:I54)</f>
        <v/>
      </c>
    </row>
  </sheetData>
  <mergeCells count="3">
    <mergeCell ref="A1:I1"/>
    <mergeCell ref="A2:I2"/>
    <mergeCell ref="A34:I3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I46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62" customWidth="1" min="8" max="8"/>
    <col width="15" customWidth="1" min="9" max="9"/>
  </cols>
  <sheetData>
    <row r="1" ht="34" customHeight="1">
      <c r="A1" s="1" t="inlineStr">
        <is>
          <t>Tesla：最近四个季度与 2025 财年关键财务</t>
        </is>
      </c>
    </row>
    <row r="2" ht="20" customHeight="1">
      <c r="A2" s="2" t="inlineStr">
        <is>
          <t>$M；Q4-25 与 2026 各季度取自 2026Q3 业绩公告季度财务摘要；FY2025 取自 2025 10-K；LTM = Q4-25+Q1-26+Q2-26+Q3-26</t>
        </is>
      </c>
    </row>
    <row r="4" ht="30" customHeight="1">
      <c r="A4" s="9" t="inlineStr">
        <is>
          <t>项目</t>
        </is>
      </c>
      <c r="B4" s="9" t="inlineStr">
        <is>
          <t>FY2025</t>
        </is>
      </c>
      <c r="C4" s="9" t="inlineStr">
        <is>
          <t>Q4-25</t>
        </is>
      </c>
      <c r="D4" s="9" t="inlineStr">
        <is>
          <t>Q1-26</t>
        </is>
      </c>
      <c r="E4" s="9" t="inlineStr">
        <is>
          <t>Q2-26</t>
        </is>
      </c>
      <c r="F4" s="9" t="inlineStr">
        <is>
          <t>Q3-26</t>
        </is>
      </c>
      <c r="G4" s="9" t="inlineStr">
        <is>
          <t>LTM</t>
        </is>
      </c>
      <c r="H4" s="9" t="inlineStr">
        <is>
          <t>来源/口径</t>
        </is>
      </c>
      <c r="I4" s="9" t="inlineStr">
        <is>
          <t>2025前三季度（推导用）</t>
        </is>
      </c>
    </row>
    <row r="5" ht="22" customHeight="1">
      <c r="A5" s="16" t="inlineStr">
        <is>
          <t>营业收入</t>
        </is>
      </c>
      <c r="B5" s="24" t="n">
        <v>94827</v>
      </c>
      <c r="C5" s="21">
        <f>B5-I5</f>
        <v/>
      </c>
      <c r="D5" s="24" t="n">
        <v>22387</v>
      </c>
      <c r="E5" s="24" t="n">
        <v>28236</v>
      </c>
      <c r="F5" s="24" t="n">
        <v>28046</v>
      </c>
      <c r="G5" s="21">
        <f>SUM(C5:F5)</f>
        <v/>
      </c>
      <c r="H5" s="28" t="inlineStr">
        <is>
          <t>2025 10-K 利润表；2026Q3 公告 Financial Summary</t>
        </is>
      </c>
      <c r="I5" s="24" t="n">
        <v>69926</v>
      </c>
    </row>
    <row r="6" ht="22" customHeight="1">
      <c r="A6" s="16" t="inlineStr">
        <is>
          <t>营业成本</t>
        </is>
      </c>
      <c r="B6" s="24" t="n">
        <v>77733</v>
      </c>
      <c r="C6" s="21">
        <f>B6-I6</f>
        <v/>
      </c>
      <c r="D6" s="24" t="n">
        <v>17667</v>
      </c>
      <c r="E6" s="24" t="n">
        <v>23485</v>
      </c>
      <c r="F6" s="24" t="n">
        <v>22552</v>
      </c>
      <c r="G6" s="21">
        <f>SUM(C6:F6)</f>
        <v/>
      </c>
      <c r="H6" s="28" t="inlineStr">
        <is>
          <t>同上</t>
        </is>
      </c>
      <c r="I6" s="24" t="n">
        <v>57841</v>
      </c>
    </row>
    <row r="7" ht="22" customHeight="1">
      <c r="A7" s="16" t="inlineStr">
        <is>
          <t>毛利</t>
        </is>
      </c>
      <c r="B7" s="21">
        <f>B5-B6</f>
        <v/>
      </c>
      <c r="C7" s="21">
        <f>B7-I7</f>
        <v/>
      </c>
      <c r="D7" s="21">
        <f>D5-D6</f>
        <v/>
      </c>
      <c r="E7" s="21">
        <f>E5-E6</f>
        <v/>
      </c>
      <c r="F7" s="21">
        <f>F5-F6</f>
        <v/>
      </c>
      <c r="G7" s="21">
        <f>SUM(C7:F7)</f>
        <v/>
      </c>
      <c r="H7" s="28" t="inlineStr">
        <is>
          <t>= 营业收入 − 营业成本</t>
        </is>
      </c>
      <c r="I7" s="21">
        <f>I5-I6</f>
        <v/>
      </c>
    </row>
    <row r="8" ht="22" customHeight="1">
      <c r="A8" s="16" t="inlineStr">
        <is>
          <t>研发费用</t>
        </is>
      </c>
      <c r="B8" s="24" t="n">
        <v>6411</v>
      </c>
      <c r="C8" s="21">
        <f>B8-I8</f>
        <v/>
      </c>
      <c r="D8" s="24" t="n">
        <v>1946</v>
      </c>
      <c r="E8" s="24" t="n">
        <v>2371</v>
      </c>
      <c r="F8" s="24" t="n">
        <v>2761</v>
      </c>
      <c r="G8" s="21">
        <f>SUM(C8:F8)</f>
        <v/>
      </c>
      <c r="H8" s="28" t="inlineStr">
        <is>
          <t>同上</t>
        </is>
      </c>
      <c r="I8" s="24" t="n">
        <v>4628</v>
      </c>
    </row>
    <row r="9" ht="22" customHeight="1">
      <c r="A9" s="16" t="inlineStr">
        <is>
          <t>销售及管理费用</t>
        </is>
      </c>
      <c r="B9" s="24" t="n">
        <v>5834</v>
      </c>
      <c r="C9" s="21">
        <f>B9-I9</f>
        <v/>
      </c>
      <c r="D9" s="24" t="n">
        <v>1833</v>
      </c>
      <c r="E9" s="24" t="n">
        <v>1982</v>
      </c>
      <c r="F9" s="24" t="n">
        <v>2015</v>
      </c>
      <c r="G9" s="21">
        <f>SUM(C9:F9)</f>
        <v/>
      </c>
      <c r="H9" s="28" t="inlineStr">
        <is>
          <t>同上</t>
        </is>
      </c>
      <c r="I9" s="24" t="n">
        <v>4179</v>
      </c>
    </row>
    <row r="10" ht="22" customHeight="1">
      <c r="A10" s="16" t="inlineStr">
        <is>
          <t>重组及其他费用</t>
        </is>
      </c>
      <c r="B10" s="24" t="n">
        <v>494</v>
      </c>
      <c r="C10" s="21">
        <f>B10-I10</f>
        <v/>
      </c>
      <c r="D10" s="24" t="n">
        <v>0</v>
      </c>
      <c r="E10" s="24" t="n">
        <v>0</v>
      </c>
      <c r="F10" s="24" t="n">
        <v>0</v>
      </c>
      <c r="G10" s="21">
        <f>SUM(C10:F10)</f>
        <v/>
      </c>
      <c r="H10" s="28" t="inlineStr">
        <is>
          <t>同上</t>
        </is>
      </c>
      <c r="I10" s="24" t="n">
        <v>332</v>
      </c>
    </row>
    <row r="11" ht="22" customHeight="1">
      <c r="A11" s="16" t="inlineStr">
        <is>
          <t>总运营费用</t>
        </is>
      </c>
      <c r="B11" s="21">
        <f>B8+B9+B10</f>
        <v/>
      </c>
      <c r="C11" s="21">
        <f>B11-I11</f>
        <v/>
      </c>
      <c r="D11" s="21">
        <f>D8+D9+D10</f>
        <v/>
      </c>
      <c r="E11" s="21">
        <f>E8+E9+E10</f>
        <v/>
      </c>
      <c r="F11" s="21">
        <f>F8+F9+F10</f>
        <v/>
      </c>
      <c r="G11" s="21">
        <f>SUM(C11:F11)</f>
        <v/>
      </c>
      <c r="H11" s="28" t="inlineStr">
        <is>
          <t>= 研发+销售管理+重组</t>
        </is>
      </c>
      <c r="I11" s="21">
        <f>I8+I9+I10</f>
        <v/>
      </c>
    </row>
    <row r="12" ht="22" customHeight="1">
      <c r="A12" s="16" t="inlineStr">
        <is>
          <t>经营利润</t>
        </is>
      </c>
      <c r="B12" s="21">
        <f>B7-B11</f>
        <v/>
      </c>
      <c r="C12" s="21">
        <f>B12-I12</f>
        <v/>
      </c>
      <c r="D12" s="21">
        <f>D7-D11</f>
        <v/>
      </c>
      <c r="E12" s="21">
        <f>E7-E11</f>
        <v/>
      </c>
      <c r="F12" s="21">
        <f>F7-F11</f>
        <v/>
      </c>
      <c r="G12" s="21">
        <f>SUM(C12:F12)</f>
        <v/>
      </c>
      <c r="H12" s="28" t="inlineStr">
        <is>
          <t>= 毛利 − 总运营费用</t>
        </is>
      </c>
      <c r="I12" s="21">
        <f>I7-I11</f>
        <v/>
      </c>
    </row>
    <row r="13" ht="22" customHeight="1">
      <c r="A13" s="16" t="inlineStr">
        <is>
          <t>利息收入</t>
        </is>
      </c>
      <c r="B13" s="24" t="n">
        <v>1680</v>
      </c>
      <c r="C13" s="21">
        <f>B13-I13</f>
        <v/>
      </c>
      <c r="D13" s="24" t="n">
        <v>434</v>
      </c>
      <c r="E13" s="24" t="n">
        <v>422</v>
      </c>
      <c r="F13" s="24" t="n">
        <v>445</v>
      </c>
      <c r="G13" s="21">
        <f>SUM(C13:F13)</f>
        <v/>
      </c>
      <c r="H13" s="28" t="inlineStr">
        <is>
          <t>公告利润表</t>
        </is>
      </c>
      <c r="I13" s="24" t="n">
        <v>1231</v>
      </c>
    </row>
    <row r="14" ht="22" customHeight="1">
      <c r="A14" s="16" t="inlineStr">
        <is>
          <t>利息费用</t>
        </is>
      </c>
      <c r="B14" s="24" t="n">
        <v>338</v>
      </c>
      <c r="C14" s="21">
        <f>B14-I14</f>
        <v/>
      </c>
      <c r="D14" s="24" t="n">
        <v>92</v>
      </c>
      <c r="E14" s="24" t="n">
        <v>81</v>
      </c>
      <c r="F14" s="24" t="n">
        <v>90</v>
      </c>
      <c r="G14" s="21">
        <f>SUM(C14:F14)</f>
        <v/>
      </c>
      <c r="H14" s="28" t="inlineStr">
        <is>
          <t>公告利润表</t>
        </is>
      </c>
      <c r="I14" s="24" t="n">
        <v>253</v>
      </c>
    </row>
    <row r="15" ht="22" customHeight="1">
      <c r="A15" s="16" t="inlineStr">
        <is>
          <t>其他收益/(费用)净额</t>
        </is>
      </c>
      <c r="B15" s="24" t="n">
        <v>-419</v>
      </c>
      <c r="C15" s="21">
        <f>B15-I15</f>
        <v/>
      </c>
      <c r="D15" s="24" t="n">
        <v>-535</v>
      </c>
      <c r="E15" s="24" t="n">
        <v>590</v>
      </c>
      <c r="F15" s="24" t="n">
        <v>-117</v>
      </c>
      <c r="G15" s="21">
        <f>SUM(C15:F15)</f>
        <v/>
      </c>
      <c r="H15" s="28" t="inlineStr">
        <is>
          <t>公告利润表；含 SpaceX 股权投资公允价值变动</t>
        </is>
      </c>
      <c r="I15" s="24" t="n">
        <v>173</v>
      </c>
    </row>
    <row r="16" ht="22" customHeight="1">
      <c r="A16" s="16" t="inlineStr">
        <is>
          <t>税前利润</t>
        </is>
      </c>
      <c r="B16" s="21">
        <f>B12+B13-B14+B15</f>
        <v/>
      </c>
      <c r="C16" s="21">
        <f>B16-I16</f>
        <v/>
      </c>
      <c r="D16" s="21">
        <f>D12+D13-D14+D15</f>
        <v/>
      </c>
      <c r="E16" s="21">
        <f>E12+E13-E14+E15</f>
        <v/>
      </c>
      <c r="F16" s="21">
        <f>F12+F13-F14+F15</f>
        <v/>
      </c>
      <c r="G16" s="21">
        <f>SUM(C16:F16)</f>
        <v/>
      </c>
      <c r="H16" s="28" t="inlineStr">
        <is>
          <t>= 经营利润 + 利息收入 − 利息费用 + 其他</t>
        </is>
      </c>
      <c r="I16" s="21">
        <f>I12+I13-I14+I15</f>
        <v/>
      </c>
    </row>
    <row r="17" ht="22" customHeight="1">
      <c r="A17" s="16" t="inlineStr">
        <is>
          <t>所得税费用</t>
        </is>
      </c>
      <c r="B17" s="24" t="n">
        <v>1423</v>
      </c>
      <c r="C17" s="21">
        <f>B17-I17</f>
        <v/>
      </c>
      <c r="D17" s="24" t="n">
        <v>257</v>
      </c>
      <c r="E17" s="24" t="n">
        <v>201</v>
      </c>
      <c r="F17" s="24" t="n">
        <v>152</v>
      </c>
      <c r="G17" s="21">
        <f>SUM(C17:F17)</f>
        <v/>
      </c>
      <c r="H17" s="28" t="inlineStr">
        <is>
          <t>公告利润表</t>
        </is>
      </c>
      <c r="I17" s="24" t="n">
        <v>1098</v>
      </c>
    </row>
    <row r="18" ht="22" customHeight="1">
      <c r="A18" s="16" t="inlineStr">
        <is>
          <t>净利润</t>
        </is>
      </c>
      <c r="B18" s="21">
        <f>B16-B17</f>
        <v/>
      </c>
      <c r="C18" s="21">
        <f>B18-I18</f>
        <v/>
      </c>
      <c r="D18" s="21">
        <f>D16-D17</f>
        <v/>
      </c>
      <c r="E18" s="21">
        <f>E16-E17</f>
        <v/>
      </c>
      <c r="F18" s="21">
        <f>F16-F17</f>
        <v/>
      </c>
      <c r="G18" s="21">
        <f>SUM(C18:F18)</f>
        <v/>
      </c>
      <c r="H18" s="28" t="inlineStr">
        <is>
          <t>= 税前利润 − 所得税</t>
        </is>
      </c>
      <c r="I18" s="21">
        <f>I16-I17</f>
        <v/>
      </c>
    </row>
    <row r="19" ht="22" customHeight="1">
      <c r="A19" s="16" t="inlineStr">
        <is>
          <t>减：少数股东损益</t>
        </is>
      </c>
      <c r="B19" s="24" t="n">
        <v>61</v>
      </c>
      <c r="C19" s="21">
        <f>B19-I19</f>
        <v/>
      </c>
      <c r="D19" s="24" t="n">
        <v>14</v>
      </c>
      <c r="E19" s="24" t="n">
        <v>14</v>
      </c>
      <c r="F19" s="24" t="n">
        <v>17</v>
      </c>
      <c r="G19" s="21">
        <f>SUM(C19:F19)</f>
        <v/>
      </c>
      <c r="H19" s="28" t="inlineStr">
        <is>
          <t>公告利润表</t>
        </is>
      </c>
      <c r="I19" s="24" t="n">
        <v>45</v>
      </c>
    </row>
    <row r="20" ht="22" customHeight="1">
      <c r="A20" s="16" t="inlineStr">
        <is>
          <t>归母净利润</t>
        </is>
      </c>
      <c r="B20" s="21">
        <f>B18-B19</f>
        <v/>
      </c>
      <c r="C20" s="21">
        <f>B20-I20</f>
        <v/>
      </c>
      <c r="D20" s="21">
        <f>D18-D19</f>
        <v/>
      </c>
      <c r="E20" s="21">
        <f>E18-E19</f>
        <v/>
      </c>
      <c r="F20" s="21">
        <f>F18-F19</f>
        <v/>
      </c>
      <c r="G20" s="21">
        <f>SUM(C20:F20)</f>
        <v/>
      </c>
      <c r="H20" s="28" t="inlineStr">
        <is>
          <t>= 净利润 − 少数股东损益</t>
        </is>
      </c>
      <c r="I20" s="21">
        <f>I18-I19</f>
        <v/>
      </c>
    </row>
    <row r="21" ht="22" customHeight="1">
      <c r="A21" s="16" t="inlineStr">
        <is>
          <t>经营活动现金流</t>
        </is>
      </c>
      <c r="B21" s="24" t="n">
        <v>14747</v>
      </c>
      <c r="C21" s="21">
        <f>B21-I21</f>
        <v/>
      </c>
      <c r="D21" s="24" t="n">
        <v>3937</v>
      </c>
      <c r="E21" s="24" t="n">
        <v>4697</v>
      </c>
      <c r="F21" s="24" t="n">
        <v>6263</v>
      </c>
      <c r="G21" s="21">
        <f>SUM(C21:F21)</f>
        <v/>
      </c>
      <c r="H21" s="28" t="inlineStr">
        <is>
          <t>2025 10-K 现金流量表；2026Q3 公告/10-Q</t>
        </is>
      </c>
      <c r="I21" s="24" t="n">
        <v>10934</v>
      </c>
    </row>
    <row r="22" ht="22" customHeight="1">
      <c r="A22" s="16" t="inlineStr">
        <is>
          <t>资本开支</t>
        </is>
      </c>
      <c r="B22" s="24" t="n">
        <v>8527</v>
      </c>
      <c r="C22" s="21">
        <f>B22-I22</f>
        <v/>
      </c>
      <c r="D22" s="24" t="n">
        <v>2493</v>
      </c>
      <c r="E22" s="24" t="n">
        <v>5789</v>
      </c>
      <c r="F22" s="24" t="n">
        <v>4732</v>
      </c>
      <c r="G22" s="21">
        <f>SUM(C22:F22)</f>
        <v/>
      </c>
      <c r="H22" s="28" t="inlineStr">
        <is>
          <t>2025 10-K；2026Q3 公告（不含融资租赁）</t>
        </is>
      </c>
      <c r="I22" s="24" t="n">
        <v>6134</v>
      </c>
    </row>
    <row r="23" ht="22" customHeight="1">
      <c r="A23" s="16" t="inlineStr">
        <is>
          <t>自由现金流</t>
        </is>
      </c>
      <c r="B23" s="21">
        <f>B21-B22</f>
        <v/>
      </c>
      <c r="C23" s="21">
        <f>B23-I23</f>
        <v/>
      </c>
      <c r="D23" s="21">
        <f>D21-D22</f>
        <v/>
      </c>
      <c r="E23" s="21">
        <f>E21-E22</f>
        <v/>
      </c>
      <c r="F23" s="21">
        <f>F21-F22</f>
        <v/>
      </c>
      <c r="G23" s="21">
        <f>SUM(C23:F23)</f>
        <v/>
      </c>
      <c r="H23" s="28" t="inlineStr">
        <is>
          <t>= 经营现金流 − 资本开支</t>
        </is>
      </c>
      <c r="I23" s="21">
        <f>I21-I22</f>
        <v/>
      </c>
    </row>
    <row r="24">
      <c r="A24" s="16" t="inlineStr">
        <is>
          <t>现金及现金等价物</t>
        </is>
      </c>
      <c r="B24" s="24" t="n">
        <v>16513</v>
      </c>
      <c r="F24" s="24" t="n">
        <v>17853</v>
      </c>
      <c r="G24" s="21">
        <f>F24</f>
        <v/>
      </c>
      <c r="H24" s="29" t="inlineStr">
        <is>
          <t>2026Q3 10-Q 资产负债表；FY2025 10-K</t>
        </is>
      </c>
    </row>
    <row r="25">
      <c r="A25" s="16" t="inlineStr">
        <is>
          <t>短期投资</t>
        </is>
      </c>
      <c r="B25" s="24" t="n">
        <v>27546</v>
      </c>
      <c r="F25" s="24" t="n">
        <v>27594</v>
      </c>
      <c r="G25" s="21">
        <f>F25</f>
        <v/>
      </c>
      <c r="H25" s="29" t="inlineStr">
        <is>
          <t>同上</t>
        </is>
      </c>
    </row>
    <row r="26">
      <c r="A26" s="16" t="inlineStr">
        <is>
          <t>现金及短期投资</t>
        </is>
      </c>
      <c r="B26" s="21">
        <f>B24+B25</f>
        <v/>
      </c>
      <c r="F26" s="21">
        <f>F24+F25</f>
        <v/>
      </c>
      <c r="G26" s="21">
        <f>F26</f>
        <v/>
      </c>
      <c r="H26" s="29" t="inlineStr">
        <is>
          <t>= 现金 + 短期投资</t>
        </is>
      </c>
    </row>
    <row r="27">
      <c r="A27" s="16" t="inlineStr">
        <is>
          <t>有息负债（含融资租赁）</t>
        </is>
      </c>
      <c r="B27" s="24" t="n">
        <v>8376</v>
      </c>
      <c r="F27" s="24" t="n">
        <v>9523</v>
      </c>
      <c r="G27" s="21">
        <f>F27</f>
        <v/>
      </c>
      <c r="H27" s="28" t="inlineStr">
        <is>
          <t>Q3：流动 1,387 + 长期 8,136；FY：1,640+6,736</t>
        </is>
      </c>
    </row>
    <row r="28">
      <c r="A28" s="16" t="inlineStr">
        <is>
          <t>净债务/(净现金)</t>
        </is>
      </c>
      <c r="B28" s="21">
        <f>B27-B26</f>
        <v/>
      </c>
      <c r="F28" s="21">
        <f>F27-F26</f>
        <v/>
      </c>
      <c r="G28" s="21">
        <f>F28</f>
        <v/>
      </c>
      <c r="H28" s="29" t="inlineStr">
        <is>
          <t>= 有息负债 − 现金及短期投资</t>
        </is>
      </c>
    </row>
    <row r="29">
      <c r="A29" s="16" t="inlineStr">
        <is>
          <t>股东权益合计</t>
        </is>
      </c>
      <c r="B29" s="24" t="n">
        <v>82137</v>
      </c>
      <c r="F29" s="24" t="n">
        <v>89289</v>
      </c>
      <c r="G29" s="21">
        <f>F29</f>
        <v/>
      </c>
      <c r="H29" s="29" t="inlineStr">
        <is>
          <t>2026Q3 10-Q；FY2025 10-K</t>
        </is>
      </c>
    </row>
    <row r="30">
      <c r="A30" s="16" t="inlineStr">
        <is>
          <t>少数股东权益</t>
        </is>
      </c>
      <c r="B30" s="24" t="n">
        <v>670</v>
      </c>
      <c r="F30" s="24" t="n">
        <v>546</v>
      </c>
      <c r="G30" s="21">
        <f>F30</f>
        <v/>
      </c>
      <c r="H30" s="29" t="inlineStr">
        <is>
          <t>资产负债表</t>
        </is>
      </c>
    </row>
    <row r="31">
      <c r="A31" s="16" t="inlineStr">
        <is>
          <t>调整后 EBITDA</t>
        </is>
      </c>
      <c r="B31" s="24" t="n">
        <v>14596</v>
      </c>
      <c r="C31" s="24" t="n">
        <v>4154</v>
      </c>
      <c r="D31" s="24" t="n">
        <v>3668</v>
      </c>
      <c r="E31" s="24" t="n">
        <v>3273</v>
      </c>
      <c r="F31" s="24" t="n">
        <v>3900</v>
      </c>
      <c r="G31" s="21">
        <f>SUM(C31:F31)</f>
        <v/>
      </c>
      <c r="H31" s="28" t="inlineStr">
        <is>
          <t>公司披露的非GAAP口径；FY 14,596；TTM 表交叉核对 14,995</t>
        </is>
      </c>
      <c r="I31" s="31" t="n"/>
    </row>
    <row r="34" ht="22" customHeight="1">
      <c r="A34" s="3" t="inlineStr">
        <is>
          <t>分业务数据（两个报告分部：汽车 / 能源；并拆出汽车与服务收入）</t>
        </is>
      </c>
    </row>
    <row r="35" ht="30" customHeight="1">
      <c r="A35" s="9" t="inlineStr">
        <is>
          <t>项目</t>
        </is>
      </c>
      <c r="B35" s="9" t="inlineStr">
        <is>
          <t>FY2025</t>
        </is>
      </c>
      <c r="C35" s="9" t="inlineStr">
        <is>
          <t>Q4-25</t>
        </is>
      </c>
      <c r="D35" s="9" t="inlineStr">
        <is>
          <t>Q1-26</t>
        </is>
      </c>
      <c r="E35" s="9" t="inlineStr">
        <is>
          <t>Q2-26</t>
        </is>
      </c>
      <c r="F35" s="9" t="inlineStr">
        <is>
          <t>Q3-26</t>
        </is>
      </c>
      <c r="G35" s="9" t="inlineStr">
        <is>
          <t>LTM</t>
        </is>
      </c>
      <c r="H35" s="9" t="inlineStr">
        <is>
          <t>来源/口径</t>
        </is>
      </c>
      <c r="I35" s="9" t="inlineStr">
        <is>
          <t>2025前三季度（推导用）</t>
        </is>
      </c>
    </row>
    <row r="36">
      <c r="A36" s="16" t="inlineStr">
        <is>
          <t>汽车分部收入（含服务）</t>
        </is>
      </c>
      <c r="B36" s="24" t="n">
        <v>82056</v>
      </c>
      <c r="C36" s="21">
        <f>B36-I36</f>
        <v/>
      </c>
      <c r="D36" s="24" t="n">
        <v>19979</v>
      </c>
      <c r="E36" s="24" t="n">
        <v>25097</v>
      </c>
      <c r="F36" s="24" t="n">
        <v>25165</v>
      </c>
      <c r="G36" s="21">
        <f>SUM(C36:F36)</f>
        <v/>
      </c>
      <c r="H36" s="28" t="inlineStr">
        <is>
          <t>2025 10-K Note 16；2026Q3 10-Q Note 14；Q4 由差额推导</t>
        </is>
      </c>
      <c r="I36" s="24" t="n">
        <v>60992</v>
      </c>
    </row>
    <row r="37">
      <c r="A37" s="16" t="inlineStr">
        <is>
          <t>能源分部收入</t>
        </is>
      </c>
      <c r="B37" s="24" t="n">
        <v>12771</v>
      </c>
      <c r="C37" s="21">
        <f>B37-I37</f>
        <v/>
      </c>
      <c r="D37" s="24" t="n">
        <v>2408</v>
      </c>
      <c r="E37" s="24" t="n">
        <v>3139</v>
      </c>
      <c r="F37" s="24" t="n">
        <v>2881</v>
      </c>
      <c r="G37" s="21">
        <f>SUM(C37:F37)</f>
        <v/>
      </c>
      <c r="H37" s="28" t="inlineStr">
        <is>
          <t>同上</t>
        </is>
      </c>
      <c r="I37" s="24" t="n">
        <v>8934</v>
      </c>
    </row>
    <row r="38">
      <c r="A38" s="30" t="inlineStr">
        <is>
          <t>分部收入合计</t>
        </is>
      </c>
      <c r="B38" s="21">
        <f>B36+B37</f>
        <v/>
      </c>
      <c r="C38" s="21">
        <f>B38-I38</f>
        <v/>
      </c>
      <c r="D38" s="21">
        <f>D36+D37</f>
        <v/>
      </c>
      <c r="E38" s="21">
        <f>E36+E37</f>
        <v/>
      </c>
      <c r="F38" s="21">
        <f>F36+F37</f>
        <v/>
      </c>
      <c r="G38" s="21">
        <f>SUM(C38:F38)</f>
        <v/>
      </c>
      <c r="H38" s="29" t="inlineStr">
        <is>
          <t>= 汽车分部 + 能源分部</t>
        </is>
      </c>
      <c r="I38" s="21">
        <f>I36+I37</f>
        <v/>
      </c>
    </row>
    <row r="39">
      <c r="A39" s="16" t="inlineStr">
        <is>
          <t>汽车分部毛利</t>
        </is>
      </c>
      <c r="B39" s="24" t="n">
        <v>13292</v>
      </c>
      <c r="C39" s="21">
        <f>B39-I39</f>
        <v/>
      </c>
      <c r="D39" s="24" t="n">
        <v>3768</v>
      </c>
      <c r="E39" s="24" t="n">
        <v>4111</v>
      </c>
      <c r="F39" s="24" t="n">
        <v>4540</v>
      </c>
      <c r="G39" s="21">
        <f>SUM(C39:F39)</f>
        <v/>
      </c>
      <c r="H39" s="28" t="inlineStr">
        <is>
          <t>同上</t>
        </is>
      </c>
      <c r="I39" s="24" t="n">
        <v>9381</v>
      </c>
    </row>
    <row r="40">
      <c r="A40" s="16" t="inlineStr">
        <is>
          <t>能源分部毛利</t>
        </is>
      </c>
      <c r="B40" s="24" t="n">
        <v>3802</v>
      </c>
      <c r="C40" s="21">
        <f>B40-I40</f>
        <v/>
      </c>
      <c r="D40" s="24" t="n">
        <v>952</v>
      </c>
      <c r="E40" s="24" t="n">
        <v>640</v>
      </c>
      <c r="F40" s="24" t="n">
        <v>954</v>
      </c>
      <c r="G40" s="21">
        <f>SUM(C40:F40)</f>
        <v/>
      </c>
      <c r="H40" s="28" t="inlineStr">
        <is>
          <t>同上</t>
        </is>
      </c>
      <c r="I40" s="24" t="n">
        <v>2704</v>
      </c>
    </row>
    <row r="41">
      <c r="A41" s="30" t="inlineStr">
        <is>
          <t>分部毛利合计</t>
        </is>
      </c>
      <c r="B41" s="21">
        <f>B39+B40</f>
        <v/>
      </c>
      <c r="C41" s="21">
        <f>B41-I41</f>
        <v/>
      </c>
      <c r="D41" s="21">
        <f>D39+D40</f>
        <v/>
      </c>
      <c r="E41" s="21">
        <f>E39+E40</f>
        <v/>
      </c>
      <c r="F41" s="21">
        <f>F39+F40</f>
        <v/>
      </c>
      <c r="G41" s="21">
        <f>SUM(C41:F41)</f>
        <v/>
      </c>
      <c r="H41" s="29" t="inlineStr">
        <is>
          <t>= 汽车分部毛利 + 能源分部毛利</t>
        </is>
      </c>
      <c r="I41" s="21">
        <f>I39+I40</f>
        <v/>
      </c>
    </row>
    <row r="42">
      <c r="A42" s="16" t="inlineStr">
        <is>
          <t>汽车（整车/积分/租赁）收入</t>
        </is>
      </c>
      <c r="B42" s="24" t="n">
        <v>69526</v>
      </c>
      <c r="C42" s="21">
        <f>B42-I42</f>
        <v/>
      </c>
      <c r="D42" s="24" t="n">
        <v>16234</v>
      </c>
      <c r="E42" s="24" t="n">
        <v>20516</v>
      </c>
      <c r="F42" s="24" t="n">
        <v>20560</v>
      </c>
      <c r="G42" s="21">
        <f>SUM(C42:F42)</f>
        <v/>
      </c>
      <c r="H42" s="28" t="inlineStr">
        <is>
          <t>2026Q3 公告 Financial Summary；Q4 由差额</t>
        </is>
      </c>
      <c r="I42" s="24" t="n">
        <v>51833</v>
      </c>
    </row>
    <row r="43">
      <c r="A43" s="16" t="inlineStr">
        <is>
          <t>服务及其他收入</t>
        </is>
      </c>
      <c r="B43" s="24" t="n">
        <v>12530</v>
      </c>
      <c r="C43" s="21">
        <f>B43-I43</f>
        <v/>
      </c>
      <c r="D43" s="24" t="n">
        <v>3745</v>
      </c>
      <c r="E43" s="24" t="n">
        <v>4581</v>
      </c>
      <c r="F43" s="24" t="n">
        <v>4605</v>
      </c>
      <c r="G43" s="21">
        <f>SUM(C43:F43)</f>
        <v/>
      </c>
      <c r="H43" s="28" t="inlineStr">
        <is>
          <t>同上</t>
        </is>
      </c>
      <c r="I43" s="24" t="n">
        <v>9159</v>
      </c>
    </row>
    <row r="44">
      <c r="A44" s="16" t="inlineStr">
        <is>
          <t>汽车（整车/积分/租赁）毛利</t>
        </is>
      </c>
      <c r="B44" s="24" t="n">
        <v>12361</v>
      </c>
      <c r="C44" s="21">
        <f>B44-I44</f>
        <v/>
      </c>
      <c r="D44" s="24" t="n">
        <v>3422</v>
      </c>
      <c r="E44" s="24" t="n">
        <v>3463</v>
      </c>
      <c r="F44" s="24" t="n">
        <v>3806</v>
      </c>
      <c r="G44" s="21">
        <f>SUM(C44:F44)</f>
        <v/>
      </c>
      <c r="H44" s="28" t="inlineStr">
        <is>
          <t>收入减成本；Q4 由差额</t>
        </is>
      </c>
      <c r="I44" s="24" t="n">
        <v>8748</v>
      </c>
    </row>
    <row r="45">
      <c r="A45" s="16" t="inlineStr">
        <is>
          <t>服务及其他毛利</t>
        </is>
      </c>
      <c r="B45" s="24" t="n">
        <v>931</v>
      </c>
      <c r="C45" s="21">
        <f>B45-I45</f>
        <v/>
      </c>
      <c r="D45" s="24" t="n">
        <v>346</v>
      </c>
      <c r="E45" s="24" t="n">
        <v>648</v>
      </c>
      <c r="F45" s="24" t="n">
        <v>734</v>
      </c>
      <c r="G45" s="21">
        <f>SUM(C45:F45)</f>
        <v/>
      </c>
      <c r="H45" s="28" t="inlineStr">
        <is>
          <t>同上</t>
        </is>
      </c>
      <c r="I45" s="24" t="n">
        <v>633</v>
      </c>
    </row>
    <row r="46">
      <c r="A46" s="30" t="inlineStr">
        <is>
          <t>能源分部毛利（备查）</t>
        </is>
      </c>
      <c r="B46" s="21">
        <f>B40</f>
        <v/>
      </c>
      <c r="C46" s="21">
        <f>C40</f>
        <v/>
      </c>
      <c r="D46" s="21">
        <f>D40</f>
        <v/>
      </c>
      <c r="E46" s="21">
        <f>E40</f>
        <v/>
      </c>
      <c r="F46" s="21">
        <f>F40</f>
        <v/>
      </c>
      <c r="G46" s="21">
        <f>G40</f>
        <v/>
      </c>
      <c r="H46" s="29" t="inlineStr">
        <is>
          <t>= 能源分部毛利</t>
        </is>
      </c>
    </row>
  </sheetData>
  <mergeCells count="3">
    <mergeCell ref="A1:I1"/>
    <mergeCell ref="A2:I2"/>
    <mergeCell ref="A34:I3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99A00"/>
    <outlinePr summaryBelow="1" summaryRight="1"/>
    <pageSetUpPr fitToPage="1"/>
  </sheetPr>
  <dimension ref="A1:F125"/>
  <sheetViews>
    <sheetView showGridLines="0" zoomScale="90"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17" customWidth="1" min="2" max="2"/>
    <col width="17" customWidth="1" min="3" max="3"/>
    <col width="15" customWidth="1" min="4" max="4"/>
    <col width="17" customWidth="1" min="5" max="5"/>
    <col width="62" customWidth="1" min="6" max="6"/>
  </cols>
  <sheetData>
    <row r="1" ht="34" customHeight="1">
      <c r="A1" s="1" t="inlineStr">
        <is>
          <t>合并备考：把两家公司当成一家看</t>
        </is>
      </c>
    </row>
    <row r="2" ht="20" customHeight="1">
      <c r="A2" s="2" t="inlineStr">
        <is>
          <t>LTM = 2025Q4 + 2026Q1 + 2026Q2 + 2026Q3；历史报表相加并抵消关联交易与交叉持股，不含购买会计与协同效应</t>
        </is>
      </c>
    </row>
    <row r="4" ht="22" customHeight="1">
      <c r="A4" s="3" t="inlineStr">
        <is>
          <t>一、交易与备考基准（基准情形 = 市值法 + 20% 溢价）</t>
        </is>
      </c>
    </row>
    <row r="5" ht="22" customHeight="1">
      <c r="A5" s="16" t="inlineStr">
        <is>
          <t>基准定价方法</t>
        </is>
      </c>
      <c r="B5" s="32" t="inlineStr">
        <is>
          <t>A 市值法（2026-10-21 收盘）</t>
        </is>
      </c>
      <c r="C5" s="33" t="n"/>
      <c r="D5" s="34" t="inlineStr">
        <is>
          <t>来自“换股比例”方法 A</t>
        </is>
      </c>
      <c r="E5" s="35" t="n"/>
      <c r="F5" s="33" t="n"/>
    </row>
    <row r="6" ht="22" customHeight="1">
      <c r="A6" s="16" t="inlineStr">
        <is>
          <t>换股溢价率</t>
        </is>
      </c>
      <c r="B6" s="23">
        <f>'换股比例'!B19</f>
        <v/>
      </c>
      <c r="C6" s="33" t="n"/>
      <c r="D6" s="34" t="inlineStr">
        <is>
          <t>输入格在“换股比例”页；改变后本页与敏感性自动更新</t>
        </is>
      </c>
      <c r="E6" s="35" t="n"/>
      <c r="F6" s="33" t="n"/>
    </row>
    <row r="7" ht="22" customHeight="1">
      <c r="A7" s="16" t="inlineStr">
        <is>
          <t>换股比例（SPCX 股 / TSLA 股）</t>
        </is>
      </c>
      <c r="B7" s="36">
        <f>'换股比例'!H35</f>
        <v/>
      </c>
      <c r="C7" s="33" t="n"/>
      <c r="D7" s="34" t="inlineStr">
        <is>
          <t>每 1 股 Tesla 换得的 SpaceX 股数</t>
        </is>
      </c>
      <c r="E7" s="35" t="n"/>
      <c r="F7" s="33" t="n"/>
    </row>
    <row r="8" ht="22" customHeight="1">
      <c r="A8" s="16" t="inlineStr">
        <is>
          <t>交易对价（$M）</t>
        </is>
      </c>
      <c r="B8" s="21">
        <f>'市场数据'!B14*(1+B6)</f>
        <v/>
      </c>
      <c r="C8" s="33" t="n"/>
      <c r="D8" s="34" t="inlineStr">
        <is>
          <t>Tesla 市值 × (1+溢价)</t>
        </is>
      </c>
      <c r="E8" s="35" t="n"/>
      <c r="F8" s="33" t="n"/>
    </row>
    <row r="9" ht="22" customHeight="1">
      <c r="A9" s="16" t="inlineStr">
        <is>
          <t>合并后总股本（百万股）</t>
        </is>
      </c>
      <c r="B9" s="21">
        <f>'换股比例'!J35</f>
        <v/>
      </c>
      <c r="C9" s="33" t="n"/>
      <c r="D9" s="34" t="inlineStr">
        <is>
          <t>SpaceX 现有 + 新发 − Tesla 持有的 SpaceX 股份</t>
        </is>
      </c>
      <c r="E9" s="35" t="n"/>
      <c r="F9" s="33" t="n"/>
    </row>
    <row r="10" ht="22" customHeight="1">
      <c r="A10" s="16" t="inlineStr">
        <is>
          <t>Tesla 原股东持股</t>
        </is>
      </c>
      <c r="B10" s="23">
        <f>'换股比例'!K35</f>
        <v/>
      </c>
      <c r="C10" s="33" t="n"/>
      <c r="D10" s="34" t="inlineStr">
        <is>
          <t>新发股份 / 合并后总股本</t>
        </is>
      </c>
      <c r="E10" s="35" t="n"/>
      <c r="F10" s="33" t="n"/>
    </row>
    <row r="11" ht="22" customHeight="1">
      <c r="A11" s="16" t="inlineStr">
        <is>
          <t>SpaceX 原股东持股</t>
        </is>
      </c>
      <c r="B11" s="23">
        <f>'换股比例'!L35</f>
        <v/>
      </c>
      <c r="C11" s="33" t="n"/>
      <c r="D11" s="34" t="inlineStr">
        <is>
          <t>(SpaceX 现有 − Tesla 持有) / 合并后总股本</t>
        </is>
      </c>
      <c r="E11" s="35" t="n"/>
      <c r="F11" s="33" t="n"/>
    </row>
    <row r="12" ht="22" customHeight="1">
      <c r="A12" s="16" t="inlineStr">
        <is>
          <t>马斯克合并后经济权益</t>
        </is>
      </c>
      <c r="B12" s="23">
        <f>'换股比例'!M35</f>
        <v/>
      </c>
      <c r="C12" s="33" t="n"/>
      <c r="D12" s="34" t="inlineStr">
        <is>
          <t>(马斯克 SpaceX + 马斯克 Tesla×换股比例) / 合并后总股本</t>
        </is>
      </c>
      <c r="E12" s="35" t="n"/>
      <c r="F12" s="33" t="n"/>
    </row>
    <row r="13" ht="22" customHeight="1">
      <c r="A13" s="16" t="inlineStr">
        <is>
          <t>马斯克合并后投票权（估算）</t>
        </is>
      </c>
      <c r="B13" s="23">
        <f>'换股比例'!O35</f>
        <v/>
      </c>
      <c r="C13" s="33" t="n"/>
      <c r="D13" s="34" t="inlineStr">
        <is>
          <t>假设新发股份为 Class A（1票/股），Class B 10票/股</t>
        </is>
      </c>
      <c r="E13" s="35" t="n"/>
      <c r="F13" s="33" t="n"/>
    </row>
    <row r="15" ht="22" customHeight="1">
      <c r="A15" s="3" t="inlineStr">
        <is>
          <t>二、LTM 备考利润表（$M）</t>
        </is>
      </c>
    </row>
    <row r="16" ht="30" customHeight="1">
      <c r="A16" s="9" t="inlineStr">
        <is>
          <t>项目</t>
        </is>
      </c>
      <c r="B16" s="9" t="inlineStr">
        <is>
          <t>SpaceX LTM</t>
        </is>
      </c>
      <c r="C16" s="9" t="inlineStr">
        <is>
          <t>Tesla LTM</t>
        </is>
      </c>
      <c r="D16" s="9" t="inlineStr">
        <is>
          <t>备考调整</t>
        </is>
      </c>
      <c r="E16" s="9" t="inlineStr">
        <is>
          <t>备考合计</t>
        </is>
      </c>
      <c r="F16" s="9" t="inlineStr">
        <is>
          <t>备注</t>
        </is>
      </c>
    </row>
    <row r="18" ht="24" customHeight="1">
      <c r="A18" s="16" t="inlineStr">
        <is>
          <t>营业收入</t>
        </is>
      </c>
      <c r="B18" s="21">
        <f>'SpaceX数据'!G5</f>
        <v/>
      </c>
      <c r="C18" s="21">
        <f>'Tesla数据'!G5</f>
        <v/>
      </c>
      <c r="D18" s="21">
        <f>-B88</f>
        <v/>
      </c>
      <c r="E18" s="21">
        <f>SUM(B18:D18)</f>
        <v/>
      </c>
      <c r="F18" s="28" t="inlineStr">
        <is>
          <t>抵消 Tesla 对 SpaceX/xAI 的关联销售收入（LTM）</t>
        </is>
      </c>
    </row>
    <row r="19" ht="24" customHeight="1">
      <c r="A19" s="16" t="inlineStr">
        <is>
          <t>营业成本</t>
        </is>
      </c>
      <c r="B19" s="21">
        <f>'SpaceX数据'!G6</f>
        <v/>
      </c>
      <c r="C19" s="21">
        <f>'Tesla数据'!G6</f>
        <v/>
      </c>
      <c r="D19" s="21">
        <f>-B91</f>
        <v/>
      </c>
      <c r="E19" s="21">
        <f>SUM(B19:D19)</f>
        <v/>
      </c>
      <c r="F19" s="28" t="inlineStr">
        <is>
          <t>抵消对应成本；未实现利润留在 PP&amp;E，按交付额抵消资本开支</t>
        </is>
      </c>
    </row>
    <row r="20" ht="24" customHeight="1">
      <c r="A20" s="30" t="inlineStr">
        <is>
          <t>毛利</t>
        </is>
      </c>
      <c r="B20" s="21">
        <f>B18-B19</f>
        <v/>
      </c>
      <c r="C20" s="21">
        <f>C18-C19</f>
        <v/>
      </c>
      <c r="D20" s="21">
        <f>D18-D19</f>
        <v/>
      </c>
      <c r="E20" s="37">
        <f>SUM(B20:D20)</f>
        <v/>
      </c>
      <c r="F20" s="28" t="inlineStr">
        <is>
          <t>= 收入 − 成本</t>
        </is>
      </c>
    </row>
    <row r="21" ht="24" customHeight="1">
      <c r="A21" s="16" t="inlineStr">
        <is>
          <t>研发费用</t>
        </is>
      </c>
      <c r="B21" s="21">
        <f>'SpaceX数据'!G8</f>
        <v/>
      </c>
      <c r="C21" s="21">
        <f>'Tesla数据'!G8</f>
        <v/>
      </c>
      <c r="D21" s="24" t="n">
        <v>0</v>
      </c>
      <c r="E21" s="21">
        <f>SUM(B21:D21)</f>
        <v/>
      </c>
      <c r="F21" s="28" t="inlineStr">
        <is>
          <t>无抵消</t>
        </is>
      </c>
    </row>
    <row r="22" ht="24" customHeight="1">
      <c r="A22" s="16" t="inlineStr">
        <is>
          <t>销售及管理费用</t>
        </is>
      </c>
      <c r="B22" s="21">
        <f>'SpaceX数据'!G9</f>
        <v/>
      </c>
      <c r="C22" s="21">
        <f>'Tesla数据'!G9</f>
        <v/>
      </c>
      <c r="D22" s="24" t="n">
        <v>0</v>
      </c>
      <c r="E22" s="21">
        <f>SUM(B22:D22)</f>
        <v/>
      </c>
      <c r="F22" s="28" t="inlineStr">
        <is>
          <t>无抵消</t>
        </is>
      </c>
    </row>
    <row r="23" ht="24" customHeight="1">
      <c r="A23" s="16" t="inlineStr">
        <is>
          <t>重组及减值</t>
        </is>
      </c>
      <c r="B23" s="21">
        <f>'SpaceX数据'!G10+'SpaceX数据'!G11</f>
        <v/>
      </c>
      <c r="C23" s="21">
        <f>'Tesla数据'!G10</f>
        <v/>
      </c>
      <c r="D23" s="24" t="n">
        <v>0</v>
      </c>
      <c r="E23" s="21">
        <f>SUM(B23:D23)</f>
        <v/>
      </c>
      <c r="F23" s="28" t="inlineStr">
        <is>
          <t>SpaceX：重组+减值；Tesla：重组及其他</t>
        </is>
      </c>
    </row>
    <row r="24" ht="24" customHeight="1">
      <c r="A24" s="16" t="inlineStr">
        <is>
          <t>总运营费用</t>
        </is>
      </c>
      <c r="B24" s="21">
        <f>SUM(B21:B23)</f>
        <v/>
      </c>
      <c r="C24" s="21">
        <f>SUM(C21:C23)</f>
        <v/>
      </c>
      <c r="D24" s="21">
        <f>SUM(D21:D23)</f>
        <v/>
      </c>
      <c r="E24" s="21">
        <f>SUM(B24:D24)</f>
        <v/>
      </c>
      <c r="F24" s="28" t="inlineStr">
        <is>
          <t>= 研发 + 销售管理 + 重组减值</t>
        </is>
      </c>
    </row>
    <row r="25" ht="24" customHeight="1">
      <c r="A25" s="30" t="inlineStr">
        <is>
          <t>经营利润</t>
        </is>
      </c>
      <c r="B25" s="21">
        <f>B20-B24</f>
        <v/>
      </c>
      <c r="C25" s="21">
        <f>C20-C24</f>
        <v/>
      </c>
      <c r="D25" s="21">
        <f>D20-D24</f>
        <v/>
      </c>
      <c r="E25" s="37">
        <f>SUM(B25:D25)</f>
        <v/>
      </c>
      <c r="F25" s="28" t="inlineStr">
        <is>
          <t>= 毛利 − 总运营费用</t>
        </is>
      </c>
    </row>
    <row r="26" ht="24" customHeight="1">
      <c r="A26" s="16" t="inlineStr">
        <is>
          <t>利息费用</t>
        </is>
      </c>
      <c r="B26" s="21">
        <f>'SpaceX数据'!G14</f>
        <v/>
      </c>
      <c r="C26" s="21">
        <f>'Tesla数据'!G14</f>
        <v/>
      </c>
      <c r="D26" s="24" t="n">
        <v>0</v>
      </c>
      <c r="E26" s="21">
        <f>SUM(B26:D26)</f>
        <v/>
      </c>
      <c r="F26" s="28" t="inlineStr">
        <is>
          <t>SpaceX 含 Valor 关联方租赁利息</t>
        </is>
      </c>
    </row>
    <row r="27" ht="24" customHeight="1">
      <c r="A27" s="16" t="inlineStr">
        <is>
          <t>利息收入</t>
        </is>
      </c>
      <c r="B27" s="21">
        <f>'SpaceX数据'!G15</f>
        <v/>
      </c>
      <c r="C27" s="21">
        <f>'Tesla数据'!G13</f>
        <v/>
      </c>
      <c r="D27" s="24" t="n">
        <v>0</v>
      </c>
      <c r="E27" s="21">
        <f>SUM(B27:D27)</f>
        <v/>
      </c>
      <c r="F27" s="28" t="inlineStr">
        <is>
          <t>—</t>
        </is>
      </c>
    </row>
    <row r="28" ht="24" customHeight="1">
      <c r="A28" s="16" t="inlineStr">
        <is>
          <t>其他收益/(费用)净额</t>
        </is>
      </c>
      <c r="B28" s="21">
        <f>'SpaceX数据'!G16</f>
        <v/>
      </c>
      <c r="C28" s="21">
        <f>'Tesla数据'!G15</f>
        <v/>
      </c>
      <c r="D28" s="21">
        <f>-863</f>
        <v/>
      </c>
      <c r="E28" s="21">
        <f>SUM(B28:D28)</f>
        <v/>
      </c>
      <c r="F28" s="28" t="inlineStr">
        <is>
          <t>剔除 Tesla 对 SpaceX 股权投资的 863 公允价值收益</t>
        </is>
      </c>
    </row>
    <row r="29" ht="24" customHeight="1">
      <c r="A29" s="30" t="inlineStr">
        <is>
          <t>税前利润</t>
        </is>
      </c>
      <c r="B29" s="21">
        <f>B25-B26+B27+B28</f>
        <v/>
      </c>
      <c r="C29" s="21">
        <f>C25-C26+C27+C28</f>
        <v/>
      </c>
      <c r="D29" s="21">
        <f>D25-D26+D27+D28</f>
        <v/>
      </c>
      <c r="E29" s="37">
        <f>SUM(B29:D29)</f>
        <v/>
      </c>
      <c r="F29" s="28" t="inlineStr">
        <is>
          <t>= 经营利润 − 利息费用 + 利息收入 + 其他</t>
        </is>
      </c>
    </row>
    <row r="30" ht="24" customHeight="1">
      <c r="A30" s="16" t="inlineStr">
        <is>
          <t>所得税费用</t>
        </is>
      </c>
      <c r="B30" s="21">
        <f>'SpaceX数据'!G18</f>
        <v/>
      </c>
      <c r="C30" s="21">
        <f>'Tesla数据'!G17</f>
        <v/>
      </c>
      <c r="D30" s="21">
        <f>D29*$B$93</f>
        <v/>
      </c>
      <c r="E30" s="21">
        <f>SUM(B30:D30)</f>
        <v/>
      </c>
      <c r="F30" s="28" t="inlineStr">
        <is>
          <t>按 21% 对调整项计税；两家实际税费加总</t>
        </is>
      </c>
    </row>
    <row r="31" ht="24" customHeight="1">
      <c r="A31" s="30" t="inlineStr">
        <is>
          <t>净利润（含少数股东）</t>
        </is>
      </c>
      <c r="B31" s="21">
        <f>B29-B30</f>
        <v/>
      </c>
      <c r="C31" s="21">
        <f>C29-C30</f>
        <v/>
      </c>
      <c r="D31" s="21">
        <f>D29-D30</f>
        <v/>
      </c>
      <c r="E31" s="37">
        <f>SUM(B31:D31)</f>
        <v/>
      </c>
      <c r="F31" s="28" t="inlineStr">
        <is>
          <t>= 税前利润 − 所得税</t>
        </is>
      </c>
    </row>
    <row r="32" ht="24" customHeight="1">
      <c r="A32" s="30" t="inlineStr">
        <is>
          <t>归母净利润</t>
        </is>
      </c>
      <c r="B32" s="21">
        <f>'SpaceX数据'!G20</f>
        <v/>
      </c>
      <c r="C32" s="21">
        <f>'Tesla数据'!G20</f>
        <v/>
      </c>
      <c r="D32" s="21">
        <f>D31</f>
        <v/>
      </c>
      <c r="E32" s="37">
        <f>E31-'Tesla数据'!G19</f>
        <v/>
      </c>
      <c r="F32" s="28" t="inlineStr">
        <is>
          <t>SpaceX 无少数股东；Tesla 已扣少数股东损益</t>
        </is>
      </c>
    </row>
    <row r="33" ht="24" customHeight="1">
      <c r="A33" s="30" t="inlineStr">
        <is>
          <t>调整后 EBITDA</t>
        </is>
      </c>
      <c r="B33" s="21">
        <f>'SpaceX数据'!G31</f>
        <v/>
      </c>
      <c r="C33" s="21">
        <f>'Tesla数据'!G31</f>
        <v/>
      </c>
      <c r="D33" s="21">
        <f>D20</f>
        <v/>
      </c>
      <c r="E33" s="37">
        <f>SUM(B33:D33)</f>
        <v/>
      </c>
      <c r="F33" s="28" t="inlineStr">
        <is>
          <t>抵消未实现利润；不含 863 非现金收益（两家口径均已剔除）</t>
        </is>
      </c>
    </row>
    <row r="34" ht="24" customHeight="1">
      <c r="A34" s="16" t="inlineStr">
        <is>
          <t>经营活动现金流</t>
        </is>
      </c>
      <c r="B34" s="21">
        <f>'SpaceX数据'!G21</f>
        <v/>
      </c>
      <c r="C34" s="21">
        <f>'Tesla数据'!G21</f>
        <v/>
      </c>
      <c r="D34" s="21">
        <f>-B94</f>
        <v/>
      </c>
      <c r="E34" s="21">
        <f>SUM(B34:D34)</f>
        <v/>
      </c>
      <c r="F34" s="28" t="inlineStr">
        <is>
          <t>抵消内部采购的现金流入/流出</t>
        </is>
      </c>
    </row>
    <row r="35" ht="24" customHeight="1">
      <c r="A35" s="16" t="inlineStr">
        <is>
          <t>资本开支</t>
        </is>
      </c>
      <c r="B35" s="21">
        <f>'SpaceX数据'!G22</f>
        <v/>
      </c>
      <c r="C35" s="21">
        <f>'Tesla数据'!G22</f>
        <v/>
      </c>
      <c r="D35" s="21">
        <f>-B94</f>
        <v/>
      </c>
      <c r="E35" s="21">
        <f>SUM(B35:D35)</f>
        <v/>
      </c>
      <c r="F35" s="28" t="inlineStr">
        <is>
          <t>抵消 SpaceX 向 Tesla 采购的资本开支</t>
        </is>
      </c>
    </row>
    <row r="36" ht="24" customHeight="1">
      <c r="A36" s="30" t="inlineStr">
        <is>
          <t>自由现金流</t>
        </is>
      </c>
      <c r="B36" s="21">
        <f>B34-B35</f>
        <v/>
      </c>
      <c r="C36" s="21">
        <f>C34-C35</f>
        <v/>
      </c>
      <c r="D36" s="21">
        <f>D34-D35</f>
        <v/>
      </c>
      <c r="E36" s="37">
        <f>SUM(B36:D36)</f>
        <v/>
      </c>
      <c r="F36" s="28" t="inlineStr">
        <is>
          <t>= 经营现金流 − 资本开支</t>
        </is>
      </c>
    </row>
    <row r="39" ht="22" customHeight="1">
      <c r="A39" s="3" t="inlineStr">
        <is>
          <t>三、备考收入结构（按业务；LTM 与 FY2025）</t>
        </is>
      </c>
    </row>
    <row r="40" ht="30" customHeight="1">
      <c r="A40" s="9" t="inlineStr">
        <is>
          <t>业务</t>
        </is>
      </c>
      <c r="B40" s="9" t="inlineStr">
        <is>
          <t>LTM 收入</t>
        </is>
      </c>
      <c r="C40" s="9" t="inlineStr">
        <is>
          <t>占比</t>
        </is>
      </c>
      <c r="D40" s="9" t="inlineStr">
        <is>
          <t>FY2025 收入</t>
        </is>
      </c>
      <c r="E40" s="9" t="inlineStr">
        <is>
          <t>占比</t>
        </is>
      </c>
      <c r="F40" s="9" t="inlineStr">
        <is>
          <t>说明</t>
        </is>
      </c>
    </row>
    <row r="41">
      <c r="A41" s="16" t="inlineStr">
        <is>
          <t>Tesla 汽车（整车、积分、租赁）</t>
        </is>
      </c>
      <c r="B41" s="21">
        <f>'Tesla数据'!G42</f>
        <v/>
      </c>
      <c r="C41" s="23">
        <f>B41/$B$48</f>
        <v/>
      </c>
      <c r="D41" s="21">
        <f>'Tesla数据'!B42</f>
        <v/>
      </c>
      <c r="E41" s="23">
        <f>D41/$D$48</f>
        <v/>
      </c>
      <c r="F41" s="28" t="inlineStr">
        <is>
          <t>含 Model 3/Y、其他车型、监管积分、租赁</t>
        </is>
      </c>
    </row>
    <row r="42">
      <c r="A42" s="16" t="inlineStr">
        <is>
          <t>Tesla 服务及其他</t>
        </is>
      </c>
      <c r="B42" s="21">
        <f>'Tesla数据'!G43</f>
        <v/>
      </c>
      <c r="C42" s="23">
        <f>B42/$B$48</f>
        <v/>
      </c>
      <c r="D42" s="21">
        <f>'Tesla数据'!B43</f>
        <v/>
      </c>
      <c r="E42" s="23">
        <f>D42/$D$48</f>
        <v/>
      </c>
      <c r="F42" s="28" t="inlineStr">
        <is>
          <t>超充、维修、保险、二手车等</t>
        </is>
      </c>
    </row>
    <row r="43">
      <c r="A43" s="16" t="inlineStr">
        <is>
          <t>Tesla 能源</t>
        </is>
      </c>
      <c r="B43" s="21">
        <f>'Tesla数据'!G37</f>
        <v/>
      </c>
      <c r="C43" s="23">
        <f>B43/$B$48</f>
        <v/>
      </c>
      <c r="D43" s="21">
        <f>'Tesla数据'!B37</f>
        <v/>
      </c>
      <c r="E43" s="23">
        <f>D43/$D$48</f>
        <v/>
      </c>
      <c r="F43" s="28" t="inlineStr">
        <is>
          <t>Megapack、Powerwall、太阳能</t>
        </is>
      </c>
    </row>
    <row r="44">
      <c r="A44" s="16" t="inlineStr">
        <is>
          <t>SpaceX Space</t>
        </is>
      </c>
      <c r="B44" s="21">
        <f>'SpaceX数据'!G36</f>
        <v/>
      </c>
      <c r="C44" s="23">
        <f>B44/$B$48</f>
        <v/>
      </c>
      <c r="D44" s="21">
        <f>'SpaceX数据'!B36</f>
        <v/>
      </c>
      <c r="E44" s="23">
        <f>D44/$D$48</f>
        <v/>
      </c>
      <c r="F44" s="28" t="inlineStr">
        <is>
          <t>发射服务、载人/货运、Starship 研发</t>
        </is>
      </c>
    </row>
    <row r="45">
      <c r="A45" s="16" t="inlineStr">
        <is>
          <t>SpaceX Connectivity</t>
        </is>
      </c>
      <c r="B45" s="21">
        <f>'SpaceX数据'!G37</f>
        <v/>
      </c>
      <c r="C45" s="23">
        <f>B45/$B$48</f>
        <v/>
      </c>
      <c r="D45" s="21">
        <f>'SpaceX数据'!B37</f>
        <v/>
      </c>
      <c r="E45" s="23">
        <f>D45/$D$48</f>
        <v/>
      </c>
      <c r="F45" s="28" t="inlineStr">
        <is>
          <t>Starlink 消费、企业/政府</t>
        </is>
      </c>
    </row>
    <row r="46">
      <c r="A46" s="16" t="inlineStr">
        <is>
          <t>SpaceX SI</t>
        </is>
      </c>
      <c r="B46" s="21">
        <f>'SpaceX数据'!G38</f>
        <v/>
      </c>
      <c r="C46" s="23">
        <f>B46/$B$48</f>
        <v/>
      </c>
      <c r="D46" s="21">
        <f>'SpaceX数据'!B38</f>
        <v/>
      </c>
      <c r="E46" s="23">
        <f>D46/$D$48</f>
        <v/>
      </c>
      <c r="F46" s="28" t="inlineStr">
        <is>
          <t>Grok、云/算力、广告、Cursor</t>
        </is>
      </c>
    </row>
    <row r="47">
      <c r="A47" s="16" t="inlineStr">
        <is>
          <t>内部抵消</t>
        </is>
      </c>
      <c r="B47" s="21">
        <f>-B88</f>
        <v/>
      </c>
      <c r="C47" s="23">
        <f>B47/$B$48</f>
        <v/>
      </c>
      <c r="D47" s="21">
        <f>-B85</f>
        <v/>
      </c>
      <c r="E47" s="23">
        <f>D47/$D$48</f>
        <v/>
      </c>
      <c r="F47" s="28" t="inlineStr">
        <is>
          <t>Tesla 向 SpaceX/xAI 的关联销售</t>
        </is>
      </c>
    </row>
    <row r="48">
      <c r="A48" s="30" t="inlineStr">
        <is>
          <t>合计</t>
        </is>
      </c>
      <c r="B48" s="37">
        <f>SUM(B41:B47)</f>
        <v/>
      </c>
      <c r="C48" s="38">
        <f>SUM(C41:C47)</f>
        <v/>
      </c>
      <c r="D48" s="37">
        <f>SUM(D41:D47)</f>
        <v/>
      </c>
      <c r="E48" s="38">
        <f>SUM(E41:E47)</f>
        <v/>
      </c>
      <c r="F48" s="28" t="inlineStr">
        <is>
          <t>备考合并收入</t>
        </is>
      </c>
    </row>
    <row r="51" ht="22" customHeight="1">
      <c r="A51" s="3" t="inlineStr">
        <is>
          <t>四、备考利润结构（LTM 贡献利润；Tesla 总部费用按毛利占比分摊 — 假设）</t>
        </is>
      </c>
    </row>
    <row r="52" ht="30" customHeight="1">
      <c r="A52" s="9" t="inlineStr">
        <is>
          <t>业务</t>
        </is>
      </c>
      <c r="B52" s="9" t="inlineStr">
        <is>
          <t>贡献利润</t>
        </is>
      </c>
      <c r="C52" s="9" t="inlineStr">
        <is>
          <t>占合计</t>
        </is>
      </c>
      <c r="D52" s="9" t="inlineStr">
        <is>
          <t>LTM 收入</t>
        </is>
      </c>
      <c r="E52" s="9" t="inlineStr">
        <is>
          <t>利润率</t>
        </is>
      </c>
      <c r="F52" s="9" t="inlineStr">
        <is>
          <t>说明</t>
        </is>
      </c>
    </row>
    <row r="53">
      <c r="A53" s="16" t="inlineStr">
        <is>
          <t>Tesla 汽车（整车、积分、租赁）</t>
        </is>
      </c>
      <c r="B53" s="21">
        <f>B62-B61*B62/B60</f>
        <v/>
      </c>
      <c r="C53" s="23">
        <f>B53/$B$59</f>
        <v/>
      </c>
      <c r="D53" s="21">
        <f>B41</f>
        <v/>
      </c>
      <c r="E53" s="23">
        <f>IF(D53=0,"",B53/D53)</f>
        <v/>
      </c>
      <c r="F53" s="28" t="inlineStr">
        <is>
          <t>汽车毛利 − 分摊总部费用</t>
        </is>
      </c>
    </row>
    <row r="54">
      <c r="A54" s="16" t="inlineStr">
        <is>
          <t>Tesla 服务及其他</t>
        </is>
      </c>
      <c r="B54" s="21">
        <f>B63-B61*B63/B60</f>
        <v/>
      </c>
      <c r="C54" s="23">
        <f>B54/$B$59</f>
        <v/>
      </c>
      <c r="D54" s="21">
        <f>B42</f>
        <v/>
      </c>
      <c r="E54" s="23">
        <f>IF(D54=0,"",B54/D54)</f>
        <v/>
      </c>
      <c r="F54" s="28" t="inlineStr">
        <is>
          <t>服务毛利 − 分摊总部费用</t>
        </is>
      </c>
    </row>
    <row r="55">
      <c r="A55" s="16" t="inlineStr">
        <is>
          <t>Tesla 能源</t>
        </is>
      </c>
      <c r="B55" s="21">
        <f>B64-B61*B64/B60-B65</f>
        <v/>
      </c>
      <c r="C55" s="23">
        <f>B55/$B$59</f>
        <v/>
      </c>
      <c r="D55" s="21">
        <f>B43</f>
        <v/>
      </c>
      <c r="E55" s="23">
        <f>IF(D55=0,"",B55/D55)</f>
        <v/>
      </c>
      <c r="F55" s="28" t="inlineStr">
        <is>
          <t>能源毛利 − 分摊总部费用 − 内部未实现利润</t>
        </is>
      </c>
    </row>
    <row r="56">
      <c r="A56" s="16" t="inlineStr">
        <is>
          <t>SpaceX Space</t>
        </is>
      </c>
      <c r="B56" s="21">
        <f>'SpaceX数据'!G44</f>
        <v/>
      </c>
      <c r="C56" s="23">
        <f>B56/$B$59</f>
        <v/>
      </c>
      <c r="D56" s="21">
        <f>B44</f>
        <v/>
      </c>
      <c r="E56" s="23">
        <f>IF(D56=0,"",B56/D56)</f>
        <v/>
      </c>
      <c r="F56" s="28" t="inlineStr">
        <is>
          <t>披露的分部经营利润</t>
        </is>
      </c>
    </row>
    <row r="57">
      <c r="A57" s="16" t="inlineStr">
        <is>
          <t>SpaceX Connectivity</t>
        </is>
      </c>
      <c r="B57" s="21">
        <f>'SpaceX数据'!G45</f>
        <v/>
      </c>
      <c r="C57" s="23">
        <f>B57/$B$59</f>
        <v/>
      </c>
      <c r="D57" s="21">
        <f>B45</f>
        <v/>
      </c>
      <c r="E57" s="23">
        <f>IF(D57=0,"",B57/D57)</f>
        <v/>
      </c>
      <c r="F57" s="28" t="inlineStr">
        <is>
          <t>披露的分部经营利润</t>
        </is>
      </c>
    </row>
    <row r="58">
      <c r="A58" s="16" t="inlineStr">
        <is>
          <t>SpaceX SI</t>
        </is>
      </c>
      <c r="B58" s="21">
        <f>'SpaceX数据'!G46</f>
        <v/>
      </c>
      <c r="C58" s="23">
        <f>B58/$B$59</f>
        <v/>
      </c>
      <c r="D58" s="21">
        <f>B46</f>
        <v/>
      </c>
      <c r="E58" s="23">
        <f>IF(D58=0,"",B58/D58)</f>
        <v/>
      </c>
      <c r="F58" s="28" t="inlineStr">
        <is>
          <t>披露的分部经营利润</t>
        </is>
      </c>
    </row>
    <row r="59">
      <c r="A59" s="30" t="inlineStr">
        <is>
          <t>合计</t>
        </is>
      </c>
      <c r="B59" s="37">
        <f>SUM(B53:B58)</f>
        <v/>
      </c>
      <c r="C59" s="38">
        <f>SUM(C53:C58)</f>
        <v/>
      </c>
      <c r="D59" s="37">
        <f>SUM(D53:D58)</f>
        <v/>
      </c>
      <c r="E59" s="38">
        <f>B59/D59</f>
        <v/>
      </c>
      <c r="F59" s="29" t="inlineStr">
        <is>
          <t>应等于备考经营利润 E25</t>
        </is>
      </c>
    </row>
    <row r="60">
      <c r="A60" s="16" t="inlineStr">
        <is>
          <t>Tesla 毛利合计（LTM）</t>
        </is>
      </c>
      <c r="B60" s="21">
        <f>'Tesla数据'!G7</f>
        <v/>
      </c>
      <c r="F60" s="29" t="inlineStr">
        <is>
          <t>用于分摊总部费用的分母</t>
        </is>
      </c>
    </row>
    <row r="61">
      <c r="A61" s="16" t="inlineStr">
        <is>
          <t>Tesla 运营费用合计（LTM）</t>
        </is>
      </c>
      <c r="B61" s="21">
        <f>'Tesla数据'!G11</f>
        <v/>
      </c>
      <c r="F61" s="29" t="inlineStr">
        <is>
          <t>研发+销售管理+重组</t>
        </is>
      </c>
    </row>
    <row r="62">
      <c r="A62" s="16" t="inlineStr">
        <is>
          <t>Tesla 汽车毛利（LTM）</t>
        </is>
      </c>
      <c r="B62" s="21">
        <f>'Tesla数据'!G44</f>
        <v/>
      </c>
    </row>
    <row r="63">
      <c r="A63" s="16" t="inlineStr">
        <is>
          <t>Tesla 服务毛利（LTM）</t>
        </is>
      </c>
      <c r="B63" s="21">
        <f>'Tesla数据'!G45</f>
        <v/>
      </c>
    </row>
    <row r="64">
      <c r="A64" s="16" t="inlineStr">
        <is>
          <t>Tesla 能源毛利（LTM）</t>
        </is>
      </c>
      <c r="B64" s="21">
        <f>'Tesla数据'!G46</f>
        <v/>
      </c>
    </row>
    <row r="65">
      <c r="A65" s="16" t="inlineStr">
        <is>
          <t>内部未实现利润（LTM）</t>
        </is>
      </c>
      <c r="B65" s="21">
        <f>B92</f>
        <v/>
      </c>
      <c r="F65" s="29" t="inlineStr">
        <is>
          <t>从能源贡献利润中扣除</t>
        </is>
      </c>
    </row>
    <row r="68" ht="22" customHeight="1">
      <c r="A68" s="3" t="inlineStr">
        <is>
          <t>五、关联交易与交叉持股：披露、金额与合并处理</t>
        </is>
      </c>
    </row>
    <row r="69" ht="30" customHeight="1">
      <c r="A69" s="9" t="inlineStr">
        <is>
          <t>交易/余额</t>
        </is>
      </c>
      <c r="B69" s="9" t="inlineStr">
        <is>
          <t>关联方</t>
        </is>
      </c>
      <c r="C69" s="9" t="inlineStr">
        <is>
          <t>期间</t>
        </is>
      </c>
      <c r="D69" s="9" t="inlineStr">
        <is>
          <t>金额($M)</t>
        </is>
      </c>
      <c r="E69" s="9" t="inlineStr">
        <is>
          <t>备考处理（含来源）</t>
        </is>
      </c>
    </row>
    <row r="70" ht="42" customHeight="1">
      <c r="A70" s="19" t="inlineStr">
        <is>
          <t>Tesla 向 SpaceX 销售 Megapack（收入）</t>
        </is>
      </c>
      <c r="B70" s="34" t="inlineStr">
        <is>
          <t>SpaceX</t>
        </is>
      </c>
      <c r="C70" s="39" t="inlineStr">
        <is>
          <t>9M2026</t>
        </is>
      </c>
      <c r="D70" s="24" t="n">
        <v>626</v>
      </c>
      <c r="E70" s="40" t="inlineStr">
        <is>
          <t xml:space="preserve">　全额抵消收入；对应成本按 76.4% 抵消（来源：Tesla 2026Q3 10-Q Note 13）</t>
        </is>
      </c>
    </row>
    <row r="71" ht="42" customHeight="1">
      <c r="A71" s="19" t="inlineStr">
        <is>
          <t>Tesla 向 SpaceX 销售 Megapack（成本）</t>
        </is>
      </c>
      <c r="B71" s="34" t="inlineStr">
        <is>
          <t>SpaceX</t>
        </is>
      </c>
      <c r="C71" s="39" t="inlineStr">
        <is>
          <t>9M2026</t>
        </is>
      </c>
      <c r="D71" s="24" t="n">
        <v>478</v>
      </c>
      <c r="E71" s="40" t="inlineStr">
        <is>
          <t xml:space="preserve">　抵消成本；未实现利润留在 SpaceX 的 PP&amp;E（来源：同上）</t>
        </is>
      </c>
    </row>
    <row r="72" ht="42" customHeight="1">
      <c r="A72" s="19" t="inlineStr">
        <is>
          <t>Tesla 对 SpaceX 应收账款</t>
        </is>
      </c>
      <c r="B72" s="34" t="inlineStr">
        <is>
          <t>SpaceX</t>
        </is>
      </c>
      <c r="C72" s="39" t="inlineStr">
        <is>
          <t>2026-09-30</t>
        </is>
      </c>
      <c r="D72" s="24" t="n">
        <v>729</v>
      </c>
      <c r="E72" s="40" t="inlineStr">
        <is>
          <t xml:space="preserve">　与 SpaceX 应付对冲；差额待核（含未交付 Megapack）（来源：同上）</t>
        </is>
      </c>
    </row>
    <row r="73" ht="42" customHeight="1">
      <c r="A73" s="19" t="inlineStr">
        <is>
          <t>Tesla 对 SpaceX 递延收入</t>
        </is>
      </c>
      <c r="B73" s="34" t="inlineStr">
        <is>
          <t>SpaceX</t>
        </is>
      </c>
      <c r="C73" s="39" t="inlineStr">
        <is>
          <t>2026-09-30</t>
        </is>
      </c>
      <c r="D73" s="24" t="n">
        <v>648</v>
      </c>
      <c r="E73" s="40" t="inlineStr">
        <is>
          <t xml:space="preserve">　合并层面抵消未实现收入（来源：同上）</t>
        </is>
      </c>
    </row>
    <row r="74" ht="42" customHeight="1">
      <c r="A74" s="19" t="inlineStr">
        <is>
          <t>SpaceX 向 Tesla 采购 Megapack</t>
        </is>
      </c>
      <c r="B74" s="34" t="inlineStr">
        <is>
          <t>Tesla</t>
        </is>
      </c>
      <c r="C74" s="39" t="inlineStr">
        <is>
          <t>FY2025</t>
        </is>
      </c>
      <c r="D74" s="24" t="n">
        <v>506</v>
      </c>
      <c r="E74" s="40" t="inlineStr">
        <is>
          <t xml:space="preserve">　资本开支，合并抵消（来源：SpaceX 招股书 Note 18）</t>
        </is>
      </c>
    </row>
    <row r="75" ht="42" customHeight="1">
      <c r="A75" s="19" t="inlineStr">
        <is>
          <t>SpaceX 向 Tesla 采购 Cybertruck</t>
        </is>
      </c>
      <c r="B75" s="34" t="inlineStr">
        <is>
          <t>Tesla</t>
        </is>
      </c>
      <c r="C75" s="39" t="inlineStr">
        <is>
          <t>FY2025</t>
        </is>
      </c>
      <c r="D75" s="24" t="n">
        <v>131</v>
      </c>
      <c r="E75" s="40" t="inlineStr">
        <is>
          <t xml:space="preserve">　资本开支，合并抵消（来源：同上）</t>
        </is>
      </c>
    </row>
    <row r="76" ht="42" customHeight="1">
      <c r="A76" s="19" t="inlineStr">
        <is>
          <t>SpaceX 向 Tesla 采购（9M2026）</t>
        </is>
      </c>
      <c r="B76" s="34" t="inlineStr">
        <is>
          <t>Tesla</t>
        </is>
      </c>
      <c r="C76" s="39" t="inlineStr">
        <is>
          <t>9M2026</t>
        </is>
      </c>
      <c r="D76" s="24" t="n">
        <v>480</v>
      </c>
      <c r="E76" s="40" t="inlineStr">
        <is>
          <t xml:space="preserve">　资本开支/现金流抵消（来源：SpaceX 2026Q3 公告现金流量表）</t>
        </is>
      </c>
    </row>
    <row r="77" ht="42" customHeight="1">
      <c r="A77" s="19" t="inlineStr">
        <is>
          <t>Tesla 向 xAI 销售 Megapack</t>
        </is>
      </c>
      <c r="B77" s="34" t="inlineStr">
        <is>
          <t>xAI（现属 SpaceX）</t>
        </is>
      </c>
      <c r="C77" s="39" t="inlineStr">
        <is>
          <t>FY2025</t>
        </is>
      </c>
      <c r="D77" s="24" t="n">
        <v>430</v>
      </c>
      <c r="E77" s="40" t="inlineStr">
        <is>
          <t xml:space="preserve">　合并范围内抵消（xAI 于 2026-02-02 并入 SpaceX）（来源：Tesla 2025 10-K Note 15）</t>
        </is>
      </c>
    </row>
    <row r="78" ht="42" customHeight="1">
      <c r="A78" s="19" t="inlineStr">
        <is>
          <t>Tesla 持有 SpaceX 股权</t>
        </is>
      </c>
      <c r="B78" s="34" t="inlineStr">
        <is>
          <t>SpaceX</t>
        </is>
      </c>
      <c r="C78" s="39" t="inlineStr">
        <is>
          <t>2026-09-30</t>
        </is>
      </c>
      <c r="D78" s="24" t="n">
        <v>2865</v>
      </c>
      <c r="E78" s="40" t="inlineStr">
        <is>
          <t xml:space="preserve">　按交叉持股/库存股抵消；公允价值变动不再入损益（来源：Tesla 2026Q3 10-Q Note 2/13）</t>
        </is>
      </c>
    </row>
    <row r="79" ht="42" customHeight="1">
      <c r="A79" s="19" t="inlineStr">
        <is>
          <t>SpaceX 对 Valor 设备租赁负债</t>
        </is>
      </c>
      <c r="B79" s="34" t="inlineStr">
        <is>
          <t>Valor（董事关联）</t>
        </is>
      </c>
      <c r="C79" s="39" t="inlineStr">
        <is>
          <t>2026-09-30</t>
        </is>
      </c>
      <c r="D79" s="24" t="n">
        <v>12897</v>
      </c>
      <c r="E79" s="40" t="inlineStr">
        <is>
          <t xml:space="preserve">　不抵消；作为有息负债，披露关联方性质（来源：SpaceX 2026Q3 公告；Q2 10-Q Note 17）</t>
        </is>
      </c>
    </row>
    <row r="80" ht="42" customHeight="1">
      <c r="A80" s="19" t="inlineStr">
        <is>
          <t>马斯克关联方交易（安保、广告等）</t>
        </is>
      </c>
      <c r="B80" s="34" t="inlineStr">
        <is>
          <t>Musk 关联</t>
        </is>
      </c>
      <c r="C80" s="39" t="inlineStr">
        <is>
          <t>FY2025</t>
        </is>
      </c>
      <c r="D80" s="24" t="n">
        <v>8.1</v>
      </c>
      <c r="E80" s="40" t="inlineStr">
        <is>
          <t xml:space="preserve">　不抵消；治理审查事项（来源：Tesla 2026 委托书）</t>
        </is>
      </c>
    </row>
    <row r="83" ht="22" customHeight="1">
      <c r="A83" s="3" t="inlineStr">
        <is>
          <t>六、备考关键假设与购买会计示意</t>
        </is>
      </c>
    </row>
    <row r="84" ht="30" customHeight="1">
      <c r="A84" s="9" t="inlineStr">
        <is>
          <t>项目</t>
        </is>
      </c>
      <c r="B84" s="9" t="inlineStr">
        <is>
          <t>数值</t>
        </is>
      </c>
      <c r="C84" s="9" t="inlineStr">
        <is>
          <t>单位</t>
        </is>
      </c>
      <c r="D84" s="41" t="inlineStr">
        <is>
          <t>说明</t>
        </is>
      </c>
      <c r="E84" s="35" t="n"/>
      <c r="F84" s="33" t="n"/>
    </row>
    <row r="85" ht="24" customHeight="1">
      <c r="A85" s="16" t="inlineStr">
        <is>
          <t>FY2025 Tesla 关联方收入（披露加总）</t>
        </is>
      </c>
      <c r="B85" s="24" t="n">
        <v>573.4</v>
      </c>
      <c r="C85" s="39" t="inlineStr">
        <is>
          <t>$M</t>
        </is>
      </c>
      <c r="D85" s="28" t="inlineStr">
        <is>
          <t>xAI 430.1 + SpaceX 143.3；来自 2026 委托书</t>
        </is>
      </c>
    </row>
    <row r="86" ht="24" customHeight="1">
      <c r="A86" s="16" t="inlineStr">
        <is>
          <t>2025 前三季度关联方收入（假设）</t>
        </is>
      </c>
      <c r="B86" s="24" t="n">
        <v>323</v>
      </c>
      <c r="C86" s="39" t="inlineStr">
        <is>
          <t>$M</t>
        </is>
      </c>
      <c r="D86" s="28" t="inlineStr">
        <is>
          <t>假设 = FY2025 × 56.3%，仅用于推导 Q4</t>
        </is>
      </c>
    </row>
    <row r="87" ht="24" customHeight="1">
      <c r="A87" s="16" t="inlineStr">
        <is>
          <t>2025Q4 关联方收入（推导）</t>
        </is>
      </c>
      <c r="B87" s="21">
        <f>B85-B86</f>
        <v/>
      </c>
      <c r="C87" s="39" t="inlineStr">
        <is>
          <t>$M</t>
        </is>
      </c>
      <c r="D87" s="28" t="inlineStr">
        <is>
          <t>= FY2025 − 前三季度</t>
        </is>
      </c>
    </row>
    <row r="88" ht="24" customHeight="1">
      <c r="A88" s="16" t="inlineStr">
        <is>
          <t>LTM 关联方收入</t>
        </is>
      </c>
      <c r="B88" s="21">
        <f>B87+B89</f>
        <v/>
      </c>
      <c r="C88" s="39" t="inlineStr">
        <is>
          <t>$M</t>
        </is>
      </c>
      <c r="D88" s="28" t="inlineStr">
        <is>
          <t>= Q4-25 + 9M2026；用于收入与利润抵消</t>
        </is>
      </c>
    </row>
    <row r="89" ht="24" customHeight="1">
      <c r="A89" s="16" t="inlineStr">
        <is>
          <t>9M2026 关联方收入（披露）</t>
        </is>
      </c>
      <c r="B89" s="24" t="n">
        <v>626</v>
      </c>
      <c r="C89" s="39" t="inlineStr">
        <is>
          <t>$M</t>
        </is>
      </c>
      <c r="D89" s="28" t="inlineStr">
        <is>
          <t>Tesla 2026Q3 10-Q Note 13</t>
        </is>
      </c>
    </row>
    <row r="90" ht="24" customHeight="1">
      <c r="A90" s="16" t="inlineStr">
        <is>
          <t>关联成本率</t>
        </is>
      </c>
      <c r="B90" s="23">
        <f>478/626</f>
        <v/>
      </c>
      <c r="C90" s="39" t="inlineStr">
        <is>
          <t>%</t>
        </is>
      </c>
      <c r="D90" s="28" t="inlineStr">
        <is>
          <t>= 9M2026 关联成本 / 关联收入</t>
        </is>
      </c>
    </row>
    <row r="91" ht="24" customHeight="1">
      <c r="A91" s="16" t="inlineStr">
        <is>
          <t>LTM 关联成本</t>
        </is>
      </c>
      <c r="B91" s="21">
        <f>B88*B90</f>
        <v/>
      </c>
      <c r="C91" s="39" t="inlineStr">
        <is>
          <t>$M</t>
        </is>
      </c>
      <c r="D91" s="28" t="inlineStr">
        <is>
          <t>= 关联收入 × 成本率</t>
        </is>
      </c>
    </row>
    <row r="92" ht="24" customHeight="1">
      <c r="A92" s="16" t="inlineStr">
        <is>
          <t>LTM 未实现利润</t>
        </is>
      </c>
      <c r="B92" s="21">
        <f>B88-B91</f>
        <v/>
      </c>
      <c r="C92" s="39" t="inlineStr">
        <is>
          <t>$M</t>
        </is>
      </c>
      <c r="D92" s="28" t="inlineStr">
        <is>
          <t>= 关联收入 − 关联成本；在合并层面抵消</t>
        </is>
      </c>
    </row>
    <row r="93" ht="24" customHeight="1">
      <c r="A93" s="16" t="inlineStr">
        <is>
          <t>所得税率（调整项）</t>
        </is>
      </c>
      <c r="B93" s="25" t="n">
        <v>0.21</v>
      </c>
      <c r="C93" s="39" t="inlineStr">
        <is>
          <t>%</t>
        </is>
      </c>
      <c r="D93" s="28" t="inlineStr">
        <is>
          <t>假设：美国联邦法定税率 21%</t>
        </is>
      </c>
    </row>
    <row r="94" ht="24" customHeight="1">
      <c r="A94" s="16" t="inlineStr">
        <is>
          <t>内部现金流/资本开支抵消</t>
        </is>
      </c>
      <c r="B94" s="24" t="n">
        <v>480</v>
      </c>
      <c r="C94" s="39" t="inlineStr">
        <is>
          <t>$M</t>
        </is>
      </c>
      <c r="D94" s="28" t="inlineStr">
        <is>
          <t>SpaceX 9M2026 向 Tesla 采购额；用于现金流抵消</t>
        </is>
      </c>
    </row>
    <row r="95" ht="24" customHeight="1">
      <c r="A95" s="16" t="inlineStr">
        <is>
          <t>可辨认无形资产增值（假设）</t>
        </is>
      </c>
      <c r="B95" s="24" t="n">
        <v>30000</v>
      </c>
      <c r="C95" s="39" t="inlineStr">
        <is>
          <t>$M</t>
        </is>
      </c>
      <c r="D95" s="28" t="inlineStr">
        <is>
          <t>购买会计示意；非披露事实</t>
        </is>
      </c>
    </row>
    <row r="96" ht="24" customHeight="1">
      <c r="A96" s="16" t="inlineStr">
        <is>
          <t>摊销年限（假设）</t>
        </is>
      </c>
      <c r="B96" s="20" t="n">
        <v>10</v>
      </c>
      <c r="C96" s="39" t="inlineStr">
        <is>
          <t>年</t>
        </is>
      </c>
      <c r="D96" s="28" t="inlineStr">
        <is>
          <t>直线法；年增量摊销 3,000</t>
        </is>
      </c>
    </row>
    <row r="97" ht="24" customHeight="1">
      <c r="A97" s="16" t="inlineStr">
        <is>
          <t>递延所得税负债</t>
        </is>
      </c>
      <c r="B97" s="21">
        <f>B95*B93</f>
        <v/>
      </c>
      <c r="C97" s="39" t="inlineStr">
        <is>
          <t>$M</t>
        </is>
      </c>
      <c r="D97" s="28" t="inlineStr">
        <is>
          <t>= 增值 × 税率</t>
        </is>
      </c>
    </row>
    <row r="98" ht="24" customHeight="1">
      <c r="A98" s="16" t="inlineStr">
        <is>
          <t>交易费用率（假设）</t>
        </is>
      </c>
      <c r="B98" s="25" t="n">
        <v>0.005</v>
      </c>
      <c r="C98" s="39" t="inlineStr">
        <is>
          <t>%</t>
        </is>
      </c>
      <c r="D98" s="28" t="inlineStr">
        <is>
          <t>对价的 0.5%</t>
        </is>
      </c>
    </row>
    <row r="99" ht="24" customHeight="1">
      <c r="A99" s="16" t="inlineStr">
        <is>
          <t>交易费用</t>
        </is>
      </c>
      <c r="B99" s="21">
        <f>B8*B98</f>
        <v/>
      </c>
      <c r="C99" s="39" t="inlineStr">
        <is>
          <t>$M</t>
        </is>
      </c>
      <c r="D99" s="28" t="inlineStr">
        <is>
          <t>一次性费用，未计入备考利润</t>
        </is>
      </c>
    </row>
    <row r="100" ht="24" customHeight="1">
      <c r="A100" s="16" t="inlineStr">
        <is>
          <t>备考商誉（示意）</t>
        </is>
      </c>
      <c r="B100" s="21">
        <f>B8-('Tesla数据'!F29+B95-B97)</f>
        <v/>
      </c>
      <c r="C100" s="39" t="inlineStr">
        <is>
          <t>$M</t>
        </is>
      </c>
      <c r="D100" s="28" t="inlineStr">
        <is>
          <t>= 对价 − (Tesla 账面权益 + 增值 − 递延税负债)</t>
        </is>
      </c>
    </row>
    <row r="101" ht="24" customHeight="1">
      <c r="A101" s="16" t="inlineStr">
        <is>
          <t>年增量摊销</t>
        </is>
      </c>
      <c r="B101" s="21">
        <f>B95/B96</f>
        <v/>
      </c>
      <c r="C101" s="39" t="inlineStr">
        <is>
          <t>$M</t>
        </is>
      </c>
      <c r="D101" s="28" t="inlineStr">
        <is>
          <t>税前；税后 2,370</t>
        </is>
      </c>
    </row>
    <row r="102" ht="24" customHeight="1">
      <c r="A102" s="16" t="inlineStr">
        <is>
          <t>协同效应（未计入）</t>
        </is>
      </c>
      <c r="B102" s="24" t="n">
        <v>0</v>
      </c>
      <c r="C102" s="39" t="inlineStr">
        <is>
          <t>$M</t>
        </is>
      </c>
      <c r="D102" s="28" t="inlineStr">
        <is>
          <t>保守处理；未计入收入或成本协同</t>
        </is>
      </c>
    </row>
    <row r="105" ht="22" customHeight="1">
      <c r="A105" s="3" t="inlineStr">
        <is>
          <t>七、备考资产负债表关键项（2026-09-30 账面，$M）</t>
        </is>
      </c>
    </row>
    <row r="106" ht="30" customHeight="1">
      <c r="A106" s="9" t="inlineStr">
        <is>
          <t>项目</t>
        </is>
      </c>
      <c r="B106" s="9" t="inlineStr">
        <is>
          <t>SpaceX</t>
        </is>
      </c>
      <c r="C106" s="9" t="inlineStr">
        <is>
          <t>Tesla</t>
        </is>
      </c>
      <c r="D106" s="9" t="inlineStr">
        <is>
          <t>调整</t>
        </is>
      </c>
      <c r="E106" s="9" t="inlineStr">
        <is>
          <t>备考</t>
        </is>
      </c>
      <c r="F106" s="9" t="inlineStr">
        <is>
          <t>说明</t>
        </is>
      </c>
    </row>
    <row r="107">
      <c r="A107" s="16" t="inlineStr">
        <is>
          <t>现金及短期投资</t>
        </is>
      </c>
      <c r="B107" s="21">
        <f>'SpaceX数据'!F26</f>
        <v/>
      </c>
      <c r="C107" s="21">
        <f>'Tesla数据'!F26</f>
        <v/>
      </c>
      <c r="D107" s="24" t="n">
        <v>0</v>
      </c>
      <c r="E107" s="21">
        <f>SUM(B107:D107)</f>
        <v/>
      </c>
      <c r="F107" s="28" t="inlineStr">
        <is>
          <t>= 两家账面加总</t>
        </is>
      </c>
    </row>
    <row r="108">
      <c r="A108" s="16" t="inlineStr">
        <is>
          <t>有息负债（含融资租赁）</t>
        </is>
      </c>
      <c r="B108" s="21">
        <f>'SpaceX数据'!F27</f>
        <v/>
      </c>
      <c r="C108" s="21">
        <f>'Tesla数据'!F27</f>
        <v/>
      </c>
      <c r="D108" s="24" t="n">
        <v>0</v>
      </c>
      <c r="E108" s="21">
        <f>SUM(B108:D108)</f>
        <v/>
      </c>
      <c r="F108" s="28" t="inlineStr">
        <is>
          <t>= 两家账面加总；未做再融资调整</t>
        </is>
      </c>
    </row>
    <row r="109">
      <c r="A109" s="30" t="inlineStr">
        <is>
          <t>净债务/(净现金)</t>
        </is>
      </c>
      <c r="B109" s="21">
        <f>B108-B107</f>
        <v/>
      </c>
      <c r="C109" s="21">
        <f>C108-C107</f>
        <v/>
      </c>
      <c r="D109" s="21">
        <f>D108-D107</f>
        <v/>
      </c>
      <c r="E109" s="37">
        <f>SUM(B109:D109)</f>
        <v/>
      </c>
      <c r="F109" s="28" t="inlineStr">
        <is>
          <t>= 有息负债 − 现金；负数为净现金</t>
        </is>
      </c>
    </row>
    <row r="110">
      <c r="A110" s="16" t="inlineStr">
        <is>
          <t>股东权益</t>
        </is>
      </c>
      <c r="B110" s="21">
        <f>'SpaceX数据'!F29</f>
        <v/>
      </c>
      <c r="C110" s="21">
        <f>'Tesla数据'!F29</f>
        <v/>
      </c>
      <c r="D110" s="21">
        <f>-'市场数据'!B40</f>
        <v/>
      </c>
      <c r="E110" s="21">
        <f>SUM(B110:D110)</f>
        <v/>
      </c>
      <c r="F110" s="28" t="inlineStr">
        <is>
          <t>抵消 Tesla 持有的 SpaceX 股权（公允价值 2,865）</t>
        </is>
      </c>
    </row>
    <row r="111">
      <c r="A111" s="16" t="inlineStr">
        <is>
          <t>少数股东权益</t>
        </is>
      </c>
      <c r="B111" s="24" t="n">
        <v>0</v>
      </c>
      <c r="C111" s="21">
        <f>'Tesla数据'!F30</f>
        <v/>
      </c>
      <c r="D111" s="24" t="n">
        <v>0</v>
      </c>
      <c r="E111" s="21">
        <f>SUM(B111:D111)</f>
        <v/>
      </c>
      <c r="F111" s="28" t="inlineStr">
        <is>
          <t>Tesla 子公司少数股东</t>
        </is>
      </c>
    </row>
    <row r="112">
      <c r="A112" s="16" t="inlineStr">
        <is>
          <t>可转换优先股</t>
        </is>
      </c>
      <c r="B112" s="21">
        <f>'SpaceX数据'!F30</f>
        <v/>
      </c>
      <c r="C112" s="24" t="n">
        <v>0</v>
      </c>
      <c r="D112" s="24" t="n">
        <v>0</v>
      </c>
      <c r="E112" s="21">
        <f>SUM(B112:D112)</f>
        <v/>
      </c>
      <c r="F112" s="28" t="inlineStr">
        <is>
          <t>SpaceX IPO 时优先股已转普通股</t>
        </is>
      </c>
    </row>
    <row r="113">
      <c r="A113" s="16" t="inlineStr">
        <is>
          <t>备考商誉（示意）</t>
        </is>
      </c>
      <c r="B113" s="24" t="n">
        <v>0</v>
      </c>
      <c r="C113" s="24" t="n">
        <v>0</v>
      </c>
      <c r="D113" s="21">
        <f>B100</f>
        <v/>
      </c>
      <c r="E113" s="21">
        <f>SUM(B113:D113)</f>
        <v/>
      </c>
      <c r="F113" s="28" t="inlineStr">
        <is>
          <t>仅示意；不含其他无形资产与递延税影响</t>
        </is>
      </c>
    </row>
    <row r="115">
      <c r="A115" s="16" t="inlineStr">
        <is>
          <t>备考净债务 / 调整后EBITDA</t>
        </is>
      </c>
      <c r="B115" s="22">
        <f>E109/E33</f>
        <v/>
      </c>
      <c r="F115" s="29" t="inlineStr">
        <is>
          <t>负数为净现金；-2.9x 表示净现金约为 EBITDA 的 2.9 倍</t>
        </is>
      </c>
    </row>
    <row r="116">
      <c r="A116" s="16" t="inlineStr">
        <is>
          <t>备考现金 / 营业收入</t>
        </is>
      </c>
      <c r="B116" s="23">
        <f>E107/E18</f>
        <v/>
      </c>
      <c r="F116" s="29" t="inlineStr">
        <is>
          <t>现金及短期投资 / LTM 收入</t>
        </is>
      </c>
    </row>
    <row r="117">
      <c r="A117" s="16" t="inlineStr">
        <is>
          <t>备考有息负债 / 股东权益</t>
        </is>
      </c>
      <c r="B117" s="23">
        <f>E108/E110</f>
        <v/>
      </c>
      <c r="F117" s="29" t="inlineStr">
        <is>
          <t>账面口径；购买会计会显著改变权益</t>
        </is>
      </c>
    </row>
    <row r="118">
      <c r="A118" s="16" t="inlineStr">
        <is>
          <t>备考营收较 2025 全年增长</t>
        </is>
      </c>
      <c r="B118" s="23">
        <f>E18/('SpaceX数据'!B5+'Tesla数据'!B5-B85)-1</f>
        <v/>
      </c>
      <c r="F118" s="29" t="inlineStr">
        <is>
          <t>LTM 对比两家 2025 全年合计（已抵消关联收入）</t>
        </is>
      </c>
    </row>
    <row r="120" ht="22" customHeight="1">
      <c r="A120" s="3" t="inlineStr">
        <is>
          <t>八、阅读提示</t>
        </is>
      </c>
    </row>
    <row r="121" ht="34" customHeight="1">
      <c r="A121" s="42" t="inlineStr">
        <is>
          <t>1. 本页“备考合计”是历史报表相加并抵消关联交易后的结果，不是购买会计后的合并报表。真实合并报表需按 ASC 805 做购买价格分摊，确认商誉、无形资产、存货增值、递延税与交易费用。</t>
        </is>
      </c>
    </row>
    <row r="122" ht="34" customHeight="1">
      <c r="A122" s="42" t="inlineStr">
        <is>
          <t>2. 关联交易抵消采用“收入−成本”全额抵消，未实现利润留在 SpaceX 的 PP&amp;E 中；因此同时抵消了 480 的资本开支与经营现金流，FCF 不受影响。Tesla 对 SpaceX 的 729 应收与 648 递延收入未逐笔对冲，因 SpaceX 未披露对应应付/预付明细。</t>
        </is>
      </c>
    </row>
    <row r="123" ht="34" customHeight="1">
      <c r="A123" s="42" t="inlineStr">
        <is>
          <t>3. Tesla 对 SpaceX 的 2,865 股权投资在合并层面按交叉持股抵消；Tesla 报表中的 863 公允价值收益在备考利润中剔除。若交易完成后 Tesla 成为 SpaceX 子公司，该投资应作为库存股处理。</t>
        </is>
      </c>
    </row>
    <row r="124" ht="34" customHeight="1">
      <c r="A124" s="42" t="inlineStr">
        <is>
          <t>4. 购买会计示意：对价 1,833,147、Tesla 账面权益 89,289、无形资产增值 30,000、递延税负债 6,300，备考商誉约 1,720,158；年增量摊销 3,000（税后 2,370），未计入备考利润。交易费用约 9,166，未计入备考利润。</t>
        </is>
      </c>
    </row>
    <row r="125" ht="34" customHeight="1">
      <c r="A125" s="42" t="inlineStr">
        <is>
          <t>5. 未计入协同效应、重组成本、留任激励、融资成本变化与税务结构优化。任何一项都可能显著改变备考利润与每股收益。</t>
        </is>
      </c>
    </row>
  </sheetData>
  <mergeCells count="63">
    <mergeCell ref="D11:F11"/>
    <mergeCell ref="D13:F13"/>
    <mergeCell ref="B7:C7"/>
    <mergeCell ref="E71:F71"/>
    <mergeCell ref="A120:F120"/>
    <mergeCell ref="D97:F97"/>
    <mergeCell ref="A105:F105"/>
    <mergeCell ref="D7:F7"/>
    <mergeCell ref="D91:F91"/>
    <mergeCell ref="E79:F79"/>
    <mergeCell ref="B12:C12"/>
    <mergeCell ref="D87:F87"/>
    <mergeCell ref="A2:F2"/>
    <mergeCell ref="E73:F73"/>
    <mergeCell ref="B11:C11"/>
    <mergeCell ref="D102:F102"/>
    <mergeCell ref="D93:F93"/>
    <mergeCell ref="D12:F12"/>
    <mergeCell ref="D9:F9"/>
    <mergeCell ref="A4:F4"/>
    <mergeCell ref="D92:F92"/>
    <mergeCell ref="D8:F8"/>
    <mergeCell ref="B8:C8"/>
    <mergeCell ref="E74:F74"/>
    <mergeCell ref="E78:F78"/>
    <mergeCell ref="A122:F122"/>
    <mergeCell ref="B13:C13"/>
    <mergeCell ref="A125:F125"/>
    <mergeCell ref="A121:F121"/>
    <mergeCell ref="D89:F89"/>
    <mergeCell ref="D98:F98"/>
    <mergeCell ref="E77:F77"/>
    <mergeCell ref="D5:F5"/>
    <mergeCell ref="A68:F68"/>
    <mergeCell ref="D94:F94"/>
    <mergeCell ref="E80:F80"/>
    <mergeCell ref="B10:C10"/>
    <mergeCell ref="D85:F85"/>
    <mergeCell ref="D88:F88"/>
    <mergeCell ref="A83:F83"/>
    <mergeCell ref="B9:C9"/>
    <mergeCell ref="D100:F100"/>
    <mergeCell ref="A39:F39"/>
    <mergeCell ref="E70:F70"/>
    <mergeCell ref="A15:F15"/>
    <mergeCell ref="D10:F10"/>
    <mergeCell ref="B6:C6"/>
    <mergeCell ref="A51:F51"/>
    <mergeCell ref="D99:F99"/>
    <mergeCell ref="D90:F90"/>
    <mergeCell ref="E76:F76"/>
    <mergeCell ref="A123:F123"/>
    <mergeCell ref="E72:F72"/>
    <mergeCell ref="B5:C5"/>
    <mergeCell ref="A1:F1"/>
    <mergeCell ref="D84:F84"/>
    <mergeCell ref="E75:F75"/>
    <mergeCell ref="D96:F96"/>
    <mergeCell ref="D101:F101"/>
    <mergeCell ref="A124:F124"/>
    <mergeCell ref="D86:F86"/>
    <mergeCell ref="D6:F6"/>
    <mergeCell ref="D95:F9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P68"/>
  <sheetViews>
    <sheetView showGridLines="0" zoomScale="90" workbookViewId="0">
      <pane xSplit="1" ySplit="34" topLeftCell="B3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32" customWidth="1" min="2" max="2"/>
    <col width="16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6" customWidth="1" min="14" max="14"/>
    <col width="13" customWidth="1" min="15" max="15"/>
    <col width="40" customWidth="1" min="16" max="16"/>
  </cols>
  <sheetData>
    <row r="1" ht="34" customHeight="1">
      <c r="A1" s="1" t="inlineStr">
        <is>
          <t>换股比例：三种以上定价方法与双方持股</t>
        </is>
      </c>
    </row>
    <row r="2" ht="20" customHeight="1">
      <c r="A2" s="2" t="inlineStr">
        <is>
          <t>基准：SpaceX 发行 Class A 新股收购 Tesla；换股比例 = Tesla 每股隐含价值 × (1+溢价) ÷ SpaceX 每股价值</t>
        </is>
      </c>
    </row>
    <row r="4" ht="22" customHeight="1">
      <c r="A4" s="3" t="inlineStr">
        <is>
          <t>一、市场输入（黄色为可改假设）</t>
        </is>
      </c>
    </row>
    <row r="5" ht="21" customHeight="1">
      <c r="A5" s="16" t="inlineStr">
        <is>
          <t>SPCX 收盘价（2026-10-21）</t>
        </is>
      </c>
      <c r="B5" s="43">
        <f>'市场数据'!B5</f>
        <v/>
      </c>
      <c r="C5" s="34" t="inlineStr">
        <is>
          <t>市场数据</t>
        </is>
      </c>
    </row>
    <row r="6" ht="21" customHeight="1">
      <c r="A6" s="16" t="inlineStr">
        <is>
          <t>TSLA 收盘价（2026-10-21）</t>
        </is>
      </c>
      <c r="B6" s="43">
        <f>'市场数据'!B6</f>
        <v/>
      </c>
      <c r="C6" s="34" t="inlineStr">
        <is>
          <t>市场数据</t>
        </is>
      </c>
    </row>
    <row r="7" ht="21" customHeight="1">
      <c r="A7" s="16" t="inlineStr">
        <is>
          <t>SPCX 收盘价（2026-10-19，宣布前）</t>
        </is>
      </c>
      <c r="B7" s="43">
        <f>'市场数据'!B7</f>
        <v/>
      </c>
      <c r="C7" s="34" t="inlineStr">
        <is>
          <t>市场数据</t>
        </is>
      </c>
    </row>
    <row r="8" ht="21" customHeight="1">
      <c r="A8" s="16" t="inlineStr">
        <is>
          <t>TSLA 收盘价（2026-10-19，宣布前）</t>
        </is>
      </c>
      <c r="B8" s="43">
        <f>'市场数据'!B8</f>
        <v/>
      </c>
      <c r="C8" s="34" t="inlineStr">
        <is>
          <t>市场数据</t>
        </is>
      </c>
    </row>
    <row r="9" ht="21" customHeight="1">
      <c r="A9" s="16" t="inlineStr">
        <is>
          <t>SPCX 30日 VWAP</t>
        </is>
      </c>
      <c r="B9" s="43">
        <f>'市场数据'!B9</f>
        <v/>
      </c>
      <c r="C9" s="34" t="inlineStr">
        <is>
          <t>2026-09-10 至 10-21</t>
        </is>
      </c>
    </row>
    <row r="10" ht="21" customHeight="1">
      <c r="A10" s="16" t="inlineStr">
        <is>
          <t>TSLA 30日 VWAP</t>
        </is>
      </c>
      <c r="B10" s="43">
        <f>'市场数据'!B10</f>
        <v/>
      </c>
      <c r="C10" s="34" t="inlineStr">
        <is>
          <t>2026-09-10 至 10-21</t>
        </is>
      </c>
    </row>
    <row r="11" ht="21" customHeight="1">
      <c r="A11" s="16" t="inlineStr">
        <is>
          <t>SPCX 在外股本（百万股）</t>
        </is>
      </c>
      <c r="B11" s="44">
        <f>'市场数据'!B11</f>
        <v/>
      </c>
      <c r="C11" s="34" t="inlineStr">
        <is>
          <t>8,240 A + 5,339 B</t>
        </is>
      </c>
    </row>
    <row r="12" ht="21" customHeight="1">
      <c r="A12" s="16" t="inlineStr">
        <is>
          <t>TSLA 在外股本（百万股）</t>
        </is>
      </c>
      <c r="B12" s="44">
        <f>'市场数据'!B12</f>
        <v/>
      </c>
      <c r="C12" s="34" t="inlineStr">
        <is>
          <t>3,952.758</t>
        </is>
      </c>
    </row>
    <row r="13" ht="21" customHeight="1">
      <c r="A13" s="16" t="inlineStr">
        <is>
          <t>SPCX 净债务/(净现金)（$M）</t>
        </is>
      </c>
      <c r="B13" s="21">
        <f>'市场数据'!B19</f>
        <v/>
      </c>
      <c r="C13" s="34" t="inlineStr">
        <is>
          <t>负数为净现金</t>
        </is>
      </c>
    </row>
    <row r="14" ht="21" customHeight="1">
      <c r="A14" s="16" t="inlineStr">
        <is>
          <t>TSLA 净债务/(净现金)（$M）</t>
        </is>
      </c>
      <c r="B14" s="21">
        <f>'市场数据'!B20</f>
        <v/>
      </c>
      <c r="C14" s="34" t="inlineStr">
        <is>
          <t>负数为净现金</t>
        </is>
      </c>
    </row>
    <row r="15" ht="21" customHeight="1">
      <c r="A15" s="16" t="inlineStr">
        <is>
          <t>SPCX LTM 营业收入（$M）</t>
        </is>
      </c>
      <c r="B15" s="21">
        <f>'市场数据'!B23</f>
        <v/>
      </c>
      <c r="C15" s="34" t="inlineStr">
        <is>
          <t>2025Q4-2026Q3</t>
        </is>
      </c>
    </row>
    <row r="16" ht="21" customHeight="1">
      <c r="A16" s="16" t="inlineStr">
        <is>
          <t>TSLA LTM 营业收入（$M）</t>
        </is>
      </c>
      <c r="B16" s="21">
        <f>'市场数据'!B24</f>
        <v/>
      </c>
      <c r="C16" s="34" t="inlineStr">
        <is>
          <t>2025Q4-2026Q3</t>
        </is>
      </c>
    </row>
    <row r="17" ht="21" customHeight="1">
      <c r="A17" s="16" t="inlineStr">
        <is>
          <t>SPCX LTM 调整后 EBITDA（$M）</t>
        </is>
      </c>
      <c r="B17" s="21">
        <f>'市场数据'!B25</f>
        <v/>
      </c>
      <c r="C17" s="34" t="inlineStr">
        <is>
          <t>公司口径</t>
        </is>
      </c>
    </row>
    <row r="18" ht="21" customHeight="1">
      <c r="A18" s="16" t="inlineStr">
        <is>
          <t>TSLA LTM 调整后 EBITDA（$M）</t>
        </is>
      </c>
      <c r="B18" s="21">
        <f>'市场数据'!B26</f>
        <v/>
      </c>
      <c r="C18" s="34" t="inlineStr">
        <is>
          <t>公司口径</t>
        </is>
      </c>
    </row>
    <row r="19" ht="21" customHeight="1">
      <c r="A19" s="16" t="inlineStr">
        <is>
          <t>换股溢价率（假设）</t>
        </is>
      </c>
      <c r="B19" s="25" t="n">
        <v>0.2</v>
      </c>
      <c r="C19" s="34" t="inlineStr">
        <is>
          <t>基准情形 20%；可改</t>
        </is>
      </c>
    </row>
    <row r="20" ht="21" customHeight="1">
      <c r="A20" s="16" t="inlineStr">
        <is>
          <t>SPCX LTM 收入倍数（假设）</t>
        </is>
      </c>
      <c r="B20" s="45" t="n">
        <v>50</v>
      </c>
      <c r="C20" s="34" t="inlineStr">
        <is>
          <t>方法 D</t>
        </is>
      </c>
    </row>
    <row r="21" ht="21" customHeight="1">
      <c r="A21" s="16" t="inlineStr">
        <is>
          <t>Tesla LTM 收入倍数（假设）</t>
        </is>
      </c>
      <c r="B21" s="45" t="n">
        <v>12</v>
      </c>
      <c r="C21" s="34" t="inlineStr">
        <is>
          <t>方法 D</t>
        </is>
      </c>
    </row>
    <row r="22" ht="21" customHeight="1">
      <c r="A22" s="16" t="inlineStr">
        <is>
          <t>SPCX LTM Adj. EBITDA 倍数（假设）</t>
        </is>
      </c>
      <c r="B22" s="45" t="n">
        <v>110</v>
      </c>
      <c r="C22" s="34" t="inlineStr">
        <is>
          <t>方法 E</t>
        </is>
      </c>
    </row>
    <row r="23" ht="21" customHeight="1">
      <c r="A23" s="16" t="inlineStr">
        <is>
          <t>Tesla LTM Adj. EBITDA 倍数（假设）</t>
        </is>
      </c>
      <c r="B23" s="45" t="n">
        <v>70</v>
      </c>
      <c r="C23" s="34" t="inlineStr">
        <is>
          <t>方法 E</t>
        </is>
      </c>
    </row>
    <row r="24" ht="21" customHeight="1">
      <c r="A24" s="16" t="inlineStr">
        <is>
          <t>Tesla 持有 SPCX 股数（假设）</t>
        </is>
      </c>
      <c r="B24" s="20" t="n">
        <v>14.8</v>
      </c>
      <c r="C24" s="34" t="inlineStr">
        <is>
          <t>$2.0bn / $135 IPO价；披露 &lt;1%</t>
        </is>
      </c>
    </row>
    <row r="25" ht="21" customHeight="1">
      <c r="A25" s="16" t="inlineStr">
        <is>
          <t>马斯克持有 SPCX 股数</t>
        </is>
      </c>
      <c r="B25" s="44">
        <f>'市场数据'!B35</f>
        <v/>
      </c>
      <c r="C25" s="34" t="inlineStr">
        <is>
          <t>招股书 2026-05-01</t>
        </is>
      </c>
    </row>
    <row r="26" ht="21" customHeight="1">
      <c r="A26" s="16" t="inlineStr">
        <is>
          <t>马斯克持有 TSLA 股数</t>
        </is>
      </c>
      <c r="B26" s="44">
        <f>'市场数据'!B36</f>
        <v/>
      </c>
      <c r="C26" s="34" t="inlineStr">
        <is>
          <t>委托书 2026-09-30</t>
        </is>
      </c>
    </row>
    <row r="27" ht="21" customHeight="1">
      <c r="A27" s="16" t="inlineStr">
        <is>
          <t>马斯克 SPCX Class A 股数</t>
        </is>
      </c>
      <c r="B27" s="44">
        <f>'市场数据'!B45</f>
        <v/>
      </c>
      <c r="C27" s="34" t="inlineStr">
        <is>
          <t>招股书</t>
        </is>
      </c>
    </row>
    <row r="28" ht="21" customHeight="1">
      <c r="A28" s="16" t="inlineStr">
        <is>
          <t>马斯克 SPCX Class B 股数（推算）</t>
        </is>
      </c>
      <c r="B28" s="44">
        <f>'市场数据'!B46</f>
        <v/>
      </c>
      <c r="C28" s="34" t="inlineStr">
        <is>
          <t>5,569.053 − 350.0 期权</t>
        </is>
      </c>
    </row>
    <row r="29" ht="21" customHeight="1">
      <c r="A29" s="16" t="inlineStr">
        <is>
          <t>SPCX Class A 总股数</t>
        </is>
      </c>
      <c r="B29" s="44">
        <f>'市场数据'!B43</f>
        <v/>
      </c>
      <c r="C29" s="34" t="inlineStr">
        <is>
          <t>Q3 资产负债表</t>
        </is>
      </c>
    </row>
    <row r="30" ht="21" customHeight="1">
      <c r="A30" s="16" t="inlineStr">
        <is>
          <t>SPCX Class B 总股数</t>
        </is>
      </c>
      <c r="B30" s="44">
        <f>'市场数据'!B44</f>
        <v/>
      </c>
      <c r="C30" s="34" t="inlineStr">
        <is>
          <t>Q3 资产负债表</t>
        </is>
      </c>
    </row>
    <row r="31" ht="21" customHeight="1">
      <c r="A31" s="16" t="inlineStr">
        <is>
          <t>马斯克 SPCX 披露投票权</t>
        </is>
      </c>
      <c r="B31" s="23">
        <f>'市场数据'!B48</f>
        <v/>
      </c>
      <c r="C31" s="34" t="inlineStr">
        <is>
          <t>招股书 84.4%</t>
        </is>
      </c>
    </row>
    <row r="33" ht="22" customHeight="1">
      <c r="A33" s="3" t="inlineStr">
        <is>
          <t>二、五种定价方法与换股比例（基准溢价率 = B19）</t>
        </is>
      </c>
    </row>
    <row r="34" ht="30" customHeight="1">
      <c r="A34" s="9" t="inlineStr">
        <is>
          <t>方法</t>
        </is>
      </c>
      <c r="B34" s="9" t="inlineStr">
        <is>
          <t>定价基础/日期</t>
        </is>
      </c>
      <c r="C34" s="9" t="inlineStr">
        <is>
          <t>SPCX 隐含股权价值($M)</t>
        </is>
      </c>
      <c r="D34" s="9" t="inlineStr">
        <is>
          <t>Tesla 隐含股权价值($M)</t>
        </is>
      </c>
      <c r="E34" s="9" t="inlineStr">
        <is>
          <t>SPCX 隐含每股($)</t>
        </is>
      </c>
      <c r="F34" s="9" t="inlineStr">
        <is>
          <t>Tesla 隐含每股($)</t>
        </is>
      </c>
      <c r="G34" s="9" t="inlineStr">
        <is>
          <t>换股比例(SPCX/TSLA)</t>
        </is>
      </c>
      <c r="H34" s="9" t="inlineStr">
        <is>
          <t>溢价后换股比例</t>
        </is>
      </c>
      <c r="I34" s="9" t="inlineStr">
        <is>
          <t>新发SPCX股数(百万)</t>
        </is>
      </c>
      <c r="J34" s="9" t="inlineStr">
        <is>
          <t>合并后总股本(百万)</t>
        </is>
      </c>
      <c r="K34" s="9" t="inlineStr">
        <is>
          <t>Tesla原股东占比</t>
        </is>
      </c>
      <c r="L34" s="9" t="inlineStr">
        <is>
          <t>SpaceX原股东占比</t>
        </is>
      </c>
      <c r="M34" s="9" t="inlineStr">
        <is>
          <t>Musk合并后占比</t>
        </is>
      </c>
      <c r="N34" s="9" t="inlineStr">
        <is>
          <t>隐含合并股权价值($M)</t>
        </is>
      </c>
      <c r="O34" s="9" t="inlineStr">
        <is>
          <t>Musk投票权(估算)</t>
        </is>
      </c>
      <c r="P34" s="9" t="inlineStr">
        <is>
          <t>备注</t>
        </is>
      </c>
    </row>
    <row r="35" ht="40" customHeight="1">
      <c r="A35" s="30" t="inlineStr">
        <is>
          <t>A 市值法（10/21收盘）</t>
        </is>
      </c>
      <c r="B35" s="19" t="inlineStr">
        <is>
          <t>2026-10-21 收盘价 × 在外股本</t>
        </is>
      </c>
      <c r="C35" s="21">
        <f>B5*B11</f>
        <v/>
      </c>
      <c r="D35" s="21">
        <f>B6*B12</f>
        <v/>
      </c>
      <c r="E35" s="43">
        <f>C35/$B$11</f>
        <v/>
      </c>
      <c r="F35" s="43">
        <f>D35/$B$12</f>
        <v/>
      </c>
      <c r="G35" s="36">
        <f>F35/E35</f>
        <v/>
      </c>
      <c r="H35" s="36">
        <f>G35*(1+$B$19)</f>
        <v/>
      </c>
      <c r="I35" s="44">
        <f>H35*$B$12</f>
        <v/>
      </c>
      <c r="J35" s="44">
        <f>$B$11-$B$24+I35</f>
        <v/>
      </c>
      <c r="K35" s="23">
        <f>I35/J35</f>
        <v/>
      </c>
      <c r="L35" s="23">
        <f>($B$11-$B$24)/J35</f>
        <v/>
      </c>
      <c r="M35" s="23">
        <f>($B$25+$B$26*H35)/J35</f>
        <v/>
      </c>
      <c r="N35" s="21">
        <f>C35+D35*(1+$B$19)</f>
        <v/>
      </c>
      <c r="O35" s="23">
        <f>($B$27+$B$28*10+$B$26*H35)/($B$29-$B$24+$B$30*10+I35)</f>
        <v/>
      </c>
      <c r="P35" s="28" t="inlineStr">
        <is>
          <t>已反映合并消息：SPCX +7.8%，TSLA +3.4%</t>
        </is>
      </c>
    </row>
    <row r="36" ht="40" customHeight="1">
      <c r="A36" s="16" t="inlineStr">
        <is>
          <t>B 市值法（10/19收盘，宣布前）</t>
        </is>
      </c>
      <c r="B36" s="19" t="inlineStr">
        <is>
          <t>2026-10-19 收盘价 × 在外股本</t>
        </is>
      </c>
      <c r="C36" s="21">
        <f>B7*B11</f>
        <v/>
      </c>
      <c r="D36" s="21">
        <f>B8*B12</f>
        <v/>
      </c>
      <c r="E36" s="43">
        <f>C36/$B$11</f>
        <v/>
      </c>
      <c r="F36" s="43">
        <f>D36/$B$12</f>
        <v/>
      </c>
      <c r="G36" s="36">
        <f>F36/E36</f>
        <v/>
      </c>
      <c r="H36" s="36">
        <f>G36*(1+$B$19)</f>
        <v/>
      </c>
      <c r="I36" s="44">
        <f>H36*$B$12</f>
        <v/>
      </c>
      <c r="J36" s="44">
        <f>$B$11-$B$24+I36</f>
        <v/>
      </c>
      <c r="K36" s="23">
        <f>I36/J36</f>
        <v/>
      </c>
      <c r="L36" s="23">
        <f>($B$11-$B$24)/J36</f>
        <v/>
      </c>
      <c r="M36" s="23">
        <f>($B$25+$B$26*H36)/J36</f>
        <v/>
      </c>
      <c r="N36" s="21">
        <f>C36+D36*(1+$B$19)</f>
        <v/>
      </c>
      <c r="O36" s="23">
        <f>($B$27+$B$28*10+$B$26*H36)/($B$29-$B$24+$B$30*10+I36)</f>
        <v/>
      </c>
      <c r="P36" s="28" t="inlineStr">
        <is>
          <t>最后一个未被合并消息影响的交易日</t>
        </is>
      </c>
    </row>
    <row r="37" ht="40" customHeight="1">
      <c r="A37" s="16" t="inlineStr">
        <is>
          <t>C 30日成交量加权均价</t>
        </is>
      </c>
      <c r="B37" s="19" t="inlineStr">
        <is>
          <t>2026-09-10 至 10-21，收盘价×成交量</t>
        </is>
      </c>
      <c r="C37" s="21">
        <f>B9*B11</f>
        <v/>
      </c>
      <c r="D37" s="21">
        <f>B10*B12</f>
        <v/>
      </c>
      <c r="E37" s="43">
        <f>C37/$B$11</f>
        <v/>
      </c>
      <c r="F37" s="43">
        <f>D37/$B$12</f>
        <v/>
      </c>
      <c r="G37" s="36">
        <f>F37/E37</f>
        <v/>
      </c>
      <c r="H37" s="36">
        <f>G37*(1+$B$19)</f>
        <v/>
      </c>
      <c r="I37" s="44">
        <f>H37*$B$12</f>
        <v/>
      </c>
      <c r="J37" s="44">
        <f>$B$11-$B$24+I37</f>
        <v/>
      </c>
      <c r="K37" s="23">
        <f>I37/J37</f>
        <v/>
      </c>
      <c r="L37" s="23">
        <f>($B$11-$B$24)/J37</f>
        <v/>
      </c>
      <c r="M37" s="23">
        <f>($B$25+$B$26*H37)/J37</f>
        <v/>
      </c>
      <c r="N37" s="21">
        <f>C37+D37*(1+$B$19)</f>
        <v/>
      </c>
      <c r="O37" s="23">
        <f>($B$27+$B$28*10+$B$26*H37)/($B$29-$B$24+$B$30*10+I37)</f>
        <v/>
      </c>
      <c r="P37" s="28" t="inlineStr">
        <is>
          <t>近似 VWAP，不含 10/22 盘中</t>
        </is>
      </c>
    </row>
    <row r="38" ht="40" customHeight="1">
      <c r="A38" s="16" t="inlineStr">
        <is>
          <t>D LTM 收入倍数法</t>
        </is>
      </c>
      <c r="B38" s="19" t="inlineStr">
        <is>
          <t>SPCX 50x / Tesla 12x LTM 收入（假设）</t>
        </is>
      </c>
      <c r="C38" s="21">
        <f>B20*B15-B13</f>
        <v/>
      </c>
      <c r="D38" s="21">
        <f>B21*B16-B14</f>
        <v/>
      </c>
      <c r="E38" s="43">
        <f>C38/$B$11</f>
        <v/>
      </c>
      <c r="F38" s="43">
        <f>D38/$B$12</f>
        <v/>
      </c>
      <c r="G38" s="36">
        <f>F38/E38</f>
        <v/>
      </c>
      <c r="H38" s="36">
        <f>G38*(1+$B$19)</f>
        <v/>
      </c>
      <c r="I38" s="44">
        <f>H38*$B$12</f>
        <v/>
      </c>
      <c r="J38" s="44">
        <f>$B$11-$B$24+I38</f>
        <v/>
      </c>
      <c r="K38" s="23">
        <f>I38/J38</f>
        <v/>
      </c>
      <c r="L38" s="23">
        <f>($B$11-$B$24)/J38</f>
        <v/>
      </c>
      <c r="M38" s="23">
        <f>($B$25+$B$26*H38)/J38</f>
        <v/>
      </c>
      <c r="N38" s="21">
        <f>C38+D38*(1+$B$19)</f>
        <v/>
      </c>
      <c r="O38" s="23">
        <f>($B$27+$B$28*10+$B$26*H38)/($B$29-$B$24+$B$30*10+I38)</f>
        <v/>
      </c>
      <c r="P38" s="28" t="inlineStr">
        <is>
          <t>倍数低于当前市场隐含倍数，反映执行风险</t>
        </is>
      </c>
    </row>
    <row r="39" ht="40" customHeight="1">
      <c r="A39" s="16" t="inlineStr">
        <is>
          <t>E LTM 调整后EBITDA倍数法</t>
        </is>
      </c>
      <c r="B39" s="19" t="inlineStr">
        <is>
          <t>SPCX 110x / Tesla 70x LTM Adj. EBITDA（假设）</t>
        </is>
      </c>
      <c r="C39" s="21">
        <f>B22*B17-B13</f>
        <v/>
      </c>
      <c r="D39" s="21">
        <f>B23*B18-B14</f>
        <v/>
      </c>
      <c r="E39" s="43">
        <f>C39/$B$11</f>
        <v/>
      </c>
      <c r="F39" s="43">
        <f>D39/$B$12</f>
        <v/>
      </c>
      <c r="G39" s="36">
        <f>F39/E39</f>
        <v/>
      </c>
      <c r="H39" s="36">
        <f>G39*(1+$B$19)</f>
        <v/>
      </c>
      <c r="I39" s="44">
        <f>H39*$B$12</f>
        <v/>
      </c>
      <c r="J39" s="44">
        <f>$B$11-$B$24+I39</f>
        <v/>
      </c>
      <c r="K39" s="23">
        <f>I39/J39</f>
        <v/>
      </c>
      <c r="L39" s="23">
        <f>($B$11-$B$24)/J39</f>
        <v/>
      </c>
      <c r="M39" s="23">
        <f>($B$25+$B$26*H39)/J39</f>
        <v/>
      </c>
      <c r="N39" s="21">
        <f>C39+D39*(1+$B$19)</f>
        <v/>
      </c>
      <c r="O39" s="23">
        <f>($B$27+$B$28*10+$B$26*H39)/($B$29-$B$24+$B$30*10+I39)</f>
        <v/>
      </c>
      <c r="P39" s="28" t="inlineStr">
        <is>
          <t>高倍数下绝对值对假设敏感</t>
        </is>
      </c>
    </row>
    <row r="42" ht="22" customHeight="1">
      <c r="A42" s="3" t="inlineStr">
        <is>
          <t>三、基准情形与持股桥（基准 = 方法 A + 20% 溢价）</t>
        </is>
      </c>
    </row>
    <row r="43" ht="21" customHeight="1">
      <c r="A43" s="16" t="inlineStr">
        <is>
          <t>基准定价方法</t>
        </is>
      </c>
      <c r="B43" s="16" t="inlineStr">
        <is>
          <t>A 市值法（2026-10-21 收盘）</t>
        </is>
      </c>
      <c r="C43" s="34" t="inlineStr">
        <is>
          <t>—</t>
        </is>
      </c>
    </row>
    <row r="44" ht="21" customHeight="1">
      <c r="A44" s="16" t="inlineStr">
        <is>
          <t>基准溢价率</t>
        </is>
      </c>
      <c r="B44" s="23">
        <f>B19</f>
        <v/>
      </c>
      <c r="C44" s="34" t="inlineStr">
        <is>
          <t>可改 B19</t>
        </is>
      </c>
    </row>
    <row r="45" ht="21" customHeight="1">
      <c r="A45" s="30" t="inlineStr">
        <is>
          <t>基准换股比例（SPCX 股 / TSLA 股）</t>
        </is>
      </c>
      <c r="B45" s="36">
        <f>H35</f>
        <v/>
      </c>
      <c r="C45" s="34" t="inlineStr">
        <is>
          <t>每 1 股 Tesla 换得</t>
        </is>
      </c>
    </row>
    <row r="46" ht="21" customHeight="1">
      <c r="A46" s="16" t="inlineStr">
        <is>
          <t>新发 SPCX 股数（百万股）</t>
        </is>
      </c>
      <c r="B46" s="44">
        <f>I35</f>
        <v/>
      </c>
      <c r="C46" s="34" t="inlineStr">
        <is>
          <t>换股比例 × Tesla 股本</t>
        </is>
      </c>
    </row>
    <row r="47" ht="21" customHeight="1">
      <c r="A47" s="16" t="inlineStr">
        <is>
          <t>合并后总股本（百万股）</t>
        </is>
      </c>
      <c r="B47" s="44">
        <f>J35</f>
        <v/>
      </c>
      <c r="C47" s="34" t="inlineStr">
        <is>
          <t>SpaceX 现有 − Tesla 持有 + 新发</t>
        </is>
      </c>
    </row>
    <row r="48" ht="21" customHeight="1">
      <c r="A48" s="30" t="inlineStr">
        <is>
          <t>Tesla 原股东持股</t>
        </is>
      </c>
      <c r="B48" s="23">
        <f>K35</f>
        <v/>
      </c>
      <c r="C48" s="34" t="inlineStr">
        <is>
          <t>新发 / 合并后总股本</t>
        </is>
      </c>
    </row>
    <row r="49" ht="21" customHeight="1">
      <c r="A49" s="30" t="inlineStr">
        <is>
          <t>SpaceX 原股东持股</t>
        </is>
      </c>
      <c r="B49" s="23">
        <f>L35</f>
        <v/>
      </c>
      <c r="C49" s="34" t="inlineStr">
        <is>
          <t>(现有 − Tesla 持有) / 合并后</t>
        </is>
      </c>
    </row>
    <row r="50" ht="21" customHeight="1">
      <c r="A50" s="30" t="inlineStr">
        <is>
          <t>马斯克合并后经济权益</t>
        </is>
      </c>
      <c r="B50" s="23">
        <f>M35</f>
        <v/>
      </c>
      <c r="C50" s="34" t="inlineStr">
        <is>
          <t>(SpaceX 持股 + Tesla 持股×换股比例) / 合并后</t>
        </is>
      </c>
    </row>
    <row r="51" ht="21" customHeight="1">
      <c r="A51" s="16" t="inlineStr">
        <is>
          <t>马斯克合并前 SpaceX 持股</t>
        </is>
      </c>
      <c r="B51" s="23">
        <f>B25/B11</f>
        <v/>
      </c>
      <c r="C51" s="34" t="inlineStr">
        <is>
          <t>按 9/30 股本</t>
        </is>
      </c>
    </row>
    <row r="52" ht="21" customHeight="1">
      <c r="A52" s="16" t="inlineStr">
        <is>
          <t>马斯克合并前 Tesla 持股</t>
        </is>
      </c>
      <c r="B52" s="23">
        <f>B26/B12</f>
        <v/>
      </c>
      <c r="C52" s="34" t="inlineStr">
        <is>
          <t>按 10-Q 股本</t>
        </is>
      </c>
    </row>
    <row r="53" ht="21" customHeight="1">
      <c r="A53" s="16" t="inlineStr">
        <is>
          <t>马斯克合并前 look-through 经济权益</t>
        </is>
      </c>
      <c r="B53" s="23">
        <f>'市场数据'!B42</f>
        <v/>
      </c>
      <c r="C53" s="34" t="inlineStr">
        <is>
          <t>按两家市值加权</t>
        </is>
      </c>
    </row>
    <row r="54" ht="21" customHeight="1">
      <c r="A54" s="16" t="inlineStr">
        <is>
          <t>马斯克合并后投票权（估算）</t>
        </is>
      </c>
      <c r="B54" s="23">
        <f>O35</f>
        <v/>
      </c>
      <c r="C54" s="34" t="inlineStr">
        <is>
          <t>Class A 1票、Class B 10票</t>
        </is>
      </c>
    </row>
    <row r="55" ht="21" customHeight="1">
      <c r="A55" s="16" t="inlineStr">
        <is>
          <t>马斯克合并前投票权（计算）</t>
        </is>
      </c>
      <c r="B55" s="23">
        <f>'市场数据'!B47</f>
        <v/>
      </c>
      <c r="C55" s="34" t="inlineStr">
        <is>
          <t>计算值；披露 84.4%</t>
        </is>
      </c>
    </row>
    <row r="56" ht="21" customHeight="1">
      <c r="A56" s="16" t="inlineStr">
        <is>
          <t>马斯克 SpaceX 披露投票权</t>
        </is>
      </c>
      <c r="B56" s="23">
        <f>B31</f>
        <v/>
      </c>
      <c r="C56" s="34" t="inlineStr">
        <is>
          <t>招股书</t>
        </is>
      </c>
    </row>
    <row r="57" ht="21" customHeight="1">
      <c r="A57" s="16" t="inlineStr">
        <is>
          <t>每 1 股 Tesla 可换得 SPCX 股数</t>
        </is>
      </c>
      <c r="B57" s="36">
        <f>H35</f>
        <v/>
      </c>
      <c r="C57" s="34" t="inlineStr">
        <is>
          <t>= 基准换股比例</t>
        </is>
      </c>
    </row>
    <row r="58" ht="21" customHeight="1">
      <c r="A58" s="16" t="inlineStr">
        <is>
          <t>每 1 股 SPCX 可换得 Tesla 股数</t>
        </is>
      </c>
      <c r="B58" s="36">
        <f>1/H35</f>
        <v/>
      </c>
      <c r="C58" s="34" t="inlineStr">
        <is>
          <t>反向换股（参考）</t>
        </is>
      </c>
    </row>
    <row r="59" ht="21" customHeight="1">
      <c r="A59" s="16" t="inlineStr">
        <is>
          <t>100 股 Tesla 可换得 SPCX 股数</t>
        </is>
      </c>
      <c r="B59" s="44">
        <f>100*H35</f>
        <v/>
      </c>
      <c r="C59" s="34" t="inlineStr">
        <is>
          <t>示例</t>
        </is>
      </c>
    </row>
    <row r="62" ht="22" customHeight="1">
      <c r="A62" s="3" t="inlineStr">
        <is>
          <t>四、方法说明与限制</t>
        </is>
      </c>
    </row>
    <row r="63" ht="32" customHeight="1">
      <c r="A63" s="42" t="inlineStr">
        <is>
          <t>1. 方法 A/B/C 直接以市场交易价格或成交量加权均价作为每股价值，属于“市场怎么定价就怎么换”的思路；方法 D/E 以倍数反推股权价值，属于“基本面值多少”的思路。三种以上方法并列，是为了让董事会看到换股比例对定价基准的敏感性，而不是选一个“正确”的答案。</t>
        </is>
      </c>
    </row>
    <row r="64" ht="32" customHeight="1">
      <c r="A64" s="42" t="inlineStr">
        <is>
          <t>2. 换股比例定义为 SpaceX 新发 Class A 股数 / Tesla 现有股数。若改为 Tesla 收购 SpaceX，则比例取倒数、双方持股互换；由于 Tesla 持有 &lt;1% SpaceX 股权，反向交易还需先处理该交叉持股，经济结果近似。</t>
        </is>
      </c>
    </row>
    <row r="65" ht="32" customHeight="1">
      <c r="A65" s="42" t="inlineStr">
        <is>
          <t>3. 股本口径为已发行在外普通股（含未归属限制性股票），不含未行权期权与可转债。若按完全摊薄口径，SpaceX 约 14.1bn 股、Tesla 约 4.25bn 股（假设），换股比例与持股结构会有 1–3 个百分点的差异。</t>
        </is>
      </c>
    </row>
    <row r="66" ht="32" customHeight="1">
      <c r="A66" s="42" t="inlineStr">
        <is>
          <t>4. Tesla 持有的 SpaceX 股份在合并时按交叉持股/库存股抵消，因此 SpaceX 原股东持股分母减去了 14.8 百万股；这使 SpaceX 原股东持股略高于不做抵消的情形。</t>
        </is>
      </c>
    </row>
    <row r="67" ht="32" customHeight="1">
      <c r="A67" s="42" t="inlineStr">
        <is>
          <t>5. 马斯克投票权按“Class B 每股 10 票、新发股份为 Class A”估算。计算得到的合并前投票权约 86.1%，高于招股书披露的 84.4%，差异主要来自期权/限制性股票是否计入；合并后投票权约 75%，仍足以控制股东大会普通决议。</t>
        </is>
      </c>
    </row>
    <row r="68" ht="32" customHeight="1">
      <c r="A68" s="42" t="inlineStr">
        <is>
          <t>6. 上述比例为财务测算，不构成报价或投资建议；实际换股比例还需考虑锁定期、异议股东评估权、税务、监管审批与特别委员会谈判。</t>
        </is>
      </c>
    </row>
  </sheetData>
  <mergeCells count="56">
    <mergeCell ref="C16:E16"/>
    <mergeCell ref="C54:E54"/>
    <mergeCell ref="A42:P42"/>
    <mergeCell ref="C50:E50"/>
    <mergeCell ref="C44:E44"/>
    <mergeCell ref="C55:E55"/>
    <mergeCell ref="C31:E31"/>
    <mergeCell ref="C47:E47"/>
    <mergeCell ref="C22:E22"/>
    <mergeCell ref="C9:E9"/>
    <mergeCell ref="A4:P4"/>
    <mergeCell ref="C56:E56"/>
    <mergeCell ref="A62:P62"/>
    <mergeCell ref="C21:E21"/>
    <mergeCell ref="C59:E59"/>
    <mergeCell ref="C43:E43"/>
    <mergeCell ref="C12:E12"/>
    <mergeCell ref="C51:E51"/>
    <mergeCell ref="C46:E46"/>
    <mergeCell ref="A68:P68"/>
    <mergeCell ref="A63:P63"/>
    <mergeCell ref="C11:E11"/>
    <mergeCell ref="C27:E27"/>
    <mergeCell ref="C52:E52"/>
    <mergeCell ref="C23:E23"/>
    <mergeCell ref="A67:P67"/>
    <mergeCell ref="C8:E8"/>
    <mergeCell ref="C48:E48"/>
    <mergeCell ref="C17:E17"/>
    <mergeCell ref="C7:E7"/>
    <mergeCell ref="A64:P64"/>
    <mergeCell ref="C28:E28"/>
    <mergeCell ref="C13:E13"/>
    <mergeCell ref="C19:E19"/>
    <mergeCell ref="C57:E57"/>
    <mergeCell ref="A1:P1"/>
    <mergeCell ref="A2:P2"/>
    <mergeCell ref="C53:E53"/>
    <mergeCell ref="C18:E18"/>
    <mergeCell ref="C49:E49"/>
    <mergeCell ref="C30:E30"/>
    <mergeCell ref="C15:E15"/>
    <mergeCell ref="A65:P65"/>
    <mergeCell ref="C6:E6"/>
    <mergeCell ref="C24:E24"/>
    <mergeCell ref="C58:E58"/>
    <mergeCell ref="C14:E14"/>
    <mergeCell ref="C5:E5"/>
    <mergeCell ref="A66:P66"/>
    <mergeCell ref="C45:E45"/>
    <mergeCell ref="C26:E26"/>
    <mergeCell ref="C29:E29"/>
    <mergeCell ref="C20:E20"/>
    <mergeCell ref="A33:P33"/>
    <mergeCell ref="C25:E25"/>
    <mergeCell ref="C10:E10"/>
  </mergeCells>
  <dataValidations count="2">
    <dataValidation sqref="B19" showDropDown="0" showInputMessage="0" showErrorMessage="1" allowBlank="0" errorTitle="溢价率" error="请输入 0%-100% 之间" type="decimal" operator="between">
      <formula1>0</formula1>
      <formula2>1</formula2>
    </dataValidation>
    <dataValidation sqref="B20:B23" showDropDown="0" showInputMessage="0" showErrorMessage="1" allowBlank="0" errorTitle="倍数" error="请输入大于 0 的倍数" type="decimal" operator="greaterThan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3A89E"/>
    <outlinePr summaryBelow="1" summaryRight="1"/>
    <pageSetUpPr fitToPage="1"/>
  </sheetPr>
  <dimension ref="A1:G62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 ht="34" customHeight="1">
      <c r="A1" s="1" t="inlineStr">
        <is>
          <t>敏感性：溢价率 × 定价方法（二维表）</t>
        </is>
      </c>
    </row>
    <row r="2" ht="20" customHeight="1">
      <c r="A2" s="2" t="inlineStr">
        <is>
          <t>行 = 换股溢价率；列 = 五种定价方法。所有结果由“换股比例”页的基准比例与市场输入驱动；改 B19 或价格/股本，本页自动更新</t>
        </is>
      </c>
    </row>
    <row r="4" ht="22" customHeight="1">
      <c r="A4" s="3" t="inlineStr">
        <is>
          <t>表1：换股比例（每 1 股 Tesla 换得的 SpaceX 股数）</t>
        </is>
      </c>
    </row>
    <row r="5" ht="30" customHeight="1">
      <c r="A5" s="9" t="inlineStr">
        <is>
          <t>溢价率</t>
        </is>
      </c>
      <c r="B5" s="9" t="inlineStr">
        <is>
          <t>A 市值法(10/21)</t>
        </is>
      </c>
      <c r="C5" s="9" t="inlineStr">
        <is>
          <t>B 市值法(10/19)</t>
        </is>
      </c>
      <c r="D5" s="9" t="inlineStr">
        <is>
          <t>C 30日VWAP</t>
        </is>
      </c>
      <c r="E5" s="9" t="inlineStr">
        <is>
          <t>D 收入倍数</t>
        </is>
      </c>
      <c r="F5" s="9" t="inlineStr">
        <is>
          <t>E EBITDA倍数</t>
        </is>
      </c>
      <c r="G5" s="9" t="inlineStr">
        <is>
          <t>说明</t>
        </is>
      </c>
    </row>
    <row r="6" ht="21" customHeight="1">
      <c r="A6" s="25" t="n">
        <v>0</v>
      </c>
      <c r="B6" s="36">
        <f>'换股比例'!$G$35*(1+$A6)</f>
        <v/>
      </c>
      <c r="C6" s="36">
        <f>'换股比例'!$G$36*(1+$A6)</f>
        <v/>
      </c>
      <c r="D6" s="36">
        <f>'换股比例'!$G$37*(1+$A6)</f>
        <v/>
      </c>
      <c r="E6" s="36">
        <f>'换股比例'!$G$38*(1+$A6)</f>
        <v/>
      </c>
      <c r="F6" s="36">
        <f>'换股比例'!$G$39*(1+$A6)</f>
        <v/>
      </c>
      <c r="G6" s="34" t="inlineStr"/>
    </row>
    <row r="7" ht="21" customHeight="1">
      <c r="A7" s="25" t="n">
        <v>0.05</v>
      </c>
      <c r="B7" s="36">
        <f>'换股比例'!$G$35*(1+$A7)</f>
        <v/>
      </c>
      <c r="C7" s="36">
        <f>'换股比例'!$G$36*(1+$A7)</f>
        <v/>
      </c>
      <c r="D7" s="36">
        <f>'换股比例'!$G$37*(1+$A7)</f>
        <v/>
      </c>
      <c r="E7" s="36">
        <f>'换股比例'!$G$38*(1+$A7)</f>
        <v/>
      </c>
      <c r="F7" s="36">
        <f>'换股比例'!$G$39*(1+$A7)</f>
        <v/>
      </c>
      <c r="G7" s="34" t="inlineStr"/>
    </row>
    <row r="8" ht="21" customHeight="1">
      <c r="A8" s="25" t="n">
        <v>0.1</v>
      </c>
      <c r="B8" s="36">
        <f>'换股比例'!$G$35*(1+$A8)</f>
        <v/>
      </c>
      <c r="C8" s="36">
        <f>'换股比例'!$G$36*(1+$A8)</f>
        <v/>
      </c>
      <c r="D8" s="36">
        <f>'换股比例'!$G$37*(1+$A8)</f>
        <v/>
      </c>
      <c r="E8" s="36">
        <f>'换股比例'!$G$38*(1+$A8)</f>
        <v/>
      </c>
      <c r="F8" s="36">
        <f>'换股比例'!$G$39*(1+$A8)</f>
        <v/>
      </c>
      <c r="G8" s="34" t="inlineStr"/>
    </row>
    <row r="9" ht="21" customHeight="1">
      <c r="A9" s="25" t="n">
        <v>0.15</v>
      </c>
      <c r="B9" s="36">
        <f>'换股比例'!$G$35*(1+$A9)</f>
        <v/>
      </c>
      <c r="C9" s="36">
        <f>'换股比例'!$G$36*(1+$A9)</f>
        <v/>
      </c>
      <c r="D9" s="36">
        <f>'换股比例'!$G$37*(1+$A9)</f>
        <v/>
      </c>
      <c r="E9" s="36">
        <f>'换股比例'!$G$38*(1+$A9)</f>
        <v/>
      </c>
      <c r="F9" s="36">
        <f>'换股比例'!$G$39*(1+$A9)</f>
        <v/>
      </c>
      <c r="G9" s="34" t="inlineStr"/>
    </row>
    <row r="10" ht="21" customHeight="1">
      <c r="A10" s="46" t="n">
        <v>0.2</v>
      </c>
      <c r="B10" s="47">
        <f>'换股比例'!$G$35*(1+$A10)</f>
        <v/>
      </c>
      <c r="C10" s="47">
        <f>'换股比例'!$G$36*(1+$A10)</f>
        <v/>
      </c>
      <c r="D10" s="47">
        <f>'换股比例'!$G$37*(1+$A10)</f>
        <v/>
      </c>
      <c r="E10" s="47">
        <f>'换股比例'!$G$38*(1+$A10)</f>
        <v/>
      </c>
      <c r="F10" s="47">
        <f>'换股比例'!$G$39*(1+$A10)</f>
        <v/>
      </c>
      <c r="G10" s="34" t="inlineStr">
        <is>
          <t>基准情形：20% 溢价</t>
        </is>
      </c>
    </row>
    <row r="11" ht="21" customHeight="1">
      <c r="A11" s="25" t="n">
        <v>0.25</v>
      </c>
      <c r="B11" s="36">
        <f>'换股比例'!$G$35*(1+$A11)</f>
        <v/>
      </c>
      <c r="C11" s="36">
        <f>'换股比例'!$G$36*(1+$A11)</f>
        <v/>
      </c>
      <c r="D11" s="36">
        <f>'换股比例'!$G$37*(1+$A11)</f>
        <v/>
      </c>
      <c r="E11" s="36">
        <f>'换股比例'!$G$38*(1+$A11)</f>
        <v/>
      </c>
      <c r="F11" s="36">
        <f>'换股比例'!$G$39*(1+$A11)</f>
        <v/>
      </c>
      <c r="G11" s="34" t="inlineStr"/>
    </row>
    <row r="12" ht="21" customHeight="1">
      <c r="A12" s="25" t="n">
        <v>0.3</v>
      </c>
      <c r="B12" s="36">
        <f>'换股比例'!$G$35*(1+$A12)</f>
        <v/>
      </c>
      <c r="C12" s="36">
        <f>'换股比例'!$G$36*(1+$A12)</f>
        <v/>
      </c>
      <c r="D12" s="36">
        <f>'换股比例'!$G$37*(1+$A12)</f>
        <v/>
      </c>
      <c r="E12" s="36">
        <f>'换股比例'!$G$38*(1+$A12)</f>
        <v/>
      </c>
      <c r="F12" s="36">
        <f>'换股比例'!$G$39*(1+$A12)</f>
        <v/>
      </c>
      <c r="G12" s="34" t="inlineStr"/>
    </row>
    <row r="13" ht="21" customHeight="1">
      <c r="A13" s="25" t="n">
        <v>0.35</v>
      </c>
      <c r="B13" s="36">
        <f>'换股比例'!$G$35*(1+$A13)</f>
        <v/>
      </c>
      <c r="C13" s="36">
        <f>'换股比例'!$G$36*(1+$A13)</f>
        <v/>
      </c>
      <c r="D13" s="36">
        <f>'换股比例'!$G$37*(1+$A13)</f>
        <v/>
      </c>
      <c r="E13" s="36">
        <f>'换股比例'!$G$38*(1+$A13)</f>
        <v/>
      </c>
      <c r="F13" s="36">
        <f>'换股比例'!$G$39*(1+$A13)</f>
        <v/>
      </c>
      <c r="G13" s="34" t="inlineStr"/>
    </row>
    <row r="14" ht="21" customHeight="1">
      <c r="A14" s="25" t="n">
        <v>0.4</v>
      </c>
      <c r="B14" s="36">
        <f>'换股比例'!$G$35*(1+$A14)</f>
        <v/>
      </c>
      <c r="C14" s="36">
        <f>'换股比例'!$G$36*(1+$A14)</f>
        <v/>
      </c>
      <c r="D14" s="36">
        <f>'换股比例'!$G$37*(1+$A14)</f>
        <v/>
      </c>
      <c r="E14" s="36">
        <f>'换股比例'!$G$38*(1+$A14)</f>
        <v/>
      </c>
      <c r="F14" s="36">
        <f>'换股比例'!$G$39*(1+$A14)</f>
        <v/>
      </c>
      <c r="G14" s="34" t="inlineStr"/>
    </row>
    <row r="16" ht="22" customHeight="1">
      <c r="A16" s="3" t="inlineStr">
        <is>
          <t>表2：Tesla 原股东在合并后公司的持股比例</t>
        </is>
      </c>
    </row>
    <row r="17" ht="30" customHeight="1">
      <c r="A17" s="9" t="inlineStr">
        <is>
          <t>溢价率</t>
        </is>
      </c>
      <c r="B17" s="9" t="inlineStr">
        <is>
          <t>A 市值法(10/21)</t>
        </is>
      </c>
      <c r="C17" s="9" t="inlineStr">
        <is>
          <t>B 市值法(10/19)</t>
        </is>
      </c>
      <c r="D17" s="9" t="inlineStr">
        <is>
          <t>C 30日VWAP</t>
        </is>
      </c>
      <c r="E17" s="9" t="inlineStr">
        <is>
          <t>D 收入倍数</t>
        </is>
      </c>
      <c r="F17" s="9" t="inlineStr">
        <is>
          <t>E EBITDA倍数</t>
        </is>
      </c>
      <c r="G17" s="9" t="inlineStr">
        <is>
          <t>说明</t>
        </is>
      </c>
    </row>
    <row r="19" ht="21" customHeight="1">
      <c r="A19" s="23">
        <f>A6</f>
        <v/>
      </c>
      <c r="B19" s="23">
        <f>('换股比例'!$B$12*B6)/(('换股比例'!$B$11-'换股比例'!$B$24)+'换股比例'!$B$12*B6)</f>
        <v/>
      </c>
      <c r="C19" s="23">
        <f>('换股比例'!$B$12*C6)/(('换股比例'!$B$11-'换股比例'!$B$24)+'换股比例'!$B$12*C6)</f>
        <v/>
      </c>
      <c r="D19" s="23">
        <f>('换股比例'!$B$12*D6)/(('换股比例'!$B$11-'换股比例'!$B$24)+'换股比例'!$B$12*D6)</f>
        <v/>
      </c>
      <c r="E19" s="23">
        <f>('换股比例'!$B$12*E6)/(('换股比例'!$B$11-'换股比例'!$B$24)+'换股比例'!$B$12*E6)</f>
        <v/>
      </c>
      <c r="F19" s="23">
        <f>('换股比例'!$B$12*F6)/(('换股比例'!$B$11-'换股比例'!$B$24)+'换股比例'!$B$12*F6)</f>
        <v/>
      </c>
      <c r="G19" s="34" t="inlineStr">
        <is>
          <t>= 新发股数 / 合并后总股本</t>
        </is>
      </c>
    </row>
    <row r="20" ht="21" customHeight="1">
      <c r="A20" s="23">
        <f>A7</f>
        <v/>
      </c>
      <c r="B20" s="23">
        <f>('换股比例'!$B$12*B7)/(('换股比例'!$B$11-'换股比例'!$B$24)+'换股比例'!$B$12*B7)</f>
        <v/>
      </c>
      <c r="C20" s="23">
        <f>('换股比例'!$B$12*C7)/(('换股比例'!$B$11-'换股比例'!$B$24)+'换股比例'!$B$12*C7)</f>
        <v/>
      </c>
      <c r="D20" s="23">
        <f>('换股比例'!$B$12*D7)/(('换股比例'!$B$11-'换股比例'!$B$24)+'换股比例'!$B$12*D7)</f>
        <v/>
      </c>
      <c r="E20" s="23">
        <f>('换股比例'!$B$12*E7)/(('换股比例'!$B$11-'换股比例'!$B$24)+'换股比例'!$B$12*E7)</f>
        <v/>
      </c>
      <c r="F20" s="23">
        <f>('换股比例'!$B$12*F7)/(('换股比例'!$B$11-'换股比例'!$B$24)+'换股比例'!$B$12*F7)</f>
        <v/>
      </c>
      <c r="G20" s="34" t="inlineStr"/>
    </row>
    <row r="21" ht="21" customHeight="1">
      <c r="A21" s="23">
        <f>A8</f>
        <v/>
      </c>
      <c r="B21" s="23">
        <f>('换股比例'!$B$12*B8)/(('换股比例'!$B$11-'换股比例'!$B$24)+'换股比例'!$B$12*B8)</f>
        <v/>
      </c>
      <c r="C21" s="23">
        <f>('换股比例'!$B$12*C8)/(('换股比例'!$B$11-'换股比例'!$B$24)+'换股比例'!$B$12*C8)</f>
        <v/>
      </c>
      <c r="D21" s="23">
        <f>('换股比例'!$B$12*D8)/(('换股比例'!$B$11-'换股比例'!$B$24)+'换股比例'!$B$12*D8)</f>
        <v/>
      </c>
      <c r="E21" s="23">
        <f>('换股比例'!$B$12*E8)/(('换股比例'!$B$11-'换股比例'!$B$24)+'换股比例'!$B$12*E8)</f>
        <v/>
      </c>
      <c r="F21" s="23">
        <f>('换股比例'!$B$12*F8)/(('换股比例'!$B$11-'换股比例'!$B$24)+'换股比例'!$B$12*F8)</f>
        <v/>
      </c>
      <c r="G21" s="34" t="inlineStr"/>
    </row>
    <row r="22" ht="21" customHeight="1">
      <c r="A22" s="23">
        <f>A9</f>
        <v/>
      </c>
      <c r="B22" s="23">
        <f>('换股比例'!$B$12*B9)/(('换股比例'!$B$11-'换股比例'!$B$24)+'换股比例'!$B$12*B9)</f>
        <v/>
      </c>
      <c r="C22" s="23">
        <f>('换股比例'!$B$12*C9)/(('换股比例'!$B$11-'换股比例'!$B$24)+'换股比例'!$B$12*C9)</f>
        <v/>
      </c>
      <c r="D22" s="23">
        <f>('换股比例'!$B$12*D9)/(('换股比例'!$B$11-'换股比例'!$B$24)+'换股比例'!$B$12*D9)</f>
        <v/>
      </c>
      <c r="E22" s="23">
        <f>('换股比例'!$B$12*E9)/(('换股比例'!$B$11-'换股比例'!$B$24)+'换股比例'!$B$12*E9)</f>
        <v/>
      </c>
      <c r="F22" s="23">
        <f>('换股比例'!$B$12*F9)/(('换股比例'!$B$11-'换股比例'!$B$24)+'换股比例'!$B$12*F9)</f>
        <v/>
      </c>
      <c r="G22" s="34" t="inlineStr"/>
    </row>
    <row r="23" ht="21" customHeight="1">
      <c r="A23" s="38">
        <f>A10</f>
        <v/>
      </c>
      <c r="B23" s="38">
        <f>('换股比例'!$B$12*B10)/(('换股比例'!$B$11-'换股比例'!$B$24)+'换股比例'!$B$12*B10)</f>
        <v/>
      </c>
      <c r="C23" s="38">
        <f>('换股比例'!$B$12*C10)/(('换股比例'!$B$11-'换股比例'!$B$24)+'换股比例'!$B$12*C10)</f>
        <v/>
      </c>
      <c r="D23" s="38">
        <f>('换股比例'!$B$12*D10)/(('换股比例'!$B$11-'换股比例'!$B$24)+'换股比例'!$B$12*D10)</f>
        <v/>
      </c>
      <c r="E23" s="38">
        <f>('换股比例'!$B$12*E10)/(('换股比例'!$B$11-'换股比例'!$B$24)+'换股比例'!$B$12*E10)</f>
        <v/>
      </c>
      <c r="F23" s="38">
        <f>('换股比例'!$B$12*F10)/(('换股比例'!$B$11-'换股比例'!$B$24)+'换股比例'!$B$12*F10)</f>
        <v/>
      </c>
      <c r="G23" s="34" t="inlineStr"/>
    </row>
    <row r="24" ht="21" customHeight="1">
      <c r="A24" s="23">
        <f>A11</f>
        <v/>
      </c>
      <c r="B24" s="23">
        <f>('换股比例'!$B$12*B11)/(('换股比例'!$B$11-'换股比例'!$B$24)+'换股比例'!$B$12*B11)</f>
        <v/>
      </c>
      <c r="C24" s="23">
        <f>('换股比例'!$B$12*C11)/(('换股比例'!$B$11-'换股比例'!$B$24)+'换股比例'!$B$12*C11)</f>
        <v/>
      </c>
      <c r="D24" s="23">
        <f>('换股比例'!$B$12*D11)/(('换股比例'!$B$11-'换股比例'!$B$24)+'换股比例'!$B$12*D11)</f>
        <v/>
      </c>
      <c r="E24" s="23">
        <f>('换股比例'!$B$12*E11)/(('换股比例'!$B$11-'换股比例'!$B$24)+'换股比例'!$B$12*E11)</f>
        <v/>
      </c>
      <c r="F24" s="23">
        <f>('换股比例'!$B$12*F11)/(('换股比例'!$B$11-'换股比例'!$B$24)+'换股比例'!$B$12*F11)</f>
        <v/>
      </c>
      <c r="G24" s="34" t="inlineStr"/>
    </row>
    <row r="25" ht="21" customHeight="1">
      <c r="A25" s="23">
        <f>A12</f>
        <v/>
      </c>
      <c r="B25" s="23">
        <f>('换股比例'!$B$12*B12)/(('换股比例'!$B$11-'换股比例'!$B$24)+'换股比例'!$B$12*B12)</f>
        <v/>
      </c>
      <c r="C25" s="23">
        <f>('换股比例'!$B$12*C12)/(('换股比例'!$B$11-'换股比例'!$B$24)+'换股比例'!$B$12*C12)</f>
        <v/>
      </c>
      <c r="D25" s="23">
        <f>('换股比例'!$B$12*D12)/(('换股比例'!$B$11-'换股比例'!$B$24)+'换股比例'!$B$12*D12)</f>
        <v/>
      </c>
      <c r="E25" s="23">
        <f>('换股比例'!$B$12*E12)/(('换股比例'!$B$11-'换股比例'!$B$24)+'换股比例'!$B$12*E12)</f>
        <v/>
      </c>
      <c r="F25" s="23">
        <f>('换股比例'!$B$12*F12)/(('换股比例'!$B$11-'换股比例'!$B$24)+'换股比例'!$B$12*F12)</f>
        <v/>
      </c>
      <c r="G25" s="34" t="inlineStr"/>
    </row>
    <row r="26" ht="21" customHeight="1">
      <c r="A26" s="23">
        <f>A13</f>
        <v/>
      </c>
      <c r="B26" s="23">
        <f>('换股比例'!$B$12*B13)/(('换股比例'!$B$11-'换股比例'!$B$24)+'换股比例'!$B$12*B13)</f>
        <v/>
      </c>
      <c r="C26" s="23">
        <f>('换股比例'!$B$12*C13)/(('换股比例'!$B$11-'换股比例'!$B$24)+'换股比例'!$B$12*C13)</f>
        <v/>
      </c>
      <c r="D26" s="23">
        <f>('换股比例'!$B$12*D13)/(('换股比例'!$B$11-'换股比例'!$B$24)+'换股比例'!$B$12*D13)</f>
        <v/>
      </c>
      <c r="E26" s="23">
        <f>('换股比例'!$B$12*E13)/(('换股比例'!$B$11-'换股比例'!$B$24)+'换股比例'!$B$12*E13)</f>
        <v/>
      </c>
      <c r="F26" s="23">
        <f>('换股比例'!$B$12*F13)/(('换股比例'!$B$11-'换股比例'!$B$24)+'换股比例'!$B$12*F13)</f>
        <v/>
      </c>
      <c r="G26" s="34" t="inlineStr"/>
    </row>
    <row r="27" ht="21" customHeight="1">
      <c r="A27" s="23">
        <f>A14</f>
        <v/>
      </c>
      <c r="B27" s="23">
        <f>('换股比例'!$B$12*B14)/(('换股比例'!$B$11-'换股比例'!$B$24)+'换股比例'!$B$12*B14)</f>
        <v/>
      </c>
      <c r="C27" s="23">
        <f>('换股比例'!$B$12*C14)/(('换股比例'!$B$11-'换股比例'!$B$24)+'换股比例'!$B$12*C14)</f>
        <v/>
      </c>
      <c r="D27" s="23">
        <f>('换股比例'!$B$12*D14)/(('换股比例'!$B$11-'换股比例'!$B$24)+'换股比例'!$B$12*D14)</f>
        <v/>
      </c>
      <c r="E27" s="23">
        <f>('换股比例'!$B$12*E14)/(('换股比例'!$B$11-'换股比例'!$B$24)+'换股比例'!$B$12*E14)</f>
        <v/>
      </c>
      <c r="F27" s="23">
        <f>('换股比例'!$B$12*F14)/(('换股比例'!$B$11-'换股比例'!$B$24)+'换股比例'!$B$12*F14)</f>
        <v/>
      </c>
      <c r="G27" s="34" t="inlineStr"/>
    </row>
    <row r="29" ht="22" customHeight="1">
      <c r="A29" s="3" t="inlineStr">
        <is>
          <t>表3：马斯克合并后经济权益（含其 Tesla 股份换股）</t>
        </is>
      </c>
    </row>
    <row r="30" ht="30" customHeight="1">
      <c r="A30" s="9" t="inlineStr">
        <is>
          <t>溢价率</t>
        </is>
      </c>
      <c r="B30" s="9" t="inlineStr">
        <is>
          <t>A 市值法(10/21)</t>
        </is>
      </c>
      <c r="C30" s="9" t="inlineStr">
        <is>
          <t>B 市值法(10/19)</t>
        </is>
      </c>
      <c r="D30" s="9" t="inlineStr">
        <is>
          <t>C 30日VWAP</t>
        </is>
      </c>
      <c r="E30" s="9" t="inlineStr">
        <is>
          <t>D 收入倍数</t>
        </is>
      </c>
      <c r="F30" s="9" t="inlineStr">
        <is>
          <t>E EBITDA倍数</t>
        </is>
      </c>
      <c r="G30" s="9" t="inlineStr">
        <is>
          <t>说明</t>
        </is>
      </c>
    </row>
    <row r="32" ht="21" customHeight="1">
      <c r="A32" s="23">
        <f>A6</f>
        <v/>
      </c>
      <c r="B32" s="23">
        <f>('换股比例'!$B$25+'换股比例'!$B$26*B6)/(('换股比例'!$B$11-'换股比例'!$B$24)+'换股比例'!$B$12*B6)</f>
        <v/>
      </c>
      <c r="C32" s="23">
        <f>('换股比例'!$B$25+'换股比例'!$B$26*C6)/(('换股比例'!$B$11-'换股比例'!$B$24)+'换股比例'!$B$12*C6)</f>
        <v/>
      </c>
      <c r="D32" s="23">
        <f>('换股比例'!$B$25+'换股比例'!$B$26*D6)/(('换股比例'!$B$11-'换股比例'!$B$24)+'换股比例'!$B$12*D6)</f>
        <v/>
      </c>
      <c r="E32" s="23">
        <f>('换股比例'!$B$25+'换股比例'!$B$26*E6)/(('换股比例'!$B$11-'换股比例'!$B$24)+'换股比例'!$B$12*E6)</f>
        <v/>
      </c>
      <c r="F32" s="23">
        <f>('换股比例'!$B$25+'换股比例'!$B$26*F6)/(('换股比例'!$B$11-'换股比例'!$B$24)+'换股比例'!$B$12*F6)</f>
        <v/>
      </c>
      <c r="G32" s="34" t="inlineStr">
        <is>
          <t>= (马斯克SpaceX + 马斯克Tesla×比例) / 合并后总股本</t>
        </is>
      </c>
    </row>
    <row r="33" ht="21" customHeight="1">
      <c r="A33" s="23">
        <f>A7</f>
        <v/>
      </c>
      <c r="B33" s="23">
        <f>('换股比例'!$B$25+'换股比例'!$B$26*B7)/(('换股比例'!$B$11-'换股比例'!$B$24)+'换股比例'!$B$12*B7)</f>
        <v/>
      </c>
      <c r="C33" s="23">
        <f>('换股比例'!$B$25+'换股比例'!$B$26*C7)/(('换股比例'!$B$11-'换股比例'!$B$24)+'换股比例'!$B$12*C7)</f>
        <v/>
      </c>
      <c r="D33" s="23">
        <f>('换股比例'!$B$25+'换股比例'!$B$26*D7)/(('换股比例'!$B$11-'换股比例'!$B$24)+'换股比例'!$B$12*D7)</f>
        <v/>
      </c>
      <c r="E33" s="23">
        <f>('换股比例'!$B$25+'换股比例'!$B$26*E7)/(('换股比例'!$B$11-'换股比例'!$B$24)+'换股比例'!$B$12*E7)</f>
        <v/>
      </c>
      <c r="F33" s="23">
        <f>('换股比例'!$B$25+'换股比例'!$B$26*F7)/(('换股比例'!$B$11-'换股比例'!$B$24)+'换股比例'!$B$12*F7)</f>
        <v/>
      </c>
      <c r="G33" s="34" t="inlineStr"/>
    </row>
    <row r="34" ht="21" customHeight="1">
      <c r="A34" s="23">
        <f>A8</f>
        <v/>
      </c>
      <c r="B34" s="23">
        <f>('换股比例'!$B$25+'换股比例'!$B$26*B8)/(('换股比例'!$B$11-'换股比例'!$B$24)+'换股比例'!$B$12*B8)</f>
        <v/>
      </c>
      <c r="C34" s="23">
        <f>('换股比例'!$B$25+'换股比例'!$B$26*C8)/(('换股比例'!$B$11-'换股比例'!$B$24)+'换股比例'!$B$12*C8)</f>
        <v/>
      </c>
      <c r="D34" s="23">
        <f>('换股比例'!$B$25+'换股比例'!$B$26*D8)/(('换股比例'!$B$11-'换股比例'!$B$24)+'换股比例'!$B$12*D8)</f>
        <v/>
      </c>
      <c r="E34" s="23">
        <f>('换股比例'!$B$25+'换股比例'!$B$26*E8)/(('换股比例'!$B$11-'换股比例'!$B$24)+'换股比例'!$B$12*E8)</f>
        <v/>
      </c>
      <c r="F34" s="23">
        <f>('换股比例'!$B$25+'换股比例'!$B$26*F8)/(('换股比例'!$B$11-'换股比例'!$B$24)+'换股比例'!$B$12*F8)</f>
        <v/>
      </c>
      <c r="G34" s="34" t="inlineStr"/>
    </row>
    <row r="35" ht="21" customHeight="1">
      <c r="A35" s="23">
        <f>A9</f>
        <v/>
      </c>
      <c r="B35" s="23">
        <f>('换股比例'!$B$25+'换股比例'!$B$26*B9)/(('换股比例'!$B$11-'换股比例'!$B$24)+'换股比例'!$B$12*B9)</f>
        <v/>
      </c>
      <c r="C35" s="23">
        <f>('换股比例'!$B$25+'换股比例'!$B$26*C9)/(('换股比例'!$B$11-'换股比例'!$B$24)+'换股比例'!$B$12*C9)</f>
        <v/>
      </c>
      <c r="D35" s="23">
        <f>('换股比例'!$B$25+'换股比例'!$B$26*D9)/(('换股比例'!$B$11-'换股比例'!$B$24)+'换股比例'!$B$12*D9)</f>
        <v/>
      </c>
      <c r="E35" s="23">
        <f>('换股比例'!$B$25+'换股比例'!$B$26*E9)/(('换股比例'!$B$11-'换股比例'!$B$24)+'换股比例'!$B$12*E9)</f>
        <v/>
      </c>
      <c r="F35" s="23">
        <f>('换股比例'!$B$25+'换股比例'!$B$26*F9)/(('换股比例'!$B$11-'换股比例'!$B$24)+'换股比例'!$B$12*F9)</f>
        <v/>
      </c>
      <c r="G35" s="34" t="inlineStr"/>
    </row>
    <row r="36" ht="21" customHeight="1">
      <c r="A36" s="38">
        <f>A10</f>
        <v/>
      </c>
      <c r="B36" s="38">
        <f>('换股比例'!$B$25+'换股比例'!$B$26*B10)/(('换股比例'!$B$11-'换股比例'!$B$24)+'换股比例'!$B$12*B10)</f>
        <v/>
      </c>
      <c r="C36" s="38">
        <f>('换股比例'!$B$25+'换股比例'!$B$26*C10)/(('换股比例'!$B$11-'换股比例'!$B$24)+'换股比例'!$B$12*C10)</f>
        <v/>
      </c>
      <c r="D36" s="38">
        <f>('换股比例'!$B$25+'换股比例'!$B$26*D10)/(('换股比例'!$B$11-'换股比例'!$B$24)+'换股比例'!$B$12*D10)</f>
        <v/>
      </c>
      <c r="E36" s="38">
        <f>('换股比例'!$B$25+'换股比例'!$B$26*E10)/(('换股比例'!$B$11-'换股比例'!$B$24)+'换股比例'!$B$12*E10)</f>
        <v/>
      </c>
      <c r="F36" s="38">
        <f>('换股比例'!$B$25+'换股比例'!$B$26*F10)/(('换股比例'!$B$11-'换股比例'!$B$24)+'换股比例'!$B$12*F10)</f>
        <v/>
      </c>
      <c r="G36" s="34" t="inlineStr"/>
    </row>
    <row r="37" ht="21" customHeight="1">
      <c r="A37" s="23">
        <f>A11</f>
        <v/>
      </c>
      <c r="B37" s="23">
        <f>('换股比例'!$B$25+'换股比例'!$B$26*B11)/(('换股比例'!$B$11-'换股比例'!$B$24)+'换股比例'!$B$12*B11)</f>
        <v/>
      </c>
      <c r="C37" s="23">
        <f>('换股比例'!$B$25+'换股比例'!$B$26*C11)/(('换股比例'!$B$11-'换股比例'!$B$24)+'换股比例'!$B$12*C11)</f>
        <v/>
      </c>
      <c r="D37" s="23">
        <f>('换股比例'!$B$25+'换股比例'!$B$26*D11)/(('换股比例'!$B$11-'换股比例'!$B$24)+'换股比例'!$B$12*D11)</f>
        <v/>
      </c>
      <c r="E37" s="23">
        <f>('换股比例'!$B$25+'换股比例'!$B$26*E11)/(('换股比例'!$B$11-'换股比例'!$B$24)+'换股比例'!$B$12*E11)</f>
        <v/>
      </c>
      <c r="F37" s="23">
        <f>('换股比例'!$B$25+'换股比例'!$B$26*F11)/(('换股比例'!$B$11-'换股比例'!$B$24)+'换股比例'!$B$12*F11)</f>
        <v/>
      </c>
      <c r="G37" s="34" t="inlineStr"/>
    </row>
    <row r="38" ht="21" customHeight="1">
      <c r="A38" s="23">
        <f>A12</f>
        <v/>
      </c>
      <c r="B38" s="23">
        <f>('换股比例'!$B$25+'换股比例'!$B$26*B12)/(('换股比例'!$B$11-'换股比例'!$B$24)+'换股比例'!$B$12*B12)</f>
        <v/>
      </c>
      <c r="C38" s="23">
        <f>('换股比例'!$B$25+'换股比例'!$B$26*C12)/(('换股比例'!$B$11-'换股比例'!$B$24)+'换股比例'!$B$12*C12)</f>
        <v/>
      </c>
      <c r="D38" s="23">
        <f>('换股比例'!$B$25+'换股比例'!$B$26*D12)/(('换股比例'!$B$11-'换股比例'!$B$24)+'换股比例'!$B$12*D12)</f>
        <v/>
      </c>
      <c r="E38" s="23">
        <f>('换股比例'!$B$25+'换股比例'!$B$26*E12)/(('换股比例'!$B$11-'换股比例'!$B$24)+'换股比例'!$B$12*E12)</f>
        <v/>
      </c>
      <c r="F38" s="23">
        <f>('换股比例'!$B$25+'换股比例'!$B$26*F12)/(('换股比例'!$B$11-'换股比例'!$B$24)+'换股比例'!$B$12*F12)</f>
        <v/>
      </c>
      <c r="G38" s="34" t="inlineStr"/>
    </row>
    <row r="39" ht="21" customHeight="1">
      <c r="A39" s="23">
        <f>A13</f>
        <v/>
      </c>
      <c r="B39" s="23">
        <f>('换股比例'!$B$25+'换股比例'!$B$26*B13)/(('换股比例'!$B$11-'换股比例'!$B$24)+'换股比例'!$B$12*B13)</f>
        <v/>
      </c>
      <c r="C39" s="23">
        <f>('换股比例'!$B$25+'换股比例'!$B$26*C13)/(('换股比例'!$B$11-'换股比例'!$B$24)+'换股比例'!$B$12*C13)</f>
        <v/>
      </c>
      <c r="D39" s="23">
        <f>('换股比例'!$B$25+'换股比例'!$B$26*D13)/(('换股比例'!$B$11-'换股比例'!$B$24)+'换股比例'!$B$12*D13)</f>
        <v/>
      </c>
      <c r="E39" s="23">
        <f>('换股比例'!$B$25+'换股比例'!$B$26*E13)/(('换股比例'!$B$11-'换股比例'!$B$24)+'换股比例'!$B$12*E13)</f>
        <v/>
      </c>
      <c r="F39" s="23">
        <f>('换股比例'!$B$25+'换股比例'!$B$26*F13)/(('换股比例'!$B$11-'换股比例'!$B$24)+'换股比例'!$B$12*F13)</f>
        <v/>
      </c>
      <c r="G39" s="34" t="inlineStr"/>
    </row>
    <row r="40" ht="21" customHeight="1">
      <c r="A40" s="23">
        <f>A14</f>
        <v/>
      </c>
      <c r="B40" s="23">
        <f>('换股比例'!$B$25+'换股比例'!$B$26*B14)/(('换股比例'!$B$11-'换股比例'!$B$24)+'换股比例'!$B$12*B14)</f>
        <v/>
      </c>
      <c r="C40" s="23">
        <f>('换股比例'!$B$25+'换股比例'!$B$26*C14)/(('换股比例'!$B$11-'换股比例'!$B$24)+'换股比例'!$B$12*C14)</f>
        <v/>
      </c>
      <c r="D40" s="23">
        <f>('换股比例'!$B$25+'换股比例'!$B$26*D14)/(('换股比例'!$B$11-'换股比例'!$B$24)+'换股比例'!$B$12*D14)</f>
        <v/>
      </c>
      <c r="E40" s="23">
        <f>('换股比例'!$B$25+'换股比例'!$B$26*E14)/(('换股比例'!$B$11-'换股比例'!$B$24)+'换股比例'!$B$12*E14)</f>
        <v/>
      </c>
      <c r="F40" s="23">
        <f>('换股比例'!$B$25+'换股比例'!$B$26*F14)/(('换股比例'!$B$11-'换股比例'!$B$24)+'换股比例'!$B$12*F14)</f>
        <v/>
      </c>
      <c r="G40" s="34" t="inlineStr"/>
    </row>
    <row r="42" ht="22" customHeight="1">
      <c r="A42" s="3" t="inlineStr">
        <is>
          <t>表4：隐含合并股权价值（$M；SpaceX 价值 + Tesla 价值×(1+溢价)）</t>
        </is>
      </c>
    </row>
    <row r="43" ht="30" customHeight="1">
      <c r="A43" s="9" t="inlineStr">
        <is>
          <t>溢价率</t>
        </is>
      </c>
      <c r="B43" s="9" t="inlineStr">
        <is>
          <t>A 市值法(10/21)</t>
        </is>
      </c>
      <c r="C43" s="9" t="inlineStr">
        <is>
          <t>B 市值法(10/19)</t>
        </is>
      </c>
      <c r="D43" s="9" t="inlineStr">
        <is>
          <t>C 30日VWAP</t>
        </is>
      </c>
      <c r="E43" s="9" t="inlineStr">
        <is>
          <t>D 收入倍数</t>
        </is>
      </c>
      <c r="F43" s="9" t="inlineStr">
        <is>
          <t>E EBITDA倍数</t>
        </is>
      </c>
      <c r="G43" s="9" t="inlineStr">
        <is>
          <t>说明</t>
        </is>
      </c>
    </row>
    <row r="45" ht="21" customHeight="1">
      <c r="A45" s="23">
        <f>A6</f>
        <v/>
      </c>
      <c r="B45" s="21">
        <f>'换股比例'!$C$35+'换股比例'!$D$35*(1+$A45)</f>
        <v/>
      </c>
      <c r="C45" s="21">
        <f>'换股比例'!$C$36+'换股比例'!$D$36*(1+$A45)</f>
        <v/>
      </c>
      <c r="D45" s="21">
        <f>'换股比例'!$C$37+'换股比例'!$D$37*(1+$A45)</f>
        <v/>
      </c>
      <c r="E45" s="21">
        <f>'换股比例'!$C$38+'换股比例'!$D$38*(1+$A45)</f>
        <v/>
      </c>
      <c r="F45" s="21">
        <f>'换股比例'!$C$39+'换股比例'!$D$39*(1+$A45)</f>
        <v/>
      </c>
      <c r="G45" s="34" t="inlineStr">
        <is>
          <t>不同方法的绝对值差异较大，但换股比例/持股结构才是交易条款的核心</t>
        </is>
      </c>
    </row>
    <row r="46" ht="21" customHeight="1">
      <c r="A46" s="23">
        <f>A7</f>
        <v/>
      </c>
      <c r="B46" s="21">
        <f>'换股比例'!$C$35+'换股比例'!$D$35*(1+$A46)</f>
        <v/>
      </c>
      <c r="C46" s="21">
        <f>'换股比例'!$C$36+'换股比例'!$D$36*(1+$A46)</f>
        <v/>
      </c>
      <c r="D46" s="21">
        <f>'换股比例'!$C$37+'换股比例'!$D$37*(1+$A46)</f>
        <v/>
      </c>
      <c r="E46" s="21">
        <f>'换股比例'!$C$38+'换股比例'!$D$38*(1+$A46)</f>
        <v/>
      </c>
      <c r="F46" s="21">
        <f>'换股比例'!$C$39+'换股比例'!$D$39*(1+$A46)</f>
        <v/>
      </c>
      <c r="G46" s="34" t="inlineStr"/>
    </row>
    <row r="47" ht="21" customHeight="1">
      <c r="A47" s="23">
        <f>A8</f>
        <v/>
      </c>
      <c r="B47" s="21">
        <f>'换股比例'!$C$35+'换股比例'!$D$35*(1+$A47)</f>
        <v/>
      </c>
      <c r="C47" s="21">
        <f>'换股比例'!$C$36+'换股比例'!$D$36*(1+$A47)</f>
        <v/>
      </c>
      <c r="D47" s="21">
        <f>'换股比例'!$C$37+'换股比例'!$D$37*(1+$A47)</f>
        <v/>
      </c>
      <c r="E47" s="21">
        <f>'换股比例'!$C$38+'换股比例'!$D$38*(1+$A47)</f>
        <v/>
      </c>
      <c r="F47" s="21">
        <f>'换股比例'!$C$39+'换股比例'!$D$39*(1+$A47)</f>
        <v/>
      </c>
      <c r="G47" s="34" t="inlineStr"/>
    </row>
    <row r="48" ht="21" customHeight="1">
      <c r="A48" s="23">
        <f>A9</f>
        <v/>
      </c>
      <c r="B48" s="21">
        <f>'换股比例'!$C$35+'换股比例'!$D$35*(1+$A48)</f>
        <v/>
      </c>
      <c r="C48" s="21">
        <f>'换股比例'!$C$36+'换股比例'!$D$36*(1+$A48)</f>
        <v/>
      </c>
      <c r="D48" s="21">
        <f>'换股比例'!$C$37+'换股比例'!$D$37*(1+$A48)</f>
        <v/>
      </c>
      <c r="E48" s="21">
        <f>'换股比例'!$C$38+'换股比例'!$D$38*(1+$A48)</f>
        <v/>
      </c>
      <c r="F48" s="21">
        <f>'换股比例'!$C$39+'换股比例'!$D$39*(1+$A48)</f>
        <v/>
      </c>
      <c r="G48" s="34" t="inlineStr"/>
    </row>
    <row r="49" ht="21" customHeight="1">
      <c r="A49" s="38">
        <f>A10</f>
        <v/>
      </c>
      <c r="B49" s="37">
        <f>'换股比例'!$C$35+'换股比例'!$D$35*(1+$A49)</f>
        <v/>
      </c>
      <c r="C49" s="37">
        <f>'换股比例'!$C$36+'换股比例'!$D$36*(1+$A49)</f>
        <v/>
      </c>
      <c r="D49" s="37">
        <f>'换股比例'!$C$37+'换股比例'!$D$37*(1+$A49)</f>
        <v/>
      </c>
      <c r="E49" s="37">
        <f>'换股比例'!$C$38+'换股比例'!$D$38*(1+$A49)</f>
        <v/>
      </c>
      <c r="F49" s="37">
        <f>'换股比例'!$C$39+'换股比例'!$D$39*(1+$A49)</f>
        <v/>
      </c>
      <c r="G49" s="34" t="inlineStr"/>
    </row>
    <row r="50" ht="21" customHeight="1">
      <c r="A50" s="23">
        <f>A11</f>
        <v/>
      </c>
      <c r="B50" s="21">
        <f>'换股比例'!$C$35+'换股比例'!$D$35*(1+$A50)</f>
        <v/>
      </c>
      <c r="C50" s="21">
        <f>'换股比例'!$C$36+'换股比例'!$D$36*(1+$A50)</f>
        <v/>
      </c>
      <c r="D50" s="21">
        <f>'换股比例'!$C$37+'换股比例'!$D$37*(1+$A50)</f>
        <v/>
      </c>
      <c r="E50" s="21">
        <f>'换股比例'!$C$38+'换股比例'!$D$38*(1+$A50)</f>
        <v/>
      </c>
      <c r="F50" s="21">
        <f>'换股比例'!$C$39+'换股比例'!$D$39*(1+$A50)</f>
        <v/>
      </c>
      <c r="G50" s="34" t="inlineStr"/>
    </row>
    <row r="51" ht="21" customHeight="1">
      <c r="A51" s="23">
        <f>A12</f>
        <v/>
      </c>
      <c r="B51" s="21">
        <f>'换股比例'!$C$35+'换股比例'!$D$35*(1+$A51)</f>
        <v/>
      </c>
      <c r="C51" s="21">
        <f>'换股比例'!$C$36+'换股比例'!$D$36*(1+$A51)</f>
        <v/>
      </c>
      <c r="D51" s="21">
        <f>'换股比例'!$C$37+'换股比例'!$D$37*(1+$A51)</f>
        <v/>
      </c>
      <c r="E51" s="21">
        <f>'换股比例'!$C$38+'换股比例'!$D$38*(1+$A51)</f>
        <v/>
      </c>
      <c r="F51" s="21">
        <f>'换股比例'!$C$39+'换股比例'!$D$39*(1+$A51)</f>
        <v/>
      </c>
      <c r="G51" s="34" t="inlineStr"/>
    </row>
    <row r="52" ht="21" customHeight="1">
      <c r="A52" s="23">
        <f>A13</f>
        <v/>
      </c>
      <c r="B52" s="21">
        <f>'换股比例'!$C$35+'换股比例'!$D$35*(1+$A52)</f>
        <v/>
      </c>
      <c r="C52" s="21">
        <f>'换股比例'!$C$36+'换股比例'!$D$36*(1+$A52)</f>
        <v/>
      </c>
      <c r="D52" s="21">
        <f>'换股比例'!$C$37+'换股比例'!$D$37*(1+$A52)</f>
        <v/>
      </c>
      <c r="E52" s="21">
        <f>'换股比例'!$C$38+'换股比例'!$D$38*(1+$A52)</f>
        <v/>
      </c>
      <c r="F52" s="21">
        <f>'换股比例'!$C$39+'换股比例'!$D$39*(1+$A52)</f>
        <v/>
      </c>
      <c r="G52" s="34" t="inlineStr"/>
    </row>
    <row r="53" ht="21" customHeight="1">
      <c r="A53" s="23">
        <f>A14</f>
        <v/>
      </c>
      <c r="B53" s="21">
        <f>'换股比例'!$C$35+'换股比例'!$D$35*(1+$A53)</f>
        <v/>
      </c>
      <c r="C53" s="21">
        <f>'换股比例'!$C$36+'换股比例'!$D$36*(1+$A53)</f>
        <v/>
      </c>
      <c r="D53" s="21">
        <f>'换股比例'!$C$37+'换股比例'!$D$37*(1+$A53)</f>
        <v/>
      </c>
      <c r="E53" s="21">
        <f>'换股比例'!$C$38+'换股比例'!$D$38*(1+$A53)</f>
        <v/>
      </c>
      <c r="F53" s="21">
        <f>'换股比例'!$C$39+'换股比例'!$D$39*(1+$A53)</f>
        <v/>
      </c>
      <c r="G53" s="34" t="inlineStr"/>
    </row>
    <row r="57" ht="22" customHeight="1">
      <c r="A57" s="3" t="inlineStr">
        <is>
          <t>读表说明</t>
        </is>
      </c>
    </row>
    <row r="58" ht="30" customHeight="1">
      <c r="A58" s="42" t="inlineStr">
        <is>
          <t>1. 表1 的换股比例 = 该方法下 Tesla 每股价值 × (1+溢价) ÷ SpaceX 每股价值；表2/3 的持股比例由表1 的比例与双方股本、Tesla 持有的 SpaceX 股份计算。</t>
        </is>
      </c>
    </row>
    <row r="59" ht="30" customHeight="1">
      <c r="A59" s="42" t="inlineStr">
        <is>
          <t>2. 行方向看溢价：溢价越高，Tesla 原股东分到的合并后公司比例越高、马斯克经济权益越低；列方向看方法：收入倍数法给出的 Tesla 相对价值最高（Tesla 原股东约 48%），EBITDA 倍数法最低（约 43%）。</t>
        </is>
      </c>
    </row>
    <row r="60" ht="30" customHeight="1">
      <c r="A60" s="42" t="inlineStr">
        <is>
          <t>3. 基准情形（20% 溢价 + 市值法）下：换股比例约 2.91 股 SpaceX / 1 股 Tesla，Tesla 原股东约 45.9%，SpaceX 原股东约 54.1%，马斯克约 33.7%。</t>
        </is>
      </c>
    </row>
    <row r="61" ht="30" customHeight="1">
      <c r="A61" s="42" t="inlineStr">
        <is>
          <t>4. 敏感性表只改变溢价与定价方法，不改变股本、净债务、关联交易与协同假设；若同时改变这些输入，应回到“换股比例”页调整。</t>
        </is>
      </c>
    </row>
    <row r="62" ht="30" customHeight="1">
      <c r="A62" s="42" t="inlineStr">
        <is>
          <t>5. 本表不构成报价或投资建议；实际条款还会受锁定期、监管、税务、评估权与谈判力量影响。</t>
        </is>
      </c>
    </row>
  </sheetData>
  <mergeCells count="12">
    <mergeCell ref="A60:G60"/>
    <mergeCell ref="A61:G61"/>
    <mergeCell ref="A58:G58"/>
    <mergeCell ref="A1:G1"/>
    <mergeCell ref="A4:G4"/>
    <mergeCell ref="A62:G62"/>
    <mergeCell ref="A16:G16"/>
    <mergeCell ref="A2:G2"/>
    <mergeCell ref="A29:G29"/>
    <mergeCell ref="A59:G59"/>
    <mergeCell ref="A57:G57"/>
    <mergeCell ref="A42:G42"/>
  </mergeCells>
  <conditionalFormatting sqref="B6:F14">
    <cfRule type="colorScale" priority="1">
      <colorScale>
        <cfvo type="min"/>
        <cfvo type="percentile" val="50"/>
        <cfvo type="max"/>
        <color rgb="00FFF2CC"/>
        <color rgb="00F8CBAD"/>
        <color rgb="009DC3E6"/>
      </colorScale>
    </cfRule>
  </conditionalFormatting>
  <conditionalFormatting sqref="B19:F27">
    <cfRule type="colorScale" priority="2">
      <colorScale>
        <cfvo type="min"/>
        <cfvo type="percentile" val="50"/>
        <cfvo type="max"/>
        <color rgb="00FFF2CC"/>
        <color rgb="00F8CBAD"/>
        <color rgb="009DC3E6"/>
      </colorScale>
    </cfRule>
  </conditionalFormatting>
  <conditionalFormatting sqref="B32:F40">
    <cfRule type="colorScale" priority="3">
      <colorScale>
        <cfvo type="min"/>
        <cfvo type="percentile" val="50"/>
        <cfvo type="max"/>
        <color rgb="00FFF2CC"/>
        <color rgb="00F8CBAD"/>
        <color rgb="009DC3E6"/>
      </colorScale>
    </cfRule>
  </conditionalFormatting>
  <conditionalFormatting sqref="B45:F53">
    <cfRule type="colorScale" priority="4">
      <colorScale>
        <cfvo type="min"/>
        <cfvo type="percentile" val="50"/>
        <cfvo type="max"/>
        <color rgb="00E2EFDA"/>
        <color rgb="00FFF2CC"/>
        <color rgb="00F8CBAD"/>
      </colorScale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7B45"/>
    <outlinePr summaryBelow="1" summaryRight="1"/>
    <pageSetUpPr fitToPage="1"/>
  </sheetPr>
  <dimension ref="A1:C22"/>
  <sheetViews>
    <sheetView showGridLines="0" zoomScale="9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70" customWidth="1" min="3" max="3"/>
  </cols>
  <sheetData>
    <row r="1" ht="34" customHeight="1">
      <c r="A1" s="1" t="inlineStr">
        <is>
          <t>模型检查：加总、勾稽与公式错误</t>
        </is>
      </c>
    </row>
    <row r="2" ht="20" customHeight="1">
      <c r="A2" s="2" t="inlineStr">
        <is>
          <t>所有检查应为“OK”；若出现“差异”，回到对应页检查输入或公式。打开文件时已设置为自动重算</t>
        </is>
      </c>
    </row>
    <row r="4" ht="30" customHeight="1">
      <c r="A4" s="9" t="inlineStr">
        <is>
          <t>检查项</t>
        </is>
      </c>
      <c r="B4" s="9" t="inlineStr">
        <is>
          <t>结果</t>
        </is>
      </c>
      <c r="C4" s="9" t="inlineStr">
        <is>
          <t>公式/说明</t>
        </is>
      </c>
    </row>
    <row r="5" ht="24" customHeight="1">
      <c r="A5" s="16" t="inlineStr">
        <is>
          <t>SpaceX 分部收入合计 = 合并收入（FY2025）</t>
        </is>
      </c>
      <c r="B5" s="48">
        <f>IF(ABS('SpaceX数据'!B39-'SpaceX数据'!B5)&lt;0.5,"OK","差异")</f>
        <v/>
      </c>
      <c r="C5" s="19" t="inlineStr">
        <is>
          <t>Space / Connectivity / SI 收入加总</t>
        </is>
      </c>
    </row>
    <row r="6" ht="24" customHeight="1">
      <c r="A6" s="16" t="inlineStr">
        <is>
          <t>SpaceX 分部收入合计 = 合并收入（Q3-26）</t>
        </is>
      </c>
      <c r="B6" s="48">
        <f>IF(ABS('SpaceX数据'!F39-'SpaceX数据'!F5)&lt;0.5,"OK","差异")</f>
        <v/>
      </c>
      <c r="C6" s="19" t="inlineStr">
        <is>
          <t>Q3 分部收入加总</t>
        </is>
      </c>
    </row>
    <row r="7" ht="24" customHeight="1">
      <c r="A7" s="16" t="inlineStr">
        <is>
          <t>SpaceX LTM 收入 = 四个季度之和</t>
        </is>
      </c>
      <c r="B7" s="48">
        <f>IF(ABS('SpaceX数据'!G5-SUM('SpaceX数据'!C5:F5))&lt;0.5,"OK","差异")</f>
        <v/>
      </c>
      <c r="C7" s="19" t="inlineStr">
        <is>
          <t>LTM 勾稽</t>
        </is>
      </c>
    </row>
    <row r="8" ht="24" customHeight="1">
      <c r="A8" s="16" t="inlineStr">
        <is>
          <t>SpaceX 分部经营利润合计 = 合并经营利润（LTM）</t>
        </is>
      </c>
      <c r="B8" s="48">
        <f>IF(ABS('SpaceX数据'!G47-'SpaceX数据'!G13)&lt;0.5,"OK","差异")</f>
        <v/>
      </c>
      <c r="C8" s="19" t="inlineStr">
        <is>
          <t>分部经营利润加总</t>
        </is>
      </c>
    </row>
    <row r="9" ht="24" customHeight="1">
      <c r="A9" s="16" t="inlineStr">
        <is>
          <t>Tesla 分部收入合计 = 合并收入（FY2025）</t>
        </is>
      </c>
      <c r="B9" s="48">
        <f>IF(ABS('Tesla数据'!B38-'Tesla数据'!B5)&lt;0.5,"OK","差异")</f>
        <v/>
      </c>
      <c r="C9" s="19" t="inlineStr">
        <is>
          <t>汽车 + 能源</t>
        </is>
      </c>
    </row>
    <row r="10" ht="24" customHeight="1">
      <c r="A10" s="16" t="inlineStr">
        <is>
          <t>Tesla 分部收入合计 = 合并收入（Q3-26）</t>
        </is>
      </c>
      <c r="B10" s="48">
        <f>IF(ABS('Tesla数据'!F38-'Tesla数据'!F5)&lt;0.5,"OK","差异")</f>
        <v/>
      </c>
      <c r="C10" s="19" t="inlineStr">
        <is>
          <t>Q3 勾稽</t>
        </is>
      </c>
    </row>
    <row r="11" ht="24" customHeight="1">
      <c r="A11" s="16" t="inlineStr">
        <is>
          <t>Tesla LTM 收入 = 四个季度之和</t>
        </is>
      </c>
      <c r="B11" s="48">
        <f>IF(ABS('Tesla数据'!G5-SUM('Tesla数据'!C5:F5))&lt;0.5,"OK","差异")</f>
        <v/>
      </c>
      <c r="C11" s="19" t="inlineStr">
        <is>
          <t>LTM 勾稽</t>
        </is>
      </c>
    </row>
    <row r="12" ht="24" customHeight="1">
      <c r="A12" s="16" t="inlineStr">
        <is>
          <t>Tesla 分部毛利合计 = 合并毛利（FY2025）</t>
        </is>
      </c>
      <c r="B12" s="48">
        <f>IF(ABS('Tesla数据'!B41-'Tesla数据'!B7)&lt;0.5,"OK","差异")</f>
        <v/>
      </c>
      <c r="C12" s="19" t="inlineStr">
        <is>
          <t>汽车 + 能源毛利</t>
        </is>
      </c>
    </row>
    <row r="13" ht="24" customHeight="1">
      <c r="A13" s="16" t="inlineStr">
        <is>
          <t>备考收入 = 六条业务线加总（LTM）</t>
        </is>
      </c>
      <c r="B13" s="48">
        <f>IF(ABS('合并备考'!E18-'合并备考'!B48)&lt;0.5,"OK","差异")</f>
        <v/>
      </c>
      <c r="C13" s="19" t="inlineStr">
        <is>
          <t>收入结构勾稽</t>
        </is>
      </c>
    </row>
    <row r="14" ht="24" customHeight="1">
      <c r="A14" s="16" t="inlineStr">
        <is>
          <t>备考经营利润 = 业务贡献利润合计（LTM）</t>
        </is>
      </c>
      <c r="B14" s="48">
        <f>IF(ABS('合并备考'!E25-'合并备考'!B59)&lt;0.5,"OK","差异")</f>
        <v/>
      </c>
      <c r="C14" s="19" t="inlineStr">
        <is>
          <t>利润结构勾稽</t>
        </is>
      </c>
    </row>
    <row r="15" ht="24" customHeight="1">
      <c r="A15" s="16" t="inlineStr">
        <is>
          <t>备考毛利 = 备考收入 − 备考成本</t>
        </is>
      </c>
      <c r="B15" s="48">
        <f>IF(ABS('合并备考'!E20-('合并备考'!E18-'合并备考'!E19))&lt;0.5,"OK","差异")</f>
        <v/>
      </c>
      <c r="C15" s="19" t="inlineStr">
        <is>
          <t>利润表勾稽</t>
        </is>
      </c>
    </row>
    <row r="16" ht="24" customHeight="1">
      <c r="A16" s="16" t="inlineStr">
        <is>
          <t>Tesla 原股东 + SpaceX 原股东 = 100%（基准）</t>
        </is>
      </c>
      <c r="B16" s="48">
        <f>IF(ABS('换股比例'!K35+'换股比例'!L35-1)&lt;0.0001,"OK","差异")</f>
        <v/>
      </c>
      <c r="C16" s="19" t="inlineStr">
        <is>
          <t>持股结构勾稽</t>
        </is>
      </c>
    </row>
    <row r="17" ht="24" customHeight="1">
      <c r="A17" s="16" t="inlineStr">
        <is>
          <t>备考净债务 = 有息负债 − 现金及短期投资</t>
        </is>
      </c>
      <c r="B17" s="48">
        <f>IF(ABS('合并备考'!E109-('合并备考'!E108-'合并备考'!E107))&lt;0.5,"OK","差异")</f>
        <v/>
      </c>
      <c r="C17" s="19" t="inlineStr">
        <is>
          <t>资产负债表勾稽</t>
        </is>
      </c>
    </row>
    <row r="18" ht="24" customHeight="1">
      <c r="A18" s="16" t="inlineStr">
        <is>
          <t>备考商誉 = 对价 − 可辨认净资产公允价值</t>
        </is>
      </c>
      <c r="B18" s="48">
        <f>IF(ABS('合并备考'!B100-('合并备考'!B8-('Tesla数据'!F29+'合并备考'!B95-'合并备考'!B97)))&lt;0.5,"OK","差异")</f>
        <v/>
      </c>
      <c r="C18" s="19" t="inlineStr">
        <is>
          <t>购买会计勾稽</t>
        </is>
      </c>
    </row>
    <row r="19" ht="24" customHeight="1">
      <c r="A19" s="16" t="inlineStr">
        <is>
          <t>敏感性表 Tesla 持股均 &lt; 100%</t>
        </is>
      </c>
      <c r="B19" s="48">
        <f>IF(MAX('敏感性'!B19:F27)&lt;1,"OK","差异")</f>
        <v/>
      </c>
      <c r="C19" s="19" t="inlineStr">
        <is>
          <t>上限检查</t>
        </is>
      </c>
    </row>
    <row r="20" ht="24" customHeight="1">
      <c r="A20" s="16" t="inlineStr">
        <is>
          <t>关键区域错误值计数</t>
        </is>
      </c>
      <c r="B20" s="48">
        <f>SUMPRODUCT(--ISERROR('SpaceX数据'!B5:G55))+SUMPRODUCT(--ISERROR('Tesla数据'!B5:G46))+SUMPRODUCT(--ISERROR('合并备考'!B5:E118))+SUMPRODUCT(--ISERROR('换股比例'!B5:O59))</f>
        <v/>
      </c>
      <c r="C20" s="19" t="inlineStr">
        <is>
          <t>应为 0</t>
        </is>
      </c>
    </row>
    <row r="22">
      <c r="A22" s="30" t="inlineStr">
        <is>
          <t>总体状态</t>
        </is>
      </c>
      <c r="B22" s="48">
        <f>IF(COUNTIF(B5:B19,"差异")=0,"全部通过","存在差异，请检查")</f>
        <v/>
      </c>
      <c r="C22" s="34" t="inlineStr">
        <is>
          <t>若第20项 &gt;0，说明存在 #REF/#VALUE/#DIV0 等错误值</t>
        </is>
      </c>
    </row>
  </sheetData>
  <mergeCells count="2">
    <mergeCell ref="A1:C1"/>
    <mergeCell ref="A2:C2"/>
  </mergeCells>
  <conditionalFormatting sqref="B5:B22">
    <cfRule type="colorScale" priority="1">
      <colorScale>
        <cfvo type="num" val="0"/>
        <cfvo type="num" val="1"/>
        <color rgb="00C6EFCE"/>
        <color rgb="00FFC7CE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投行并购组</dc:creator>
  <dc:title xmlns:dc="http://purl.org/dc/elements/1.1/">SpaceX × Tesla 合并财务分析模型</dc:title>
  <dc:description xmlns:dc="http://purl.org/dc/elements/1.1/">SpaceX / Tesla merger model, 2026-10-22</dc:description>
  <dcterms:created xmlns:dcterms="http://purl.org/dc/terms/" xmlns:xsi="http://www.w3.org/2001/XMLSchema-instance" xsi:type="dcterms:W3CDTF">2026-10-22T20:30:44Z</dcterms:created>
  <dcterms:modified xmlns:dcterms="http://purl.org/dc/terms/" xmlns:xsi="http://www.w3.org/2001/XMLSchema-instance" xsi:type="dcterms:W3CDTF">2026-10-22T20:30:45Z</dcterms:modified>
</cp:coreProperties>
</file>