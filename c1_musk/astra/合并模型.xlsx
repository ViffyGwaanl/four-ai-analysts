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drawings/vmlDrawing11.vml" ContentType="application/vnd.openxmlformats-officedocument.vmlDrawing"/>
  <Override PartName="/xl/drawings/vmlDrawing1.vml" ContentType="application/vnd.openxmlformats-officedocument.vmlDrawing"/>
  <Override PartName="/xl/drawings/vmlDrawing10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5.vml" ContentType="application/vnd.openxmlformats-officedocument.vmlDrawing"/>
  <Override PartName="/xl/drawings/vmlDrawing12.vml" ContentType="application/vnd.openxmlformats-officedocument.vmlDrawing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6.xml" ContentType="application/vnd.openxmlformats-officedocument.spreadsheetml.comment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来源登记" sheetId="2" state="visible" r:id="rId4"/>
    <sheet name="原始数据" sheetId="3" state="visible" r:id="rId5"/>
    <sheet name="假设" sheetId="4" state="visible" r:id="rId6"/>
    <sheet name="SpaceX财务" sheetId="5" state="visible" r:id="rId7"/>
    <sheet name="Tesla财务" sheetId="6" state="visible" r:id="rId8"/>
    <sheet name="分部财务" sheetId="7" state="visible" r:id="rId9"/>
    <sheet name="市场数据" sheetId="8" state="visible" r:id="rId10"/>
    <sheet name="关联交易" sheetId="9" state="visible" r:id="rId11"/>
    <sheet name="合并备考" sheetId="10" state="visible" r:id="rId12"/>
    <sheet name="股本与持股" sheetId="11" state="visible" r:id="rId13"/>
    <sheet name="换股比例" sheetId="12" state="visible" r:id="rId14"/>
    <sheet name="敏感性" sheetId="13" state="visible" r:id="rId15"/>
    <sheet name="校验" sheetId="14" state="visible" r:id="rId16"/>
  </sheets>
  <definedNames>
    <definedName function="false" hidden="false" localSheetId="6" name="_xlnm.Print_Titles" vbProcedure="false">分部财务!$1:$3</definedName>
    <definedName function="false" hidden="false" localSheetId="10" name="_xlnm.Print_Titles" vbProcedure="false">股本与持股!$1:$3</definedName>
    <definedName function="false" hidden="false" localSheetId="8" name="_xlnm.Print_Titles" vbProcedure="false">关联交易!$1:$3</definedName>
    <definedName function="false" hidden="false" localSheetId="9" name="_xlnm.Print_Titles" vbProcedure="false">合并备考!$1:$3</definedName>
    <definedName function="false" hidden="false" localSheetId="11" name="_xlnm.Print_Titles" vbProcedure="false">换股比例!$1:$3</definedName>
    <definedName function="false" hidden="false" localSheetId="3" name="_xlnm.Print_Titles" vbProcedure="false">假设!$1:$3</definedName>
    <definedName function="false" hidden="false" localSheetId="1" name="_xlnm.Print_Titles" vbProcedure="false">来源登记!$1:$3</definedName>
    <definedName function="false" hidden="false" localSheetId="12" name="_xlnm.Print_Titles" vbProcedure="false">敏感性!$1:$3</definedName>
    <definedName function="false" hidden="false" localSheetId="7" name="_xlnm.Print_Titles" vbProcedure="false">市场数据!$1:$3</definedName>
    <definedName function="false" hidden="false" localSheetId="0" name="_xlnm.Print_Titles" vbProcedure="false">说明!$1:$3</definedName>
    <definedName function="false" hidden="false" localSheetId="13" name="_xlnm.Print_Titles" vbProcedure="false">校验!$1:$3</definedName>
    <definedName function="false" hidden="false" localSheetId="2" name="_xlnm.Print_Titles" vbProcedure="false">原始数据!$1:$3</definedName>
    <definedName function="false" hidden="true" localSheetId="2" name="_xlnm._FilterDatabase" vbProcedure="false">原始数据!$A$1:$H$285</definedName>
    <definedName function="false" hidden="false" localSheetId="4" name="_xlnm.Print_Titles" vbProcedure="false">SpaceX财务!$1:$3</definedName>
    <definedName function="false" hidden="false" localSheetId="5" name="_xlnm.Print_Titles" vbProcedure="false">Tesla财务!$1:$3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来源</author>
  </authors>
  <commentList>
    <comment ref="E4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F-3/F-4/F-9 Consolidated financial statements; FY2025 restated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pp.9–12 Consolidated statements; 9M2025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pp.9–12 Consolidated statements; 9M2025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pp.9–12 Consolidated statements; 9M2025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pp.9–12 Consolidated statements; 9M2025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pp.9–12 Consolidated statements; 9M2025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pp.9–12 Consolidated statements; 9M2025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pp.9–12 Consolidated statements; 9M2025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F-64/F-65/F-69 Consolidated statements, March 31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pp.4–5 Consolidated Balance Sheets /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p.9 Consolidated Statements of Cash Flows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p.9 Consolidated Statements of Cash Flows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pp.9/11 Consolidated Statements of Operations / Balance Sheets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pp.9/12 Consolidated statements, nine months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pp.9/12 Consolidated statements, nine months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pp.9/12 Consolidated statements, nine months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pp.9/12 Consolidated statements, nine months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pp.9/12 Consolidated statements, nine months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pp.9/12 Consolidated statements, nine months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pp.9/12 Consolidated statements, nine months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F-58 Note 19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9M2025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F-95 Note 18 Segments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Data, Q2 comparative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pp.4–7 Segment Operating and Financial Data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Tesla_2025</t>
        </r>
        <r>
          <rPr>
            <sz val="10"/>
            <rFont val="Noto Sans CJK SC"/>
            <family val="2"/>
          </rPr>
          <t xml:space="preserve">年报</t>
        </r>
        <r>
          <rPr>
            <sz val="10"/>
            <rFont val="Arial"/>
            <family val="2"/>
          </rPr>
          <t xml:space="preserve">__tsla-20251231.htm | pp.49–50/54; Note 16 Segment Reporting (p.85)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pp.27–29 Statements of Operations / Balance Sheet / Cash Flows; Q3 checked against T2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Consolidated statements; nine months ended September 30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Consolidated statements; nine months ended September 30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Consolidated statements; nine months ended September 30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Consolidated statements; nine months ended September 30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Consolidated statements; nine months ended September 30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Consolidated statements; nine months ended September 30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Consolidated statements; nine months ended September 30 2026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Transactions;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Transactions;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Transactions;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/ Note 2; related_capex from S3 p.12 cash flow footnote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/ Note 2; related_capex from S3 p.12 cash flow footnote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/ Note 2; related_capex from S3 p.12 cash flow footnote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/ Note 2; related_capex from S3 p.12 cash flow footnote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 /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 /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 /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 /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 /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__tsla-20260930.htm | Note 13 Related Party Transactions / Note 2 Fair Value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Note 17 Related Party Transactions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Note 17 Related Party Transactions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Note 17 Related Party Transactions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Note 17 Related Party Transactions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Note 17 Related Party Transactions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SpaceX_2026Q2</t>
        </r>
        <r>
          <rPr>
            <sz val="10"/>
            <rFont val="Noto Sans CJK SC"/>
            <family val="2"/>
          </rPr>
          <t xml:space="preserve">季报</t>
        </r>
        <r>
          <rPr>
            <sz val="10"/>
            <rFont val="Arial"/>
            <family val="2"/>
          </rPr>
          <t xml:space="preserve">__spcx-20260630.htm | Note 17 Related Party Transactions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p.11 Balance Sheets, related-party debt parentheticals; counterparty attribution inferred from S2 Note 17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p.11 Balance Sheets, related-party debt parentheticals; counterparty attribution inferred from S2 Note 17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p.9 Statements of Operations, related-party parentheticals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p.9 Statements of Operations, related-party parentheticals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p.9 Statements of Operations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Related Person Transactions pp.65–66; purchases of 506 / 131 from S1 Note 18 F-57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Ownership of Securities, pp.68–69 and footnote (2);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Ownership of Securities, pp.68–69 and footnote (2);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Ownership of Securities, pp.68–69 and footnote (2);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Ownership of Securities, pp.68–69 and footnote (2);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Tesla_2026</t>
        </r>
        <r>
          <rPr>
            <sz val="10"/>
            <rFont val="Noto Sans CJK SC"/>
            <family val="2"/>
          </rPr>
          <t xml:space="preserve">股东大会委托书</t>
        </r>
        <r>
          <rPr>
            <sz val="10"/>
            <rFont val="Arial"/>
            <family val="2"/>
          </rPr>
          <t xml:space="preserve">__tm267596-1_def14a.htm | Ownership of Securities, pp.68–69 and footnote (2);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Security Ownership of Certain Beneficial Owners and Management pp.248–249, footnote (1); units million shares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p.11 Consolidated Balance Sheets, issued and outstanding; units million shares, rounded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p.11 Consolidated Balance Sheets, issued and outstanding; units million shares, rounded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F-61 Tesla’s xAI Investment and SpaceX Class A Common Stock Issuance; Note 1 five-for-one split; 3.8 is rounded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SpaceX_</t>
        </r>
        <r>
          <rPr>
            <sz val="10"/>
            <rFont val="Noto Sans CJK SC"/>
            <family val="2"/>
          </rPr>
          <t xml:space="preserve">招股书</t>
        </r>
        <r>
          <rPr>
            <sz val="10"/>
            <rFont val="Arial"/>
            <family val="2"/>
          </rPr>
          <t xml:space="preserve">__spaceexplorationtechnologi.htm | F-61 Tesla’s xAI Investment and SpaceX Class A Common Stock Issuance; Note 1 five-for-one split; 3.8 is rounded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pp.3/7/8 Segment Capex and Cursor Merger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pp.3/7/8 Segment Capex and Cursor Merger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pp.3/7/8 Segment Capex and Cursor Merger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pp.3/7/8 Segment Capex and Cursor Merger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pp.3/7/8 Segment Capex and Cursor Merger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SpaceX_2026Q3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__spaceexplorationtechnologi.htm | pp.3/7/8 Segment Capex and Cursor Merger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p.28 Balance Sheet; checked T2 consolidated balance sheet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Tesla_2026Q3</t>
        </r>
        <r>
          <rPr>
            <sz val="10"/>
            <rFont val="Noto Sans CJK SC"/>
            <family val="2"/>
          </rPr>
          <t xml:space="preserve">业绩公告</t>
        </r>
        <r>
          <rPr>
            <sz val="10"/>
            <rFont val="Arial"/>
            <family val="2"/>
          </rPr>
          <t xml:space="preserve">__exhibit9914.htm | p.28 Balance Sheet; checked T2 consolidated balance sheet | 2026-10-22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-36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'!E230-'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=B4-B5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=B10-B11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=B13-B14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=B7/B4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=C4-C5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=C10-C11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=C13-C14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=C7/C4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=D4-D5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=D10-D11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'!E33+'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'!E35+'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=D13-D14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=D7/D4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=E4-E5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'!E55-'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'!E32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=E10-E11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'!E46+'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'!E48+'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'!E49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=E13-E14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=E7/E4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=F4-F5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'!E75-'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'!E55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=F10-F11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'!E63+'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=F13-F14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=F7/F4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=SUM(C4:F4)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=SUM(C5:F5)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=G4-G5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=SUM(C7:F7)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=SUM(C8:F8)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=SUM(C9:F9)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=SUM(C10:F10)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=SUM(C11:F11)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=G10-G11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'!E63+'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=G13-G14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=G7/G4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=B4-B5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=B10-B11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'!E128+'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'!E130+'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=B13-B14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=B7/B4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=C4-C5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=C10-C11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'!E149+'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=C13-C14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=C7/C4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=D4-D5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=D10-D11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'!E168+'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'!E169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=D13-D14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=D7/D4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=E4-E5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=E10-E11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'!E187+'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'!E189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=E13-E14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=E7/E4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=F4-F5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=F10-F11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'!E206+'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=F13-F14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=F7/F4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=SUM(C4:F4)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=SUM(C5:F5)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=G4-G5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=SUM(C7:F7)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=SUM(C8:F8)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=SUM(C9:F9)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=SUM(C10:F10)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=SUM(C11:F11)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=G10-G11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'!E206+'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'!E207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=G13-G14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=G7/G4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=B4-B5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=B8-B9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=B12-B13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'!E135+'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'!E138+'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=B16-B17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'!E137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'!E140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=B19-B20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'!B6-'Tesla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'!B7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=B7+B11+B15+B18+B21-B22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=B4+B8+B12+B16+B19-'SpaceX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'!B4-'Tesla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'!E76-'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=C4-C5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'!E78-'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'!E79-'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'!E80-'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=C8-C9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'!E81-'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'!E82-'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'!E83-'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=C12-C13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'!E84-'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'!E154+'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'!E157+'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=C16-C17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'!E159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=C19-C20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'!C6-'Tesla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'!C7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=C7+C11+C15+C18+C21-C22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=C4+C8+C12+C16+C19-'SpaceX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'!C4-'Tesla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'!C4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=D4-D5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=D8-D9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'!E99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=D12-D13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'!E173+'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'!E176+'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=D16-D17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'!E178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=D19-D20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'!D6-'Tesla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'!D7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=D7+D11+D15+D18+D21-D22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=D4+D8+D12+D16+D19-'SpaceX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'!D4-'Tesla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'!D4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=E4-E5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=E8-E9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'!E109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=E12-E13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'!E192+'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'!E195+'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=E16-E17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'!E197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=E19-E20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'!E6-'Tesla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'!E7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=E7+E11+E15+E18+E21-E22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=E4+E8+E12+E16+E19-'SpaceX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'!E4-'Tesla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'!E4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=F4-F5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=F8-F9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=F12-F13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'!E120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'!E214+'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=F16-F17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=F19-F20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'!F6-'Tesla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=F7+F11+F15+F18+F21-F22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=F4+F8+F12+F16+F19-'SpaceX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'!F4-'Tesla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=SUM(C4:F4)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=SUM(C5:F5)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=G4-G5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=SUM(C7:F7)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=SUM(C8:F8)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=SUM(C9:F9)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=G8-G9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=SUM(C11:F11)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=SUM(C12:F12)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=SUM(C13:F13)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=G12-G13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=SUM(C15:F15)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=SUM(C16:F16)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=SUM(C17:F17)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=G16-G17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=SUM(C19:F19)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=SUM(C20:F20)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=G19-G20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'!G6-'Tesla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=G7+G11+G15+G18+G21-G22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=G4+G8+G12+G16+G19-'SpaceX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=SUM(F4:F23)/SUM(C4:C23)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=SUM(G4:G23)/SUM(E4:E23)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=B4*C4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=B5*C5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=B6*C6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=B7*C7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=B8*C8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=B9*C9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=B10*C10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=B11*C11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=B12*C12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=B13*C13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=B14*C14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=B15*C15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=B16*C16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=B17*C17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=B18*C18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=B19*C19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=B20*C20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=B21*C21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=B22*C22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=B23*C23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=D4*E4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=D5*E5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=D6*E6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=D7*E7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=D8*E8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=D9*E9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=D10*E10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=D11*E11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=D12*E12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=D13*E13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=D14*E14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=D15*E15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=D16*E16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=D17*E17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=D18*E18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=D19*E19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=D20*E20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=D21*E21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=D22*E22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=D23*E23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C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'!E243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'!E245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'!E248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'!E244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'!E246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'!E249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'!E258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'!E222-'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'!F19-'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'!E69-'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'!E75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=B38/F5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=B39/F5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=B40/F5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=B41/F5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=B42/F5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=B5+C5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=B6+C6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=B7+C7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=B8+C8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=B9+C9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=B10+C10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=B11+C11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=B13+C13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=B14+C14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=B15+C15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=B16+C16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=B17+C17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=B18+C18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=B19+C19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=B21+C21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=B22+C22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=B23+C23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=B24+C24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=B25+C25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=B26+C26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=B27+C27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=B30+C30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=B31+C31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=B32+C32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=B33+C33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=B34+C34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=B35+C35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'!F21-('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'!E225)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'!E225)+'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'!E225)+'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'!B10+'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'!B7-'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'!E225)+'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'!B10+'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'!B7-'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'!B8)*(1-'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'!B9)-'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'!E286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=E9-E10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'!E228)+'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'!E228)+'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'!E228)+'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'!B11)*(1-'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'!B9)-'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'!E287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=E17-E18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'!E236-('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'!E228)+'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'!B11-'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'!B16-'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'!B14-'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'!B14-'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'!E236-('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'!E228)+'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'!B11-'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=D5+E5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=D6+E6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=D7+E7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=D8+E8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=D9+E9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=D10+E10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=D11+E11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=D13+E13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=D14+E14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=D15+E15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=D16+E16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=D17+E17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=D18+E18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=D19+E19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=D27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=D30+E30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=D31+E31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=D32+E32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=D33+E33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=D34+E34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=D35+E35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'!E284+'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'!E285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-51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'!E274+'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'!E276*'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=B5-B6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'!E262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'!E266+'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'!E267-'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=B8/B4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=B9/B5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=B8/(B4-'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'!E263)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'!E266+'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'!E267)/('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'!E270+'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'!E272+'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'!E273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市场数据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市场数据</t>
        </r>
        <r>
          <rPr>
            <sz val="10"/>
            <rFont val="Arial"/>
            <family val="2"/>
          </rPr>
          <t xml:space="preserve">'!D4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=B5*'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'!B7*(1+'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'!B4)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=B4*(1+'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'!B4)/B5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=B9*'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=B10+'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=B10/B11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'!B4/B11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'!B9*B9)/B11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=(B14-'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'!B10)*100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=(B14-'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'!B11)*100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'!B18)*B9)/(B11+'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'!B18*B9)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'!E263*'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'!B19+'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'!B9*B9)/B11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市场数据</t>
        </r>
        <r>
          <rPr>
            <sz val="10"/>
            <rFont val="Arial"/>
            <family val="2"/>
          </rPr>
          <t xml:space="preserve">'!B25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市场数据</t>
        </r>
        <r>
          <rPr>
            <sz val="10"/>
            <rFont val="Arial"/>
            <family val="2"/>
          </rPr>
          <t xml:space="preserve">'!D25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=C4*'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=C5*'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=C4*'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'!B7*(1+'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'!B4)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=C4*(1+'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'!B4)/C5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=C9*'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=C10+'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=C10/C11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'!B4/C11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'!B9*C9)/C11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=(C14-'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'!B10)*100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=(C14-'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'!B11)*100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'!B18)*C9)/(C11+'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'!B18*C9)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'!E263*'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'!B19+'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'!B9*C9)/C11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'!B5+'SpaceX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'!F18+'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'!B20)/'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'!B6+'Tesla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'!F18+'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'!B6*D4+'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'!B21)/'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=D5*'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'!B7*(1+'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'!B4)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=D4*(1+'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'!B4)/D5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=D9*'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=D10+'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=D10/D11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'!B4/D11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'!B9*D9)/D11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=(D14-'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'!B10)*100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=(D14-'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'!B11)*100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'!B18)*D9)/(D11+'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'!E268*'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'!B18*D9)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'!B8+'</t>
        </r>
        <r>
          <rPr>
            <sz val="10"/>
            <rFont val="Noto Sans CJK SC"/>
            <family val="2"/>
          </rPr>
          <t xml:space="preserve">原始数据</t>
        </r>
        <r>
          <rPr>
            <sz val="10"/>
            <rFont val="Arial"/>
            <family val="2"/>
          </rPr>
          <t xml:space="preserve">'!E263*'</t>
        </r>
        <r>
          <rPr>
            <sz val="10"/>
            <rFont val="Noto Sans CJK SC"/>
            <family val="2"/>
          </rPr>
          <t xml:space="preserve">假设</t>
        </r>
        <r>
          <rPr>
            <sz val="10"/>
            <rFont val="Arial"/>
            <family val="2"/>
          </rPr>
          <t xml:space="preserve">'!B19+'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'!B9*D9)/D11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'!B4*(1+$A8)/'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'!B4*(1+$A9)/'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'!B4*(1+$A17)/'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'!B4*(1+$A20)/'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'!B4*(1+$A20)/'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'!B4*(1+$A21)/'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'!B4*(1+$A21)/'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'!B4*(1+$A25)/'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'!C4*(1+$A8)/'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'!C4*(1+$A9)/'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'!C4*(1+$A17)/'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'!C4*(1+$A20)/'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'!C4*(1+$A20)/'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'!C4*(1+$A21)/'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'!C4*(1+$A21)/'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'!C4*(1+$A25)/'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'!D4*(1+$A8)/'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'!D4*(1+$A9)/'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'!D4*(1+$A16)/'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'!D4*(1+$A17)/'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'!D4*(1+$A20)/'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'!D4*(1+$A20)/'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'!D4*(1+$A21)/'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'!D4*(1+$A21)/'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'!D4*(1+$A22)/'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'!D4*(1+$A23)/'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'!D4*(1+$A24)/'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'!B8+('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'!B9)/('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'!B4+('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'!D4*(1+$A25)/'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'!D5)*'</t>
        </r>
        <r>
          <rPr>
            <sz val="10"/>
            <rFont val="Noto Sans CJK SC"/>
            <family val="2"/>
          </rPr>
          <t xml:space="preserve">股本与持股</t>
        </r>
        <r>
          <rPr>
            <sz val="10"/>
            <rFont val="Arial"/>
            <family val="2"/>
          </rPr>
          <t xml:space="preserve">'!B7)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模型路径</author>
  </authors>
  <commentList>
    <comment ref="B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'!B16+'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'!B19-'Tesla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'!C16+'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'!C19-'Tesla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'!C4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'!D16+'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'!D19-'Tesla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'!D4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'!E16+'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'!E19-'Tesla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'!E4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'!F16+'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'!F19-'Tesla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'!G16+'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'!G19-'Tesla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'!B4+'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'!B8+'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'!B12-'SpaceX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'!B4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'!C4+'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'!C8+'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'!C12-'SpaceX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'!C4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'!D4+'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'!D8+'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'!D12-'SpaceX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'!D4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'!E4+'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'!E8+'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'!E12-'SpaceX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'!E4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'!F4+'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'!F8+'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'!F12-'SpaceX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'!F4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'!G4+'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'!G8+'</t>
        </r>
        <r>
          <rPr>
            <sz val="10"/>
            <rFont val="Noto Sans CJK SC"/>
            <family val="2"/>
          </rPr>
          <t xml:space="preserve">分部财务</t>
        </r>
        <r>
          <rPr>
            <sz val="10"/>
            <rFont val="Arial"/>
            <family val="2"/>
          </rPr>
          <t xml:space="preserve">'!G12-'SpaceX</t>
        </r>
        <r>
          <rPr>
            <sz val="10"/>
            <rFont val="Noto Sans CJK SC"/>
            <family val="2"/>
          </rPr>
          <t xml:space="preserve">财务</t>
        </r>
        <r>
          <rPr>
            <sz val="10"/>
            <rFont val="Arial"/>
            <family val="2"/>
          </rPr>
          <t xml:space="preserve">'!G4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'!B12+'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'!B13-1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'!C12+'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'!C13-1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'!D12+'</t>
        </r>
        <r>
          <rPr>
            <sz val="10"/>
            <rFont val="Noto Sans CJK SC"/>
            <family val="2"/>
          </rPr>
          <t xml:space="preserve">换股比例</t>
        </r>
        <r>
          <rPr>
            <sz val="10"/>
            <rFont val="Arial"/>
            <family val="2"/>
          </rPr>
          <t xml:space="preserve">'!D13-1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=SUM('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'!B38:B42)-'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'!F5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'!F11-'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'!D11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'!F19-'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'!D19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Noto Sans CJK SC"/>
            <family val="2"/>
          </rPr>
          <t xml:space="preserve">计算公式：</t>
        </r>
        <r>
          <rPr>
            <sz val="10"/>
            <rFont val="Arial"/>
            <family val="2"/>
          </rPr>
          <t xml:space="preserve">='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'!F33-'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'!F34-'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'!F35-'</t>
        </r>
        <r>
          <rPr>
            <sz val="10"/>
            <rFont val="Noto Sans CJK SC"/>
            <family val="2"/>
          </rPr>
          <t xml:space="preserve">合并备考</t>
        </r>
        <r>
          <rPr>
            <sz val="10"/>
            <rFont val="Arial"/>
            <family val="2"/>
          </rPr>
          <t xml:space="preserve">'!F44
</t>
        </r>
        <r>
          <rPr>
            <sz val="10"/>
            <rFont val="Noto Sans CJK SC"/>
            <family val="2"/>
          </rPr>
          <t xml:space="preserve">引用单元格逐级追溯至原始数据（含文件全名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章节）或黄色假设。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-184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<sst xmlns="http://schemas.openxmlformats.org/spreadsheetml/2006/main" count="2695" uniqueCount="811">
  <si>
    <r>
      <rPr>
        <b val="true"/>
        <sz val="15"/>
        <color rgb="FFFFFFFF"/>
        <rFont val="Arial"/>
        <family val="0"/>
        <charset val="1"/>
      </rPr>
      <t xml:space="preserve">SPACE × TESLA | </t>
    </r>
    <r>
      <rPr>
        <b val="true"/>
        <sz val="15"/>
        <color rgb="FFFFFFFF"/>
        <rFont val="Noto Sans CJK SC"/>
        <family val="2"/>
      </rPr>
      <t xml:space="preserve">并购讨论模型</t>
    </r>
  </si>
  <si>
    <r>
      <rPr>
        <sz val="10"/>
        <color rgb="FF587083"/>
        <rFont val="Noto Sans CJK SC"/>
        <family val="2"/>
      </rPr>
      <t xml:space="preserve">单位：百万美元（股数为百万股；股价为美元</t>
    </r>
    <r>
      <rPr>
        <sz val="10"/>
        <color rgb="FF587083"/>
        <rFont val="Arial"/>
        <family val="0"/>
        <charset val="1"/>
      </rPr>
      <t xml:space="preserve">/</t>
    </r>
    <r>
      <rPr>
        <sz val="10"/>
        <color rgb="FF587083"/>
        <rFont val="Noto Sans CJK SC"/>
        <family val="2"/>
      </rPr>
      <t xml:space="preserve">股），除非另有注明 </t>
    </r>
    <r>
      <rPr>
        <sz val="10"/>
        <color rgb="FF587083"/>
        <rFont val="Arial"/>
        <family val="0"/>
        <charset val="1"/>
      </rPr>
      <t xml:space="preserve">| </t>
    </r>
    <r>
      <rPr>
        <sz val="10"/>
        <color rgb="FF587083"/>
        <rFont val="Noto Sans CJK SC"/>
        <family val="2"/>
      </rPr>
      <t xml:space="preserve">取数：</t>
    </r>
    <r>
      <rPr>
        <sz val="10"/>
        <color rgb="FF587083"/>
        <rFont val="Arial"/>
        <family val="0"/>
        <charset val="1"/>
      </rPr>
      <t xml:space="preserve">2026-10-22</t>
    </r>
  </si>
  <si>
    <t xml:space="preserve">项目</t>
  </si>
  <si>
    <t xml:space="preserve">说明</t>
  </si>
  <si>
    <t xml:space="preserve">模型性质</t>
  </si>
  <si>
    <t xml:space="preserve">研究和展示用途，不构成投资建议。合并尚未确定；此表是账面加总加有限抵销，不是符合监管要求的完整购买法备考财务报表。</t>
  </si>
  <si>
    <t xml:space="preserve">期间</t>
  </si>
  <si>
    <r>
      <rPr>
        <sz val="10"/>
        <color rgb="FF152E49"/>
        <rFont val="Noto Sans CJK SC"/>
        <family val="2"/>
      </rPr>
      <t xml:space="preserve">最近四季度：</t>
    </r>
    <r>
      <rPr>
        <sz val="10"/>
        <color rgb="FF152E49"/>
        <rFont val="Arial"/>
        <family val="0"/>
        <charset val="1"/>
      </rPr>
      <t xml:space="preserve">2025Q4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2026Q1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Q2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；完整财年：</t>
    </r>
    <r>
      <rPr>
        <sz val="10"/>
        <color rgb="FF152E49"/>
        <rFont val="Arial"/>
        <family val="0"/>
        <charset val="1"/>
      </rPr>
      <t xml:space="preserve">2025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TTM=</t>
    </r>
    <r>
      <rPr>
        <sz val="10"/>
        <color rgb="FF152E49"/>
        <rFont val="Noto Sans CJK SC"/>
        <family val="2"/>
      </rPr>
      <t xml:space="preserve">四季度之和。资产负债项目取各期末，</t>
    </r>
    <r>
      <rPr>
        <sz val="10"/>
        <color rgb="FF152E49"/>
        <rFont val="Arial"/>
        <family val="0"/>
        <charset val="1"/>
      </rPr>
      <t xml:space="preserve">TTM</t>
    </r>
    <r>
      <rPr>
        <sz val="10"/>
        <color rgb="FF152E49"/>
        <rFont val="Noto Sans CJK SC"/>
        <family val="2"/>
      </rPr>
      <t xml:space="preserve">列取</t>
    </r>
    <r>
      <rPr>
        <sz val="10"/>
        <color rgb="FF152E49"/>
        <rFont val="Arial"/>
        <family val="0"/>
        <charset val="1"/>
      </rPr>
      <t xml:space="preserve">2026-09-30</t>
    </r>
    <r>
      <rPr>
        <sz val="10"/>
        <color rgb="FF152E49"/>
        <rFont val="Noto Sans CJK SC"/>
        <family val="2"/>
      </rPr>
      <t xml:space="preserve">。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</si>
  <si>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口径</t>
    </r>
  </si>
  <si>
    <r>
      <rPr>
        <sz val="10"/>
        <color rgb="FF152E49"/>
        <rFont val="Noto Sans CJK SC"/>
        <family val="2"/>
      </rPr>
      <t xml:space="preserve">招股书对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xAI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X</t>
    </r>
    <r>
      <rPr>
        <sz val="10"/>
        <color rgb="FF152E49"/>
        <rFont val="Noto Sans CJK SC"/>
        <family val="2"/>
      </rPr>
      <t xml:space="preserve">按共同控制重组追溯合并；沿用其历史比较口径。</t>
    </r>
    <r>
      <rPr>
        <sz val="10"/>
        <color rgb="FF152E49"/>
        <rFont val="Arial"/>
        <family val="0"/>
        <charset val="1"/>
      </rPr>
      <t xml:space="preserve">AI</t>
    </r>
    <r>
      <rPr>
        <sz val="10"/>
        <color rgb="FF152E49"/>
        <rFont val="Noto Sans CJK SC"/>
        <family val="2"/>
      </rPr>
      <t xml:space="preserve">在</t>
    </r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称</t>
    </r>
    <r>
      <rPr>
        <sz val="10"/>
        <color rgb="FF152E49"/>
        <rFont val="Arial"/>
        <family val="0"/>
        <charset val="1"/>
      </rPr>
      <t xml:space="preserve">SI</t>
    </r>
    <r>
      <rPr>
        <sz val="10"/>
        <color rgb="FF152E49"/>
        <rFont val="Noto Sans CJK SC"/>
        <family val="2"/>
      </rPr>
      <t xml:space="preserve">。</t>
    </r>
    <r>
      <rPr>
        <sz val="10"/>
        <color rgb="FF152E49"/>
        <rFont val="Arial"/>
        <family val="0"/>
        <charset val="1"/>
      </rPr>
      <t xml:space="preserve">Cursor</t>
    </r>
    <r>
      <rPr>
        <sz val="10"/>
        <color rgb="FF152E49"/>
        <rFont val="Noto Sans CJK SC"/>
        <family val="2"/>
      </rPr>
      <t xml:space="preserve">自</t>
    </r>
    <r>
      <rPr>
        <sz val="10"/>
        <color rgb="FF152E49"/>
        <rFont val="Arial"/>
        <family val="0"/>
        <charset val="1"/>
      </rPr>
      <t xml:space="preserve">2026-08-14</t>
    </r>
    <r>
      <rPr>
        <sz val="10"/>
        <color rgb="FF152E49"/>
        <rFont val="Noto Sans CJK SC"/>
        <family val="2"/>
      </rPr>
      <t xml:space="preserve">并入，历史</t>
    </r>
    <r>
      <rPr>
        <sz val="10"/>
        <color rgb="FF152E49"/>
        <rFont val="Arial"/>
        <family val="0"/>
        <charset val="1"/>
      </rPr>
      <t xml:space="preserve">TTM</t>
    </r>
    <r>
      <rPr>
        <sz val="10"/>
        <color rgb="FF152E49"/>
        <rFont val="Noto Sans CJK SC"/>
        <family val="2"/>
      </rPr>
      <t xml:space="preserve">未做全年收购备考。</t>
    </r>
  </si>
  <si>
    <t xml:space="preserve">分部利润</t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</si>
  <si>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按分部经营利润；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正式分部为汽车（含服务及其他）和能源，披露分部毛利。不得直接把两类利润相加；备考另列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总经营费用桥接。</t>
    </r>
  </si>
  <si>
    <t xml:space="preserve">净利润</t>
  </si>
  <si>
    <r>
      <rPr>
        <sz val="10"/>
        <color rgb="FF152E49"/>
        <rFont val="Noto Sans CJK SC"/>
        <family val="2"/>
      </rPr>
      <t xml:space="preserve">主表净利润为合并净利润；另列归属股东净利润。</t>
    </r>
    <r>
      <rPr>
        <sz val="10"/>
        <color rgb="FF152E49"/>
        <rFont val="Arial"/>
        <family val="0"/>
        <charset val="1"/>
      </rPr>
      <t xml:space="preserve">SpaceX Q1</t>
    </r>
    <r>
      <rPr>
        <sz val="10"/>
        <color rgb="FF152E49"/>
        <rFont val="Noto Sans CJK SC"/>
        <family val="2"/>
      </rPr>
      <t xml:space="preserve">两者相差</t>
    </r>
    <r>
      <rPr>
        <sz val="10"/>
        <color rgb="FF152E49"/>
        <rFont val="Arial"/>
        <family val="0"/>
        <charset val="1"/>
      </rPr>
      <t xml:space="preserve">671</t>
    </r>
    <r>
      <rPr>
        <sz val="10"/>
        <color rgb="FF152E49"/>
        <rFont val="Noto Sans CJK SC"/>
        <family val="2"/>
      </rPr>
      <t xml:space="preserve">，不能将归属股东数字当合并净利润。</t>
    </r>
  </si>
  <si>
    <t xml:space="preserve">现金与债务</t>
  </si>
  <si>
    <r>
      <rPr>
        <sz val="10"/>
        <color rgb="FF152E49"/>
        <rFont val="Noto Sans CJK SC"/>
        <family val="2"/>
      </rPr>
      <t xml:space="preserve">现金及短期投资不含受限现金、数字资产、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长期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投资；有息负债含融资租赁，不含经营租赁。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历史可赎回优先股独列，不计普通权益或债务。</t>
    </r>
  </si>
  <si>
    <t xml:space="preserve">自由现金流</t>
  </si>
  <si>
    <r>
      <rPr>
        <sz val="10"/>
        <color rgb="FF152E49"/>
        <rFont val="Arial"/>
        <family val="0"/>
        <charset val="1"/>
      </rPr>
      <t xml:space="preserve">FCF=</t>
    </r>
    <r>
      <rPr>
        <sz val="10"/>
        <color rgb="FF152E49"/>
        <rFont val="Noto Sans CJK SC"/>
        <family val="2"/>
      </rPr>
      <t xml:space="preserve">经营现金流−披露资本开支。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资本开支用</t>
    </r>
    <r>
      <rPr>
        <sz val="10"/>
        <color rgb="FF152E49"/>
        <rFont val="Arial"/>
        <family val="0"/>
        <charset val="1"/>
      </rPr>
      <t xml:space="preserve">PP&amp;E</t>
    </r>
    <r>
      <rPr>
        <sz val="10"/>
        <color rgb="FF152E49"/>
        <rFont val="Noto Sans CJK SC"/>
        <family val="2"/>
      </rPr>
      <t xml:space="preserve">采购（不另扣返利、不并入单列资本化利息或频谱支出）；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用披露净资本开支。属分析口径，非全部资金需求。</t>
    </r>
  </si>
  <si>
    <t xml:space="preserve">单季推导</t>
  </si>
  <si>
    <r>
      <rPr>
        <sz val="10"/>
        <color rgb="FF152E49"/>
        <rFont val="Arial"/>
        <family val="0"/>
        <charset val="1"/>
      </rPr>
      <t xml:space="preserve">SpaceX Q4=FY2025−9M2025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Q2</t>
    </r>
    <r>
      <rPr>
        <sz val="10"/>
        <color rgb="FF152E49"/>
        <rFont val="Noto Sans CJK SC"/>
        <family val="2"/>
      </rPr>
      <t xml:space="preserve">经营现金流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资本开支</t>
    </r>
    <r>
      <rPr>
        <sz val="10"/>
        <color rgb="FF152E49"/>
        <rFont val="Arial"/>
        <family val="0"/>
        <charset val="1"/>
      </rPr>
      <t xml:space="preserve">=6M−Q1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Q3=9M−6M</t>
    </r>
    <r>
      <rPr>
        <sz val="10"/>
        <color rgb="FF152E49"/>
        <rFont val="Noto Sans CJK SC"/>
        <family val="2"/>
      </rPr>
      <t xml:space="preserve">。所有差分由公式计算。</t>
    </r>
  </si>
  <si>
    <t xml:space="preserve">合并范围</t>
  </si>
  <si>
    <r>
      <rPr>
        <sz val="10"/>
        <color rgb="FF152E49"/>
        <rFont val="Noto Sans CJK SC"/>
        <family val="2"/>
      </rPr>
      <t xml:space="preserve">只合并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与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及既有子公司（含</t>
    </r>
    <r>
      <rPr>
        <sz val="10"/>
        <color rgb="FF152E49"/>
        <rFont val="Arial"/>
        <family val="0"/>
        <charset val="1"/>
      </rPr>
      <t xml:space="preserve">xAI/X/Cursor</t>
    </r>
    <r>
      <rPr>
        <sz val="10"/>
        <color rgb="FF152E49"/>
        <rFont val="Noto Sans CJK SC"/>
        <family val="2"/>
      </rPr>
      <t xml:space="preserve">）；不额外纳入</t>
    </r>
    <r>
      <rPr>
        <sz val="10"/>
        <color rgb="FF152E49"/>
        <rFont val="Arial"/>
        <family val="0"/>
        <charset val="1"/>
      </rPr>
      <t xml:space="preserve">TBC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Neuralink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Valor</t>
    </r>
    <r>
      <rPr>
        <sz val="10"/>
        <color rgb="FF152E49"/>
        <rFont val="Noto Sans CJK SC"/>
        <family val="2"/>
      </rPr>
      <t xml:space="preserve">或个人安保公司。关联不等于属于合并范围。</t>
    </r>
  </si>
  <si>
    <t xml:space="preserve">抵销边界</t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</si>
  <si>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与</t>
    </r>
    <r>
      <rPr>
        <sz val="10"/>
        <color rgb="FF152E49"/>
        <rFont val="Arial"/>
        <family val="0"/>
        <charset val="1"/>
      </rPr>
      <t xml:space="preserve">9M26</t>
    </r>
    <r>
      <rPr>
        <sz val="10"/>
        <color rgb="FF152E49"/>
        <rFont val="Noto Sans CJK SC"/>
        <family val="2"/>
      </rPr>
      <t xml:space="preserve">按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披露</t>
    </r>
    <r>
      <rPr>
        <sz val="10"/>
        <color rgb="FF152E49"/>
        <rFont val="Arial"/>
        <family val="0"/>
        <charset val="1"/>
      </rPr>
      <t xml:space="preserve">Megapack</t>
    </r>
    <r>
      <rPr>
        <sz val="10"/>
        <color rgb="FF152E49"/>
        <rFont val="Noto Sans CJK SC"/>
        <family val="2"/>
      </rPr>
      <t xml:space="preserve">销售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成本抵销；对资本化内部毛利按尚未对外实现、无折旧回转假设处理。</t>
    </r>
    <r>
      <rPr>
        <sz val="10"/>
        <color rgb="FF152E49"/>
        <rFont val="Arial"/>
        <family val="0"/>
        <charset val="1"/>
      </rPr>
      <t xml:space="preserve">Q4 2025</t>
    </r>
    <r>
      <rPr>
        <sz val="10"/>
        <color rgb="FF152E49"/>
        <rFont val="Noto Sans CJK SC"/>
        <family val="2"/>
      </rPr>
      <t xml:space="preserve">内部毛利未知，不把调整后的</t>
    </r>
    <r>
      <rPr>
        <sz val="10"/>
        <color rgb="FF152E49"/>
        <rFont val="Arial"/>
        <family val="0"/>
        <charset val="1"/>
      </rPr>
      <t xml:space="preserve">9M</t>
    </r>
    <r>
      <rPr>
        <sz val="10"/>
        <color rgb="FF152E49"/>
        <rFont val="Noto Sans CJK SC"/>
        <family val="2"/>
      </rPr>
      <t xml:space="preserve">冒充完整</t>
    </r>
    <r>
      <rPr>
        <sz val="10"/>
        <color rgb="FF152E49"/>
        <rFont val="Arial"/>
        <family val="0"/>
        <charset val="1"/>
      </rPr>
      <t xml:space="preserve">TTM</t>
    </r>
    <r>
      <rPr>
        <sz val="10"/>
        <color rgb="FF152E49"/>
        <rFont val="Noto Sans CJK SC"/>
        <family val="2"/>
      </rPr>
      <t xml:space="preserve">。</t>
    </r>
  </si>
  <si>
    <t xml:space="preserve">资产负债备考</t>
  </si>
  <si>
    <r>
      <rPr>
        <sz val="10"/>
        <color rgb="FF152E49"/>
        <rFont val="Noto Sans CJK SC"/>
        <family val="2"/>
      </rPr>
      <t xml:space="preserve">仅确认可量化交叉投资与</t>
    </r>
    <r>
      <rPr>
        <sz val="10"/>
        <color rgb="FF152E49"/>
        <rFont val="Arial"/>
        <family val="0"/>
        <charset val="1"/>
      </rPr>
      <t xml:space="preserve">2026</t>
    </r>
    <r>
      <rPr>
        <sz val="10"/>
        <color rgb="FF152E49"/>
        <rFont val="Noto Sans CJK SC"/>
        <family val="2"/>
      </rPr>
      <t xml:space="preserve">内部毛利抵销。往来抵销设可编辑的待核对假设，默认</t>
    </r>
    <r>
      <rPr>
        <sz val="10"/>
        <color rgb="FF152E49"/>
        <rFont val="Arial"/>
        <family val="0"/>
        <charset val="1"/>
      </rPr>
      <t xml:space="preserve">0</t>
    </r>
    <r>
      <rPr>
        <sz val="10"/>
        <color rgb="FF152E49"/>
        <rFont val="Noto Sans CJK SC"/>
        <family val="2"/>
      </rPr>
      <t xml:space="preserve">；未对账≠不存在。没有</t>
    </r>
    <r>
      <rPr>
        <sz val="10"/>
        <color rgb="FF152E49"/>
        <rFont val="Arial"/>
        <family val="0"/>
        <charset val="1"/>
      </rPr>
      <t xml:space="preserve">PPA</t>
    </r>
    <r>
      <rPr>
        <sz val="10"/>
        <color rgb="FF152E49"/>
        <rFont val="Noto Sans CJK SC"/>
        <family val="2"/>
      </rPr>
      <t xml:space="preserve">、商誉重估、融资或递延税全面调整。</t>
    </r>
  </si>
  <si>
    <t xml:space="preserve">换股方向</t>
  </si>
  <si>
    <r>
      <rPr>
        <sz val="10"/>
        <color rgb="FF152E49"/>
        <rFont val="Noto Sans CJK SC"/>
        <family val="2"/>
      </rPr>
      <t xml:space="preserve">假设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作为法律发行主体，原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每股保留</t>
    </r>
    <r>
      <rPr>
        <sz val="10"/>
        <color rgb="FF152E49"/>
        <rFont val="Arial"/>
        <family val="0"/>
        <charset val="1"/>
      </rPr>
      <t xml:space="preserve">1</t>
    </r>
    <r>
      <rPr>
        <sz val="10"/>
        <color rgb="FF152E49"/>
        <rFont val="Noto Sans CJK SC"/>
        <family val="2"/>
      </rPr>
      <t xml:space="preserve">股；每</t>
    </r>
    <r>
      <rPr>
        <sz val="10"/>
        <color rgb="FF152E49"/>
        <rFont val="Arial"/>
        <family val="0"/>
        <charset val="1"/>
      </rPr>
      <t xml:space="preserve">1</t>
    </r>
    <r>
      <rPr>
        <sz val="10"/>
        <color rgb="FF152E49"/>
        <rFont val="Noto Sans CJK SC"/>
        <family val="2"/>
      </rPr>
      <t xml:space="preserve">股外部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换取</t>
    </r>
    <r>
      <rPr>
        <sz val="10"/>
        <color rgb="FF152E49"/>
        <rFont val="Arial"/>
        <family val="0"/>
        <charset val="1"/>
      </rPr>
      <t xml:space="preserve">r</t>
    </r>
    <r>
      <rPr>
        <sz val="10"/>
        <color rgb="FF152E49"/>
        <rFont val="Noto Sans CJK SC"/>
        <family val="2"/>
      </rPr>
      <t xml:space="preserve">股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。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自持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股数先注销，避免向自己发行。法律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会计收购方并未确定。</t>
    </r>
  </si>
  <si>
    <t xml:space="preserve">股本与奖励</t>
  </si>
  <si>
    <r>
      <rPr>
        <sz val="10"/>
        <color rgb="FF152E49"/>
        <rFont val="Noto Sans CJK SC"/>
        <family val="2"/>
      </rPr>
      <t xml:space="preserve">基础用已发行期末股本，包含已发行但未达标限制股；不使用</t>
    </r>
    <r>
      <rPr>
        <sz val="10"/>
        <color rgb="FF152E49"/>
        <rFont val="Arial"/>
        <family val="0"/>
        <charset val="1"/>
      </rPr>
      <t xml:space="preserve">EPS</t>
    </r>
    <r>
      <rPr>
        <sz val="10"/>
        <color rgb="FF152E49"/>
        <rFont val="Noto Sans CJK SC"/>
        <family val="2"/>
      </rPr>
      <t xml:space="preserve">加权平均股本。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未达标</t>
    </r>
    <r>
      <rPr>
        <sz val="10"/>
        <color rgb="FF152E49"/>
        <rFont val="Arial"/>
        <family val="0"/>
        <charset val="1"/>
      </rPr>
      <t xml:space="preserve">423.744</t>
    </r>
    <r>
      <rPr>
        <sz val="10"/>
        <color rgb="FF152E49"/>
        <rFont val="Noto Sans CJK SC"/>
        <family val="2"/>
      </rPr>
      <t xml:space="preserve">百万股不计入</t>
    </r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可支配分子；</t>
    </r>
    <r>
      <rPr>
        <sz val="10"/>
        <color rgb="FF152E49"/>
        <rFont val="Arial"/>
        <family val="0"/>
        <charset val="1"/>
      </rPr>
      <t xml:space="preserve">SpaceX350</t>
    </r>
    <r>
      <rPr>
        <sz val="10"/>
        <color rgb="FF152E49"/>
        <rFont val="Noto Sans CJK SC"/>
        <family val="2"/>
      </rPr>
      <t xml:space="preserve">百万可行权期权从分子扣除。</t>
    </r>
  </si>
  <si>
    <t xml:space="preserve">股权与表决权</t>
  </si>
  <si>
    <r>
      <rPr>
        <sz val="10"/>
        <color rgb="FF152E49"/>
        <rFont val="Noto Sans CJK SC"/>
        <family val="2"/>
      </rPr>
      <t xml:space="preserve">模型只计算按统一分母的股份占比，不代表合并后的投票权。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招股书</t>
    </r>
    <r>
      <rPr>
        <sz val="10"/>
        <color rgb="FF152E49"/>
        <rFont val="Arial"/>
        <family val="0"/>
        <charset val="1"/>
      </rPr>
      <t xml:space="preserve">84.4%</t>
    </r>
    <r>
      <rPr>
        <sz val="10"/>
        <color rgb="FF152E49"/>
        <rFont val="Noto Sans CJK SC"/>
        <family val="2"/>
      </rPr>
      <t xml:space="preserve">为</t>
    </r>
    <r>
      <rPr>
        <sz val="10"/>
        <color rgb="FF152E49"/>
        <rFont val="Arial"/>
        <family val="0"/>
        <charset val="1"/>
      </rPr>
      <t xml:space="preserve">IPO</t>
    </r>
    <r>
      <rPr>
        <sz val="10"/>
        <color rgb="FF152E49"/>
        <rFont val="Noto Sans CJK SC"/>
        <family val="2"/>
      </rPr>
      <t xml:space="preserve">后表决权，不能与股份占比混用。</t>
    </r>
    <r>
      <rPr>
        <sz val="10"/>
        <color rgb="FF152E49"/>
        <rFont val="Arial"/>
        <family val="0"/>
        <charset val="1"/>
      </rPr>
      <t xml:space="preserve">Musk SpaceX</t>
    </r>
    <r>
      <rPr>
        <sz val="10"/>
        <color rgb="FF152E49"/>
        <rFont val="Noto Sans CJK SC"/>
        <family val="2"/>
      </rPr>
      <t xml:space="preserve">持股沿用</t>
    </r>
    <r>
      <rPr>
        <sz val="10"/>
        <color rgb="FF152E49"/>
        <rFont val="Arial"/>
        <family val="0"/>
        <charset val="1"/>
      </rPr>
      <t xml:space="preserve">5</t>
    </r>
    <r>
      <rPr>
        <sz val="10"/>
        <color rgb="FF152E49"/>
        <rFont val="Noto Sans CJK SC"/>
        <family val="2"/>
      </rPr>
      <t xml:space="preserve">月披露，后续变动待核实。</t>
    </r>
  </si>
  <si>
    <t xml:space="preserve">市场数据</t>
  </si>
  <si>
    <r>
      <rPr>
        <sz val="10"/>
        <color rgb="FF152E49"/>
        <rFont val="Noto Sans CJK SC"/>
        <family val="2"/>
      </rPr>
      <t xml:space="preserve">采用</t>
    </r>
    <r>
      <rPr>
        <sz val="10"/>
        <color rgb="FF152E49"/>
        <rFont val="Arial"/>
        <family val="0"/>
        <charset val="1"/>
      </rPr>
      <t xml:space="preserve">2026-10-21</t>
    </r>
    <r>
      <rPr>
        <sz val="10"/>
        <color rgb="FF152E49"/>
        <rFont val="Noto Sans CJK SC"/>
        <family val="2"/>
      </rPr>
      <t xml:space="preserve">最近完整交易日收盘，和</t>
    </r>
    <r>
      <rPr>
        <sz val="10"/>
        <color rgb="FF152E49"/>
        <rFont val="Arial"/>
        <family val="0"/>
        <charset val="1"/>
      </rPr>
      <t xml:space="preserve">2026-09-24</t>
    </r>
    <r>
      <rPr>
        <sz val="10"/>
        <color rgb="FF152E49"/>
        <rFont val="Noto Sans CJK SC"/>
        <family val="2"/>
      </rPr>
      <t xml:space="preserve">至</t>
    </r>
    <r>
      <rPr>
        <sz val="10"/>
        <color rgb="FF152E49"/>
        <rFont val="Arial"/>
        <family val="0"/>
        <charset val="1"/>
      </rPr>
      <t xml:space="preserve">10-21</t>
    </r>
    <r>
      <rPr>
        <sz val="10"/>
        <color rgb="FF152E49"/>
        <rFont val="Noto Sans CJK SC"/>
        <family val="2"/>
      </rPr>
      <t xml:space="preserve">的</t>
    </r>
    <r>
      <rPr>
        <sz val="10"/>
        <color rgb="FF152E49"/>
        <rFont val="Arial"/>
        <family val="0"/>
        <charset val="1"/>
      </rPr>
      <t xml:space="preserve">20</t>
    </r>
    <r>
      <rPr>
        <sz val="10"/>
        <color rgb="FF152E49"/>
        <rFont val="Noto Sans CJK SC"/>
        <family val="2"/>
      </rPr>
      <t xml:space="preserve">个交易日。</t>
    </r>
    <r>
      <rPr>
        <sz val="10"/>
        <color rgb="FF152E49"/>
        <rFont val="Arial"/>
        <family val="0"/>
        <charset val="1"/>
      </rPr>
      <t xml:space="preserve">10-22</t>
    </r>
    <r>
      <rPr>
        <sz val="10"/>
        <color rgb="FF152E49"/>
        <rFont val="Noto Sans CJK SC"/>
        <family val="2"/>
      </rPr>
      <t xml:space="preserve">盘中价格不用于定价。收盘价</t>
    </r>
    <r>
      <rPr>
        <sz val="10"/>
        <color rgb="FF152E49"/>
        <rFont val="Arial"/>
        <family val="0"/>
        <charset val="1"/>
      </rPr>
      <t xml:space="preserve">×</t>
    </r>
    <r>
      <rPr>
        <sz val="10"/>
        <color rgb="FF152E49"/>
        <rFont val="Noto Sans CJK SC"/>
        <family val="2"/>
      </rPr>
      <t xml:space="preserve">成交量加权仅为</t>
    </r>
    <r>
      <rPr>
        <sz val="10"/>
        <color rgb="FF152E49"/>
        <rFont val="Arial"/>
        <family val="0"/>
        <charset val="1"/>
      </rPr>
      <t xml:space="preserve">VWAP</t>
    </r>
    <r>
      <rPr>
        <sz val="10"/>
        <color rgb="FF152E49"/>
        <rFont val="Noto Sans CJK SC"/>
        <family val="2"/>
      </rPr>
      <t xml:space="preserve">近似，并非逐笔成交</t>
    </r>
    <r>
      <rPr>
        <sz val="10"/>
        <color rgb="FF152E49"/>
        <rFont val="Arial"/>
        <family val="0"/>
        <charset val="1"/>
      </rPr>
      <t xml:space="preserve">VWAP</t>
    </r>
    <r>
      <rPr>
        <sz val="10"/>
        <color rgb="FF152E49"/>
        <rFont val="Noto Sans CJK SC"/>
        <family val="2"/>
      </rPr>
      <t xml:space="preserve">。</t>
    </r>
  </si>
  <si>
    <t xml:space="preserve">三种方法</t>
  </si>
  <si>
    <r>
      <rPr>
        <sz val="10"/>
        <color rgb="FF152E49"/>
        <rFont val="Noto Sans CJK SC"/>
        <family val="2"/>
      </rPr>
      <t xml:space="preserve">①收盘市值；②</t>
    </r>
    <r>
      <rPr>
        <sz val="10"/>
        <color rgb="FF152E49"/>
        <rFont val="Arial"/>
        <family val="0"/>
        <charset val="1"/>
      </rPr>
      <t xml:space="preserve">20</t>
    </r>
    <r>
      <rPr>
        <sz val="10"/>
        <color rgb="FF152E49"/>
        <rFont val="Noto Sans CJK SC"/>
        <family val="2"/>
      </rPr>
      <t xml:space="preserve">日收盘成交量加权近似；③假设</t>
    </r>
    <r>
      <rPr>
        <sz val="10"/>
        <color rgb="FF152E49"/>
        <rFont val="Arial"/>
        <family val="0"/>
        <charset val="1"/>
      </rPr>
      <t xml:space="preserve">EV/TTM</t>
    </r>
    <r>
      <rPr>
        <sz val="10"/>
        <color rgb="FF152E49"/>
        <rFont val="Noto Sans CJK SC"/>
        <family val="2"/>
      </rPr>
      <t xml:space="preserve">营收倍数（</t>
    </r>
    <r>
      <rPr>
        <sz val="10"/>
        <color rgb="FF152E49"/>
        <rFont val="Arial"/>
        <family val="0"/>
        <charset val="1"/>
      </rPr>
      <t xml:space="preserve">SpaceX12×</t>
    </r>
    <r>
      <rPr>
        <sz val="10"/>
        <color rgb="FF152E49"/>
        <rFont val="Noto Sans CJK SC"/>
        <family val="2"/>
      </rPr>
      <t xml:space="preserve">、</t>
    </r>
    <r>
      <rPr>
        <sz val="10"/>
        <color rgb="FF152E49"/>
        <rFont val="Arial"/>
        <family val="0"/>
        <charset val="1"/>
      </rPr>
      <t xml:space="preserve">Tesla4×</t>
    </r>
    <r>
      <rPr>
        <sz val="10"/>
        <color rgb="FF152E49"/>
        <rFont val="Noto Sans CJK SC"/>
        <family val="2"/>
      </rPr>
      <t xml:space="preserve">），由</t>
    </r>
    <r>
      <rPr>
        <sz val="10"/>
        <color rgb="FF152E49"/>
        <rFont val="Arial"/>
        <family val="0"/>
        <charset val="1"/>
      </rPr>
      <t xml:space="preserve">EV</t>
    </r>
    <r>
      <rPr>
        <sz val="10"/>
        <color rgb="FF152E49"/>
        <rFont val="Noto Sans CJK SC"/>
        <family val="2"/>
      </rPr>
      <t xml:space="preserve">加现金减债务并加非经营交叉持股还原股权价值。倍数无可比公司校准。</t>
    </r>
  </si>
  <si>
    <t xml:space="preserve">颜色</t>
  </si>
  <si>
    <r>
      <rPr>
        <sz val="10"/>
        <color rgb="FF152E49"/>
        <rFont val="Noto Sans CJK SC"/>
        <family val="2"/>
      </rPr>
      <t xml:space="preserve">蓝底</t>
    </r>
    <r>
      <rPr>
        <sz val="10"/>
        <color rgb="FF152E49"/>
        <rFont val="Arial"/>
        <family val="0"/>
        <charset val="1"/>
      </rPr>
      <t xml:space="preserve">=</t>
    </r>
    <r>
      <rPr>
        <sz val="10"/>
        <color rgb="FF152E49"/>
        <rFont val="Noto Sans CJK SC"/>
        <family val="2"/>
      </rPr>
      <t xml:space="preserve">披露事实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外部市场输入；黄底</t>
    </r>
    <r>
      <rPr>
        <sz val="10"/>
        <color rgb="FF152E49"/>
        <rFont val="Arial"/>
        <family val="0"/>
        <charset val="1"/>
      </rPr>
      <t xml:space="preserve">=</t>
    </r>
    <r>
      <rPr>
        <sz val="10"/>
        <color rgb="FF152E49"/>
        <rFont val="Noto Sans CJK SC"/>
        <family val="2"/>
      </rPr>
      <t xml:space="preserve">假设或估计输入；浅绿</t>
    </r>
    <r>
      <rPr>
        <sz val="10"/>
        <color rgb="FF152E49"/>
        <rFont val="Arial"/>
        <family val="0"/>
        <charset val="1"/>
      </rPr>
      <t xml:space="preserve">=</t>
    </r>
    <r>
      <rPr>
        <sz val="10"/>
        <color rgb="FF152E49"/>
        <rFont val="Noto Sans CJK SC"/>
        <family val="2"/>
      </rPr>
      <t xml:space="preserve">公式。每个输入标文件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表名；每个公式格批注给出取数路径。</t>
    </r>
  </si>
  <si>
    <t xml:space="preserve">刷新与输出</t>
  </si>
  <si>
    <r>
      <rPr>
        <sz val="10"/>
        <color rgb="FF152E49"/>
        <rFont val="Noto Sans CJK SC"/>
        <family val="2"/>
      </rPr>
      <t xml:space="preserve">修改假设后</t>
    </r>
    <r>
      <rPr>
        <sz val="10"/>
        <color rgb="FF152E49"/>
        <rFont val="Arial"/>
        <family val="0"/>
        <charset val="1"/>
      </rPr>
      <t xml:space="preserve">Excel</t>
    </r>
    <r>
      <rPr>
        <sz val="10"/>
        <color rgb="FF152E49"/>
        <rFont val="Noto Sans CJK SC"/>
        <family val="2"/>
      </rPr>
      <t xml:space="preserve">公式自动重算；</t>
    </r>
    <r>
      <rPr>
        <sz val="10"/>
        <color rgb="FF152E49"/>
        <rFont val="Arial"/>
        <family val="0"/>
        <charset val="1"/>
      </rPr>
      <t xml:space="preserve">Word/PPT/</t>
    </r>
    <r>
      <rPr>
        <sz val="10"/>
        <color rgb="FF152E49"/>
        <rFont val="Noto Sans CJK SC"/>
        <family val="2"/>
      </rPr>
      <t xml:space="preserve">网页是基准日快照。导出脚本刷新数据后，还须同步复核静态叙述、图表标题与页数，不能视为全套实时联动。</t>
    </r>
  </si>
  <si>
    <t xml:space="preserve">访问日期</t>
  </si>
  <si>
    <r>
      <rPr>
        <sz val="10"/>
        <color rgb="FF152E49"/>
        <rFont val="Noto Sans CJK SC"/>
        <family val="2"/>
      </rPr>
      <t xml:space="preserve">材料及行情访问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取数日期均为</t>
    </r>
    <r>
      <rPr>
        <sz val="10"/>
        <color rgb="FF152E49"/>
        <rFont val="Arial"/>
        <family val="0"/>
        <charset val="1"/>
      </rPr>
      <t xml:space="preserve">2026-10-22</t>
    </r>
    <r>
      <rPr>
        <sz val="10"/>
        <color rgb="FF152E49"/>
        <rFont val="Noto Sans CJK SC"/>
        <family val="2"/>
      </rPr>
      <t xml:space="preserve">。来源登记含文件全名及章节。所有模型假设集中在假设页。</t>
    </r>
  </si>
  <si>
    <t xml:space="preserve">来源与取数索引</t>
  </si>
  <si>
    <t xml:space="preserve">ID</t>
  </si>
  <si>
    <r>
      <rPr>
        <b val="true"/>
        <sz val="10"/>
        <color rgb="FFFFFFFF"/>
        <rFont val="Noto Sans CJK SC"/>
        <family val="2"/>
      </rPr>
      <t xml:space="preserve">文件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网页</t>
    </r>
  </si>
  <si>
    <r>
      <rPr>
        <b val="true"/>
        <sz val="10"/>
        <color rgb="FFFFFFFF"/>
        <rFont val="Noto Sans CJK SC"/>
        <family val="2"/>
      </rPr>
      <t xml:space="preserve">章节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用途</t>
    </r>
  </si>
  <si>
    <t xml:space="preserve">S1</t>
  </si>
  <si>
    <r>
      <rPr>
        <sz val="10"/>
        <color rgb="FF152E49"/>
        <rFont val="Arial"/>
        <family val="0"/>
        <charset val="1"/>
      </rPr>
      <t xml:space="preserve">SpaceX_</t>
    </r>
    <r>
      <rPr>
        <sz val="10"/>
        <color rgb="FF152E49"/>
        <rFont val="Noto Sans CJK SC"/>
        <family val="2"/>
      </rPr>
      <t xml:space="preserve">招股书</t>
    </r>
    <r>
      <rPr>
        <sz val="10"/>
        <color rgb="FF152E49"/>
        <rFont val="Arial"/>
        <family val="0"/>
        <charset val="1"/>
      </rPr>
      <t xml:space="preserve">__spaceexplorationtechnologi.htm</t>
    </r>
  </si>
  <si>
    <t xml:space="preserve">原始材料；逐项章节见原始数据页</t>
  </si>
  <si>
    <t xml:space="preserve">2026-10-22</t>
  </si>
  <si>
    <t xml:space="preserve">S2</t>
  </si>
  <si>
    <r>
      <rPr>
        <sz val="10"/>
        <color rgb="FF152E49"/>
        <rFont val="Arial"/>
        <family val="0"/>
        <charset val="1"/>
      </rPr>
      <t xml:space="preserve">SpaceX_2026Q2</t>
    </r>
    <r>
      <rPr>
        <sz val="10"/>
        <color rgb="FF152E49"/>
        <rFont val="Noto Sans CJK SC"/>
        <family val="2"/>
      </rPr>
      <t xml:space="preserve">季报</t>
    </r>
    <r>
      <rPr>
        <sz val="10"/>
        <color rgb="FF152E49"/>
        <rFont val="Arial"/>
        <family val="0"/>
        <charset val="1"/>
      </rPr>
      <t xml:space="preserve">__spcx-20260630.htm</t>
    </r>
  </si>
  <si>
    <t xml:space="preserve">S3</t>
  </si>
  <si>
    <r>
      <rPr>
        <sz val="10"/>
        <color rgb="FF152E49"/>
        <rFont val="Arial"/>
        <family val="0"/>
        <charset val="1"/>
      </rPr>
      <t xml:space="preserve">SpaceX_2026Q3</t>
    </r>
    <r>
      <rPr>
        <sz val="10"/>
        <color rgb="FF152E49"/>
        <rFont val="Noto Sans CJK SC"/>
        <family val="2"/>
      </rPr>
      <t xml:space="preserve">业绩公告</t>
    </r>
    <r>
      <rPr>
        <sz val="10"/>
        <color rgb="FF152E49"/>
        <rFont val="Arial"/>
        <family val="0"/>
        <charset val="1"/>
      </rPr>
      <t xml:space="preserve">__spaceexplorationtechnologi.htm</t>
    </r>
  </si>
  <si>
    <t xml:space="preserve">T1</t>
  </si>
  <si>
    <r>
      <rPr>
        <sz val="10"/>
        <color rgb="FF152E49"/>
        <rFont val="Arial"/>
        <family val="0"/>
        <charset val="1"/>
      </rPr>
      <t xml:space="preserve">Tesla_2025</t>
    </r>
    <r>
      <rPr>
        <sz val="10"/>
        <color rgb="FF152E49"/>
        <rFont val="Noto Sans CJK SC"/>
        <family val="2"/>
      </rPr>
      <t xml:space="preserve">年报</t>
    </r>
    <r>
      <rPr>
        <sz val="10"/>
        <color rgb="FF152E49"/>
        <rFont val="Arial"/>
        <family val="0"/>
        <charset val="1"/>
      </rPr>
      <t xml:space="preserve">__tsla-20251231.htm</t>
    </r>
  </si>
  <si>
    <t xml:space="preserve">T2</t>
  </si>
  <si>
    <r>
      <rPr>
        <sz val="10"/>
        <color rgb="FF152E49"/>
        <rFont val="Arial"/>
        <family val="0"/>
        <charset val="1"/>
      </rPr>
      <t xml:space="preserve">Tesla_2026Q3</t>
    </r>
    <r>
      <rPr>
        <sz val="10"/>
        <color rgb="FF152E49"/>
        <rFont val="Noto Sans CJK SC"/>
        <family val="2"/>
      </rPr>
      <t xml:space="preserve">季报</t>
    </r>
    <r>
      <rPr>
        <sz val="10"/>
        <color rgb="FF152E49"/>
        <rFont val="Arial"/>
        <family val="0"/>
        <charset val="1"/>
      </rPr>
      <t xml:space="preserve">__tsla-20260930.htm</t>
    </r>
  </si>
  <si>
    <t xml:space="preserve">T3</t>
  </si>
  <si>
    <r>
      <rPr>
        <sz val="10"/>
        <color rgb="FF152E49"/>
        <rFont val="Arial"/>
        <family val="0"/>
        <charset val="1"/>
      </rPr>
      <t xml:space="preserve">Tesla_2026Q3</t>
    </r>
    <r>
      <rPr>
        <sz val="10"/>
        <color rgb="FF152E49"/>
        <rFont val="Noto Sans CJK SC"/>
        <family val="2"/>
      </rPr>
      <t xml:space="preserve">业绩公告</t>
    </r>
    <r>
      <rPr>
        <sz val="10"/>
        <color rgb="FF152E49"/>
        <rFont val="Arial"/>
        <family val="0"/>
        <charset val="1"/>
      </rPr>
      <t xml:space="preserve">__exhibit9914.htm</t>
    </r>
  </si>
  <si>
    <t xml:space="preserve">T4</t>
  </si>
  <si>
    <r>
      <rPr>
        <sz val="10"/>
        <color rgb="FF152E49"/>
        <rFont val="Arial"/>
        <family val="0"/>
        <charset val="1"/>
      </rPr>
      <t xml:space="preserve">Tesla_2026</t>
    </r>
    <r>
      <rPr>
        <sz val="10"/>
        <color rgb="FF152E49"/>
        <rFont val="Noto Sans CJK SC"/>
        <family val="2"/>
      </rPr>
      <t xml:space="preserve">股东大会委托书</t>
    </r>
    <r>
      <rPr>
        <sz val="10"/>
        <color rgb="FF152E49"/>
        <rFont val="Arial"/>
        <family val="0"/>
        <charset val="1"/>
      </rPr>
      <t xml:space="preserve">__tm267596-1_def14a.htm</t>
    </r>
  </si>
  <si>
    <t xml:space="preserve">M1</t>
  </si>
  <si>
    <t xml:space="preserve">https://stockanalysis.com/stocks/spcx/history/</t>
  </si>
  <si>
    <r>
      <rPr>
        <sz val="10"/>
        <color rgb="FF152E49"/>
        <rFont val="Arial"/>
        <family val="0"/>
        <charset val="1"/>
      </rPr>
      <t xml:space="preserve">20</t>
    </r>
    <r>
      <rPr>
        <sz val="10"/>
        <color rgb="FF152E49"/>
        <rFont val="Noto Sans CJK SC"/>
        <family val="2"/>
      </rPr>
      <t xml:space="preserve">个已完成交易日 </t>
    </r>
    <r>
      <rPr>
        <sz val="10"/>
        <color rgb="FF152E49"/>
        <rFont val="Arial"/>
        <family val="0"/>
        <charset val="1"/>
      </rPr>
      <t xml:space="preserve">Close / Volume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S&amp;P Global</t>
    </r>
    <r>
      <rPr>
        <sz val="10"/>
        <color rgb="FF152E49"/>
        <rFont val="Noto Sans CJK SC"/>
        <family val="2"/>
      </rPr>
      <t xml:space="preserve">数据，网页转录</t>
    </r>
  </si>
  <si>
    <t xml:space="preserve">M2</t>
  </si>
  <si>
    <t xml:space="preserve">https://stockanalysis.com/stocks/tsla/history/</t>
  </si>
  <si>
    <r>
      <rPr>
        <sz val="10"/>
        <color rgb="FF152E49"/>
        <rFont val="Arial"/>
        <family val="0"/>
        <charset val="1"/>
      </rPr>
      <t xml:space="preserve">20</t>
    </r>
    <r>
      <rPr>
        <sz val="10"/>
        <color rgb="FF152E49"/>
        <rFont val="Noto Sans CJK SC"/>
        <family val="2"/>
      </rPr>
      <t xml:space="preserve">个已完成交易日 </t>
    </r>
    <r>
      <rPr>
        <sz val="10"/>
        <color rgb="FF152E49"/>
        <rFont val="Arial"/>
        <family val="0"/>
        <charset val="1"/>
      </rPr>
      <t xml:space="preserve">Close / Volume</t>
    </r>
    <r>
      <rPr>
        <sz val="10"/>
        <color rgb="FF152E49"/>
        <rFont val="Noto Sans CJK SC"/>
        <family val="2"/>
      </rPr>
      <t xml:space="preserve">；未使用盘中行</t>
    </r>
  </si>
  <si>
    <t xml:space="preserve">M3</t>
  </si>
  <si>
    <t xml:space="preserve">https://chartexchange.com/symbol/nasdaq-spcx/historical/</t>
  </si>
  <si>
    <r>
      <rPr>
        <sz val="10"/>
        <color rgb="FF152E49"/>
        <rFont val="Arial"/>
        <family val="0"/>
        <charset val="1"/>
      </rPr>
      <t xml:space="preserve">10</t>
    </r>
    <r>
      <rPr>
        <sz val="10"/>
        <color rgb="FF152E49"/>
        <rFont val="Noto Sans CJK SC"/>
        <family val="2"/>
      </rPr>
      <t xml:space="preserve">月</t>
    </r>
    <r>
      <rPr>
        <sz val="10"/>
        <color rgb="FF152E49"/>
        <rFont val="Arial"/>
        <family val="0"/>
        <charset val="1"/>
      </rPr>
      <t xml:space="preserve">21</t>
    </r>
    <r>
      <rPr>
        <sz val="10"/>
        <color rgb="FF152E49"/>
        <rFont val="Noto Sans CJK SC"/>
        <family val="2"/>
      </rPr>
      <t xml:space="preserve">日收盘</t>
    </r>
    <r>
      <rPr>
        <sz val="10"/>
        <color rgb="FF152E49"/>
        <rFont val="Arial"/>
        <family val="0"/>
        <charset val="1"/>
      </rPr>
      <t xml:space="preserve">159.31</t>
    </r>
    <r>
      <rPr>
        <sz val="10"/>
        <color rgb="FF152E49"/>
        <rFont val="Noto Sans CJK SC"/>
        <family val="2"/>
      </rPr>
      <t xml:space="preserve">交叉核对；成交量与</t>
    </r>
    <r>
      <rPr>
        <sz val="10"/>
        <color rgb="FF152E49"/>
        <rFont val="Arial"/>
        <family val="0"/>
        <charset val="1"/>
      </rPr>
      <t xml:space="preserve">M1</t>
    </r>
    <r>
      <rPr>
        <sz val="10"/>
        <color rgb="FF152E49"/>
        <rFont val="Noto Sans CJK SC"/>
        <family val="2"/>
      </rPr>
      <t xml:space="preserve">有差异，统一采用</t>
    </r>
    <r>
      <rPr>
        <sz val="10"/>
        <color rgb="FF152E49"/>
        <rFont val="Arial"/>
        <family val="0"/>
        <charset val="1"/>
      </rPr>
      <t xml:space="preserve">M1</t>
    </r>
    <r>
      <rPr>
        <sz val="10"/>
        <color rgb="FF152E49"/>
        <rFont val="Noto Sans CJK SC"/>
        <family val="2"/>
      </rPr>
      <t xml:space="preserve">口径</t>
    </r>
  </si>
  <si>
    <t xml:space="preserve">背景</t>
  </si>
  <si>
    <r>
      <rPr>
        <sz val="10"/>
        <color rgb="FF152E49"/>
        <rFont val="Noto Sans CJK SC"/>
        <family val="2"/>
      </rPr>
      <t xml:space="preserve">任务</t>
    </r>
    <r>
      <rPr>
        <sz val="10"/>
        <color rgb="FF152E49"/>
        <rFont val="Arial"/>
        <family val="0"/>
        <charset val="1"/>
      </rPr>
      <t xml:space="preserve">.md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T2 Item 5 Other Information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</si>
  <si>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特别委员会成立可由季报核实；交易未保证完成</t>
    </r>
  </si>
  <si>
    <t xml:space="preserve">可追溯披露输入</t>
  </si>
  <si>
    <r>
      <rPr>
        <b val="true"/>
        <sz val="10"/>
        <color rgb="FFFFFFFF"/>
        <rFont val="Noto Sans CJK SC"/>
        <family val="2"/>
      </rPr>
      <t xml:space="preserve">数据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</si>
  <si>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公司</t>
  </si>
  <si>
    <t xml:space="preserve">字段</t>
  </si>
  <si>
    <t xml:space="preserve">披露值</t>
  </si>
  <si>
    <t xml:space="preserve">来源文件</t>
  </si>
  <si>
    <r>
      <rPr>
        <b val="true"/>
        <sz val="10"/>
        <color rgb="FFFFFFFF"/>
        <rFont val="Noto Sans CJK SC"/>
        <family val="2"/>
      </rPr>
      <t xml:space="preserve">章节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表名</t>
    </r>
  </si>
  <si>
    <t xml:space="preserve">取数日期</t>
  </si>
  <si>
    <t xml:space="preserve">S_FY25_rev</t>
  </si>
  <si>
    <t xml:space="preserve">S</t>
  </si>
  <si>
    <t xml:space="preserve">FY25</t>
  </si>
  <si>
    <t xml:space="preserve">rev</t>
  </si>
  <si>
    <t xml:space="preserve">F-3/F-4/F-9 Consolidated financial statements; FY2025 restated</t>
  </si>
  <si>
    <t xml:space="preserve">S_FY25_cost</t>
  </si>
  <si>
    <t xml:space="preserve">cost</t>
  </si>
  <si>
    <t xml:space="preserve">S_FY25_op</t>
  </si>
  <si>
    <t xml:space="preserve">op</t>
  </si>
  <si>
    <t xml:space="preserve">S_FY25_net</t>
  </si>
  <si>
    <t xml:space="preserve">net</t>
  </si>
  <si>
    <t xml:space="preserve">S_FY25_attrib</t>
  </si>
  <si>
    <t xml:space="preserve">attrib</t>
  </si>
  <si>
    <t xml:space="preserve">S_FY25_ocf</t>
  </si>
  <si>
    <t xml:space="preserve">ocf</t>
  </si>
  <si>
    <t xml:space="preserve">S_FY25_capex</t>
  </si>
  <si>
    <t xml:space="preserve">capex</t>
  </si>
  <si>
    <t xml:space="preserve">S_FY25_cash</t>
  </si>
  <si>
    <t xml:space="preserve">cash</t>
  </si>
  <si>
    <t xml:space="preserve">S_FY25_st</t>
  </si>
  <si>
    <t xml:space="preserve">st</t>
  </si>
  <si>
    <t xml:space="preserve">S_FY25_dc</t>
  </si>
  <si>
    <t xml:space="preserve">dc</t>
  </si>
  <si>
    <t xml:space="preserve">S_FY25_dl</t>
  </si>
  <si>
    <t xml:space="preserve">dl</t>
  </si>
  <si>
    <t xml:space="preserve">S_FY25_equity</t>
  </si>
  <si>
    <t xml:space="preserve">equity</t>
  </si>
  <si>
    <t xml:space="preserve">S_FY25_assets</t>
  </si>
  <si>
    <t xml:space="preserve">assets</t>
  </si>
  <si>
    <t xml:space="preserve">S_FY25_liab</t>
  </si>
  <si>
    <t xml:space="preserve">liab</t>
  </si>
  <si>
    <t xml:space="preserve">S_FY25_pref</t>
  </si>
  <si>
    <t xml:space="preserve">pref</t>
  </si>
  <si>
    <t xml:space="preserve">S_9M25_rev</t>
  </si>
  <si>
    <t xml:space="preserve">9M25</t>
  </si>
  <si>
    <t xml:space="preserve">pp.9–12 Consolidated statements; 9M2025 comparative</t>
  </si>
  <si>
    <t xml:space="preserve">S_9M25_cost</t>
  </si>
  <si>
    <t xml:space="preserve">S_9M25_op</t>
  </si>
  <si>
    <t xml:space="preserve">S_9M25_net</t>
  </si>
  <si>
    <t xml:space="preserve">S_9M25_attrib</t>
  </si>
  <si>
    <t xml:space="preserve">S_9M25_ocf</t>
  </si>
  <si>
    <t xml:space="preserve">S_9M25_capex</t>
  </si>
  <si>
    <t xml:space="preserve">S_Q126_rev</t>
  </si>
  <si>
    <t xml:space="preserve">Q126</t>
  </si>
  <si>
    <t xml:space="preserve">F-64/F-65/F-69 Consolidated statements, March 31 2026</t>
  </si>
  <si>
    <t xml:space="preserve">S_Q126_cost</t>
  </si>
  <si>
    <t xml:space="preserve">S_Q126_op</t>
  </si>
  <si>
    <t xml:space="preserve">S_Q126_net</t>
  </si>
  <si>
    <t xml:space="preserve">S_Q126_attrib</t>
  </si>
  <si>
    <t xml:space="preserve">S_Q126_ocf</t>
  </si>
  <si>
    <t xml:space="preserve">S_Q126_capex</t>
  </si>
  <si>
    <t xml:space="preserve">S_Q126_cash</t>
  </si>
  <si>
    <t xml:space="preserve">S_Q126_st</t>
  </si>
  <si>
    <t xml:space="preserve">S_Q126_dc</t>
  </si>
  <si>
    <t xml:space="preserve">S_Q126_dl</t>
  </si>
  <si>
    <t xml:space="preserve">S_Q126_equity</t>
  </si>
  <si>
    <t xml:space="preserve">S_Q126_assets</t>
  </si>
  <si>
    <t xml:space="preserve">S_Q126_liab</t>
  </si>
  <si>
    <t xml:space="preserve">S_Q126_pref</t>
  </si>
  <si>
    <t xml:space="preserve">S_Q226_rev</t>
  </si>
  <si>
    <t xml:space="preserve">Q226</t>
  </si>
  <si>
    <t xml:space="preserve">pp.4–5 Consolidated Balance Sheets / Statements of Operations</t>
  </si>
  <si>
    <t xml:space="preserve">S_Q226_cost</t>
  </si>
  <si>
    <t xml:space="preserve">S_Q226_op</t>
  </si>
  <si>
    <t xml:space="preserve">S_Q226_net</t>
  </si>
  <si>
    <t xml:space="preserve">S_Q226_attrib</t>
  </si>
  <si>
    <t xml:space="preserve">S_Q226_cash</t>
  </si>
  <si>
    <t xml:space="preserve">S_Q226_st</t>
  </si>
  <si>
    <t xml:space="preserve">S_Q226_dc</t>
  </si>
  <si>
    <t xml:space="preserve">S_Q226_dl</t>
  </si>
  <si>
    <t xml:space="preserve">S_Q226_equity</t>
  </si>
  <si>
    <t xml:space="preserve">S_Q226_assets</t>
  </si>
  <si>
    <t xml:space="preserve">S_Q226_liab</t>
  </si>
  <si>
    <t xml:space="preserve">S_Q226_pref</t>
  </si>
  <si>
    <t xml:space="preserve">S_6M26_ocf</t>
  </si>
  <si>
    <t xml:space="preserve">6M26</t>
  </si>
  <si>
    <t xml:space="preserve">p.9 Consolidated Statements of Cash Flows</t>
  </si>
  <si>
    <t xml:space="preserve">S_6M26_capex</t>
  </si>
  <si>
    <t xml:space="preserve">S_Q326_rev</t>
  </si>
  <si>
    <t xml:space="preserve">Q326</t>
  </si>
  <si>
    <t xml:space="preserve">pp.9/11 Consolidated Statements of Operations / Balance Sheets</t>
  </si>
  <si>
    <t xml:space="preserve">S_Q326_cost</t>
  </si>
  <si>
    <t xml:space="preserve">S_Q326_op</t>
  </si>
  <si>
    <t xml:space="preserve">S_Q326_net</t>
  </si>
  <si>
    <t xml:space="preserve">S_Q326_attrib</t>
  </si>
  <si>
    <t xml:space="preserve">S_Q326_cash</t>
  </si>
  <si>
    <t xml:space="preserve">S_Q326_st</t>
  </si>
  <si>
    <t xml:space="preserve">S_Q326_dc</t>
  </si>
  <si>
    <t xml:space="preserve">S_Q326_dl</t>
  </si>
  <si>
    <t xml:space="preserve">S_Q326_equity</t>
  </si>
  <si>
    <t xml:space="preserve">S_Q326_assets</t>
  </si>
  <si>
    <t xml:space="preserve">S_Q326_liab</t>
  </si>
  <si>
    <t xml:space="preserve">S_Q326_pref</t>
  </si>
  <si>
    <t xml:space="preserve">S_9M26_rev</t>
  </si>
  <si>
    <t xml:space="preserve">9M26</t>
  </si>
  <si>
    <t xml:space="preserve">pp.9/12 Consolidated statements, nine months</t>
  </si>
  <si>
    <t xml:space="preserve">S_9M26_cost</t>
  </si>
  <si>
    <t xml:space="preserve">S_9M26_op</t>
  </si>
  <si>
    <t xml:space="preserve">S_9M26_net</t>
  </si>
  <si>
    <t xml:space="preserve">S_9M26_attrib</t>
  </si>
  <si>
    <t xml:space="preserve">S_9M26_ocf</t>
  </si>
  <si>
    <t xml:space="preserve">S_9M26_capex</t>
  </si>
  <si>
    <t xml:space="preserve">S_FY25_space_rev</t>
  </si>
  <si>
    <t xml:space="preserve">space_rev</t>
  </si>
  <si>
    <t xml:space="preserve">F-58 Note 19 Segments</t>
  </si>
  <si>
    <t xml:space="preserve">S_FY25_space_cost</t>
  </si>
  <si>
    <t xml:space="preserve">space_cost</t>
  </si>
  <si>
    <t xml:space="preserve">S_FY25_space_op</t>
  </si>
  <si>
    <t xml:space="preserve">space_op</t>
  </si>
  <si>
    <t xml:space="preserve">S_FY25_conn_rev</t>
  </si>
  <si>
    <t xml:space="preserve">conn_rev</t>
  </si>
  <si>
    <t xml:space="preserve">S_FY25_conn_cost</t>
  </si>
  <si>
    <t xml:space="preserve">conn_cost</t>
  </si>
  <si>
    <t xml:space="preserve">S_FY25_conn_op</t>
  </si>
  <si>
    <t xml:space="preserve">conn_op</t>
  </si>
  <si>
    <t xml:space="preserve">S_FY25_si_rev</t>
  </si>
  <si>
    <t xml:space="preserve">si_rev</t>
  </si>
  <si>
    <t xml:space="preserve">S_FY25_si_cost</t>
  </si>
  <si>
    <t xml:space="preserve">si_cost</t>
  </si>
  <si>
    <t xml:space="preserve">S_FY25_si_op</t>
  </si>
  <si>
    <t xml:space="preserve">si_op</t>
  </si>
  <si>
    <t xml:space="preserve">S_9M25_space_rev</t>
  </si>
  <si>
    <t xml:space="preserve">pp.4–7 Segment Operating and Financial Data, 9M2025</t>
  </si>
  <si>
    <t xml:space="preserve">S_9M25_space_cost</t>
  </si>
  <si>
    <t xml:space="preserve">S_9M25_space_op</t>
  </si>
  <si>
    <t xml:space="preserve">S_9M25_conn_rev</t>
  </si>
  <si>
    <t xml:space="preserve">S_9M25_conn_cost</t>
  </si>
  <si>
    <t xml:space="preserve">S_9M25_conn_op</t>
  </si>
  <si>
    <t xml:space="preserve">S_9M25_si_rev</t>
  </si>
  <si>
    <t xml:space="preserve">S_9M25_si_cost</t>
  </si>
  <si>
    <t xml:space="preserve">S_9M25_si_op</t>
  </si>
  <si>
    <t xml:space="preserve">S_Q126_space_rev</t>
  </si>
  <si>
    <t xml:space="preserve">F-95 Note 18 Segments</t>
  </si>
  <si>
    <t xml:space="preserve">S_Q126_space_cost</t>
  </si>
  <si>
    <t xml:space="preserve">S_Q126_space_op</t>
  </si>
  <si>
    <t xml:space="preserve">S_Q126_conn_rev</t>
  </si>
  <si>
    <t xml:space="preserve">S_Q126_conn_cost</t>
  </si>
  <si>
    <t xml:space="preserve">S_Q126_conn_op</t>
  </si>
  <si>
    <t xml:space="preserve">S_Q126_si_rev</t>
  </si>
  <si>
    <t xml:space="preserve">S_Q126_si_cost</t>
  </si>
  <si>
    <t xml:space="preserve">S_Q126_si_op</t>
  </si>
  <si>
    <t xml:space="preserve">S_Q226_space_rev</t>
  </si>
  <si>
    <t xml:space="preserve">pp.4–7 Segment Operating and Financial Data, Q2 comparative</t>
  </si>
  <si>
    <t xml:space="preserve">S_Q226_space_cost</t>
  </si>
  <si>
    <t xml:space="preserve">S_Q226_space_op</t>
  </si>
  <si>
    <t xml:space="preserve">S_Q226_conn_rev</t>
  </si>
  <si>
    <t xml:space="preserve">S_Q226_conn_cost</t>
  </si>
  <si>
    <t xml:space="preserve">S_Q226_conn_op</t>
  </si>
  <si>
    <t xml:space="preserve">S_Q226_si_rev</t>
  </si>
  <si>
    <t xml:space="preserve">S_Q226_si_cost</t>
  </si>
  <si>
    <t xml:space="preserve">S_Q226_si_op</t>
  </si>
  <si>
    <t xml:space="preserve">S_Q326_space_rev</t>
  </si>
  <si>
    <t xml:space="preserve">pp.4–7 Segment Operating and Financial Data</t>
  </si>
  <si>
    <t xml:space="preserve">S_Q326_space_cost</t>
  </si>
  <si>
    <t xml:space="preserve">S_Q326_space_op</t>
  </si>
  <si>
    <t xml:space="preserve">S_Q326_conn_rev</t>
  </si>
  <si>
    <t xml:space="preserve">S_Q326_conn_cost</t>
  </si>
  <si>
    <t xml:space="preserve">S_Q326_conn_op</t>
  </si>
  <si>
    <t xml:space="preserve">S_Q326_si_rev</t>
  </si>
  <si>
    <t xml:space="preserve">S_Q326_si_cost</t>
  </si>
  <si>
    <t xml:space="preserve">S_Q326_si_op</t>
  </si>
  <si>
    <t xml:space="preserve">T_FY25_rev</t>
  </si>
  <si>
    <t xml:space="preserve">T</t>
  </si>
  <si>
    <t xml:space="preserve">pp.49–50/54; Note 16 Segment Reporting (p.85)</t>
  </si>
  <si>
    <t xml:space="preserve">T_FY25_cost</t>
  </si>
  <si>
    <t xml:space="preserve">T_FY25_op</t>
  </si>
  <si>
    <t xml:space="preserve">T_FY25_net</t>
  </si>
  <si>
    <t xml:space="preserve">T_FY25_attrib</t>
  </si>
  <si>
    <t xml:space="preserve">T_FY25_ocf</t>
  </si>
  <si>
    <t xml:space="preserve">T_FY25_capex</t>
  </si>
  <si>
    <t xml:space="preserve">T_FY25_cash</t>
  </si>
  <si>
    <t xml:space="preserve">T_FY25_st</t>
  </si>
  <si>
    <t xml:space="preserve">T_FY25_dc</t>
  </si>
  <si>
    <t xml:space="preserve">T_FY25_dl</t>
  </si>
  <si>
    <t xml:space="preserve">T_FY25_equity</t>
  </si>
  <si>
    <t xml:space="preserve">T_FY25_assets</t>
  </si>
  <si>
    <t xml:space="preserve">T_FY25_liab</t>
  </si>
  <si>
    <t xml:space="preserve">T_FY25_auto_rev</t>
  </si>
  <si>
    <t xml:space="preserve">auto_rev</t>
  </si>
  <si>
    <t xml:space="preserve">T_FY25_serv_rev</t>
  </si>
  <si>
    <t xml:space="preserve">serv_rev</t>
  </si>
  <si>
    <t xml:space="preserve">T_FY25_energy_rev</t>
  </si>
  <si>
    <t xml:space="preserve">energy_rev</t>
  </si>
  <si>
    <t xml:space="preserve">T_FY25_auto_cost</t>
  </si>
  <si>
    <t xml:space="preserve">auto_cost</t>
  </si>
  <si>
    <t xml:space="preserve">T_FY25_serv_cost</t>
  </si>
  <si>
    <t xml:space="preserve">serv_cost</t>
  </si>
  <si>
    <t xml:space="preserve">T_FY25_energy_cost</t>
  </si>
  <si>
    <t xml:space="preserve">energy_cost</t>
  </si>
  <si>
    <t xml:space="preserve">T_Q425_rev</t>
  </si>
  <si>
    <t xml:space="preserve">Q425</t>
  </si>
  <si>
    <t xml:space="preserve">pp.27–29 Statements of Operations / Balance Sheet / Cash Flows; Q3 checked against T2</t>
  </si>
  <si>
    <t xml:space="preserve">T_Q425_cost</t>
  </si>
  <si>
    <t xml:space="preserve">T_Q425_op</t>
  </si>
  <si>
    <t xml:space="preserve">T_Q425_net</t>
  </si>
  <si>
    <t xml:space="preserve">T_Q425_attrib</t>
  </si>
  <si>
    <t xml:space="preserve">T_Q425_ocf</t>
  </si>
  <si>
    <t xml:space="preserve">T_Q425_capex</t>
  </si>
  <si>
    <t xml:space="preserve">T_Q425_liq</t>
  </si>
  <si>
    <t xml:space="preserve">liq</t>
  </si>
  <si>
    <t xml:space="preserve">T_Q425_dc</t>
  </si>
  <si>
    <t xml:space="preserve">T_Q425_dl</t>
  </si>
  <si>
    <t xml:space="preserve">T_Q425_equity</t>
  </si>
  <si>
    <t xml:space="preserve">T_Q425_assets</t>
  </si>
  <si>
    <t xml:space="preserve">T_Q425_liab</t>
  </si>
  <si>
    <t xml:space="preserve">T_Q425_auto_rev</t>
  </si>
  <si>
    <t xml:space="preserve">T_Q425_serv_rev</t>
  </si>
  <si>
    <t xml:space="preserve">T_Q425_energy_rev</t>
  </si>
  <si>
    <t xml:space="preserve">T_Q425_auto_cost</t>
  </si>
  <si>
    <t xml:space="preserve">T_Q425_serv_cost</t>
  </si>
  <si>
    <t xml:space="preserve">T_Q425_energy_cost</t>
  </si>
  <si>
    <t xml:space="preserve">T_Q126_rev</t>
  </si>
  <si>
    <t xml:space="preserve">T_Q126_cost</t>
  </si>
  <si>
    <t xml:space="preserve">T_Q126_op</t>
  </si>
  <si>
    <t xml:space="preserve">T_Q126_net</t>
  </si>
  <si>
    <t xml:space="preserve">T_Q126_attrib</t>
  </si>
  <si>
    <t xml:space="preserve">T_Q126_ocf</t>
  </si>
  <si>
    <t xml:space="preserve">T_Q126_capex</t>
  </si>
  <si>
    <t xml:space="preserve">T_Q126_liq</t>
  </si>
  <si>
    <t xml:space="preserve">T_Q126_dc</t>
  </si>
  <si>
    <t xml:space="preserve">T_Q126_dl</t>
  </si>
  <si>
    <t xml:space="preserve">T_Q126_equity</t>
  </si>
  <si>
    <t xml:space="preserve">T_Q126_assets</t>
  </si>
  <si>
    <t xml:space="preserve">T_Q126_liab</t>
  </si>
  <si>
    <t xml:space="preserve">T_Q126_auto_rev</t>
  </si>
  <si>
    <t xml:space="preserve">T_Q126_serv_rev</t>
  </si>
  <si>
    <t xml:space="preserve">T_Q126_energy_rev</t>
  </si>
  <si>
    <t xml:space="preserve">T_Q126_auto_cost</t>
  </si>
  <si>
    <t xml:space="preserve">T_Q126_serv_cost</t>
  </si>
  <si>
    <t xml:space="preserve">T_Q126_energy_cost</t>
  </si>
  <si>
    <t xml:space="preserve">T_Q226_rev</t>
  </si>
  <si>
    <t xml:space="preserve">T_Q226_cost</t>
  </si>
  <si>
    <t xml:space="preserve">T_Q226_op</t>
  </si>
  <si>
    <t xml:space="preserve">T_Q226_net</t>
  </si>
  <si>
    <t xml:space="preserve">T_Q226_attrib</t>
  </si>
  <si>
    <t xml:space="preserve">T_Q226_ocf</t>
  </si>
  <si>
    <t xml:space="preserve">T_Q226_capex</t>
  </si>
  <si>
    <t xml:space="preserve">T_Q226_liq</t>
  </si>
  <si>
    <t xml:space="preserve">T_Q226_dc</t>
  </si>
  <si>
    <t xml:space="preserve">T_Q226_dl</t>
  </si>
  <si>
    <t xml:space="preserve">T_Q226_equity</t>
  </si>
  <si>
    <t xml:space="preserve">T_Q226_assets</t>
  </si>
  <si>
    <t xml:space="preserve">T_Q226_liab</t>
  </si>
  <si>
    <t xml:space="preserve">T_Q226_auto_rev</t>
  </si>
  <si>
    <t xml:space="preserve">T_Q226_serv_rev</t>
  </si>
  <si>
    <t xml:space="preserve">T_Q226_energy_rev</t>
  </si>
  <si>
    <t xml:space="preserve">T_Q226_auto_cost</t>
  </si>
  <si>
    <t xml:space="preserve">T_Q226_serv_cost</t>
  </si>
  <si>
    <t xml:space="preserve">T_Q226_energy_cost</t>
  </si>
  <si>
    <t xml:space="preserve">T_Q326_rev</t>
  </si>
  <si>
    <t xml:space="preserve">T_Q326_cost</t>
  </si>
  <si>
    <t xml:space="preserve">T_Q326_op</t>
  </si>
  <si>
    <t xml:space="preserve">T_Q326_net</t>
  </si>
  <si>
    <t xml:space="preserve">T_Q326_attrib</t>
  </si>
  <si>
    <t xml:space="preserve">T_Q326_ocf</t>
  </si>
  <si>
    <t xml:space="preserve">T_Q326_capex</t>
  </si>
  <si>
    <t xml:space="preserve">T_Q326_liq</t>
  </si>
  <si>
    <t xml:space="preserve">T_Q326_dc</t>
  </si>
  <si>
    <t xml:space="preserve">T_Q326_dl</t>
  </si>
  <si>
    <t xml:space="preserve">T_Q326_equity</t>
  </si>
  <si>
    <t xml:space="preserve">T_Q326_assets</t>
  </si>
  <si>
    <t xml:space="preserve">T_Q326_liab</t>
  </si>
  <si>
    <t xml:space="preserve">T_Q326_auto_rev</t>
  </si>
  <si>
    <t xml:space="preserve">T_Q326_serv_rev</t>
  </si>
  <si>
    <t xml:space="preserve">T_Q326_energy_rev</t>
  </si>
  <si>
    <t xml:space="preserve">T_Q326_auto_cost</t>
  </si>
  <si>
    <t xml:space="preserve">T_Q326_serv_cost</t>
  </si>
  <si>
    <t xml:space="preserve">T_Q326_energy_cost</t>
  </si>
  <si>
    <t xml:space="preserve">T_9M26_rev</t>
  </si>
  <si>
    <t xml:space="preserve">Consolidated statements; nine months ended September 30 2026</t>
  </si>
  <si>
    <t xml:space="preserve">T_9M26_cost</t>
  </si>
  <si>
    <t xml:space="preserve">T_9M26_op</t>
  </si>
  <si>
    <t xml:space="preserve">T_9M26_net</t>
  </si>
  <si>
    <t xml:space="preserve">T_9M26_attrib</t>
  </si>
  <si>
    <t xml:space="preserve">T_9M26_ocf</t>
  </si>
  <si>
    <t xml:space="preserve">T_9M26_capex</t>
  </si>
  <si>
    <t xml:space="preserve">X_Q326_megapack_rev</t>
  </si>
  <si>
    <t xml:space="preserve">X</t>
  </si>
  <si>
    <t xml:space="preserve">megapack_rev</t>
  </si>
  <si>
    <t xml:space="preserve">Note 13 Related Party Transactions; Note 2 Fair Value</t>
  </si>
  <si>
    <t xml:space="preserve">X_Q326_megapack_cost</t>
  </si>
  <si>
    <t xml:space="preserve">megapack_cost</t>
  </si>
  <si>
    <t xml:space="preserve">X_Q326_fv_gain</t>
  </si>
  <si>
    <t xml:space="preserve">fv_gain</t>
  </si>
  <si>
    <t xml:space="preserve">X_9M26_megapack_rev</t>
  </si>
  <si>
    <t xml:space="preserve">Note 13 / Note 2; related_capex from S3 p.12 cash flow footnote</t>
  </si>
  <si>
    <t xml:space="preserve">X_9M26_megapack_cost</t>
  </si>
  <si>
    <t xml:space="preserve">X_9M26_fv_gain</t>
  </si>
  <si>
    <t xml:space="preserve">X_9M26_related_capex</t>
  </si>
  <si>
    <t xml:space="preserve">related_capex</t>
  </si>
  <si>
    <t xml:space="preserve">X_SEP26_ar</t>
  </si>
  <si>
    <t xml:space="preserve">SEP26</t>
  </si>
  <si>
    <t xml:space="preserve">ar</t>
  </si>
  <si>
    <t xml:space="preserve">Note 13 Related Party Transactions / Note 2 Fair Value</t>
  </si>
  <si>
    <t xml:space="preserve">X_SEP26_undelivered</t>
  </si>
  <si>
    <t xml:space="preserve">undelivered</t>
  </si>
  <si>
    <t xml:space="preserve">X_SEP26_deferred</t>
  </si>
  <si>
    <t xml:space="preserve">deferred</t>
  </si>
  <si>
    <t xml:space="preserve">X_SEP26_current_def</t>
  </si>
  <si>
    <t xml:space="preserve">current_def</t>
  </si>
  <si>
    <t xml:space="preserve">X_SEP26_long_def</t>
  </si>
  <si>
    <t xml:space="preserve">long_def</t>
  </si>
  <si>
    <t xml:space="preserve">X_SEP26_investment</t>
  </si>
  <si>
    <t xml:space="preserve">investment</t>
  </si>
  <si>
    <t xml:space="preserve">X_6M26_related_capex</t>
  </si>
  <si>
    <t xml:space="preserve">Note 17 Related Party Transactions</t>
  </si>
  <si>
    <t xml:space="preserve">X_6M26_valor_dc</t>
  </si>
  <si>
    <t xml:space="preserve">valor_dc</t>
  </si>
  <si>
    <t xml:space="preserve">X_6M26_valor_dl</t>
  </si>
  <si>
    <t xml:space="preserve">valor_dl</t>
  </si>
  <si>
    <t xml:space="preserve">X_6M26_valor_interest</t>
  </si>
  <si>
    <t xml:space="preserve">valor_interest</t>
  </si>
  <si>
    <t xml:space="preserve">X_Q226_related_capex</t>
  </si>
  <si>
    <t xml:space="preserve">X_Q226_valor_interest</t>
  </si>
  <si>
    <t xml:space="preserve">X_SEP26_valor_dc</t>
  </si>
  <si>
    <t xml:space="preserve">p.11 Balance Sheets, related-party debt parentheticals; counterparty attribution inferred from S2 Note 17</t>
  </si>
  <si>
    <t xml:space="preserve">X_SEP26_valor_dl</t>
  </si>
  <si>
    <t xml:space="preserve">X_Q326_related_interest</t>
  </si>
  <si>
    <t xml:space="preserve">related_interest</t>
  </si>
  <si>
    <t xml:space="preserve">p.9 Statements of Operations, related-party parentheticals</t>
  </si>
  <si>
    <t xml:space="preserve">X_Q326_related_other_income</t>
  </si>
  <si>
    <t xml:space="preserve">related_other_income</t>
  </si>
  <si>
    <t xml:space="preserve">X_9M26_related_interest</t>
  </si>
  <si>
    <t xml:space="preserve">p.9 Statements of Operations</t>
  </si>
  <si>
    <t xml:space="preserve">X_FY25_megapack_purchase</t>
  </si>
  <si>
    <t xml:space="preserve">megapack_purchase</t>
  </si>
  <si>
    <t xml:space="preserve">Related Person Transactions pp.65–66; purchases of 506 / 131 from S1 Note 18 F-57</t>
  </si>
  <si>
    <t xml:space="preserve">X_FY25_cybertruck_purchase</t>
  </si>
  <si>
    <t xml:space="preserve">cybertruck_purchase</t>
  </si>
  <si>
    <t xml:space="preserve">X_FY25_tesla_sales_spacex</t>
  </si>
  <si>
    <t xml:space="preserve">tesla_sales_spacex</t>
  </si>
  <si>
    <t xml:space="preserve">X_FY25_tesla_sales_xai</t>
  </si>
  <si>
    <t xml:space="preserve">tesla_sales_xai</t>
  </si>
  <si>
    <t xml:space="preserve">X_FY25_tesla_exp_spacex</t>
  </si>
  <si>
    <t xml:space="preserve">tesla_exp_spacex</t>
  </si>
  <si>
    <t xml:space="preserve">X_FY25_aircraft</t>
  </si>
  <si>
    <t xml:space="preserve">aircraft</t>
  </si>
  <si>
    <t xml:space="preserve">X_FY25_advertising_x</t>
  </si>
  <si>
    <t xml:space="preserve">advertising_x</t>
  </si>
  <si>
    <t xml:space="preserve">X_FY25_tesla_exp_xai</t>
  </si>
  <si>
    <t xml:space="preserve">tesla_exp_xai</t>
  </si>
  <si>
    <t xml:space="preserve">X_FY25_tesla_other_xai</t>
  </si>
  <si>
    <t xml:space="preserve">tesla_other_xai</t>
  </si>
  <si>
    <t xml:space="preserve">X_FY25_tbc</t>
  </si>
  <si>
    <t xml:space="preserve">tbc</t>
  </si>
  <si>
    <t xml:space="preserve">X_FY25_security</t>
  </si>
  <si>
    <t xml:space="preserve">security</t>
  </si>
  <si>
    <t xml:space="preserve">X_FY25_redwood_exp</t>
  </si>
  <si>
    <t xml:space="preserve">redwood_exp</t>
  </si>
  <si>
    <t xml:space="preserve">X_FY25_redwood_scrap</t>
  </si>
  <si>
    <t xml:space="preserve">redwood_scrap</t>
  </si>
  <si>
    <t xml:space="preserve">OWN_SEP26_t_shares</t>
  </si>
  <si>
    <t xml:space="preserve">OWN</t>
  </si>
  <si>
    <t xml:space="preserve">t_shares</t>
  </si>
  <si>
    <t xml:space="preserve">Ownership of Securities, pp.68–69 and footnote (2); units million shares</t>
  </si>
  <si>
    <t xml:space="preserve">OWN_SEP26_t_musk</t>
  </si>
  <si>
    <t xml:space="preserve">t_musk</t>
  </si>
  <si>
    <t xml:space="preserve">OWN_SEP26_t_unearned</t>
  </si>
  <si>
    <t xml:space="preserve">t_unearned</t>
  </si>
  <si>
    <t xml:space="preserve">OWN_SEP26_t_trust</t>
  </si>
  <si>
    <t xml:space="preserve">t_trust</t>
  </si>
  <si>
    <t xml:space="preserve">OWN_SEP26_t_2018</t>
  </si>
  <si>
    <t xml:space="preserve">t_2018</t>
  </si>
  <si>
    <t xml:space="preserve">OWN_MAY26_s_musk_a</t>
  </si>
  <si>
    <t xml:space="preserve">MAY26</t>
  </si>
  <si>
    <t xml:space="preserve">s_musk_a</t>
  </si>
  <si>
    <t xml:space="preserve">Security Ownership of Certain Beneficial Owners and Management pp.248–249, footnote (1); units million shares</t>
  </si>
  <si>
    <t xml:space="preserve">OWN_MAY26_s_musk_b</t>
  </si>
  <si>
    <t xml:space="preserve">s_musk_b</t>
  </si>
  <si>
    <t xml:space="preserve">OWN_MAY26_s_musk_options</t>
  </si>
  <si>
    <t xml:space="preserve">s_musk_options</t>
  </si>
  <si>
    <t xml:space="preserve">OWN_MAY26_s_restricted</t>
  </si>
  <si>
    <t xml:space="preserve">s_restricted</t>
  </si>
  <si>
    <t xml:space="preserve">OWN_MAY26_s_a_preipo</t>
  </si>
  <si>
    <t xml:space="preserve">s_a_preipo</t>
  </si>
  <si>
    <t xml:space="preserve">OWN_MAY26_s_b_preipo</t>
  </si>
  <si>
    <t xml:space="preserve">s_b_preipo</t>
  </si>
  <si>
    <t xml:space="preserve">OWN_MAY26_s_ipo</t>
  </si>
  <si>
    <t xml:space="preserve">s_ipo</t>
  </si>
  <si>
    <t xml:space="preserve">OWN_MAY26_s_votes</t>
  </si>
  <si>
    <t xml:space="preserve">s_votes</t>
  </si>
  <si>
    <t xml:space="preserve">OWN_SEP26_s_a</t>
  </si>
  <si>
    <t xml:space="preserve">s_a</t>
  </si>
  <si>
    <t xml:space="preserve">p.11 Consolidated Balance Sheets, issued and outstanding; units million shares, rounded</t>
  </si>
  <si>
    <t xml:space="preserve">OWN_SEP26_s_b</t>
  </si>
  <si>
    <t xml:space="preserve">s_b</t>
  </si>
  <si>
    <t xml:space="preserve">OWN_MAR26_t_holds_s_pre</t>
  </si>
  <si>
    <t xml:space="preserve">MAR26</t>
  </si>
  <si>
    <t xml:space="preserve">t_holds_s_pre</t>
  </si>
  <si>
    <t xml:space="preserve">F-61 Tesla’s xAI Investment and SpaceX Class A Common Stock Issuance; Note 1 five-for-one split; 3.8 is rounded</t>
  </si>
  <si>
    <t xml:space="preserve">OWN_MAR26_split</t>
  </si>
  <si>
    <t xml:space="preserve">split</t>
  </si>
  <si>
    <t xml:space="preserve">S_Q326_si_capex</t>
  </si>
  <si>
    <t xml:space="preserve">si_capex</t>
  </si>
  <si>
    <t xml:space="preserve">pp.3/7/8 Segment Capex and Cursor Merger</t>
  </si>
  <si>
    <t xml:space="preserve">S_Q326_conn_capex</t>
  </si>
  <si>
    <t xml:space="preserve">conn_capex</t>
  </si>
  <si>
    <t xml:space="preserve">S_Q326_space_capex</t>
  </si>
  <si>
    <t xml:space="preserve">space_capex</t>
  </si>
  <si>
    <t xml:space="preserve">S_Q326_cursor_revenue</t>
  </si>
  <si>
    <t xml:space="preserve">cursor_revenue</t>
  </si>
  <si>
    <t xml:space="preserve">S_Q326_cursor_consideration</t>
  </si>
  <si>
    <t xml:space="preserve">cursor_consideration</t>
  </si>
  <si>
    <t xml:space="preserve">S_Q326_cursor_service_awards</t>
  </si>
  <si>
    <t xml:space="preserve">cursor_service_awards</t>
  </si>
  <si>
    <t xml:space="preserve">T_SEP26_nci</t>
  </si>
  <si>
    <t xml:space="preserve">nci</t>
  </si>
  <si>
    <t xml:space="preserve">p.28 Balance Sheet; checked T2 consolidated balance sheet</t>
  </si>
  <si>
    <t xml:space="preserve">T_SEP26_rnci</t>
  </si>
  <si>
    <t xml:space="preserve">rnci</t>
  </si>
  <si>
    <t xml:space="preserve">X_Q326_fv_aftertax</t>
  </si>
  <si>
    <t xml:space="preserve">fv_aftertax</t>
  </si>
  <si>
    <t xml:space="preserve">p.30 Reconciliation: SpaceX equity investment gain/loss, net of tax</t>
  </si>
  <si>
    <t xml:space="preserve">X_9M26_fv_aftertax</t>
  </si>
  <si>
    <t xml:space="preserve">独立于披露事实的建模假设</t>
  </si>
  <si>
    <t xml:space="preserve">假设名称</t>
  </si>
  <si>
    <t xml:space="preserve">数值</t>
  </si>
  <si>
    <t xml:space="preserve">单位</t>
  </si>
  <si>
    <r>
      <rPr>
        <sz val="10"/>
        <color rgb="FF152E49"/>
        <rFont val="Noto Sans CJK SC"/>
        <family val="2"/>
      </rPr>
      <t xml:space="preserve">支付给外部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股东的溢价</t>
    </r>
  </si>
  <si>
    <t xml:space="preserve">比例</t>
  </si>
  <si>
    <r>
      <rPr>
        <sz val="10"/>
        <color rgb="FF152E49"/>
        <rFont val="Noto Sans CJK SC"/>
        <family val="2"/>
      </rPr>
      <t xml:space="preserve">【假设】以各方法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基础每股价格加成；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每股价值不加成。</t>
    </r>
  </si>
  <si>
    <r>
      <rPr>
        <sz val="10"/>
        <color rgb="FF152E49"/>
        <rFont val="Arial"/>
        <family val="0"/>
        <charset val="1"/>
      </rPr>
      <t xml:space="preserve">SpaceX EV / TTM</t>
    </r>
    <r>
      <rPr>
        <sz val="10"/>
        <color rgb="FF152E49"/>
        <rFont val="Noto Sans CJK SC"/>
        <family val="2"/>
      </rPr>
      <t xml:space="preserve">营收</t>
    </r>
  </si>
  <si>
    <t xml:space="preserve">倍</t>
  </si>
  <si>
    <t xml:space="preserve">【假设】纯演示倍数，未作可比公司校准，不是估值意见。</t>
  </si>
  <si>
    <r>
      <rPr>
        <sz val="10"/>
        <color rgb="FF152E49"/>
        <rFont val="Arial"/>
        <family val="0"/>
        <charset val="1"/>
      </rPr>
      <t xml:space="preserve">Tesla EV / TTM</t>
    </r>
    <r>
      <rPr>
        <sz val="10"/>
        <color rgb="FF152E49"/>
        <rFont val="Noto Sans CJK SC"/>
        <family val="2"/>
      </rPr>
      <t xml:space="preserve">营收</t>
    </r>
  </si>
  <si>
    <r>
      <rPr>
        <sz val="10"/>
        <color rgb="FF152E49"/>
        <rFont val="Noto Sans CJK SC"/>
        <family val="2"/>
      </rPr>
      <t xml:space="preserve">【假设】纯演示倍数；不将负净利润用于</t>
    </r>
    <r>
      <rPr>
        <sz val="10"/>
        <color rgb="FF152E49"/>
        <rFont val="Arial"/>
        <family val="0"/>
        <charset val="1"/>
      </rPr>
      <t xml:space="preserve">P/E</t>
    </r>
    <r>
      <rPr>
        <sz val="10"/>
        <color rgb="FF152E49"/>
        <rFont val="Noto Sans CJK SC"/>
        <family val="2"/>
      </rPr>
      <t xml:space="preserve">。</t>
    </r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</si>
  <si>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可实现经营协同</t>
    </r>
  </si>
  <si>
    <t xml:space="preserve">百万美元</t>
  </si>
  <si>
    <t xml:space="preserve">【假设】尚无已签约可验证协同。</t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</si>
  <si>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一次性交易费用</t>
    </r>
  </si>
  <si>
    <t xml:space="preserve">【假设】尚无交易方案，基准不计；可编辑。</t>
  </si>
  <si>
    <r>
      <rPr>
        <sz val="10"/>
        <color rgb="FF152E49"/>
        <rFont val="Noto Sans CJK SC"/>
        <family val="2"/>
      </rPr>
      <t xml:space="preserve">内部毛利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协同净调整税率</t>
    </r>
  </si>
  <si>
    <t xml:space="preserve">【假设】无完整税务资料，基准不确认税收利益；非适用法定税率。</t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</si>
  <si>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内部毛利折旧回转</t>
    </r>
  </si>
  <si>
    <r>
      <rPr>
        <sz val="10"/>
        <color rgb="FF152E49"/>
        <rFont val="Noto Sans CJK SC"/>
        <family val="2"/>
      </rPr>
      <t xml:space="preserve">【假设】未获资产投用日期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年限；基准</t>
    </r>
    <r>
      <rPr>
        <sz val="10"/>
        <color rgb="FF152E49"/>
        <rFont val="Arial"/>
        <family val="0"/>
        <charset val="1"/>
      </rPr>
      <t xml:space="preserve">0</t>
    </r>
    <r>
      <rPr>
        <sz val="10"/>
        <color rgb="FF152E49"/>
        <rFont val="Noto Sans CJK SC"/>
        <family val="2"/>
      </rPr>
      <t xml:space="preserve">，可能低估利润。</t>
    </r>
  </si>
  <si>
    <r>
      <rPr>
        <sz val="10"/>
        <color rgb="FF152E49"/>
        <rFont val="Arial"/>
        <family val="0"/>
        <charset val="1"/>
      </rPr>
      <t xml:space="preserve">9M26</t>
    </r>
    <r>
      <rPr>
        <sz val="10"/>
        <color rgb="FF152E49"/>
        <rFont val="Noto Sans CJK SC"/>
        <family val="2"/>
      </rPr>
      <t xml:space="preserve">内部毛利折旧回转</t>
    </r>
  </si>
  <si>
    <r>
      <rPr>
        <sz val="10"/>
        <color rgb="FF152E49"/>
        <rFont val="Noto Sans CJK SC"/>
        <family val="2"/>
      </rPr>
      <t xml:space="preserve">【假设】不含</t>
    </r>
    <r>
      <rPr>
        <sz val="10"/>
        <color rgb="FF152E49"/>
        <rFont val="Arial"/>
        <family val="0"/>
        <charset val="1"/>
      </rPr>
      <t xml:space="preserve">2025</t>
    </r>
    <r>
      <rPr>
        <sz val="10"/>
        <color rgb="FF152E49"/>
        <rFont val="Noto Sans CJK SC"/>
        <family val="2"/>
      </rPr>
      <t xml:space="preserve">及以前内部毛利余额。</t>
    </r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</si>
  <si>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内部资本采购对应已结算现金</t>
    </r>
  </si>
  <si>
    <r>
      <rPr>
        <sz val="10"/>
        <color rgb="FF152E49"/>
        <rFont val="Noto Sans CJK SC"/>
        <family val="2"/>
      </rPr>
      <t xml:space="preserve">【假设】以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关联</t>
    </r>
    <r>
      <rPr>
        <sz val="10"/>
        <color rgb="FF152E49"/>
        <rFont val="Arial"/>
        <family val="0"/>
        <charset val="1"/>
      </rPr>
      <t xml:space="preserve">PP&amp;E</t>
    </r>
    <r>
      <rPr>
        <sz val="10"/>
        <color rgb="FF152E49"/>
        <rFont val="Noto Sans CJK SC"/>
        <family val="2"/>
      </rPr>
      <t xml:space="preserve">现金流差分</t>
    </r>
    <r>
      <rPr>
        <sz val="10"/>
        <color rgb="FF152E49"/>
        <rFont val="Arial"/>
        <family val="0"/>
        <charset val="1"/>
      </rPr>
      <t xml:space="preserve">151</t>
    </r>
    <r>
      <rPr>
        <sz val="10"/>
        <color rgb="FF152E49"/>
        <rFont val="Noto Sans CJK SC"/>
        <family val="2"/>
      </rPr>
      <t xml:space="preserve">估计对应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收款；与</t>
    </r>
    <r>
      <rPr>
        <sz val="10"/>
        <color rgb="FF152E49"/>
        <rFont val="Arial"/>
        <family val="0"/>
        <charset val="1"/>
      </rPr>
      <t xml:space="preserve">221</t>
    </r>
    <r>
      <rPr>
        <sz val="10"/>
        <color rgb="FF152E49"/>
        <rFont val="Noto Sans CJK SC"/>
        <family val="2"/>
      </rPr>
      <t xml:space="preserve">销售不能直接等同，待现金对账。</t>
    </r>
  </si>
  <si>
    <r>
      <rPr>
        <sz val="10"/>
        <color rgb="FF152E49"/>
        <rFont val="Arial"/>
        <family val="0"/>
        <charset val="1"/>
      </rPr>
      <t xml:space="preserve">9M26</t>
    </r>
    <r>
      <rPr>
        <sz val="10"/>
        <color rgb="FF152E49"/>
        <rFont val="Noto Sans CJK SC"/>
        <family val="2"/>
      </rPr>
      <t xml:space="preserve">内部资本采购对应已结算现金</t>
    </r>
  </si>
  <si>
    <r>
      <rPr>
        <sz val="10"/>
        <color rgb="FF152E49"/>
        <rFont val="Noto Sans CJK SC"/>
        <family val="2"/>
      </rPr>
      <t xml:space="preserve">【假设】以</t>
    </r>
    <r>
      <rPr>
        <sz val="10"/>
        <color rgb="FF152E49"/>
        <rFont val="Arial"/>
        <family val="0"/>
        <charset val="1"/>
      </rPr>
      <t xml:space="preserve">480</t>
    </r>
    <r>
      <rPr>
        <sz val="10"/>
        <color rgb="FF152E49"/>
        <rFont val="Noto Sans CJK SC"/>
        <family val="2"/>
      </rPr>
      <t xml:space="preserve">关联</t>
    </r>
    <r>
      <rPr>
        <sz val="10"/>
        <color rgb="FF152E49"/>
        <rFont val="Arial"/>
        <family val="0"/>
        <charset val="1"/>
      </rPr>
      <t xml:space="preserve">PP&amp;E</t>
    </r>
    <r>
      <rPr>
        <sz val="10"/>
        <color rgb="FF152E49"/>
        <rFont val="Noto Sans CJK SC"/>
        <family val="2"/>
      </rPr>
      <t xml:space="preserve">现金流近似；重分类同时减少经营现金流和资本开支，</t>
    </r>
    <r>
      <rPr>
        <sz val="10"/>
        <color rgb="FF152E49"/>
        <rFont val="Arial"/>
        <family val="0"/>
        <charset val="1"/>
      </rPr>
      <t xml:space="preserve">FCF</t>
    </r>
    <r>
      <rPr>
        <sz val="10"/>
        <color rgb="FF152E49"/>
        <rFont val="Noto Sans CJK SC"/>
        <family val="2"/>
      </rPr>
      <t xml:space="preserve">不变。</t>
    </r>
  </si>
  <si>
    <r>
      <rPr>
        <sz val="10"/>
        <color rgb="FF152E49"/>
        <rFont val="Noto Sans CJK SC"/>
        <family val="2"/>
      </rPr>
      <t xml:space="preserve">已匹配往来应收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应付抵销</t>
    </r>
  </si>
  <si>
    <r>
      <rPr>
        <sz val="10"/>
        <color rgb="FF152E49"/>
        <rFont val="Noto Sans CJK SC"/>
        <family val="2"/>
      </rPr>
      <t xml:space="preserve">【假设】双边余额未核对，默认不抵销；不是认定无往来。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账面</t>
    </r>
    <r>
      <rPr>
        <sz val="10"/>
        <color rgb="FF152E49"/>
        <rFont val="Arial"/>
        <family val="0"/>
        <charset val="1"/>
      </rPr>
      <t xml:space="preserve">729</t>
    </r>
    <r>
      <rPr>
        <sz val="10"/>
        <color rgb="FF152E49"/>
        <rFont val="Noto Sans CJK SC"/>
        <family val="2"/>
      </rPr>
      <t xml:space="preserve">含</t>
    </r>
    <r>
      <rPr>
        <sz val="10"/>
        <color rgb="FF152E49"/>
        <rFont val="Arial"/>
        <family val="0"/>
        <charset val="1"/>
      </rPr>
      <t xml:space="preserve">588</t>
    </r>
    <r>
      <rPr>
        <sz val="10"/>
        <color rgb="FF152E49"/>
        <rFont val="Noto Sans CJK SC"/>
        <family val="2"/>
      </rPr>
      <t xml:space="preserve">未交货开票，净</t>
    </r>
    <r>
      <rPr>
        <sz val="10"/>
        <color rgb="FF152E49"/>
        <rFont val="Arial"/>
        <family val="0"/>
        <charset val="1"/>
      </rPr>
      <t xml:space="preserve">141</t>
    </r>
    <r>
      <rPr>
        <sz val="10"/>
        <color rgb="FF152E49"/>
        <rFont val="Noto Sans CJK SC"/>
        <family val="2"/>
      </rPr>
      <t xml:space="preserve">仅为核对起点。</t>
    </r>
  </si>
  <si>
    <r>
      <rPr>
        <sz val="10"/>
        <color rgb="FF152E49"/>
        <rFont val="Noto Sans CJK SC"/>
        <family val="2"/>
      </rPr>
      <t xml:space="preserve">已匹配预付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递延收入抵销</t>
    </r>
  </si>
  <si>
    <r>
      <rPr>
        <sz val="10"/>
        <color rgb="FF152E49"/>
        <rFont val="Noto Sans CJK SC"/>
        <family val="2"/>
      </rPr>
      <t xml:space="preserve">【假设】需核实对手预付款；不得自动把</t>
    </r>
    <r>
      <rPr>
        <sz val="10"/>
        <color rgb="FF152E49"/>
        <rFont val="Arial"/>
        <family val="0"/>
        <charset val="1"/>
      </rPr>
      <t xml:space="preserve">648</t>
    </r>
    <r>
      <rPr>
        <sz val="10"/>
        <color rgb="FF152E49"/>
        <rFont val="Noto Sans CJK SC"/>
        <family val="2"/>
      </rPr>
      <t xml:space="preserve">或</t>
    </r>
    <r>
      <rPr>
        <sz val="10"/>
        <color rgb="FF152E49"/>
        <rFont val="Arial"/>
        <family val="0"/>
        <charset val="1"/>
      </rPr>
      <t xml:space="preserve">60</t>
    </r>
    <r>
      <rPr>
        <sz val="10"/>
        <color rgb="FF152E49"/>
        <rFont val="Noto Sans CJK SC"/>
        <family val="2"/>
      </rPr>
      <t xml:space="preserve">全额认作可抵销余额。</t>
    </r>
  </si>
  <si>
    <r>
      <rPr>
        <sz val="10"/>
        <color rgb="FF152E49"/>
        <rFont val="Arial"/>
        <family val="0"/>
        <charset val="1"/>
      </rPr>
      <t xml:space="preserve">2025</t>
    </r>
    <r>
      <rPr>
        <sz val="10"/>
        <color rgb="FF152E49"/>
        <rFont val="Noto Sans CJK SC"/>
        <family val="2"/>
      </rPr>
      <t xml:space="preserve">及以前未实现内部毛利余额</t>
    </r>
  </si>
  <si>
    <r>
      <rPr>
        <sz val="10"/>
        <color rgb="FF152E49"/>
        <rFont val="Noto Sans CJK SC"/>
        <family val="2"/>
      </rPr>
      <t xml:space="preserve">【假设】缺少成本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折旧明细；</t>
    </r>
    <r>
      <rPr>
        <sz val="10"/>
        <color rgb="FF152E49"/>
        <rFont val="Arial"/>
        <family val="0"/>
        <charset val="1"/>
      </rPr>
      <t xml:space="preserve">0</t>
    </r>
    <r>
      <rPr>
        <sz val="10"/>
        <color rgb="FF152E49"/>
        <rFont val="Noto Sans CJK SC"/>
        <family val="2"/>
      </rPr>
      <t xml:space="preserve">为未计量占位，不表示实际为</t>
    </r>
    <r>
      <rPr>
        <sz val="10"/>
        <color rgb="FF152E49"/>
        <rFont val="Arial"/>
        <family val="0"/>
        <charset val="1"/>
      </rPr>
      <t xml:space="preserve">0</t>
    </r>
    <r>
      <rPr>
        <sz val="10"/>
        <color rgb="FF152E49"/>
        <rFont val="Noto Sans CJK SC"/>
        <family val="2"/>
      </rPr>
      <t xml:space="preserve">。</t>
    </r>
  </si>
  <si>
    <r>
      <rPr>
        <sz val="10"/>
        <color rgb="FF152E49"/>
        <rFont val="Arial"/>
        <family val="0"/>
        <charset val="1"/>
      </rPr>
      <t xml:space="preserve">Musk SpaceX</t>
    </r>
    <r>
      <rPr>
        <sz val="10"/>
        <color rgb="FF152E49"/>
        <rFont val="Noto Sans CJK SC"/>
        <family val="2"/>
      </rPr>
      <t xml:space="preserve">披露后持股净变动</t>
    </r>
  </si>
  <si>
    <t xml:space="preserve">百万股</t>
  </si>
  <si>
    <r>
      <rPr>
        <sz val="10"/>
        <color rgb="FF152E49"/>
        <rFont val="Noto Sans CJK SC"/>
        <family val="2"/>
      </rPr>
      <t xml:space="preserve">【假设】</t>
    </r>
    <r>
      <rPr>
        <sz val="10"/>
        <color rgb="FF152E49"/>
        <rFont val="Arial"/>
        <family val="0"/>
        <charset val="1"/>
      </rPr>
      <t xml:space="preserve">5</t>
    </r>
    <r>
      <rPr>
        <sz val="10"/>
        <color rgb="FF152E49"/>
        <rFont val="Noto Sans CJK SC"/>
        <family val="2"/>
      </rPr>
      <t xml:space="preserve">月持股沿用至</t>
    </r>
    <r>
      <rPr>
        <sz val="10"/>
        <color rgb="FF152E49"/>
        <rFont val="Arial"/>
        <family val="0"/>
        <charset val="1"/>
      </rPr>
      <t xml:space="preserve">9</t>
    </r>
    <r>
      <rPr>
        <sz val="10"/>
        <color rgb="FF152E49"/>
        <rFont val="Noto Sans CJK SC"/>
        <family val="2"/>
      </rPr>
      <t xml:space="preserve">月，未取得完整持股变动；按基础无变动。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</si>
  <si>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期权行权比例（补充情景）</t>
    </r>
  </si>
  <si>
    <r>
      <rPr>
        <sz val="10"/>
        <color rgb="FF152E49"/>
        <rFont val="Noto Sans CJK SC"/>
        <family val="2"/>
      </rPr>
      <t xml:space="preserve">【假设】只用于持股补充情景；不纳入主换股股本，未建行权现金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库存股法。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</si>
  <si>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未达标股份转为</t>
    </r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可支配比例</t>
    </r>
  </si>
  <si>
    <r>
      <rPr>
        <sz val="10"/>
        <color rgb="FF152E49"/>
        <rFont val="Noto Sans CJK SC"/>
        <family val="2"/>
      </rPr>
      <t xml:space="preserve">【假设】仅作上界示意，非合并必然触发归属；未计</t>
    </r>
    <r>
      <rPr>
        <sz val="10"/>
        <color rgb="FF152E49"/>
        <rFont val="Arial"/>
        <family val="0"/>
        <charset val="1"/>
      </rPr>
      <t xml:space="preserve">334.09</t>
    </r>
    <r>
      <rPr>
        <sz val="10"/>
        <color rgb="FF152E49"/>
        <rFont val="Noto Sans CJK SC"/>
        <family val="2"/>
      </rPr>
      <t xml:space="preserve">美元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股抵扣或现金支付影响。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</si>
  <si>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其他非经营净资产估值调整</t>
    </r>
  </si>
  <si>
    <r>
      <rPr>
        <sz val="10"/>
        <color rgb="FF152E49"/>
        <rFont val="Noto Sans CJK SC"/>
        <family val="2"/>
      </rPr>
      <t xml:space="preserve">【假设】除现金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债务外不另估数字资产、少数投资；倍数法简化。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</si>
  <si>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其他非经营净资产估值调整</t>
    </r>
  </si>
  <si>
    <r>
      <rPr>
        <sz val="10"/>
        <color rgb="FF152E49"/>
        <rFont val="Noto Sans CJK SC"/>
        <family val="2"/>
      </rPr>
      <t xml:space="preserve">【假设】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股权单独加入；数字资产、少数股权、经营租赁等暂不另调整。</t>
    </r>
  </si>
  <si>
    <r>
      <rPr>
        <b val="true"/>
        <sz val="15"/>
        <color rgb="FFFFFFFF"/>
        <rFont val="Arial"/>
        <family val="0"/>
        <charset val="1"/>
      </rPr>
      <t xml:space="preserve">SpaceX</t>
    </r>
    <r>
      <rPr>
        <b val="true"/>
        <sz val="15"/>
        <color rgb="FFFFFFFF"/>
        <rFont val="Noto Sans CJK SC"/>
        <family val="2"/>
      </rPr>
      <t xml:space="preserve">财务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单季、财年与</t>
    </r>
    <r>
      <rPr>
        <b val="true"/>
        <sz val="15"/>
        <color rgb="FFFFFFFF"/>
        <rFont val="Arial"/>
        <family val="0"/>
        <charset val="1"/>
      </rPr>
      <t xml:space="preserve">TTM</t>
    </r>
  </si>
  <si>
    <t xml:space="preserve">FY2025</t>
  </si>
  <si>
    <t xml:space="preserve">2025Q4</t>
  </si>
  <si>
    <t xml:space="preserve">2026Q1</t>
  </si>
  <si>
    <t xml:space="preserve">2026Q2</t>
  </si>
  <si>
    <t xml:space="preserve">2026Q3</t>
  </si>
  <si>
    <r>
      <rPr>
        <b val="true"/>
        <sz val="10"/>
        <color rgb="FFFFFFFF"/>
        <rFont val="Arial"/>
        <family val="0"/>
        <charset val="1"/>
      </rPr>
      <t xml:space="preserve">TTM</t>
    </r>
    <r>
      <rPr>
        <b val="true"/>
        <sz val="10"/>
        <color rgb="FFFFFFFF"/>
        <rFont val="Noto Sans CJK SC"/>
        <family val="2"/>
      </rPr>
      <t xml:space="preserve">至</t>
    </r>
    <r>
      <rPr>
        <b val="true"/>
        <sz val="10"/>
        <color rgb="FFFFFFFF"/>
        <rFont val="Arial"/>
        <family val="0"/>
        <charset val="1"/>
      </rPr>
      <t xml:space="preserve">26Q3</t>
    </r>
  </si>
  <si>
    <r>
      <rPr>
        <b val="true"/>
        <sz val="10"/>
        <color rgb="FFFFFFFF"/>
        <rFont val="Noto Sans CJK SC"/>
        <family val="2"/>
      </rPr>
      <t xml:space="preserve">口径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来源</t>
    </r>
  </si>
  <si>
    <t xml:space="preserve">营收</t>
  </si>
  <si>
    <r>
      <rPr>
        <sz val="10"/>
        <color rgb="FF152E49"/>
        <rFont val="Noto Sans CJK SC"/>
        <family val="2"/>
      </rPr>
      <t xml:space="preserve">公式追溯至原始数据页；</t>
    </r>
    <r>
      <rPr>
        <sz val="10"/>
        <color rgb="FF152E49"/>
        <rFont val="Arial"/>
        <family val="0"/>
        <charset val="1"/>
      </rPr>
      <t xml:space="preserve">TTM</t>
    </r>
    <r>
      <rPr>
        <sz val="10"/>
        <color rgb="FF152E49"/>
        <rFont val="Noto Sans CJK SC"/>
        <family val="2"/>
      </rPr>
      <t xml:space="preserve">流量求和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存量取期末。</t>
    </r>
  </si>
  <si>
    <t xml:space="preserve">营业成本</t>
  </si>
  <si>
    <t xml:space="preserve">毛利</t>
  </si>
  <si>
    <t xml:space="preserve">经营利润</t>
  </si>
  <si>
    <t xml:space="preserve">合并净利润</t>
  </si>
  <si>
    <t xml:space="preserve">归属股东净利润</t>
  </si>
  <si>
    <t xml:space="preserve">经营现金流</t>
  </si>
  <si>
    <t xml:space="preserve">资本开支（正数）</t>
  </si>
  <si>
    <t xml:space="preserve">现金及短期投资</t>
  </si>
  <si>
    <t xml:space="preserve">有息负债含融资租赁</t>
  </si>
  <si>
    <r>
      <rPr>
        <sz val="10"/>
        <color rgb="FF152E49"/>
        <rFont val="Noto Sans CJK SC"/>
        <family val="2"/>
      </rPr>
      <t xml:space="preserve">公式追溯至原始数据页；</t>
    </r>
    <r>
      <rPr>
        <sz val="10"/>
        <color rgb="FF152E49"/>
        <rFont val="Arial"/>
        <family val="0"/>
        <charset val="1"/>
      </rPr>
      <t xml:space="preserve">TTM</t>
    </r>
    <r>
      <rPr>
        <sz val="10"/>
        <color rgb="FF152E49"/>
        <rFont val="Noto Sans CJK SC"/>
        <family val="2"/>
      </rPr>
      <t xml:space="preserve">流量求和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存量取期末。债务含融资租赁，不含经营租赁。</t>
    </r>
  </si>
  <si>
    <t xml:space="preserve">股东权益（归母）</t>
  </si>
  <si>
    <t xml:space="preserve">总资产</t>
  </si>
  <si>
    <t xml:space="preserve">总负债</t>
  </si>
  <si>
    <t xml:space="preserve">净现金</t>
  </si>
  <si>
    <t xml:space="preserve">经营利润率</t>
  </si>
  <si>
    <r>
      <rPr>
        <sz val="10"/>
        <color rgb="FF152E49"/>
        <rFont val="Noto Sans CJK SC"/>
        <family val="2"/>
      </rPr>
      <t xml:space="preserve">每格公式批注标引用路径。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历史已含</t>
    </r>
    <r>
      <rPr>
        <sz val="10"/>
        <color rgb="FF152E49"/>
        <rFont val="Arial"/>
        <family val="0"/>
        <charset val="1"/>
      </rPr>
      <t xml:space="preserve">xAI/X</t>
    </r>
    <r>
      <rPr>
        <sz val="10"/>
        <color rgb="FF152E49"/>
        <rFont val="Noto Sans CJK SC"/>
        <family val="2"/>
      </rPr>
      <t xml:space="preserve">共同控制追溯合并；</t>
    </r>
    <r>
      <rPr>
        <sz val="10"/>
        <color rgb="FF152E49"/>
        <rFont val="Arial"/>
        <family val="0"/>
        <charset val="1"/>
      </rPr>
      <t xml:space="preserve">Cursor</t>
    </r>
    <r>
      <rPr>
        <sz val="10"/>
        <color rgb="FF152E49"/>
        <rFont val="Noto Sans CJK SC"/>
        <family val="2"/>
      </rPr>
      <t xml:space="preserve">仅自</t>
    </r>
    <r>
      <rPr>
        <sz val="10"/>
        <color rgb="FF152E49"/>
        <rFont val="Arial"/>
        <family val="0"/>
        <charset val="1"/>
      </rPr>
      <t xml:space="preserve">2026-08-14</t>
    </r>
    <r>
      <rPr>
        <sz val="10"/>
        <color rgb="FF152E49"/>
        <rFont val="Noto Sans CJK SC"/>
        <family val="2"/>
      </rPr>
      <t xml:space="preserve">并入。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主表净利润含非控股权益，归属股东净利润另列。</t>
    </r>
  </si>
  <si>
    <t xml:space="preserve">可赎回优先股（夹层）</t>
  </si>
  <si>
    <r>
      <rPr>
        <sz val="10"/>
        <color rgb="FF152E49"/>
        <rFont val="Noto Sans CJK SC"/>
        <family val="2"/>
      </rPr>
      <t xml:space="preserve">可赎回优先股单列，</t>
    </r>
    <r>
      <rPr>
        <sz val="10"/>
        <color rgb="FF152E49"/>
        <rFont val="Arial"/>
        <family val="0"/>
        <charset val="1"/>
      </rPr>
      <t xml:space="preserve">2026Q2</t>
    </r>
    <r>
      <rPr>
        <sz val="10"/>
        <color rgb="FF152E49"/>
        <rFont val="Noto Sans CJK SC"/>
        <family val="2"/>
      </rPr>
      <t xml:space="preserve">后为</t>
    </r>
    <r>
      <rPr>
        <sz val="10"/>
        <color rgb="FF152E49"/>
        <rFont val="Arial"/>
        <family val="0"/>
        <charset val="1"/>
      </rPr>
      <t xml:space="preserve">0</t>
    </r>
    <r>
      <rPr>
        <sz val="10"/>
        <color rgb="FF152E49"/>
        <rFont val="Noto Sans CJK SC"/>
        <family val="2"/>
      </rPr>
      <t xml:space="preserve">。</t>
    </r>
    <r>
      <rPr>
        <sz val="10"/>
        <color rgb="FF152E49"/>
        <rFont val="Arial"/>
        <family val="0"/>
        <charset val="1"/>
      </rPr>
      <t xml:space="preserve">2025</t>
    </r>
    <r>
      <rPr>
        <sz val="10"/>
        <color rgb="FF152E49"/>
        <rFont val="Noto Sans CJK SC"/>
        <family val="2"/>
      </rPr>
      <t xml:space="preserve">末权益</t>
    </r>
    <r>
      <rPr>
        <sz val="10"/>
        <color rgb="FF152E49"/>
        <rFont val="Arial"/>
        <family val="0"/>
        <charset val="1"/>
      </rPr>
      <t xml:space="preserve">2,573</t>
    </r>
    <r>
      <rPr>
        <sz val="10"/>
        <color rgb="FF152E49"/>
        <rFont val="Noto Sans CJK SC"/>
        <family val="2"/>
      </rPr>
      <t xml:space="preserve">不含</t>
    </r>
    <r>
      <rPr>
        <sz val="10"/>
        <color rgb="FF152E49"/>
        <rFont val="Arial"/>
        <family val="0"/>
        <charset val="1"/>
      </rPr>
      <t xml:space="preserve">38,752</t>
    </r>
    <r>
      <rPr>
        <sz val="10"/>
        <color rgb="FF152E49"/>
        <rFont val="Noto Sans CJK SC"/>
        <family val="2"/>
      </rPr>
      <t xml:space="preserve">夹层优先股；不能将</t>
    </r>
    <r>
      <rPr>
        <sz val="10"/>
        <color rgb="FF152E49"/>
        <rFont val="Arial"/>
        <family val="0"/>
        <charset val="1"/>
      </rPr>
      <t xml:space="preserve">IPO</t>
    </r>
    <r>
      <rPr>
        <sz val="10"/>
        <color rgb="FF152E49"/>
        <rFont val="Noto Sans CJK SC"/>
        <family val="2"/>
      </rPr>
      <t xml:space="preserve">前后权益变化全部解释为经营盈利。</t>
    </r>
  </si>
  <si>
    <r>
      <rPr>
        <b val="true"/>
        <sz val="15"/>
        <color rgb="FFFFFFFF"/>
        <rFont val="Arial"/>
        <family val="0"/>
        <charset val="1"/>
      </rPr>
      <t xml:space="preserve">Tesla</t>
    </r>
    <r>
      <rPr>
        <b val="true"/>
        <sz val="15"/>
        <color rgb="FFFFFFFF"/>
        <rFont val="Noto Sans CJK SC"/>
        <family val="2"/>
      </rPr>
      <t xml:space="preserve">财务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单季、财年与</t>
    </r>
    <r>
      <rPr>
        <b val="true"/>
        <sz val="15"/>
        <color rgb="FFFFFFFF"/>
        <rFont val="Arial"/>
        <family val="0"/>
        <charset val="1"/>
      </rPr>
      <t xml:space="preserve">TTM</t>
    </r>
  </si>
  <si>
    <t xml:space="preserve">正式披露分部与利润桥接</t>
  </si>
  <si>
    <r>
      <rPr>
        <b val="true"/>
        <sz val="10"/>
        <color rgb="FFFFFFFF"/>
        <rFont val="Noto Sans CJK SC"/>
        <family val="2"/>
      </rPr>
      <t xml:space="preserve">业务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指标</t>
    </r>
  </si>
  <si>
    <r>
      <rPr>
        <b val="true"/>
        <sz val="10"/>
        <color rgb="FFFFFFFF"/>
        <rFont val="Noto Sans CJK SC"/>
        <family val="2"/>
      </rPr>
      <t xml:space="preserve">利润口径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来源</t>
    </r>
  </si>
  <si>
    <r>
      <rPr>
        <sz val="10"/>
        <color rgb="FF152E49"/>
        <rFont val="Noto Sans CJK SC"/>
        <family val="2"/>
      </rPr>
      <t xml:space="preserve">航天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收入</t>
    </r>
  </si>
  <si>
    <r>
      <rPr>
        <sz val="10"/>
        <color rgb="FF152E49"/>
        <rFont val="Arial"/>
        <family val="0"/>
        <charset val="1"/>
      </rPr>
      <t xml:space="preserve">S1 Note19/18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S3 </t>
    </r>
    <r>
      <rPr>
        <sz val="10"/>
        <color rgb="FF152E49"/>
        <rFont val="Noto Sans CJK SC"/>
        <family val="2"/>
      </rPr>
      <t xml:space="preserve">分部表；</t>
    </r>
    <r>
      <rPr>
        <sz val="10"/>
        <color rgb="FF152E49"/>
        <rFont val="Arial"/>
        <family val="0"/>
        <charset val="1"/>
      </rPr>
      <t xml:space="preserve">AI</t>
    </r>
    <r>
      <rPr>
        <sz val="10"/>
        <color rgb="FF152E49"/>
        <rFont val="Noto Sans CJK SC"/>
        <family val="2"/>
      </rPr>
      <t xml:space="preserve">更名</t>
    </r>
    <r>
      <rPr>
        <sz val="10"/>
        <color rgb="FF152E49"/>
        <rFont val="Arial"/>
        <family val="0"/>
        <charset val="1"/>
      </rPr>
      <t xml:space="preserve">SI</t>
    </r>
    <r>
      <rPr>
        <sz val="10"/>
        <color rgb="FF152E49"/>
        <rFont val="Noto Sans CJK SC"/>
        <family val="2"/>
      </rPr>
      <t xml:space="preserve">。</t>
    </r>
  </si>
  <si>
    <r>
      <rPr>
        <sz val="10"/>
        <color rgb="FF152E49"/>
        <rFont val="Noto Sans CJK SC"/>
        <family val="2"/>
      </rPr>
      <t xml:space="preserve">航天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成本</t>
    </r>
  </si>
  <si>
    <r>
      <rPr>
        <sz val="10"/>
        <color rgb="FF152E49"/>
        <rFont val="Noto Sans CJK SC"/>
        <family val="2"/>
      </rPr>
      <t xml:space="preserve">航天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毛利</t>
    </r>
  </si>
  <si>
    <r>
      <rPr>
        <sz val="10"/>
        <color rgb="FF152E49"/>
        <rFont val="Noto Sans CJK SC"/>
        <family val="2"/>
      </rPr>
      <t xml:space="preserve">航天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经营利润</t>
    </r>
  </si>
  <si>
    <r>
      <rPr>
        <sz val="10"/>
        <color rgb="FF152E49"/>
        <rFont val="Noto Sans CJK SC"/>
        <family val="2"/>
      </rPr>
      <t xml:space="preserve">连接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收入</t>
    </r>
  </si>
  <si>
    <r>
      <rPr>
        <sz val="10"/>
        <color rgb="FF152E49"/>
        <rFont val="Noto Sans CJK SC"/>
        <family val="2"/>
      </rPr>
      <t xml:space="preserve">连接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成本</t>
    </r>
  </si>
  <si>
    <r>
      <rPr>
        <sz val="10"/>
        <color rgb="FF152E49"/>
        <rFont val="Noto Sans CJK SC"/>
        <family val="2"/>
      </rPr>
      <t xml:space="preserve">连接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毛利</t>
    </r>
  </si>
  <si>
    <r>
      <rPr>
        <sz val="10"/>
        <color rgb="FF152E49"/>
        <rFont val="Noto Sans CJK SC"/>
        <family val="2"/>
      </rPr>
      <t xml:space="preserve">连接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经营利润</t>
    </r>
  </si>
  <si>
    <r>
      <rPr>
        <sz val="10"/>
        <color rgb="FF152E49"/>
        <rFont val="Noto Sans CJK SC"/>
        <family val="2"/>
      </rPr>
      <t xml:space="preserve">超级智能 </t>
    </r>
    <r>
      <rPr>
        <sz val="10"/>
        <color rgb="FF152E49"/>
        <rFont val="Arial"/>
        <family val="0"/>
        <charset val="1"/>
      </rPr>
      <t xml:space="preserve">SI / </t>
    </r>
    <r>
      <rPr>
        <sz val="10"/>
        <color rgb="FF152E49"/>
        <rFont val="Noto Sans CJK SC"/>
        <family val="2"/>
      </rPr>
      <t xml:space="preserve">收入</t>
    </r>
  </si>
  <si>
    <r>
      <rPr>
        <sz val="10"/>
        <color rgb="FF152E49"/>
        <rFont val="Noto Sans CJK SC"/>
        <family val="2"/>
      </rPr>
      <t xml:space="preserve">超级智能 </t>
    </r>
    <r>
      <rPr>
        <sz val="10"/>
        <color rgb="FF152E49"/>
        <rFont val="Arial"/>
        <family val="0"/>
        <charset val="1"/>
      </rPr>
      <t xml:space="preserve">SI / </t>
    </r>
    <r>
      <rPr>
        <sz val="10"/>
        <color rgb="FF152E49"/>
        <rFont val="Noto Sans CJK SC"/>
        <family val="2"/>
      </rPr>
      <t xml:space="preserve">成本</t>
    </r>
  </si>
  <si>
    <r>
      <rPr>
        <sz val="10"/>
        <color rgb="FF152E49"/>
        <rFont val="Noto Sans CJK SC"/>
        <family val="2"/>
      </rPr>
      <t xml:space="preserve">超级智能 </t>
    </r>
    <r>
      <rPr>
        <sz val="10"/>
        <color rgb="FF152E49"/>
        <rFont val="Arial"/>
        <family val="0"/>
        <charset val="1"/>
      </rPr>
      <t xml:space="preserve">SI / </t>
    </r>
    <r>
      <rPr>
        <sz val="10"/>
        <color rgb="FF152E49"/>
        <rFont val="Noto Sans CJK SC"/>
        <family val="2"/>
      </rPr>
      <t xml:space="preserve">毛利</t>
    </r>
  </si>
  <si>
    <r>
      <rPr>
        <sz val="10"/>
        <color rgb="FF152E49"/>
        <rFont val="Noto Sans CJK SC"/>
        <family val="2"/>
      </rPr>
      <t xml:space="preserve">超级智能 </t>
    </r>
    <r>
      <rPr>
        <sz val="10"/>
        <color rgb="FF152E49"/>
        <rFont val="Arial"/>
        <family val="0"/>
        <charset val="1"/>
      </rPr>
      <t xml:space="preserve">SI / </t>
    </r>
    <r>
      <rPr>
        <sz val="10"/>
        <color rgb="FF152E49"/>
        <rFont val="Noto Sans CJK SC"/>
        <family val="2"/>
      </rPr>
      <t xml:space="preserve">经营利润</t>
    </r>
  </si>
  <si>
    <r>
      <rPr>
        <sz val="10"/>
        <color rgb="FF152E49"/>
        <rFont val="Noto Sans CJK SC"/>
        <family val="2"/>
      </rPr>
      <t xml:space="preserve">汽车（含服务及其他）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收入</t>
    </r>
  </si>
  <si>
    <r>
      <rPr>
        <sz val="10"/>
        <color rgb="FF152E49"/>
        <rFont val="Arial"/>
        <family val="0"/>
        <charset val="1"/>
      </rPr>
      <t xml:space="preserve">T1 Note16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T2 Note14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T3 p27</t>
    </r>
    <r>
      <rPr>
        <sz val="10"/>
        <color rgb="FF152E49"/>
        <rFont val="Noto Sans CJK SC"/>
        <family val="2"/>
      </rPr>
      <t xml:space="preserve">。汽车含服务及其他，未披露分部经营利润。</t>
    </r>
  </si>
  <si>
    <r>
      <rPr>
        <sz val="10"/>
        <color rgb="FF152E49"/>
        <rFont val="Noto Sans CJK SC"/>
        <family val="2"/>
      </rPr>
      <t xml:space="preserve">汽车（含服务及其他）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成本</t>
    </r>
  </si>
  <si>
    <r>
      <rPr>
        <sz val="10"/>
        <color rgb="FF152E49"/>
        <rFont val="Noto Sans CJK SC"/>
        <family val="2"/>
      </rPr>
      <t xml:space="preserve">汽车（含服务及其他）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毛利</t>
    </r>
  </si>
  <si>
    <r>
      <rPr>
        <sz val="10"/>
        <color rgb="FF152E49"/>
        <rFont val="Noto Sans CJK SC"/>
        <family val="2"/>
      </rPr>
      <t xml:space="preserve">能源发电及储能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收入</t>
    </r>
  </si>
  <si>
    <r>
      <rPr>
        <sz val="10"/>
        <color rgb="FF152E49"/>
        <rFont val="Noto Sans CJK SC"/>
        <family val="2"/>
      </rPr>
      <t xml:space="preserve">能源发电及储能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成本</t>
    </r>
  </si>
  <si>
    <r>
      <rPr>
        <sz val="10"/>
        <color rgb="FF152E49"/>
        <rFont val="Noto Sans CJK SC"/>
        <family val="2"/>
      </rPr>
      <t xml:space="preserve">能源发电及储能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毛利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</si>
  <si>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经营费用（未分配到分部）</t>
    </r>
  </si>
  <si>
    <t xml:space="preserve">合计经营利润（桥接后）</t>
  </si>
  <si>
    <r>
      <rPr>
        <sz val="10"/>
        <color rgb="FF152E49"/>
        <rFont val="Noto Sans CJK SC"/>
        <family val="2"/>
      </rPr>
      <t xml:space="preserve">营收勾稽差（应为</t>
    </r>
    <r>
      <rPr>
        <sz val="10"/>
        <color rgb="FF152E49"/>
        <rFont val="Arial"/>
        <family val="0"/>
        <charset val="1"/>
      </rPr>
      <t xml:space="preserve">0</t>
    </r>
    <r>
      <rPr>
        <sz val="10"/>
        <color rgb="FF152E49"/>
        <rFont val="Noto Sans CJK SC"/>
        <family val="2"/>
      </rPr>
      <t xml:space="preserve">）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</si>
  <si>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分部利润为毛利；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分部利润为经营利润。先扣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未分配经营费用，再与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经营利润相加。不可将两种分部利润直接相加。</t>
    </r>
  </si>
  <si>
    <r>
      <rPr>
        <b val="true"/>
        <sz val="15"/>
        <color rgb="FFFFFFFF"/>
        <rFont val="Noto Sans CJK SC"/>
        <family val="2"/>
      </rPr>
      <t xml:space="preserve">行情输入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只使用完整交易日</t>
    </r>
  </si>
  <si>
    <t xml:space="preserve">日期</t>
  </si>
  <si>
    <r>
      <rPr>
        <b val="true"/>
        <sz val="10"/>
        <color rgb="FFFFFFFF"/>
        <rFont val="Arial"/>
        <family val="0"/>
        <charset val="1"/>
      </rPr>
      <t xml:space="preserve">SPCX</t>
    </r>
    <r>
      <rPr>
        <b val="true"/>
        <sz val="10"/>
        <color rgb="FFFFFFFF"/>
        <rFont val="Noto Sans CJK SC"/>
        <family val="2"/>
      </rPr>
      <t xml:space="preserve">收盘</t>
    </r>
  </si>
  <si>
    <r>
      <rPr>
        <b val="true"/>
        <sz val="10"/>
        <color rgb="FFFFFFFF"/>
        <rFont val="Arial"/>
        <family val="0"/>
        <charset val="1"/>
      </rPr>
      <t xml:space="preserve">SPCX</t>
    </r>
    <r>
      <rPr>
        <b val="true"/>
        <sz val="10"/>
        <color rgb="FFFFFFFF"/>
        <rFont val="Noto Sans CJK SC"/>
        <family val="2"/>
      </rPr>
      <t xml:space="preserve">成交量</t>
    </r>
  </si>
  <si>
    <r>
      <rPr>
        <b val="true"/>
        <sz val="10"/>
        <color rgb="FFFFFFFF"/>
        <rFont val="Arial"/>
        <family val="0"/>
        <charset val="1"/>
      </rPr>
      <t xml:space="preserve">TSLA</t>
    </r>
    <r>
      <rPr>
        <b val="true"/>
        <sz val="10"/>
        <color rgb="FFFFFFFF"/>
        <rFont val="Noto Sans CJK SC"/>
        <family val="2"/>
      </rPr>
      <t xml:space="preserve">收盘</t>
    </r>
  </si>
  <si>
    <r>
      <rPr>
        <b val="true"/>
        <sz val="10"/>
        <color rgb="FFFFFFFF"/>
        <rFont val="Arial"/>
        <family val="0"/>
        <charset val="1"/>
      </rPr>
      <t xml:space="preserve">TSLA</t>
    </r>
    <r>
      <rPr>
        <b val="true"/>
        <sz val="10"/>
        <color rgb="FFFFFFFF"/>
        <rFont val="Noto Sans CJK SC"/>
        <family val="2"/>
      </rPr>
      <t xml:space="preserve">成交量</t>
    </r>
  </si>
  <si>
    <r>
      <rPr>
        <b val="true"/>
        <sz val="10"/>
        <color rgb="FFFFFFFF"/>
        <rFont val="Arial"/>
        <family val="0"/>
        <charset val="1"/>
      </rPr>
      <t xml:space="preserve">SPCX</t>
    </r>
    <r>
      <rPr>
        <b val="true"/>
        <sz val="10"/>
        <color rgb="FFFFFFFF"/>
        <rFont val="Noto Sans CJK SC"/>
        <family val="2"/>
      </rPr>
      <t xml:space="preserve">收盘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Noto Sans CJK SC"/>
        <family val="2"/>
      </rPr>
      <t xml:space="preserve">量</t>
    </r>
  </si>
  <si>
    <r>
      <rPr>
        <b val="true"/>
        <sz val="10"/>
        <color rgb="FFFFFFFF"/>
        <rFont val="Arial"/>
        <family val="0"/>
        <charset val="1"/>
      </rPr>
      <t xml:space="preserve">TSLA</t>
    </r>
    <r>
      <rPr>
        <b val="true"/>
        <sz val="10"/>
        <color rgb="FFFFFFFF"/>
        <rFont val="Noto Sans CJK SC"/>
        <family val="2"/>
      </rPr>
      <t xml:space="preserve">收盘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Noto Sans CJK SC"/>
        <family val="2"/>
      </rPr>
      <t xml:space="preserve">量</t>
    </r>
  </si>
  <si>
    <t xml:space="preserve">出处</t>
  </si>
  <si>
    <t xml:space="preserve">2026-10-21</t>
  </si>
  <si>
    <r>
      <rPr>
        <sz val="10"/>
        <color rgb="FF152E49"/>
        <rFont val="Arial"/>
        <family val="0"/>
        <charset val="1"/>
      </rPr>
      <t xml:space="preserve">M1/M2</t>
    </r>
    <r>
      <rPr>
        <sz val="10"/>
        <color rgb="FF152E49"/>
        <rFont val="Noto Sans CJK SC"/>
        <family val="2"/>
      </rPr>
      <t xml:space="preserve">：</t>
    </r>
    <r>
      <rPr>
        <sz val="10"/>
        <color rgb="FF152E49"/>
        <rFont val="Arial"/>
        <family val="0"/>
        <charset val="1"/>
      </rPr>
      <t xml:space="preserve">Stock Analysis</t>
    </r>
    <r>
      <rPr>
        <sz val="10"/>
        <color rgb="FF152E49"/>
        <rFont val="Noto Sans CJK SC"/>
        <family val="2"/>
      </rPr>
      <t xml:space="preserve">历史行情；</t>
    </r>
    <r>
      <rPr>
        <sz val="10"/>
        <color rgb="FF152E49"/>
        <rFont val="Arial"/>
        <family val="0"/>
        <charset val="1"/>
      </rPr>
      <t xml:space="preserve">2026-10-22</t>
    </r>
    <r>
      <rPr>
        <sz val="10"/>
        <color rgb="FF152E49"/>
        <rFont val="Noto Sans CJK SC"/>
        <family val="2"/>
      </rPr>
      <t xml:space="preserve">访问</t>
    </r>
  </si>
  <si>
    <t xml:space="preserve">2026-10-20</t>
  </si>
  <si>
    <t xml:space="preserve">2026-10-19</t>
  </si>
  <si>
    <t xml:space="preserve">2026-10-16</t>
  </si>
  <si>
    <t xml:space="preserve">2026-10-15</t>
  </si>
  <si>
    <t xml:space="preserve">2026-10-14</t>
  </si>
  <si>
    <t xml:space="preserve">2026-10-13</t>
  </si>
  <si>
    <t xml:space="preserve">2026-10-12</t>
  </si>
  <si>
    <t xml:space="preserve">2026-10-09</t>
  </si>
  <si>
    <t xml:space="preserve">2026-10-08</t>
  </si>
  <si>
    <t xml:space="preserve">2026-10-07</t>
  </si>
  <si>
    <t xml:space="preserve">2026-10-06</t>
  </si>
  <si>
    <t xml:space="preserve">2026-10-05</t>
  </si>
  <si>
    <t xml:space="preserve">2026-10-02</t>
  </si>
  <si>
    <t xml:space="preserve">2026-10-01</t>
  </si>
  <si>
    <t xml:space="preserve">2026-09-30</t>
  </si>
  <si>
    <t xml:space="preserve">2026-09-29</t>
  </si>
  <si>
    <t xml:space="preserve">2026-09-28</t>
  </si>
  <si>
    <t xml:space="preserve">2026-09-25</t>
  </si>
  <si>
    <t xml:space="preserve">2026-09-24</t>
  </si>
  <si>
    <r>
      <rPr>
        <sz val="10"/>
        <color rgb="FF152E49"/>
        <rFont val="Arial"/>
        <family val="0"/>
        <charset val="1"/>
      </rPr>
      <t xml:space="preserve">20</t>
    </r>
    <r>
      <rPr>
        <sz val="10"/>
        <color rgb="FF152E49"/>
        <rFont val="Noto Sans CJK SC"/>
        <family val="2"/>
      </rPr>
      <t xml:space="preserve">日加权近似</t>
    </r>
  </si>
  <si>
    <r>
      <rPr>
        <sz val="10"/>
        <color rgb="FF152E49"/>
        <rFont val="Noto Sans CJK SC"/>
        <family val="2"/>
      </rPr>
      <t xml:space="preserve">近似值</t>
    </r>
    <r>
      <rPr>
        <sz val="10"/>
        <color rgb="FF152E49"/>
        <rFont val="Arial"/>
        <family val="0"/>
        <charset val="1"/>
      </rPr>
      <t xml:space="preserve">=Σ</t>
    </r>
    <r>
      <rPr>
        <sz val="10"/>
        <color rgb="FF152E49"/>
        <rFont val="Noto Sans CJK SC"/>
        <family val="2"/>
      </rPr>
      <t xml:space="preserve">（日收盘价</t>
    </r>
    <r>
      <rPr>
        <sz val="10"/>
        <color rgb="FF152E49"/>
        <rFont val="Arial"/>
        <family val="0"/>
        <charset val="1"/>
      </rPr>
      <t xml:space="preserve">×</t>
    </r>
    <r>
      <rPr>
        <sz val="10"/>
        <color rgb="FF152E49"/>
        <rFont val="Noto Sans CJK SC"/>
        <family val="2"/>
      </rPr>
      <t xml:space="preserve">日成交量）</t>
    </r>
    <r>
      <rPr>
        <sz val="10"/>
        <color rgb="FF152E49"/>
        <rFont val="Arial"/>
        <family val="0"/>
        <charset val="1"/>
      </rPr>
      <t xml:space="preserve">/Σ</t>
    </r>
    <r>
      <rPr>
        <sz val="10"/>
        <color rgb="FF152E49"/>
        <rFont val="Noto Sans CJK SC"/>
        <family val="2"/>
      </rPr>
      <t xml:space="preserve">（日成交量）。不是逐笔</t>
    </r>
    <r>
      <rPr>
        <sz val="10"/>
        <color rgb="FF152E49"/>
        <rFont val="Arial"/>
        <family val="0"/>
        <charset val="1"/>
      </rPr>
      <t xml:space="preserve">VWAP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20</t>
    </r>
    <r>
      <rPr>
        <sz val="10"/>
        <color rgb="FF152E49"/>
        <rFont val="Noto Sans CJK SC"/>
        <family val="2"/>
      </rPr>
      <t xml:space="preserve">日窗口</t>
    </r>
    <r>
      <rPr>
        <sz val="10"/>
        <color rgb="FF152E49"/>
        <rFont val="Arial"/>
        <family val="0"/>
        <charset val="1"/>
      </rPr>
      <t xml:space="preserve">2026-09-24</t>
    </r>
    <r>
      <rPr>
        <sz val="10"/>
        <color rgb="FF152E49"/>
        <rFont val="Noto Sans CJK SC"/>
        <family val="2"/>
      </rPr>
      <t xml:space="preserve">至</t>
    </r>
    <r>
      <rPr>
        <sz val="10"/>
        <color rgb="FF152E49"/>
        <rFont val="Arial"/>
        <family val="0"/>
        <charset val="1"/>
      </rPr>
      <t xml:space="preserve">2026-10-21</t>
    </r>
    <r>
      <rPr>
        <sz val="10"/>
        <color rgb="FF152E49"/>
        <rFont val="Noto Sans CJK SC"/>
        <family val="2"/>
      </rPr>
      <t xml:space="preserve">。若获交易所逐笔数据，应替换。</t>
    </r>
  </si>
  <si>
    <t xml:space="preserve">交易对账与抵销路线</t>
  </si>
  <si>
    <r>
      <rPr>
        <b val="true"/>
        <sz val="10"/>
        <color rgb="FFFFFFFF"/>
        <rFont val="Noto Sans CJK SC"/>
        <family val="2"/>
      </rPr>
      <t xml:space="preserve">交易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余额</t>
    </r>
  </si>
  <si>
    <t xml:space="preserve">披露金额</t>
  </si>
  <si>
    <t xml:space="preserve">比较金额</t>
  </si>
  <si>
    <t xml:space="preserve">来源</t>
  </si>
  <si>
    <t xml:space="preserve">处理</t>
  </si>
  <si>
    <t xml:space="preserve">局限</t>
  </si>
  <si>
    <r>
      <rPr>
        <sz val="10"/>
        <color rgb="FF152E49"/>
        <rFont val="Arial"/>
        <family val="0"/>
        <charset val="1"/>
      </rPr>
      <t xml:space="preserve">Megapack</t>
    </r>
    <r>
      <rPr>
        <sz val="10"/>
        <color rgb="FF152E49"/>
        <rFont val="Noto Sans CJK SC"/>
        <family val="2"/>
      </rPr>
      <t xml:space="preserve">销售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成本</t>
    </r>
  </si>
  <si>
    <t xml:space="preserve">Q3 2026</t>
  </si>
  <si>
    <t xml:space="preserve">T2 Note13</t>
  </si>
  <si>
    <r>
      <rPr>
        <sz val="10"/>
        <color rgb="FF152E49"/>
        <rFont val="Noto Sans CJK SC"/>
        <family val="2"/>
      </rPr>
      <t xml:space="preserve">抵销</t>
    </r>
    <r>
      <rPr>
        <sz val="10"/>
        <color rgb="FF152E49"/>
        <rFont val="Arial"/>
        <family val="0"/>
        <charset val="1"/>
      </rPr>
      <t xml:space="preserve">221</t>
    </r>
    <r>
      <rPr>
        <sz val="10"/>
        <color rgb="FF152E49"/>
        <rFont val="Noto Sans CJK SC"/>
        <family val="2"/>
      </rPr>
      <t xml:space="preserve">收入、</t>
    </r>
    <r>
      <rPr>
        <sz val="10"/>
        <color rgb="FF152E49"/>
        <rFont val="Arial"/>
        <family val="0"/>
        <charset val="1"/>
      </rPr>
      <t xml:space="preserve">171</t>
    </r>
    <r>
      <rPr>
        <sz val="10"/>
        <color rgb="FF152E49"/>
        <rFont val="Noto Sans CJK SC"/>
        <family val="2"/>
      </rPr>
      <t xml:space="preserve">成本，</t>
    </r>
    <r>
      <rPr>
        <sz val="10"/>
        <color rgb="FF152E49"/>
        <rFont val="Arial"/>
        <family val="0"/>
        <charset val="1"/>
      </rPr>
      <t xml:space="preserve">50</t>
    </r>
    <r>
      <rPr>
        <sz val="10"/>
        <color rgb="FF152E49"/>
        <rFont val="Noto Sans CJK SC"/>
        <family val="2"/>
      </rPr>
      <t xml:space="preserve">内部毛利从资产及利润扣除</t>
    </r>
  </si>
  <si>
    <r>
      <rPr>
        <sz val="10"/>
        <color rgb="FF152E49"/>
        <rFont val="Noto Sans CJK SC"/>
        <family val="2"/>
      </rPr>
      <t xml:space="preserve">设备在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资本化；并非冲收入又重复冲</t>
    </r>
    <r>
      <rPr>
        <sz val="10"/>
        <color rgb="FF152E49"/>
        <rFont val="Arial"/>
        <family val="0"/>
        <charset val="1"/>
      </rPr>
      <t xml:space="preserve">221</t>
    </r>
    <r>
      <rPr>
        <sz val="10"/>
        <color rgb="FF152E49"/>
        <rFont val="Noto Sans CJK SC"/>
        <family val="2"/>
      </rPr>
      <t xml:space="preserve">费用</t>
    </r>
  </si>
  <si>
    <r>
      <rPr>
        <sz val="10"/>
        <color rgb="FF152E49"/>
        <rFont val="Noto Sans CJK SC"/>
        <family val="2"/>
      </rPr>
      <t xml:space="preserve">抵销</t>
    </r>
    <r>
      <rPr>
        <sz val="10"/>
        <color rgb="FF152E49"/>
        <rFont val="Arial"/>
        <family val="0"/>
        <charset val="1"/>
      </rPr>
      <t xml:space="preserve">626</t>
    </r>
    <r>
      <rPr>
        <sz val="10"/>
        <color rgb="FF152E49"/>
        <rFont val="Noto Sans CJK SC"/>
        <family val="2"/>
      </rPr>
      <t xml:space="preserve">收入、</t>
    </r>
    <r>
      <rPr>
        <sz val="10"/>
        <color rgb="FF152E49"/>
        <rFont val="Arial"/>
        <family val="0"/>
        <charset val="1"/>
      </rPr>
      <t xml:space="preserve">478</t>
    </r>
    <r>
      <rPr>
        <sz val="10"/>
        <color rgb="FF152E49"/>
        <rFont val="Noto Sans CJK SC"/>
        <family val="2"/>
      </rPr>
      <t xml:space="preserve">成本；内部毛利</t>
    </r>
    <r>
      <rPr>
        <sz val="10"/>
        <color rgb="FF152E49"/>
        <rFont val="Arial"/>
        <family val="0"/>
        <charset val="1"/>
      </rPr>
      <t xml:space="preserve">148</t>
    </r>
  </si>
  <si>
    <t xml:space="preserve">未考虑折旧、税务回转和历史毛利，单列假设</t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</si>
  <si>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关联资本采购现金流</t>
    </r>
  </si>
  <si>
    <t xml:space="preserve">9M26 / 6M26</t>
  </si>
  <si>
    <r>
      <rPr>
        <sz val="10"/>
        <color rgb="FF152E49"/>
        <rFont val="Arial"/>
        <family val="0"/>
        <charset val="1"/>
      </rPr>
      <t xml:space="preserve">S3 p12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S2 Note17</t>
    </r>
  </si>
  <si>
    <r>
      <rPr>
        <sz val="10"/>
        <color rgb="FF152E49"/>
        <rFont val="Arial"/>
        <family val="0"/>
        <charset val="1"/>
      </rPr>
      <t xml:space="preserve">151</t>
    </r>
    <r>
      <rPr>
        <sz val="10"/>
        <color rgb="FF152E49"/>
        <rFont val="Noto Sans CJK SC"/>
        <family val="2"/>
      </rPr>
      <t xml:space="preserve">为</t>
    </r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差分；经营现金流与资本开支等额重分类</t>
    </r>
  </si>
  <si>
    <r>
      <rPr>
        <sz val="10"/>
        <color rgb="FF152E49"/>
        <rFont val="Arial"/>
        <family val="0"/>
        <charset val="1"/>
      </rPr>
      <t xml:space="preserve">9M</t>
    </r>
    <r>
      <rPr>
        <sz val="10"/>
        <color rgb="FF152E49"/>
        <rFont val="Noto Sans CJK SC"/>
        <family val="2"/>
      </rPr>
      <t xml:space="preserve">现金</t>
    </r>
    <r>
      <rPr>
        <sz val="10"/>
        <color rgb="FF152E49"/>
        <rFont val="Arial"/>
        <family val="0"/>
        <charset val="1"/>
      </rPr>
      <t xml:space="preserve">480 vs Tesla</t>
    </r>
    <r>
      <rPr>
        <sz val="10"/>
        <color rgb="FF152E49"/>
        <rFont val="Noto Sans CJK SC"/>
        <family val="2"/>
      </rPr>
      <t xml:space="preserve">收入</t>
    </r>
    <r>
      <rPr>
        <sz val="10"/>
        <color rgb="FF152E49"/>
        <rFont val="Arial"/>
        <family val="0"/>
        <charset val="1"/>
      </rPr>
      <t xml:space="preserve">626</t>
    </r>
    <r>
      <rPr>
        <sz val="10"/>
        <color rgb="FF152E49"/>
        <rFont val="Noto Sans CJK SC"/>
        <family val="2"/>
      </rPr>
      <t xml:space="preserve">；需区分应计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现金、验收及预付</t>
    </r>
  </si>
  <si>
    <r>
      <rPr>
        <sz val="10"/>
        <color rgb="FF152E49"/>
        <rFont val="Noto Sans CJK SC"/>
        <family val="2"/>
      </rPr>
      <t xml:space="preserve">对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应收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未交货开票</t>
    </r>
  </si>
  <si>
    <r>
      <rPr>
        <sz val="10"/>
        <color rgb="FF152E49"/>
        <rFont val="Arial"/>
        <family val="0"/>
        <charset val="1"/>
      </rPr>
      <t xml:space="preserve">729−588=141</t>
    </r>
    <r>
      <rPr>
        <sz val="10"/>
        <color rgb="FF152E49"/>
        <rFont val="Noto Sans CJK SC"/>
        <family val="2"/>
      </rPr>
      <t xml:space="preserve">为已交货净核对起点；双边确认后抵销应收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应付</t>
    </r>
  </si>
  <si>
    <r>
      <rPr>
        <sz val="10"/>
        <color rgb="FF152E49"/>
        <rFont val="Noto Sans CJK SC"/>
        <family val="2"/>
      </rPr>
      <t xml:space="preserve">不能将</t>
    </r>
    <r>
      <rPr>
        <sz val="10"/>
        <color rgb="FF152E49"/>
        <rFont val="Arial"/>
        <family val="0"/>
        <charset val="1"/>
      </rPr>
      <t xml:space="preserve">729</t>
    </r>
    <r>
      <rPr>
        <sz val="10"/>
        <color rgb="FF152E49"/>
        <rFont val="Noto Sans CJK SC"/>
        <family val="2"/>
      </rPr>
      <t xml:space="preserve">全部视为已交货；也不能将</t>
    </r>
    <r>
      <rPr>
        <sz val="10"/>
        <color rgb="FF152E49"/>
        <rFont val="Arial"/>
        <family val="0"/>
        <charset val="1"/>
      </rPr>
      <t xml:space="preserve">141</t>
    </r>
    <r>
      <rPr>
        <sz val="10"/>
        <color rgb="FF152E49"/>
        <rFont val="Noto Sans CJK SC"/>
        <family val="2"/>
      </rPr>
      <t xml:space="preserve">当已确认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应付</t>
    </r>
  </si>
  <si>
    <r>
      <rPr>
        <sz val="10"/>
        <color rgb="FF152E49"/>
        <rFont val="Noto Sans CJK SC"/>
        <family val="2"/>
      </rPr>
      <t xml:space="preserve">递延收入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未交货开票</t>
    </r>
  </si>
  <si>
    <r>
      <rPr>
        <sz val="10"/>
        <color rgb="FF152E49"/>
        <rFont val="Arial"/>
        <family val="0"/>
        <charset val="1"/>
      </rPr>
      <t xml:space="preserve">648−588=60</t>
    </r>
    <r>
      <rPr>
        <sz val="10"/>
        <color rgb="FF152E49"/>
        <rFont val="Noto Sans CJK SC"/>
        <family val="2"/>
      </rPr>
      <t xml:space="preserve">；按已收预付款与对方预付资产逐项核对</t>
    </r>
  </si>
  <si>
    <r>
      <rPr>
        <sz val="10"/>
        <color rgb="FF152E49"/>
        <rFont val="Noto Sans CJK SC"/>
        <family val="2"/>
      </rPr>
      <t xml:space="preserve">当前</t>
    </r>
    <r>
      <rPr>
        <sz val="10"/>
        <color rgb="FF152E49"/>
        <rFont val="Arial"/>
        <family val="0"/>
        <charset val="1"/>
      </rPr>
      <t xml:space="preserve">516/</t>
    </r>
    <r>
      <rPr>
        <sz val="10"/>
        <color rgb="FF152E49"/>
        <rFont val="Noto Sans CJK SC"/>
        <family val="2"/>
      </rPr>
      <t xml:space="preserve">长期</t>
    </r>
    <r>
      <rPr>
        <sz val="10"/>
        <color rgb="FF152E49"/>
        <rFont val="Arial"/>
        <family val="0"/>
        <charset val="1"/>
      </rPr>
      <t xml:space="preserve">132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60</t>
    </r>
    <r>
      <rPr>
        <sz val="10"/>
        <color rgb="FF152E49"/>
        <rFont val="Noto Sans CJK SC"/>
        <family val="2"/>
      </rPr>
      <t xml:space="preserve">并不自动等于可抵销现金预付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</si>
  <si>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持有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投资</t>
    </r>
  </si>
  <si>
    <t xml:space="preserve">—</t>
  </si>
  <si>
    <r>
      <rPr>
        <sz val="10"/>
        <color rgb="FF152E49"/>
        <rFont val="Arial"/>
        <family val="0"/>
        <charset val="1"/>
      </rPr>
      <t xml:space="preserve">T2 Note2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S1 F61</t>
    </r>
  </si>
  <si>
    <r>
      <rPr>
        <sz val="10"/>
        <color rgb="FF152E49"/>
        <rFont val="Noto Sans CJK SC"/>
        <family val="2"/>
      </rPr>
      <t xml:space="preserve">账面投资</t>
    </r>
    <r>
      <rPr>
        <sz val="10"/>
        <color rgb="FF152E49"/>
        <rFont val="Arial"/>
        <family val="0"/>
        <charset val="1"/>
      </rPr>
      <t xml:space="preserve">2,865</t>
    </r>
    <r>
      <rPr>
        <sz val="10"/>
        <color rgb="FF152E49"/>
        <rFont val="Noto Sans CJK SC"/>
        <family val="2"/>
      </rPr>
      <t xml:space="preserve">与权益抵销；模型注销约</t>
    </r>
    <r>
      <rPr>
        <sz val="10"/>
        <color rgb="FF152E49"/>
        <rFont val="Arial"/>
        <family val="0"/>
        <charset val="1"/>
      </rPr>
      <t xml:space="preserve">19</t>
    </r>
    <r>
      <rPr>
        <sz val="10"/>
        <color rgb="FF152E49"/>
        <rFont val="Noto Sans CJK SC"/>
        <family val="2"/>
      </rPr>
      <t xml:space="preserve">百万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</t>
    </r>
  </si>
  <si>
    <t xml:space="preserve">股数为拆股后估算；投资账面值不是用于定价的市值</t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</si>
  <si>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股权重估收益</t>
    </r>
  </si>
  <si>
    <t xml:space="preserve">Q3 / 9M26</t>
  </si>
  <si>
    <r>
      <rPr>
        <sz val="10"/>
        <color rgb="FF152E49"/>
        <rFont val="Arial"/>
        <family val="0"/>
        <charset val="1"/>
      </rPr>
      <t xml:space="preserve">T2 Note2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T3 p30</t>
    </r>
  </si>
  <si>
    <r>
      <rPr>
        <sz val="10"/>
        <color rgb="FF152E49"/>
        <rFont val="Noto Sans CJK SC"/>
        <family val="2"/>
      </rPr>
      <t xml:space="preserve">税前−</t>
    </r>
    <r>
      <rPr>
        <sz val="10"/>
        <color rgb="FF152E49"/>
        <rFont val="Arial"/>
        <family val="0"/>
        <charset val="1"/>
      </rPr>
      <t xml:space="preserve">142/863</t>
    </r>
    <r>
      <rPr>
        <sz val="10"/>
        <color rgb="FF152E49"/>
        <rFont val="Noto Sans CJK SC"/>
        <family val="2"/>
      </rPr>
      <t xml:space="preserve">应剔除；实际税后−</t>
    </r>
    <r>
      <rPr>
        <sz val="10"/>
        <color rgb="FF152E49"/>
        <rFont val="Arial"/>
        <family val="0"/>
        <charset val="1"/>
      </rPr>
      <t xml:space="preserve">108/655</t>
    </r>
    <r>
      <rPr>
        <sz val="10"/>
        <color rgb="FF152E49"/>
        <rFont val="Noto Sans CJK SC"/>
        <family val="2"/>
      </rPr>
      <t xml:space="preserve">用于净利润调整</t>
    </r>
  </si>
  <si>
    <t xml:space="preserve">合并后不能确认自身权益工具价格变动收益</t>
  </si>
  <si>
    <r>
      <rPr>
        <sz val="10"/>
        <color rgb="FF152E49"/>
        <rFont val="Arial"/>
        <family val="0"/>
        <charset val="1"/>
      </rPr>
      <t xml:space="preserve">Valor</t>
    </r>
    <r>
      <rPr>
        <sz val="10"/>
        <color rgb="FF152E49"/>
        <rFont val="Noto Sans CJK SC"/>
        <family val="2"/>
      </rPr>
      <t xml:space="preserve">关联债务</t>
    </r>
  </si>
  <si>
    <r>
      <rPr>
        <sz val="10"/>
        <color rgb="FF152E49"/>
        <rFont val="Arial"/>
        <family val="0"/>
        <charset val="1"/>
      </rPr>
      <t xml:space="preserve">S3 p11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S2 Note17</t>
    </r>
  </si>
  <si>
    <r>
      <rPr>
        <sz val="10"/>
        <color rgb="FF152E49"/>
        <rFont val="Noto Sans CJK SC"/>
        <family val="2"/>
      </rPr>
      <t xml:space="preserve">保留：</t>
    </r>
    <r>
      <rPr>
        <sz val="10"/>
        <color rgb="FF152E49"/>
        <rFont val="Arial"/>
        <family val="0"/>
        <charset val="1"/>
      </rPr>
      <t xml:space="preserve">Valor</t>
    </r>
    <r>
      <rPr>
        <sz val="10"/>
        <color rgb="FF152E49"/>
        <rFont val="Noto Sans CJK SC"/>
        <family val="2"/>
      </rPr>
      <t xml:space="preserve">不在合并范围；总</t>
    </r>
    <r>
      <rPr>
        <sz val="10"/>
        <color rgb="FF152E49"/>
        <rFont val="Arial"/>
        <family val="0"/>
        <charset val="1"/>
      </rPr>
      <t xml:space="preserve">12,897</t>
    </r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</si>
  <si>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关联对手归属需以完整</t>
    </r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季报再确认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</si>
  <si>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关联利息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其他收益</t>
    </r>
  </si>
  <si>
    <t xml:space="preserve">S3 p9</t>
  </si>
  <si>
    <r>
      <rPr>
        <sz val="10"/>
        <color rgb="FF152E49"/>
        <rFont val="Arial"/>
        <family val="0"/>
        <charset val="1"/>
      </rPr>
      <t xml:space="preserve">351</t>
    </r>
    <r>
      <rPr>
        <sz val="10"/>
        <color rgb="FF152E49"/>
        <rFont val="Noto Sans CJK SC"/>
        <family val="2"/>
      </rPr>
      <t xml:space="preserve">利息、</t>
    </r>
    <r>
      <rPr>
        <sz val="10"/>
        <color rgb="FF152E49"/>
        <rFont val="Arial"/>
        <family val="0"/>
        <charset val="1"/>
      </rPr>
      <t xml:space="preserve">561</t>
    </r>
    <r>
      <rPr>
        <sz val="10"/>
        <color rgb="FF152E49"/>
        <rFont val="Noto Sans CJK SC"/>
        <family val="2"/>
      </rPr>
      <t xml:space="preserve">其他收益不可因“关联”二字全部抵销</t>
    </r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</si>
  <si>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公告未充分标明</t>
    </r>
    <r>
      <rPr>
        <sz val="10"/>
        <color rgb="FF152E49"/>
        <rFont val="Arial"/>
        <family val="0"/>
        <charset val="1"/>
      </rPr>
      <t xml:space="preserve">561</t>
    </r>
    <r>
      <rPr>
        <sz val="10"/>
        <color rgb="FF152E49"/>
        <rFont val="Noto Sans CJK SC"/>
        <family val="2"/>
      </rPr>
      <t xml:space="preserve">的对手与交易性质</t>
    </r>
  </si>
  <si>
    <r>
      <rPr>
        <sz val="10"/>
        <color rgb="FF152E49"/>
        <rFont val="Arial"/>
        <family val="0"/>
        <charset val="1"/>
      </rPr>
      <t xml:space="preserve">Megapack / Cybertruck</t>
    </r>
    <r>
      <rPr>
        <sz val="10"/>
        <color rgb="FF152E49"/>
        <rFont val="Noto Sans CJK SC"/>
        <family val="2"/>
      </rPr>
      <t xml:space="preserve">采购</t>
    </r>
  </si>
  <si>
    <t xml:space="preserve">S1 Note18 F57</t>
  </si>
  <si>
    <t xml:space="preserve">追溯对账历史资产成本及未实现毛利</t>
  </si>
  <si>
    <r>
      <rPr>
        <sz val="10"/>
        <color rgb="FF152E49"/>
        <rFont val="Noto Sans CJK SC"/>
        <family val="2"/>
      </rPr>
      <t xml:space="preserve">与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披露收入存在时点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分类差异，禁止直接硬配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</si>
  <si>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向</t>
    </r>
    <r>
      <rPr>
        <sz val="10"/>
        <color rgb="FF152E49"/>
        <rFont val="Arial"/>
        <family val="0"/>
        <charset val="1"/>
      </rPr>
      <t xml:space="preserve">SpaceX / xAI</t>
    </r>
    <r>
      <rPr>
        <sz val="10"/>
        <color rgb="FF152E49"/>
        <rFont val="Noto Sans CJK SC"/>
        <family val="2"/>
      </rPr>
      <t xml:space="preserve">销售</t>
    </r>
  </si>
  <si>
    <t xml:space="preserve">T4 Related Person Transactions</t>
  </si>
  <si>
    <r>
      <rPr>
        <sz val="10"/>
        <color rgb="FF152E49"/>
        <rFont val="Noto Sans CJK SC"/>
        <family val="2"/>
      </rPr>
      <t xml:space="preserve">历史收入需去重抵销；未进</t>
    </r>
    <r>
      <rPr>
        <sz val="10"/>
        <color rgb="FF152E49"/>
        <rFont val="Arial"/>
        <family val="0"/>
        <charset val="1"/>
      </rPr>
      <t xml:space="preserve">Q3/9M26</t>
    </r>
    <r>
      <rPr>
        <sz val="10"/>
        <color rgb="FF152E49"/>
        <rFont val="Noto Sans CJK SC"/>
        <family val="2"/>
      </rPr>
      <t xml:space="preserve">本期金额</t>
    </r>
  </si>
  <si>
    <r>
      <rPr>
        <sz val="10"/>
        <color rgb="FF152E49"/>
        <rFont val="Arial"/>
        <family val="0"/>
        <charset val="1"/>
      </rPr>
      <t xml:space="preserve">FY25</t>
    </r>
    <r>
      <rPr>
        <sz val="10"/>
        <color rgb="FF152E49"/>
        <rFont val="Noto Sans CJK SC"/>
        <family val="2"/>
      </rPr>
      <t xml:space="preserve">收入</t>
    </r>
    <r>
      <rPr>
        <sz val="10"/>
        <color rgb="FF152E49"/>
        <rFont val="Arial"/>
        <family val="0"/>
        <charset val="1"/>
      </rPr>
      <t xml:space="preserve">573.4</t>
    </r>
    <r>
      <rPr>
        <sz val="10"/>
        <color rgb="FF152E49"/>
        <rFont val="Noto Sans CJK SC"/>
        <family val="2"/>
      </rPr>
      <t xml:space="preserve">与</t>
    </r>
    <r>
      <rPr>
        <sz val="10"/>
        <color rgb="FF152E49"/>
        <rFont val="Arial"/>
        <family val="0"/>
        <charset val="1"/>
      </rPr>
      <t xml:space="preserve">637</t>
    </r>
    <r>
      <rPr>
        <sz val="10"/>
        <color rgb="FF152E49"/>
        <rFont val="Noto Sans CJK SC"/>
        <family val="2"/>
      </rPr>
      <t xml:space="preserve">采购不一致；历史成本明细不足</t>
    </r>
  </si>
  <si>
    <r>
      <rPr>
        <sz val="10"/>
        <color rgb="FF152E49"/>
        <rFont val="Noto Sans CJK SC"/>
        <family val="2"/>
      </rPr>
      <t xml:space="preserve">商业支持支出：</t>
    </r>
    <r>
      <rPr>
        <sz val="10"/>
        <color rgb="FF152E49"/>
        <rFont val="Arial"/>
        <family val="0"/>
        <charset val="1"/>
      </rPr>
      <t xml:space="preserve">SpaceX / xAI</t>
    </r>
  </si>
  <si>
    <r>
      <rPr>
        <sz val="10"/>
        <color rgb="FF152E49"/>
        <rFont val="Noto Sans CJK SC"/>
        <family val="2"/>
      </rPr>
      <t xml:space="preserve">合并范围内费用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收入成对抵销，核对重叠</t>
    </r>
  </si>
  <si>
    <r>
      <rPr>
        <sz val="10"/>
        <color rgb="FF152E49"/>
        <rFont val="Arial"/>
        <family val="0"/>
        <charset val="1"/>
      </rPr>
      <t xml:space="preserve">11.4</t>
    </r>
    <r>
      <rPr>
        <sz val="10"/>
        <color rgb="FF152E49"/>
        <rFont val="Noto Sans CJK SC"/>
        <family val="2"/>
      </rPr>
      <t xml:space="preserve">与</t>
    </r>
    <r>
      <rPr>
        <sz val="10"/>
        <color rgb="FF152E49"/>
        <rFont val="Arial"/>
        <family val="0"/>
        <charset val="1"/>
      </rPr>
      <t xml:space="preserve">4.0</t>
    </r>
    <r>
      <rPr>
        <sz val="10"/>
        <color rgb="FF152E49"/>
        <rFont val="Noto Sans CJK SC"/>
        <family val="2"/>
      </rPr>
      <t xml:space="preserve">可能与其他披露包含关系待核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</si>
  <si>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飞机 </t>
    </r>
    <r>
      <rPr>
        <sz val="10"/>
        <color rgb="FF152E49"/>
        <rFont val="Arial"/>
        <family val="0"/>
        <charset val="1"/>
      </rPr>
      <t xml:space="preserve">/ X</t>
    </r>
    <r>
      <rPr>
        <sz val="10"/>
        <color rgb="FF152E49"/>
        <rFont val="Noto Sans CJK SC"/>
        <family val="2"/>
      </rPr>
      <t xml:space="preserve">广告</t>
    </r>
  </si>
  <si>
    <t xml:space="preserve">同在合并范围，核对后抵销费用与对方收入</t>
  </si>
  <si>
    <r>
      <rPr>
        <sz val="10"/>
        <color rgb="FF152E49"/>
        <rFont val="Noto Sans CJK SC"/>
        <family val="2"/>
      </rPr>
      <t xml:space="preserve">不在模型的</t>
    </r>
    <r>
      <rPr>
        <sz val="10"/>
        <color rgb="FF152E49"/>
        <rFont val="Arial"/>
        <family val="0"/>
        <charset val="1"/>
      </rPr>
      <t xml:space="preserve">2026</t>
    </r>
    <r>
      <rPr>
        <sz val="10"/>
        <color rgb="FF152E49"/>
        <rFont val="Noto Sans CJK SC"/>
        <family val="2"/>
      </rPr>
      <t xml:space="preserve">已知抵销额中</t>
    </r>
  </si>
  <si>
    <r>
      <rPr>
        <sz val="10"/>
        <color rgb="FF152E49"/>
        <rFont val="Arial"/>
        <family val="0"/>
        <charset val="1"/>
      </rPr>
      <t xml:space="preserve">TBC / Musk</t>
    </r>
    <r>
      <rPr>
        <sz val="10"/>
        <color rgb="FF152E49"/>
        <rFont val="Noto Sans CJK SC"/>
        <family val="2"/>
      </rPr>
      <t xml:space="preserve">安保公司支出</t>
    </r>
  </si>
  <si>
    <t xml:space="preserve">保留外部关联方交易；不合并这些企业</t>
  </si>
  <si>
    <t xml:space="preserve">关联交易定价与治理需独立审查</t>
  </si>
  <si>
    <r>
      <rPr>
        <sz val="10"/>
        <color rgb="FF152E49"/>
        <rFont val="Arial"/>
        <family val="0"/>
        <charset val="1"/>
      </rPr>
      <t xml:space="preserve">Redwood</t>
    </r>
    <r>
      <rPr>
        <sz val="10"/>
        <color rgb="FF152E49"/>
        <rFont val="Noto Sans CJK SC"/>
        <family val="2"/>
      </rPr>
      <t xml:space="preserve">支出 </t>
    </r>
    <r>
      <rPr>
        <sz val="10"/>
        <color rgb="FF152E49"/>
        <rFont val="Arial"/>
        <family val="0"/>
        <charset val="1"/>
      </rPr>
      <t xml:space="preserve">/ </t>
    </r>
    <r>
      <rPr>
        <sz val="10"/>
        <color rgb="FF152E49"/>
        <rFont val="Noto Sans CJK SC"/>
        <family val="2"/>
      </rPr>
      <t xml:space="preserve">废料成本冲减</t>
    </r>
  </si>
  <si>
    <r>
      <rPr>
        <sz val="10"/>
        <color rgb="FF152E49"/>
        <rFont val="Noto Sans CJK SC"/>
        <family val="2"/>
      </rPr>
      <t xml:space="preserve">保留；</t>
    </r>
    <r>
      <rPr>
        <sz val="10"/>
        <color rgb="FF152E49"/>
        <rFont val="Arial"/>
        <family val="0"/>
        <charset val="1"/>
      </rPr>
      <t xml:space="preserve">Redwood</t>
    </r>
    <r>
      <rPr>
        <sz val="10"/>
        <color rgb="FF152E49"/>
        <rFont val="Noto Sans CJK SC"/>
        <family val="2"/>
      </rPr>
      <t xml:space="preserve">不在范围内，属董事关联公司</t>
    </r>
  </si>
  <si>
    <r>
      <rPr>
        <sz val="10"/>
        <color rgb="FF152E49"/>
        <rFont val="Noto Sans CJK SC"/>
        <family val="2"/>
      </rPr>
      <t xml:space="preserve">不属于</t>
    </r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控制企业，单列治理事项</t>
    </r>
  </si>
  <si>
    <r>
      <rPr>
        <sz val="10"/>
        <color rgb="FF152E49"/>
        <rFont val="Arial"/>
        <family val="0"/>
        <charset val="1"/>
      </rPr>
      <t xml:space="preserve">Terafab</t>
    </r>
    <r>
      <rPr>
        <sz val="10"/>
        <color rgb="FF152E49"/>
        <rFont val="Noto Sans CJK SC"/>
        <family val="2"/>
      </rPr>
      <t xml:space="preserve">合作</t>
    </r>
  </si>
  <si>
    <t xml:space="preserve">2026</t>
  </si>
  <si>
    <t xml:space="preserve">未量化</t>
  </si>
  <si>
    <t xml:space="preserve">S1 F61 Tesla Collaboration</t>
  </si>
  <si>
    <t xml:space="preserve">仅合作安排，不另添加一个独立收入分部</t>
  </si>
  <si>
    <t xml:space="preserve">项目投资分担、知识产权与资金承诺未量化</t>
  </si>
  <si>
    <r>
      <rPr>
        <b val="true"/>
        <sz val="15"/>
        <color rgb="FFFFFFFF"/>
        <rFont val="Noto Sans CJK SC"/>
        <family val="2"/>
      </rPr>
      <t xml:space="preserve">合并备考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已知抵销与未量化事项分开</t>
    </r>
  </si>
  <si>
    <t xml:space="preserve">Tesla</t>
  </si>
  <si>
    <t xml:space="preserve">SpaceX</t>
  </si>
  <si>
    <t xml:space="preserve">简单相加</t>
  </si>
  <si>
    <r>
      <rPr>
        <b val="true"/>
        <sz val="10"/>
        <color rgb="FFFFFFFF"/>
        <rFont val="Noto Sans CJK SC"/>
        <family val="2"/>
      </rPr>
      <t xml:space="preserve">抵销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假设调整</t>
    </r>
  </si>
  <si>
    <t xml:space="preserve">备考结果</t>
  </si>
  <si>
    <t xml:space="preserve">解释</t>
  </si>
  <si>
    <r>
      <rPr>
        <sz val="10"/>
        <color rgb="FF152E49"/>
        <rFont val="Noto Sans CJK SC"/>
        <family val="2"/>
      </rPr>
      <t xml:space="preserve">含已知</t>
    </r>
    <r>
      <rPr>
        <sz val="10"/>
        <color rgb="FF152E49"/>
        <rFont val="Arial"/>
        <family val="0"/>
        <charset val="1"/>
      </rPr>
      <t xml:space="preserve">Megapack</t>
    </r>
    <r>
      <rPr>
        <sz val="10"/>
        <color rgb="FF152E49"/>
        <rFont val="Noto Sans CJK SC"/>
        <family val="2"/>
      </rPr>
      <t xml:space="preserve">抵销；其他未量化关联交易尚待对账。</t>
    </r>
  </si>
  <si>
    <t xml:space="preserve">内部资本化毛利未对外实现；折旧回转、协同与费用按假设。</t>
  </si>
  <si>
    <t xml:space="preserve">剔除已披露税后投资重估损益；内部毛利及协同用假设税率。</t>
  </si>
  <si>
    <t xml:space="preserve">资本开支</t>
  </si>
  <si>
    <r>
      <rPr>
        <sz val="10"/>
        <color rgb="FF152E49"/>
        <rFont val="Noto Sans CJK SC"/>
        <family val="2"/>
      </rPr>
      <t xml:space="preserve">内部现金经营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投资重分类同时调整</t>
    </r>
    <r>
      <rPr>
        <sz val="10"/>
        <color rgb="FF152E49"/>
        <rFont val="Arial"/>
        <family val="0"/>
        <charset val="1"/>
      </rPr>
      <t xml:space="preserve">OCF</t>
    </r>
    <r>
      <rPr>
        <sz val="10"/>
        <color rgb="FF152E49"/>
        <rFont val="Noto Sans CJK SC"/>
        <family val="2"/>
      </rPr>
      <t xml:space="preserve">和资本开支，</t>
    </r>
    <r>
      <rPr>
        <sz val="10"/>
        <color rgb="FF152E49"/>
        <rFont val="Arial"/>
        <family val="0"/>
        <charset val="1"/>
      </rPr>
      <t xml:space="preserve">FCF</t>
    </r>
    <r>
      <rPr>
        <sz val="10"/>
        <color rgb="FF152E49"/>
        <rFont val="Noto Sans CJK SC"/>
        <family val="2"/>
      </rPr>
      <t xml:space="preserve">不因此改善。</t>
    </r>
  </si>
  <si>
    <r>
      <rPr>
        <sz val="10"/>
        <color rgb="FF152E49"/>
        <rFont val="Arial"/>
        <family val="0"/>
        <charset val="1"/>
      </rPr>
      <t xml:space="preserve">2026</t>
    </r>
    <r>
      <rPr>
        <sz val="10"/>
        <color rgb="FF152E49"/>
        <rFont val="Noto Sans CJK SC"/>
        <family val="2"/>
      </rPr>
      <t xml:space="preserve">前九月</t>
    </r>
  </si>
  <si>
    <r>
      <rPr>
        <sz val="10"/>
        <color rgb="FF152E49"/>
        <rFont val="Arial"/>
        <family val="0"/>
        <charset val="1"/>
      </rPr>
      <t xml:space="preserve">TTM</t>
    </r>
    <r>
      <rPr>
        <sz val="10"/>
        <color rgb="FF152E49"/>
        <rFont val="Noto Sans CJK SC"/>
        <family val="2"/>
      </rPr>
      <t xml:space="preserve">：仅简单相加</t>
    </r>
  </si>
  <si>
    <t xml:space="preserve">未完整抵销</t>
  </si>
  <si>
    <r>
      <rPr>
        <sz val="10"/>
        <color rgb="FF152E49"/>
        <rFont val="Arial"/>
        <family val="0"/>
        <charset val="1"/>
      </rPr>
      <t xml:space="preserve">Q4 2025</t>
    </r>
    <r>
      <rPr>
        <sz val="10"/>
        <color rgb="FF152E49"/>
        <rFont val="Noto Sans CJK SC"/>
        <family val="2"/>
      </rPr>
      <t xml:space="preserve">内部毛利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交易缺少明细；本列仅展示加总，不代表完整合并</t>
    </r>
    <r>
      <rPr>
        <sz val="10"/>
        <color rgb="FF152E49"/>
        <rFont val="Arial"/>
        <family val="0"/>
        <charset val="1"/>
      </rPr>
      <t xml:space="preserve">TTM</t>
    </r>
    <r>
      <rPr>
        <sz val="10"/>
        <color rgb="FF152E49"/>
        <rFont val="Noto Sans CJK SC"/>
        <family val="2"/>
      </rPr>
      <t xml:space="preserve">。</t>
    </r>
  </si>
  <si>
    <r>
      <rPr>
        <sz val="10"/>
        <color rgb="FF152E49"/>
        <rFont val="Arial"/>
        <family val="0"/>
        <charset val="1"/>
      </rPr>
      <t xml:space="preserve">2026-09-30</t>
    </r>
    <r>
      <rPr>
        <sz val="10"/>
        <color rgb="FF152E49"/>
        <rFont val="Noto Sans CJK SC"/>
        <family val="2"/>
      </rPr>
      <t xml:space="preserve">资产负债表 </t>
    </r>
    <r>
      <rPr>
        <sz val="10"/>
        <color rgb="FF152E49"/>
        <rFont val="Arial"/>
        <family val="0"/>
        <charset val="1"/>
      </rPr>
      <t xml:space="preserve">| </t>
    </r>
    <r>
      <rPr>
        <sz val="10"/>
        <color rgb="FF152E49"/>
        <rFont val="Noto Sans CJK SC"/>
        <family val="2"/>
      </rPr>
      <t xml:space="preserve">账面基础，未做收购价分摊</t>
    </r>
  </si>
  <si>
    <t xml:space="preserve">资产负债暂不确认相关递延税；未核对往来默认不调整。股东权益不含非控股权益。</t>
  </si>
  <si>
    <t xml:space="preserve">有息负债</t>
  </si>
  <si>
    <t xml:space="preserve">归母股东权益</t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</si>
  <si>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营收结构按已知</t>
    </r>
    <r>
      <rPr>
        <sz val="10"/>
        <color rgb="FF152E49"/>
        <rFont val="Arial"/>
        <family val="0"/>
        <charset val="1"/>
      </rPr>
      <t xml:space="preserve">221</t>
    </r>
    <r>
      <rPr>
        <sz val="10"/>
        <color rgb="FF152E49"/>
        <rFont val="Noto Sans CJK SC"/>
        <family val="2"/>
      </rPr>
      <t xml:space="preserve">内部销售抵销后计；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能源分部利润为毛利，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为经营利润。</t>
    </r>
  </si>
  <si>
    <t xml:space="preserve">汽车（含服务及其他）</t>
  </si>
  <si>
    <r>
      <rPr>
        <sz val="10"/>
        <color rgb="FF152E49"/>
        <rFont val="Arial"/>
        <family val="0"/>
        <charset val="1"/>
      </rPr>
      <t xml:space="preserve">B</t>
    </r>
    <r>
      <rPr>
        <sz val="10"/>
        <color rgb="FF152E49"/>
        <rFont val="Noto Sans CJK SC"/>
        <family val="2"/>
      </rPr>
      <t xml:space="preserve">列：外部营收；</t>
    </r>
    <r>
      <rPr>
        <sz val="10"/>
        <color rgb="FF152E49"/>
        <rFont val="Arial"/>
        <family val="0"/>
        <charset val="1"/>
      </rPr>
      <t xml:space="preserve">C</t>
    </r>
    <r>
      <rPr>
        <sz val="10"/>
        <color rgb="FF152E49"/>
        <rFont val="Noto Sans CJK SC"/>
        <family val="2"/>
      </rPr>
      <t xml:space="preserve">列：营收占比；</t>
    </r>
    <r>
      <rPr>
        <sz val="10"/>
        <color rgb="FF152E49"/>
        <rFont val="Arial"/>
        <family val="0"/>
        <charset val="1"/>
      </rPr>
      <t xml:space="preserve">D</t>
    </r>
    <r>
      <rPr>
        <sz val="10"/>
        <color rgb="FF152E49"/>
        <rFont val="Noto Sans CJK SC"/>
        <family val="2"/>
      </rPr>
      <t xml:space="preserve">列：毛利（不可直接与其他分部经营利润相加）</t>
    </r>
  </si>
  <si>
    <t xml:space="preserve">能源发电及储能</t>
  </si>
  <si>
    <t xml:space="preserve">航天</t>
  </si>
  <si>
    <r>
      <rPr>
        <sz val="10"/>
        <color rgb="FF152E49"/>
        <rFont val="Arial"/>
        <family val="0"/>
        <charset val="1"/>
      </rPr>
      <t xml:space="preserve">B</t>
    </r>
    <r>
      <rPr>
        <sz val="10"/>
        <color rgb="FF152E49"/>
        <rFont val="Noto Sans CJK SC"/>
        <family val="2"/>
      </rPr>
      <t xml:space="preserve">列：外部营收；</t>
    </r>
    <r>
      <rPr>
        <sz val="10"/>
        <color rgb="FF152E49"/>
        <rFont val="Arial"/>
        <family val="0"/>
        <charset val="1"/>
      </rPr>
      <t xml:space="preserve">C</t>
    </r>
    <r>
      <rPr>
        <sz val="10"/>
        <color rgb="FF152E49"/>
        <rFont val="Noto Sans CJK SC"/>
        <family val="2"/>
      </rPr>
      <t xml:space="preserve">列：营收占比；</t>
    </r>
    <r>
      <rPr>
        <sz val="10"/>
        <color rgb="FF152E49"/>
        <rFont val="Arial"/>
        <family val="0"/>
        <charset val="1"/>
      </rPr>
      <t xml:space="preserve">D</t>
    </r>
    <r>
      <rPr>
        <sz val="10"/>
        <color rgb="FF152E49"/>
        <rFont val="Noto Sans CJK SC"/>
        <family val="2"/>
      </rPr>
      <t xml:space="preserve">列：经营利润</t>
    </r>
  </si>
  <si>
    <t xml:space="preserve">连接</t>
  </si>
  <si>
    <r>
      <rPr>
        <sz val="10"/>
        <color rgb="FF152E49"/>
        <rFont val="Noto Sans CJK SC"/>
        <family val="2"/>
      </rPr>
      <t xml:space="preserve">超级智能 </t>
    </r>
    <r>
      <rPr>
        <sz val="10"/>
        <color rgb="FF152E49"/>
        <rFont val="Arial"/>
        <family val="0"/>
        <charset val="1"/>
      </rPr>
      <t xml:space="preserve">SI</t>
    </r>
  </si>
  <si>
    <t xml:space="preserve">非控股权益及可赎回非控股权益</t>
  </si>
  <si>
    <r>
      <rPr>
        <sz val="10"/>
        <color rgb="FF152E49"/>
        <rFont val="Noto Sans CJK SC"/>
        <family val="2"/>
      </rPr>
      <t xml:space="preserve">不属于归母股东权益，</t>
    </r>
    <r>
      <rPr>
        <sz val="10"/>
        <color rgb="FF152E49"/>
        <rFont val="Arial"/>
        <family val="0"/>
        <charset val="1"/>
      </rPr>
      <t xml:space="preserve">600</t>
    </r>
    <r>
      <rPr>
        <sz val="10"/>
        <color rgb="FF152E49"/>
        <rFont val="Noto Sans CJK SC"/>
        <family val="2"/>
      </rPr>
      <t xml:space="preserve">单列用于资产负债勾稽。</t>
    </r>
  </si>
  <si>
    <r>
      <rPr>
        <b val="true"/>
        <sz val="15"/>
        <color rgb="FFFFFFFF"/>
        <rFont val="Noto Sans CJK SC"/>
        <family val="2"/>
      </rPr>
      <t xml:space="preserve">股本清洗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已发行、可行权与未达标奖励</t>
    </r>
  </si>
  <si>
    <r>
      <rPr>
        <b val="true"/>
        <sz val="10"/>
        <color rgb="FFFFFFFF"/>
        <rFont val="Noto Sans CJK SC"/>
        <family val="2"/>
      </rPr>
      <t xml:space="preserve">来源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处理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</si>
  <si>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已发行股份</t>
    </r>
  </si>
  <si>
    <r>
      <rPr>
        <sz val="10"/>
        <color rgb="FF152E49"/>
        <rFont val="Arial"/>
        <family val="0"/>
        <charset val="1"/>
      </rPr>
      <t xml:space="preserve">T4 Ownership of Securities</t>
    </r>
    <r>
      <rPr>
        <sz val="10"/>
        <color rgb="FF152E49"/>
        <rFont val="Noto Sans CJK SC"/>
        <family val="2"/>
      </rPr>
      <t xml:space="preserve">；</t>
    </r>
    <r>
      <rPr>
        <sz val="10"/>
        <color rgb="FF152E49"/>
        <rFont val="Arial"/>
        <family val="0"/>
        <charset val="1"/>
      </rPr>
      <t xml:space="preserve">2026-09-30</t>
    </r>
    <r>
      <rPr>
        <sz val="10"/>
        <color rgb="FF152E49"/>
        <rFont val="Noto Sans CJK SC"/>
        <family val="2"/>
      </rPr>
      <t xml:space="preserve">；包含已发行未达标奖励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</si>
  <si>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已发行</t>
    </r>
    <r>
      <rPr>
        <sz val="10"/>
        <color rgb="FF152E49"/>
        <rFont val="Arial"/>
        <family val="0"/>
        <charset val="1"/>
      </rPr>
      <t xml:space="preserve">A+B</t>
    </r>
  </si>
  <si>
    <r>
      <rPr>
        <sz val="10"/>
        <color rgb="FF152E49"/>
        <rFont val="Arial"/>
        <family val="0"/>
        <charset val="1"/>
      </rPr>
      <t xml:space="preserve">S3</t>
    </r>
    <r>
      <rPr>
        <sz val="10"/>
        <color rgb="FF152E49"/>
        <rFont val="Noto Sans CJK SC"/>
        <family val="2"/>
      </rPr>
      <t xml:space="preserve">期末</t>
    </r>
    <r>
      <rPr>
        <sz val="10"/>
        <color rgb="FF152E49"/>
        <rFont val="Arial"/>
        <family val="0"/>
        <charset val="1"/>
      </rPr>
      <t xml:space="preserve">A8240+B5339</t>
    </r>
    <r>
      <rPr>
        <sz val="10"/>
        <color rgb="FF152E49"/>
        <rFont val="Noto Sans CJK SC"/>
        <family val="2"/>
      </rPr>
      <t xml:space="preserve">；披露百万股四舍五入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</si>
  <si>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持有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股份（估计）</t>
    </r>
  </si>
  <si>
    <r>
      <rPr>
        <sz val="10"/>
        <color rgb="FF152E49"/>
        <rFont val="Arial"/>
        <family val="0"/>
        <charset val="1"/>
      </rPr>
      <t xml:space="preserve">S1 F61</t>
    </r>
    <r>
      <rPr>
        <sz val="10"/>
        <color rgb="FF152E49"/>
        <rFont val="Noto Sans CJK SC"/>
        <family val="2"/>
      </rPr>
      <t xml:space="preserve">：</t>
    </r>
    <r>
      <rPr>
        <sz val="10"/>
        <color rgb="FF152E49"/>
        <rFont val="Arial"/>
        <family val="0"/>
        <charset val="1"/>
      </rPr>
      <t xml:space="preserve">3.8</t>
    </r>
    <r>
      <rPr>
        <sz val="10"/>
        <color rgb="FF152E49"/>
        <rFont val="Noto Sans CJK SC"/>
        <family val="2"/>
      </rPr>
      <t xml:space="preserve">百万股为拆股前，乘</t>
    </r>
    <r>
      <rPr>
        <sz val="10"/>
        <color rgb="FF152E49"/>
        <rFont val="Arial"/>
        <family val="0"/>
        <charset val="1"/>
      </rPr>
      <t xml:space="preserve">5</t>
    </r>
    <r>
      <rPr>
        <sz val="10"/>
        <color rgb="FF152E49"/>
        <rFont val="Noto Sans CJK SC"/>
        <family val="2"/>
      </rPr>
      <t xml:space="preserve">得约</t>
    </r>
    <r>
      <rPr>
        <sz val="10"/>
        <color rgb="FF152E49"/>
        <rFont val="Arial"/>
        <family val="0"/>
        <charset val="1"/>
      </rPr>
      <t xml:space="preserve">19</t>
    </r>
    <r>
      <rPr>
        <sz val="10"/>
        <color rgb="FF152E49"/>
        <rFont val="Noto Sans CJK SC"/>
        <family val="2"/>
      </rPr>
      <t xml:space="preserve">；假设无后续买卖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</si>
  <si>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外部可获换股股份</t>
    </r>
  </si>
  <si>
    <r>
      <rPr>
        <sz val="10"/>
        <color rgb="FF152E49"/>
        <rFont val="Noto Sans CJK SC"/>
        <family val="2"/>
      </rPr>
      <t xml:space="preserve">已发行总股数减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自持，避免向自己发行</t>
    </r>
  </si>
  <si>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可支配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已发行股份</t>
    </r>
  </si>
  <si>
    <r>
      <rPr>
        <sz val="10"/>
        <color rgb="FF152E49"/>
        <rFont val="Arial"/>
        <family val="0"/>
        <charset val="1"/>
      </rPr>
      <t xml:space="preserve">T4</t>
    </r>
    <r>
      <rPr>
        <sz val="10"/>
        <color rgb="FF152E49"/>
        <rFont val="Noto Sans CJK SC"/>
        <family val="2"/>
      </rPr>
      <t xml:space="preserve">含</t>
    </r>
    <r>
      <rPr>
        <sz val="10"/>
        <color rgb="FF152E49"/>
        <rFont val="Arial"/>
        <family val="0"/>
        <charset val="1"/>
      </rPr>
      <t xml:space="preserve">2018</t>
    </r>
    <r>
      <rPr>
        <sz val="10"/>
        <color rgb="FF152E49"/>
        <rFont val="Noto Sans CJK SC"/>
        <family val="2"/>
      </rPr>
      <t xml:space="preserve">奖励已行权限制股；不含</t>
    </r>
    <r>
      <rPr>
        <sz val="10"/>
        <color rgb="FF152E49"/>
        <rFont val="Arial"/>
        <family val="0"/>
        <charset val="1"/>
      </rPr>
      <t xml:space="preserve">423.744</t>
    </r>
    <r>
      <rPr>
        <sz val="10"/>
        <color rgb="FF152E49"/>
        <rFont val="Noto Sans CJK SC"/>
        <family val="2"/>
      </rPr>
      <t xml:space="preserve">未达标受不可撤销代理约束股份</t>
    </r>
  </si>
  <si>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可支配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已发行股份</t>
    </r>
  </si>
  <si>
    <r>
      <rPr>
        <sz val="10"/>
        <color rgb="FF152E49"/>
        <rFont val="Arial"/>
        <family val="0"/>
        <charset val="1"/>
      </rPr>
      <t xml:space="preserve">S1</t>
    </r>
    <r>
      <rPr>
        <sz val="10"/>
        <color rgb="FF152E49"/>
        <rFont val="Noto Sans CJK SC"/>
        <family val="2"/>
      </rPr>
      <t xml:space="preserve">表内含</t>
    </r>
    <r>
      <rPr>
        <sz val="10"/>
        <color rgb="FF152E49"/>
        <rFont val="Arial"/>
        <family val="0"/>
        <charset val="1"/>
      </rPr>
      <t xml:space="preserve">350</t>
    </r>
    <r>
      <rPr>
        <sz val="10"/>
        <color rgb="FF152E49"/>
        <rFont val="Noto Sans CJK SC"/>
        <family val="2"/>
      </rPr>
      <t xml:space="preserve">可行权期权，扣除以匹配已发行分母；含</t>
    </r>
    <r>
      <rPr>
        <sz val="10"/>
        <color rgb="FF152E49"/>
        <rFont val="Arial"/>
        <family val="0"/>
        <charset val="1"/>
      </rPr>
      <t xml:space="preserve">1302.072</t>
    </r>
    <r>
      <rPr>
        <sz val="10"/>
        <color rgb="FF152E49"/>
        <rFont val="Noto Sans CJK SC"/>
        <family val="2"/>
      </rPr>
      <t xml:space="preserve">已发行绩效限制股，未必已归属</t>
    </r>
  </si>
  <si>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合并前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股份占比</t>
    </r>
  </si>
  <si>
    <r>
      <rPr>
        <sz val="10"/>
        <color rgb="FF152E49"/>
        <rFont val="Noto Sans CJK SC"/>
        <family val="2"/>
      </rPr>
      <t xml:space="preserve">统一已发行分母；与委托书</t>
    </r>
    <r>
      <rPr>
        <sz val="10"/>
        <color rgb="FF152E49"/>
        <rFont val="Arial"/>
        <family val="0"/>
        <charset val="1"/>
      </rPr>
      <t xml:space="preserve">19.8%</t>
    </r>
    <r>
      <rPr>
        <sz val="10"/>
        <color rgb="FF152E49"/>
        <rFont val="Noto Sans CJK SC"/>
        <family val="2"/>
      </rPr>
      <t xml:space="preserve">口径不同</t>
    </r>
  </si>
  <si>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合并前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股份占比</t>
    </r>
  </si>
  <si>
    <r>
      <rPr>
        <sz val="10"/>
        <color rgb="FF152E49"/>
        <rFont val="Arial"/>
        <family val="0"/>
        <charset val="1"/>
      </rPr>
      <t xml:space="preserve">5</t>
    </r>
    <r>
      <rPr>
        <sz val="10"/>
        <color rgb="FF152E49"/>
        <rFont val="Noto Sans CJK SC"/>
        <family val="2"/>
      </rPr>
      <t xml:space="preserve">月持股沿用至</t>
    </r>
    <r>
      <rPr>
        <sz val="10"/>
        <color rgb="FF152E49"/>
        <rFont val="Arial"/>
        <family val="0"/>
        <charset val="1"/>
      </rPr>
      <t xml:space="preserve">9</t>
    </r>
    <r>
      <rPr>
        <sz val="10"/>
        <color rgb="FF152E49"/>
        <rFont val="Noto Sans CJK SC"/>
        <family val="2"/>
      </rPr>
      <t xml:space="preserve">月为假设；不是表决权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</si>
  <si>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委托书口径重算</t>
    </r>
  </si>
  <si>
    <r>
      <rPr>
        <sz val="10"/>
        <color rgb="FF152E49"/>
        <rFont val="Noto Sans CJK SC"/>
        <family val="2"/>
      </rPr>
      <t xml:space="preserve">对应披露约</t>
    </r>
    <r>
      <rPr>
        <sz val="10"/>
        <color rgb="FF152E49"/>
        <rFont val="Arial"/>
        <family val="0"/>
        <charset val="1"/>
      </rPr>
      <t xml:space="preserve">19.8%</t>
    </r>
    <r>
      <rPr>
        <sz val="10"/>
        <color rgb="FF152E49"/>
        <rFont val="Noto Sans CJK SC"/>
        <family val="2"/>
      </rPr>
      <t xml:space="preserve">；从分母剔除未达标股份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</si>
  <si>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招股书受益持股比例重算</t>
    </r>
  </si>
  <si>
    <r>
      <rPr>
        <sz val="10"/>
        <color rgb="FF152E49"/>
        <rFont val="Noto Sans CJK SC"/>
        <family val="2"/>
      </rPr>
      <t xml:space="preserve">招股书</t>
    </r>
    <r>
      <rPr>
        <sz val="10"/>
        <color rgb="FF152E49"/>
        <rFont val="Arial"/>
        <family val="0"/>
        <charset val="1"/>
      </rPr>
      <t xml:space="preserve">IPO</t>
    </r>
    <r>
      <rPr>
        <sz val="10"/>
        <color rgb="FF152E49"/>
        <rFont val="Noto Sans CJK SC"/>
        <family val="2"/>
      </rPr>
      <t xml:space="preserve">后无超额配售分母；加入其</t>
    </r>
    <r>
      <rPr>
        <sz val="10"/>
        <color rgb="FF152E49"/>
        <rFont val="Arial"/>
        <family val="0"/>
        <charset val="1"/>
      </rPr>
      <t xml:space="preserve">350</t>
    </r>
    <r>
      <rPr>
        <sz val="10"/>
        <color rgb="FF152E49"/>
        <rFont val="Noto Sans CJK SC"/>
        <family val="2"/>
      </rPr>
      <t xml:space="preserve">可行权期权；非当前期末比例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</si>
  <si>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披露</t>
    </r>
    <r>
      <rPr>
        <sz val="10"/>
        <color rgb="FF152E49"/>
        <rFont val="Arial"/>
        <family val="0"/>
        <charset val="1"/>
      </rPr>
      <t xml:space="preserve">IPO</t>
    </r>
    <r>
      <rPr>
        <sz val="10"/>
        <color rgb="FF152E49"/>
        <rFont val="Noto Sans CJK SC"/>
        <family val="2"/>
      </rPr>
      <t xml:space="preserve">后表决权</t>
    </r>
  </si>
  <si>
    <t xml:space="preserve">仅引用事实；合并后股权类别与投票倍数未知，不能自动外推</t>
  </si>
  <si>
    <r>
      <rPr>
        <b val="true"/>
        <sz val="15"/>
        <color rgb="FFFFFFFF"/>
        <rFont val="Noto Sans CJK SC"/>
        <family val="2"/>
      </rPr>
      <t xml:space="preserve">三种定价方法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每</t>
    </r>
    <r>
      <rPr>
        <b val="true"/>
        <sz val="15"/>
        <color rgb="FFFFFFFF"/>
        <rFont val="Arial"/>
        <family val="0"/>
        <charset val="1"/>
      </rPr>
      <t xml:space="preserve">1</t>
    </r>
    <r>
      <rPr>
        <b val="true"/>
        <sz val="15"/>
        <color rgb="FFFFFFFF"/>
        <rFont val="Noto Sans CJK SC"/>
        <family val="2"/>
      </rPr>
      <t xml:space="preserve">股</t>
    </r>
    <r>
      <rPr>
        <b val="true"/>
        <sz val="15"/>
        <color rgb="FFFFFFFF"/>
        <rFont val="Arial"/>
        <family val="0"/>
        <charset val="1"/>
      </rPr>
      <t xml:space="preserve">SpaceX</t>
    </r>
    <r>
      <rPr>
        <b val="true"/>
        <sz val="15"/>
        <color rgb="FFFFFFFF"/>
        <rFont val="Noto Sans CJK SC"/>
        <family val="2"/>
      </rPr>
      <t xml:space="preserve">换取</t>
    </r>
    <r>
      <rPr>
        <b val="true"/>
        <sz val="15"/>
        <color rgb="FFFFFFFF"/>
        <rFont val="Arial"/>
        <family val="0"/>
        <charset val="1"/>
      </rPr>
      <t xml:space="preserve">Tesla</t>
    </r>
    <r>
      <rPr>
        <b val="true"/>
        <sz val="15"/>
        <color rgb="FFFFFFFF"/>
        <rFont val="Noto Sans CJK SC"/>
        <family val="2"/>
      </rPr>
      <t xml:space="preserve">股数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</si>
  <si>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21</t>
    </r>
    <r>
      <rPr>
        <b val="true"/>
        <sz val="10"/>
        <color rgb="FFFFFFFF"/>
        <rFont val="Noto Sans CJK SC"/>
        <family val="2"/>
      </rPr>
      <t xml:space="preserve">日收盘</t>
    </r>
  </si>
  <si>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日加权近似</t>
    </r>
  </si>
  <si>
    <r>
      <rPr>
        <b val="true"/>
        <sz val="10"/>
        <color rgb="FFFFFFFF"/>
        <rFont val="Noto Sans CJK SC"/>
        <family val="2"/>
      </rPr>
      <t xml:space="preserve">假设</t>
    </r>
    <r>
      <rPr>
        <b val="true"/>
        <sz val="10"/>
        <color rgb="FFFFFFFF"/>
        <rFont val="Arial"/>
        <family val="0"/>
        <charset val="1"/>
      </rPr>
      <t xml:space="preserve">EV/</t>
    </r>
    <r>
      <rPr>
        <b val="true"/>
        <sz val="10"/>
        <color rgb="FFFFFFFF"/>
        <rFont val="Noto Sans CJK SC"/>
        <family val="2"/>
      </rPr>
      <t xml:space="preserve">营收</t>
    </r>
  </si>
  <si>
    <t xml:space="preserve">口径说明</t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</si>
  <si>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每股基础价值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</si>
  <si>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每股基础价值</t>
    </r>
  </si>
  <si>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基础股权价值</t>
    </r>
  </si>
  <si>
    <r>
      <rPr>
        <sz val="10"/>
        <color rgb="FF152E49"/>
        <rFont val="Noto Sans CJK SC"/>
        <family val="2"/>
      </rPr>
      <t xml:space="preserve">股权价值</t>
    </r>
    <r>
      <rPr>
        <sz val="10"/>
        <color rgb="FF152E49"/>
        <rFont val="Arial"/>
        <family val="0"/>
        <charset val="1"/>
      </rPr>
      <t xml:space="preserve">=</t>
    </r>
    <r>
      <rPr>
        <sz val="10"/>
        <color rgb="FF152E49"/>
        <rFont val="Noto Sans CJK SC"/>
        <family val="2"/>
      </rPr>
      <t xml:space="preserve">每股价值</t>
    </r>
    <r>
      <rPr>
        <sz val="10"/>
        <color rgb="FF152E49"/>
        <rFont val="Arial"/>
        <family val="0"/>
        <charset val="1"/>
      </rPr>
      <t xml:space="preserve">×</t>
    </r>
    <r>
      <rPr>
        <sz val="10"/>
        <color rgb="FF152E49"/>
        <rFont val="Noto Sans CJK SC"/>
        <family val="2"/>
      </rPr>
      <t xml:space="preserve">期末已发行股份；</t>
    </r>
    <r>
      <rPr>
        <sz val="10"/>
        <color rgb="FF152E49"/>
        <rFont val="Arial"/>
        <family val="0"/>
        <charset val="1"/>
      </rPr>
      <t xml:space="preserve">EV</t>
    </r>
    <r>
      <rPr>
        <sz val="10"/>
        <color rgb="FF152E49"/>
        <rFont val="Noto Sans CJK SC"/>
        <family val="2"/>
      </rPr>
      <t xml:space="preserve">法加现金减债务。</t>
    </r>
  </si>
  <si>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基础股权价值</t>
    </r>
  </si>
  <si>
    <r>
      <rPr>
        <sz val="10"/>
        <color rgb="FF152E49"/>
        <rFont val="Noto Sans CJK SC"/>
        <family val="2"/>
      </rPr>
      <t xml:space="preserve">倍数法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另加其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股权的同法价值；市场法市值本已含其资产。</t>
    </r>
  </si>
  <si>
    <r>
      <rPr>
        <sz val="10"/>
        <color rgb="FF152E49"/>
        <rFont val="Noto Sans CJK SC"/>
        <family val="2"/>
      </rPr>
      <t xml:space="preserve">外部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股份交易对价</t>
    </r>
  </si>
  <si>
    <r>
      <rPr>
        <sz val="10"/>
        <color rgb="FF152E49"/>
        <rFont val="Noto Sans CJK SC"/>
        <family val="2"/>
      </rPr>
      <t xml:space="preserve">换股比例 </t>
    </r>
    <r>
      <rPr>
        <sz val="10"/>
        <color rgb="FF152E49"/>
        <rFont val="Arial"/>
        <family val="0"/>
        <charset val="1"/>
      </rPr>
      <t xml:space="preserve">r</t>
    </r>
  </si>
  <si>
    <r>
      <rPr>
        <sz val="10"/>
        <color rgb="FF152E49"/>
        <rFont val="Noto Sans CJK SC"/>
        <family val="2"/>
      </rPr>
      <t xml:space="preserve">法律发行主体假设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；每</t>
    </r>
    <r>
      <rPr>
        <sz val="10"/>
        <color rgb="FF152E49"/>
        <rFont val="Arial"/>
        <family val="0"/>
        <charset val="1"/>
      </rPr>
      <t xml:space="preserve">1</t>
    </r>
    <r>
      <rPr>
        <sz val="10"/>
        <color rgb="FF152E49"/>
        <rFont val="Noto Sans CJK SC"/>
        <family val="2"/>
      </rPr>
      <t xml:space="preserve">股外部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获</t>
    </r>
    <r>
      <rPr>
        <sz val="10"/>
        <color rgb="FF152E49"/>
        <rFont val="Arial"/>
        <family val="0"/>
        <charset val="1"/>
      </rPr>
      <t xml:space="preserve">r</t>
    </r>
    <r>
      <rPr>
        <sz val="10"/>
        <color rgb="FF152E49"/>
        <rFont val="Noto Sans CJK SC"/>
        <family val="2"/>
      </rPr>
      <t xml:space="preserve">股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。不是反向换股。</t>
    </r>
  </si>
  <si>
    <r>
      <rPr>
        <sz val="10"/>
        <color rgb="FF152E49"/>
        <rFont val="Noto Sans CJK SC"/>
        <family val="2"/>
      </rPr>
      <t xml:space="preserve">新发行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股份</t>
    </r>
  </si>
  <si>
    <t xml:space="preserve">合并后股份</t>
  </si>
  <si>
    <r>
      <rPr>
        <sz val="10"/>
        <color rgb="FF152E49"/>
        <rFont val="Noto Sans CJK SC"/>
        <family val="2"/>
      </rPr>
      <t xml:space="preserve">原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外部股东占比</t>
    </r>
  </si>
  <si>
    <r>
      <rPr>
        <sz val="10"/>
        <color rgb="FF152E49"/>
        <rFont val="Noto Sans CJK SC"/>
        <family val="2"/>
      </rPr>
      <t xml:space="preserve">原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股东占比</t>
    </r>
  </si>
  <si>
    <r>
      <rPr>
        <sz val="10"/>
        <color rgb="FF152E49"/>
        <rFont val="Arial"/>
        <family val="0"/>
        <charset val="1"/>
      </rPr>
      <t xml:space="preserve">Musk</t>
    </r>
    <r>
      <rPr>
        <sz val="10"/>
        <color rgb="FF152E49"/>
        <rFont val="Noto Sans CJK SC"/>
        <family val="2"/>
      </rPr>
      <t xml:space="preserve">合并后股份占比</t>
    </r>
  </si>
  <si>
    <r>
      <rPr>
        <sz val="10"/>
        <color rgb="FF152E49"/>
        <rFont val="Noto Sans CJK SC"/>
        <family val="2"/>
      </rPr>
      <t xml:space="preserve">已发行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可支配股份口径，非投票权；持股不等于全部已归属经济利益。</t>
    </r>
  </si>
  <si>
    <r>
      <rPr>
        <sz val="10"/>
        <color rgb="FF152E49"/>
        <rFont val="Noto Sans CJK SC"/>
        <family val="2"/>
      </rPr>
      <t xml:space="preserve">较合并前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变动（百分点）</t>
    </r>
  </si>
  <si>
    <r>
      <rPr>
        <sz val="10"/>
        <color rgb="FF152E49"/>
        <rFont val="Noto Sans CJK SC"/>
        <family val="2"/>
      </rPr>
      <t xml:space="preserve">较合并前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变动（百分点）</t>
    </r>
  </si>
  <si>
    <r>
      <rPr>
        <sz val="10"/>
        <color rgb="FF152E49"/>
        <rFont val="Noto Sans CJK SC"/>
        <family val="2"/>
      </rPr>
      <t xml:space="preserve">若</t>
    </r>
    <r>
      <rPr>
        <sz val="10"/>
        <color rgb="FF152E49"/>
        <rFont val="Arial"/>
        <family val="0"/>
        <charset val="1"/>
      </rPr>
      <t xml:space="preserve">SpaceX350</t>
    </r>
    <r>
      <rPr>
        <sz val="10"/>
        <color rgb="FF152E49"/>
        <rFont val="Noto Sans CJK SC"/>
        <family val="2"/>
      </rPr>
      <t xml:space="preserve">百万期权全部行权</t>
    </r>
  </si>
  <si>
    <r>
      <rPr>
        <sz val="10"/>
        <color rgb="FF152E49"/>
        <rFont val="Noto Sans CJK SC"/>
        <family val="2"/>
      </rPr>
      <t xml:space="preserve">固定</t>
    </r>
    <r>
      <rPr>
        <sz val="10"/>
        <color rgb="FF152E49"/>
        <rFont val="Arial"/>
        <family val="0"/>
        <charset val="1"/>
      </rPr>
      <t xml:space="preserve">r</t>
    </r>
    <r>
      <rPr>
        <sz val="10"/>
        <color rgb="FF152E49"/>
        <rFont val="Noto Sans CJK SC"/>
        <family val="2"/>
      </rPr>
      <t xml:space="preserve">的股数示意，非完整稀释估值；未计行权所得现金和全部员工期权。</t>
    </r>
  </si>
  <si>
    <r>
      <rPr>
        <sz val="10"/>
        <color rgb="FF152E49"/>
        <rFont val="Noto Sans CJK SC"/>
        <family val="2"/>
      </rPr>
      <t xml:space="preserve">若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未达标股全部转为可支配（上界）</t>
    </r>
  </si>
  <si>
    <r>
      <rPr>
        <sz val="10"/>
        <color rgb="FF152E49"/>
        <rFont val="Noto Sans CJK SC"/>
        <family val="2"/>
      </rPr>
      <t xml:space="preserve">既有股份转为可支配，不重复增加分母；未计</t>
    </r>
    <r>
      <rPr>
        <sz val="10"/>
        <color rgb="FF152E49"/>
        <rFont val="Arial"/>
        <family val="0"/>
        <charset val="1"/>
      </rPr>
      <t xml:space="preserve">334.09</t>
    </r>
    <r>
      <rPr>
        <sz val="10"/>
        <color rgb="FF152E49"/>
        <rFont val="Noto Sans CJK SC"/>
        <family val="2"/>
      </rPr>
      <t xml:space="preserve">美元</t>
    </r>
    <r>
      <rPr>
        <sz val="10"/>
        <color rgb="FF152E49"/>
        <rFont val="Arial"/>
        <family val="0"/>
        <charset val="1"/>
      </rPr>
      <t xml:space="preserve">/</t>
    </r>
    <r>
      <rPr>
        <sz val="10"/>
        <color rgb="FF152E49"/>
        <rFont val="Noto Sans CJK SC"/>
        <family val="2"/>
      </rPr>
      <t xml:space="preserve">股抵扣，不能视为合并自动兑现。</t>
    </r>
  </si>
  <si>
    <r>
      <rPr>
        <sz val="10"/>
        <color rgb="FF152E49"/>
        <rFont val="Noto Sans CJK SC"/>
        <family val="2"/>
      </rPr>
      <t xml:space="preserve">三种方法是交易数学情景，不是价格建议。市场法使用</t>
    </r>
    <r>
      <rPr>
        <sz val="10"/>
        <color rgb="FF152E49"/>
        <rFont val="Arial"/>
        <family val="0"/>
        <charset val="1"/>
      </rPr>
      <t xml:space="preserve">9</t>
    </r>
    <r>
      <rPr>
        <sz val="10"/>
        <color rgb="FF152E49"/>
        <rFont val="Noto Sans CJK SC"/>
        <family val="2"/>
      </rPr>
      <t xml:space="preserve">月股本</t>
    </r>
    <r>
      <rPr>
        <sz val="10"/>
        <color rgb="FF152E49"/>
        <rFont val="Arial"/>
        <family val="0"/>
        <charset val="1"/>
      </rPr>
      <t xml:space="preserve">×10</t>
    </r>
    <r>
      <rPr>
        <sz val="10"/>
        <color rgb="FF152E49"/>
        <rFont val="Noto Sans CJK SC"/>
        <family val="2"/>
      </rPr>
      <t xml:space="preserve">月</t>
    </r>
    <r>
      <rPr>
        <sz val="10"/>
        <color rgb="FF152E49"/>
        <rFont val="Arial"/>
        <family val="0"/>
        <charset val="1"/>
      </rPr>
      <t xml:space="preserve">21</t>
    </r>
    <r>
      <rPr>
        <sz val="10"/>
        <color rgb="FF152E49"/>
        <rFont val="Noto Sans CJK SC"/>
        <family val="2"/>
      </rPr>
      <t xml:space="preserve">日价格，是近似市值而非当日股本核验；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分母为百万股取整。</t>
    </r>
  </si>
  <si>
    <r>
      <rPr>
        <b val="true"/>
        <sz val="15"/>
        <color rgb="FFFFFFFF"/>
        <rFont val="Noto Sans CJK SC"/>
        <family val="2"/>
      </rPr>
      <t xml:space="preserve">溢价 </t>
    </r>
    <r>
      <rPr>
        <b val="true"/>
        <sz val="15"/>
        <color rgb="FFFFFFFF"/>
        <rFont val="Arial"/>
        <family val="0"/>
        <charset val="1"/>
      </rPr>
      <t xml:space="preserve">× </t>
    </r>
    <r>
      <rPr>
        <b val="true"/>
        <sz val="15"/>
        <color rgb="FFFFFFFF"/>
        <rFont val="Noto Sans CJK SC"/>
        <family val="2"/>
      </rPr>
      <t xml:space="preserve">定价方法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公式二维敏感性</t>
    </r>
  </si>
  <si>
    <r>
      <rPr>
        <b val="true"/>
        <sz val="10"/>
        <color rgb="FFFFFFFF"/>
        <rFont val="Arial"/>
        <family val="0"/>
        <charset val="1"/>
      </rPr>
      <t xml:space="preserve">SpaceX</t>
    </r>
    <r>
      <rPr>
        <b val="true"/>
        <sz val="10"/>
        <color rgb="FFFFFFFF"/>
        <rFont val="Noto Sans CJK SC"/>
        <family val="2"/>
      </rPr>
      <t xml:space="preserve">溢价</t>
    </r>
  </si>
  <si>
    <t xml:space="preserve">输出指标</t>
  </si>
  <si>
    <r>
      <rPr>
        <sz val="10"/>
        <color rgb="FF152E49"/>
        <rFont val="Noto Sans CJK SC"/>
        <family val="2"/>
      </rPr>
      <t xml:space="preserve">每</t>
    </r>
    <r>
      <rPr>
        <sz val="10"/>
        <color rgb="FF152E49"/>
        <rFont val="Arial"/>
        <family val="0"/>
        <charset val="1"/>
      </rPr>
      <t xml:space="preserve">1</t>
    </r>
    <r>
      <rPr>
        <sz val="10"/>
        <color rgb="FF152E49"/>
        <rFont val="Noto Sans CJK SC"/>
        <family val="2"/>
      </rPr>
      <t xml:space="preserve">股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换取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股数</t>
    </r>
  </si>
  <si>
    <r>
      <rPr>
        <sz val="10"/>
        <color rgb="FF152E49"/>
        <rFont val="Noto Sans CJK SC"/>
        <family val="2"/>
      </rPr>
      <t xml:space="preserve">溢价为相对各方法</t>
    </r>
    <r>
      <rPr>
        <sz val="10"/>
        <color rgb="FF152E49"/>
        <rFont val="Arial"/>
        <family val="0"/>
        <charset val="1"/>
      </rPr>
      <t xml:space="preserve">SpaceX</t>
    </r>
    <r>
      <rPr>
        <sz val="10"/>
        <color rgb="FF152E49"/>
        <rFont val="Noto Sans CJK SC"/>
        <family val="2"/>
      </rPr>
      <t xml:space="preserve">基础价值的加成，</t>
    </r>
    <r>
      <rPr>
        <sz val="10"/>
        <color rgb="FF152E49"/>
        <rFont val="Arial"/>
        <family val="0"/>
        <charset val="1"/>
      </rPr>
      <t xml:space="preserve">Tesla</t>
    </r>
    <r>
      <rPr>
        <sz val="10"/>
        <color rgb="FF152E49"/>
        <rFont val="Noto Sans CJK SC"/>
        <family val="2"/>
      </rPr>
      <t xml:space="preserve">端不加溢价。全部单元格为明确公式，兼容无需</t>
    </r>
    <r>
      <rPr>
        <sz val="10"/>
        <color rgb="FF152E49"/>
        <rFont val="Arial"/>
        <family val="0"/>
        <charset val="1"/>
      </rPr>
      <t xml:space="preserve">Excel</t>
    </r>
    <r>
      <rPr>
        <sz val="10"/>
        <color rgb="FF152E49"/>
        <rFont val="Noto Sans CJK SC"/>
        <family val="2"/>
      </rPr>
      <t xml:space="preserve">数据表重算引擎的阅读器。</t>
    </r>
  </si>
  <si>
    <r>
      <rPr>
        <b val="true"/>
        <sz val="15"/>
        <color rgb="FFFFFFFF"/>
        <rFont val="Noto Sans CJK SC"/>
        <family val="2"/>
      </rPr>
      <t xml:space="preserve">模型勾稽 </t>
    </r>
    <r>
      <rPr>
        <b val="true"/>
        <sz val="15"/>
        <color rgb="FFFFFFFF"/>
        <rFont val="Arial"/>
        <family val="0"/>
        <charset val="1"/>
      </rPr>
      <t xml:space="preserve">| </t>
    </r>
    <r>
      <rPr>
        <b val="true"/>
        <sz val="15"/>
        <color rgb="FFFFFFFF"/>
        <rFont val="Noto Sans CJK SC"/>
        <family val="2"/>
      </rPr>
      <t xml:space="preserve">所有差额应为</t>
    </r>
    <r>
      <rPr>
        <b val="true"/>
        <sz val="15"/>
        <color rgb="FFFFFFFF"/>
        <rFont val="Arial"/>
        <family val="0"/>
        <charset val="1"/>
      </rPr>
      <t xml:space="preserve">0</t>
    </r>
  </si>
  <si>
    <t xml:space="preserve">校验项目</t>
  </si>
  <si>
    <t xml:space="preserve">差额</t>
  </si>
  <si>
    <r>
      <rPr>
        <sz val="10"/>
        <color rgb="FF152E49"/>
        <rFont val="Arial"/>
        <family val="0"/>
        <charset val="1"/>
      </rPr>
      <t xml:space="preserve">Tesla B </t>
    </r>
    <r>
      <rPr>
        <sz val="10"/>
        <color rgb="FF152E49"/>
        <rFont val="Noto Sans CJK SC"/>
        <family val="2"/>
      </rPr>
      <t xml:space="preserve">分部收入勾稽</t>
    </r>
  </si>
  <si>
    <t xml:space="preserve">本公司正式分部收入总和−公司收入</t>
  </si>
  <si>
    <r>
      <rPr>
        <sz val="10"/>
        <color rgb="FF152E49"/>
        <rFont val="Arial"/>
        <family val="0"/>
        <charset val="1"/>
      </rPr>
      <t xml:space="preserve">Tesla C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</si>
  <si>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Tesla D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</si>
  <si>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Tesla E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</si>
  <si>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Tesla F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</si>
  <si>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Tesla G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</si>
  <si>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SpaceX B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</si>
  <si>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SpaceX C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</si>
  <si>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SpaceX D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</si>
  <si>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SpaceX E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</si>
  <si>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SpaceX F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</si>
  <si>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Arial"/>
        <family val="0"/>
        <charset val="1"/>
      </rPr>
      <t xml:space="preserve">SpaceX G </t>
    </r>
    <r>
      <rPr>
        <sz val="10"/>
        <color rgb="FF152E49"/>
        <rFont val="Noto Sans CJK SC"/>
        <family val="2"/>
      </rPr>
      <t xml:space="preserve">分部收入勾稽</t>
    </r>
  </si>
  <si>
    <r>
      <rPr>
        <sz val="10"/>
        <color rgb="FF152E49"/>
        <rFont val="Noto Sans CJK SC"/>
        <family val="2"/>
      </rPr>
      <t xml:space="preserve">换股股东占比合计 </t>
    </r>
    <r>
      <rPr>
        <sz val="10"/>
        <color rgb="FF152E49"/>
        <rFont val="Arial"/>
        <family val="0"/>
        <charset val="1"/>
      </rPr>
      <t xml:space="preserve">B</t>
    </r>
  </si>
  <si>
    <r>
      <rPr>
        <sz val="10"/>
        <color rgb="FF152E49"/>
        <rFont val="Noto Sans CJK SC"/>
        <family val="2"/>
      </rPr>
      <t xml:space="preserve">原</t>
    </r>
    <r>
      <rPr>
        <sz val="10"/>
        <color rgb="FF152E49"/>
        <rFont val="Arial"/>
        <family val="0"/>
        <charset val="1"/>
      </rPr>
      <t xml:space="preserve">Tesla+</t>
    </r>
    <r>
      <rPr>
        <sz val="10"/>
        <color rgb="FF152E49"/>
        <rFont val="Noto Sans CJK SC"/>
        <family val="2"/>
      </rPr>
      <t xml:space="preserve">外部</t>
    </r>
    <r>
      <rPr>
        <sz val="10"/>
        <color rgb="FF152E49"/>
        <rFont val="Arial"/>
        <family val="0"/>
        <charset val="1"/>
      </rPr>
      <t xml:space="preserve">SpaceX=100%</t>
    </r>
  </si>
  <si>
    <r>
      <rPr>
        <sz val="10"/>
        <color rgb="FF152E49"/>
        <rFont val="Noto Sans CJK SC"/>
        <family val="2"/>
      </rPr>
      <t xml:space="preserve">换股股东占比合计 </t>
    </r>
    <r>
      <rPr>
        <sz val="10"/>
        <color rgb="FF152E49"/>
        <rFont val="Arial"/>
        <family val="0"/>
        <charset val="1"/>
      </rPr>
      <t xml:space="preserve">C</t>
    </r>
  </si>
  <si>
    <r>
      <rPr>
        <sz val="10"/>
        <color rgb="FF152E49"/>
        <rFont val="Noto Sans CJK SC"/>
        <family val="2"/>
      </rPr>
      <t xml:space="preserve">换股股东占比合计 </t>
    </r>
    <r>
      <rPr>
        <sz val="10"/>
        <color rgb="FF152E49"/>
        <rFont val="Arial"/>
        <family val="0"/>
        <charset val="1"/>
      </rPr>
      <t xml:space="preserve">D</t>
    </r>
  </si>
  <si>
    <r>
      <rPr>
        <sz val="10"/>
        <color rgb="FF152E49"/>
        <rFont val="Arial"/>
        <family val="0"/>
        <charset val="1"/>
      </rPr>
      <t xml:space="preserve">Q3</t>
    </r>
    <r>
      <rPr>
        <sz val="10"/>
        <color rgb="FF152E49"/>
        <rFont val="Noto Sans CJK SC"/>
        <family val="2"/>
      </rPr>
      <t xml:space="preserve">备考分部收入一致</t>
    </r>
  </si>
  <si>
    <t xml:space="preserve">抵销后业务结构与备考营收一致</t>
  </si>
  <si>
    <r>
      <rPr>
        <sz val="10"/>
        <color rgb="FF152E49"/>
        <rFont val="Arial"/>
        <family val="0"/>
        <charset val="1"/>
      </rPr>
      <t xml:space="preserve">Q3 FCF</t>
    </r>
    <r>
      <rPr>
        <sz val="10"/>
        <color rgb="FF152E49"/>
        <rFont val="Noto Sans CJK SC"/>
        <family val="2"/>
      </rPr>
      <t xml:space="preserve">重分类无虚增</t>
    </r>
  </si>
  <si>
    <t xml:space="preserve">同额抵销经营收款和内部资本采购</t>
  </si>
  <si>
    <r>
      <rPr>
        <sz val="10"/>
        <color rgb="FF152E49"/>
        <rFont val="Arial"/>
        <family val="0"/>
        <charset val="1"/>
      </rPr>
      <t xml:space="preserve">9M26 FCF</t>
    </r>
    <r>
      <rPr>
        <sz val="10"/>
        <color rgb="FF152E49"/>
        <rFont val="Noto Sans CJK SC"/>
        <family val="2"/>
      </rPr>
      <t xml:space="preserve">重分类无虚增</t>
    </r>
  </si>
  <si>
    <t xml:space="preserve">同上</t>
  </si>
  <si>
    <t xml:space="preserve">备考资产负债勾稽</t>
  </si>
  <si>
    <r>
      <rPr>
        <sz val="10"/>
        <color rgb="FF152E49"/>
        <rFont val="Noto Sans CJK SC"/>
        <family val="2"/>
      </rPr>
      <t xml:space="preserve">总资产</t>
    </r>
    <r>
      <rPr>
        <sz val="10"/>
        <color rgb="FF152E49"/>
        <rFont val="Arial"/>
        <family val="0"/>
        <charset val="1"/>
      </rPr>
      <t xml:space="preserve">=</t>
    </r>
    <r>
      <rPr>
        <sz val="10"/>
        <color rgb="FF152E49"/>
        <rFont val="Noto Sans CJK SC"/>
        <family val="2"/>
      </rPr>
      <t xml:space="preserve">总负债</t>
    </r>
    <r>
      <rPr>
        <sz val="10"/>
        <color rgb="FF152E49"/>
        <rFont val="Arial"/>
        <family val="0"/>
        <charset val="1"/>
      </rPr>
      <t xml:space="preserve">+</t>
    </r>
    <r>
      <rPr>
        <sz val="10"/>
        <color rgb="FF152E49"/>
        <rFont val="Noto Sans CJK SC"/>
        <family val="2"/>
      </rPr>
      <t xml:space="preserve">归母权益</t>
    </r>
    <r>
      <rPr>
        <sz val="10"/>
        <color rgb="FF152E49"/>
        <rFont val="Arial"/>
        <family val="0"/>
        <charset val="1"/>
      </rPr>
      <t xml:space="preserve">+</t>
    </r>
    <r>
      <rPr>
        <sz val="10"/>
        <color rgb="FF152E49"/>
        <rFont val="Noto Sans CJK SC"/>
        <family val="2"/>
      </rPr>
      <t xml:space="preserve">非控股权益及可赎回非控股权益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</si>
</sst>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[RED]\(#,##0.0\);\–"/>
    <numFmt numFmtId="166" formatCode="0.0%"/>
    <numFmt numFmtId="167" formatCode="0.00%"/>
    <numFmt numFmtId="168" formatCode="#,##0.00;[RED]\(#,##0.00\);\–"/>
    <numFmt numFmtId="169" formatCode="0.0000\x"/>
    <numFmt numFmtId="170" formatCode="0%"/>
  </numFmts>
  <fonts count="14">
    <font>
      <sz val="11"/>
      <color theme="1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Noto Sans CJK SC"/>
      <family val="2"/>
    </font>
    <font>
      <sz val="10"/>
      <color rgb="FF587083"/>
      <name val="Noto Sans CJK SC"/>
      <family val="2"/>
    </font>
    <font>
      <sz val="10"/>
      <color rgb="FF587083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152E49"/>
      <name val="Noto Sans CJK SC"/>
      <family val="2"/>
    </font>
    <font>
      <sz val="10"/>
      <color rgb="FF152E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52E49"/>
        <bgColor rgb="FF333333"/>
      </patternFill>
    </fill>
    <fill>
      <patternFill patternType="solid">
        <fgColor rgb="FFE6EFF4"/>
        <bgColor rgb="FFE8F1FF"/>
      </patternFill>
    </fill>
    <fill>
      <patternFill patternType="solid">
        <fgColor rgb="FFE8F1FF"/>
        <bgColor rgb="FFE6EFF4"/>
      </patternFill>
    </fill>
    <fill>
      <patternFill patternType="solid">
        <fgColor rgb="FFFFF2CC"/>
        <bgColor rgb="FFEAF5F1"/>
      </patternFill>
    </fill>
    <fill>
      <patternFill patternType="solid">
        <fgColor rgb="FFEAF5F1"/>
        <bgColor rgb="FFE6EFF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CE7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52E49"/>
          <bgColor rgb="FF000000"/>
        </patternFill>
      </fill>
    </dxf>
    <dxf>
      <fill>
        <patternFill patternType="solid">
          <fgColor rgb="FFE6EF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8708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1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5F1"/>
      <rgbColor rgb="FF660066"/>
      <rgbColor rgb="FFFF8080"/>
      <rgbColor rgb="FF0066CC"/>
      <rgbColor rgb="FFDCE7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F"/>
      <rgbColor rgb="FFE6EF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7083"/>
      <rgbColor rgb="FF969696"/>
      <rgbColor rgb="FF152E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4.56"/>
    <col collapsed="false" customWidth="true" hidden="false" outlineLevel="0" max="2" min="2" style="0" width="118.28"/>
  </cols>
  <sheetData>
    <row r="1" customFormat="false" ht="31.5" hidden="false" customHeight="true" outlineLevel="0" collapsed="false">
      <c r="A1" s="1" t="s">
        <v>0</v>
      </c>
      <c r="B1" s="1"/>
    </row>
    <row r="2" customFormat="false" ht="25.5" hidden="false" customHeight="true" outlineLevel="0" collapsed="false">
      <c r="A2" s="2" t="s">
        <v>1</v>
      </c>
      <c r="B2" s="2"/>
    </row>
    <row r="3" customFormat="false" ht="28.5" hidden="false" customHeight="true" outlineLevel="0" collapsed="false">
      <c r="A3" s="3" t="s">
        <v>2</v>
      </c>
      <c r="B3" s="3" t="s">
        <v>3</v>
      </c>
    </row>
    <row r="4" customFormat="false" ht="55.5" hidden="false" customHeight="true" outlineLevel="0" collapsed="false">
      <c r="A4" s="4" t="s">
        <v>4</v>
      </c>
      <c r="B4" s="4" t="s">
        <v>5</v>
      </c>
    </row>
    <row r="5" customFormat="false" ht="55.5" hidden="false" customHeight="true" outlineLevel="0" collapsed="false">
      <c r="A5" s="4" t="s">
        <v>6</v>
      </c>
      <c r="B5" s="4" t="s">
        <v>7</v>
      </c>
    </row>
    <row r="6" customFormat="false" ht="55.5" hidden="false" customHeight="true" outlineLevel="0" collapsed="false">
      <c r="A6" s="5" t="s">
        <v>8</v>
      </c>
      <c r="B6" s="4" t="s">
        <v>9</v>
      </c>
    </row>
    <row r="7" customFormat="false" ht="55.5" hidden="false" customHeight="true" outlineLevel="0" collapsed="false">
      <c r="A7" s="4" t="s">
        <v>10</v>
      </c>
      <c r="B7" s="5" t="s">
        <v>11</v>
      </c>
    </row>
    <row r="8" customFormat="false" ht="55.5" hidden="false" customHeight="true" outlineLevel="0" collapsed="false">
      <c r="A8" s="4" t="s">
        <v>12</v>
      </c>
      <c r="B8" s="4" t="s">
        <v>13</v>
      </c>
    </row>
    <row r="9" customFormat="false" ht="55.5" hidden="false" customHeight="true" outlineLevel="0" collapsed="false">
      <c r="A9" s="4" t="s">
        <v>14</v>
      </c>
      <c r="B9" s="4" t="s">
        <v>15</v>
      </c>
    </row>
    <row r="10" customFormat="false" ht="55.5" hidden="false" customHeight="true" outlineLevel="0" collapsed="false">
      <c r="A10" s="4" t="s">
        <v>16</v>
      </c>
      <c r="B10" s="5" t="s">
        <v>17</v>
      </c>
    </row>
    <row r="11" customFormat="false" ht="55.5" hidden="false" customHeight="true" outlineLevel="0" collapsed="false">
      <c r="A11" s="4" t="s">
        <v>18</v>
      </c>
      <c r="B11" s="5" t="s">
        <v>19</v>
      </c>
    </row>
    <row r="12" customFormat="false" ht="55.5" hidden="false" customHeight="true" outlineLevel="0" collapsed="false">
      <c r="A12" s="4" t="s">
        <v>20</v>
      </c>
      <c r="B12" s="4" t="s">
        <v>21</v>
      </c>
    </row>
    <row r="13" customFormat="false" ht="55.5" hidden="false" customHeight="true" outlineLevel="0" collapsed="false">
      <c r="A13" s="4" t="s">
        <v>22</v>
      </c>
      <c r="B13" s="5" t="s">
        <v>23</v>
      </c>
    </row>
    <row r="14" customFormat="false" ht="55.5" hidden="false" customHeight="true" outlineLevel="0" collapsed="false">
      <c r="A14" s="4" t="s">
        <v>24</v>
      </c>
      <c r="B14" s="4" t="s">
        <v>25</v>
      </c>
    </row>
    <row r="15" customFormat="false" ht="55.5" hidden="false" customHeight="true" outlineLevel="0" collapsed="false">
      <c r="A15" s="4" t="s">
        <v>26</v>
      </c>
      <c r="B15" s="4" t="s">
        <v>27</v>
      </c>
    </row>
    <row r="16" customFormat="false" ht="55.5" hidden="false" customHeight="true" outlineLevel="0" collapsed="false">
      <c r="A16" s="4" t="s">
        <v>28</v>
      </c>
      <c r="B16" s="4" t="s">
        <v>29</v>
      </c>
    </row>
    <row r="17" customFormat="false" ht="55.5" hidden="false" customHeight="true" outlineLevel="0" collapsed="false">
      <c r="A17" s="4" t="s">
        <v>30</v>
      </c>
      <c r="B17" s="4" t="s">
        <v>31</v>
      </c>
    </row>
    <row r="18" customFormat="false" ht="55.5" hidden="false" customHeight="true" outlineLevel="0" collapsed="false">
      <c r="A18" s="4" t="s">
        <v>32</v>
      </c>
      <c r="B18" s="4" t="s">
        <v>33</v>
      </c>
    </row>
    <row r="19" customFormat="false" ht="55.5" hidden="false" customHeight="true" outlineLevel="0" collapsed="false">
      <c r="A19" s="4" t="s">
        <v>34</v>
      </c>
      <c r="B19" s="4" t="s">
        <v>35</v>
      </c>
    </row>
    <row r="20" customFormat="false" ht="55.5" hidden="false" customHeight="true" outlineLevel="0" collapsed="false">
      <c r="A20" s="4" t="s">
        <v>36</v>
      </c>
      <c r="B20" s="4" t="s">
        <v>37</v>
      </c>
    </row>
    <row r="21" customFormat="false" ht="55.5" hidden="false" customHeight="true" outlineLevel="0" collapsed="false">
      <c r="A21" s="4" t="s">
        <v>38</v>
      </c>
      <c r="B21" s="4" t="s">
        <v>39</v>
      </c>
    </row>
    <row r="22" customFormat="false" ht="55.5" hidden="false" customHeight="true" outlineLevel="0" collapsed="false">
      <c r="A22" s="4" t="s">
        <v>40</v>
      </c>
      <c r="B22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77.33"/>
    <col collapsed="false" customWidth="true" hidden="false" outlineLevel="0" max="3" min="3" style="0" width="72.79"/>
    <col collapsed="false" customWidth="true" hidden="false" outlineLevel="0" max="4" min="4" style="0" width="16.38"/>
  </cols>
  <sheetData>
    <row r="1" customFormat="false" ht="31.5" hidden="false" customHeight="true" outlineLevel="0" collapsed="false">
      <c r="A1" s="6" t="s">
        <v>42</v>
      </c>
      <c r="B1" s="6"/>
      <c r="C1" s="6"/>
      <c r="D1" s="6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3" customFormat="false" ht="28.5" hidden="false" customHeight="true" outlineLevel="0" collapsed="false">
      <c r="A3" s="7" t="s">
        <v>43</v>
      </c>
      <c r="B3" s="3" t="s">
        <v>44</v>
      </c>
      <c r="C3" s="3" t="s">
        <v>45</v>
      </c>
      <c r="D3" s="3" t="s">
        <v>40</v>
      </c>
    </row>
    <row r="4" customFormat="false" ht="31.5" hidden="false" customHeight="true" outlineLevel="0" collapsed="false">
      <c r="A4" s="5" t="s">
        <v>46</v>
      </c>
      <c r="B4" s="5" t="s">
        <v>47</v>
      </c>
      <c r="C4" s="4" t="s">
        <v>48</v>
      </c>
      <c r="D4" s="5" t="s">
        <v>49</v>
      </c>
    </row>
    <row r="5" customFormat="false" ht="31.5" hidden="false" customHeight="true" outlineLevel="0" collapsed="false">
      <c r="A5" s="5" t="s">
        <v>50</v>
      </c>
      <c r="B5" s="5" t="s">
        <v>51</v>
      </c>
      <c r="C5" s="4" t="s">
        <v>48</v>
      </c>
      <c r="D5" s="5" t="s">
        <v>49</v>
      </c>
    </row>
    <row r="6" customFormat="false" ht="31.5" hidden="false" customHeight="true" outlineLevel="0" collapsed="false">
      <c r="A6" s="5" t="s">
        <v>52</v>
      </c>
      <c r="B6" s="5" t="s">
        <v>53</v>
      </c>
      <c r="C6" s="4" t="s">
        <v>48</v>
      </c>
      <c r="D6" s="5" t="s">
        <v>49</v>
      </c>
    </row>
    <row r="7" customFormat="false" ht="31.5" hidden="false" customHeight="true" outlineLevel="0" collapsed="false">
      <c r="A7" s="5" t="s">
        <v>54</v>
      </c>
      <c r="B7" s="5" t="s">
        <v>55</v>
      </c>
      <c r="C7" s="4" t="s">
        <v>48</v>
      </c>
      <c r="D7" s="5" t="s">
        <v>49</v>
      </c>
    </row>
    <row r="8" customFormat="false" ht="31.5" hidden="false" customHeight="true" outlineLevel="0" collapsed="false">
      <c r="A8" s="5" t="s">
        <v>56</v>
      </c>
      <c r="B8" s="5" t="s">
        <v>57</v>
      </c>
      <c r="C8" s="4" t="s">
        <v>48</v>
      </c>
      <c r="D8" s="5" t="s">
        <v>49</v>
      </c>
    </row>
    <row r="9" customFormat="false" ht="31.5" hidden="false" customHeight="true" outlineLevel="0" collapsed="false">
      <c r="A9" s="5" t="s">
        <v>58</v>
      </c>
      <c r="B9" s="5" t="s">
        <v>59</v>
      </c>
      <c r="C9" s="4" t="s">
        <v>48</v>
      </c>
      <c r="D9" s="5" t="s">
        <v>49</v>
      </c>
    </row>
    <row r="10" customFormat="false" ht="31.5" hidden="false" customHeight="true" outlineLevel="0" collapsed="false">
      <c r="A10" s="5" t="s">
        <v>60</v>
      </c>
      <c r="B10" s="5" t="s">
        <v>61</v>
      </c>
      <c r="C10" s="4" t="s">
        <v>48</v>
      </c>
      <c r="D10" s="5" t="s">
        <v>49</v>
      </c>
    </row>
    <row r="11" customFormat="false" ht="31.5" hidden="false" customHeight="true" outlineLevel="0" collapsed="false">
      <c r="A11" s="5" t="s">
        <v>62</v>
      </c>
      <c r="B11" s="5" t="s">
        <v>63</v>
      </c>
      <c r="C11" s="5" t="s">
        <v>64</v>
      </c>
      <c r="D11" s="5" t="s">
        <v>49</v>
      </c>
    </row>
    <row r="12" customFormat="false" ht="31.5" hidden="false" customHeight="true" outlineLevel="0" collapsed="false">
      <c r="A12" s="5" t="s">
        <v>65</v>
      </c>
      <c r="B12" s="5" t="s">
        <v>66</v>
      </c>
      <c r="C12" s="5" t="s">
        <v>67</v>
      </c>
      <c r="D12" s="5" t="s">
        <v>49</v>
      </c>
    </row>
    <row r="13" customFormat="false" ht="31.5" hidden="false" customHeight="true" outlineLevel="0" collapsed="false">
      <c r="A13" s="5" t="s">
        <v>68</v>
      </c>
      <c r="B13" s="5" t="s">
        <v>69</v>
      </c>
      <c r="C13" s="5" t="s">
        <v>70</v>
      </c>
      <c r="D13" s="5" t="s">
        <v>49</v>
      </c>
    </row>
    <row r="14" customFormat="false" ht="31.5" hidden="false" customHeight="true" outlineLevel="0" collapsed="false">
      <c r="A14" s="4" t="s">
        <v>71</v>
      </c>
      <c r="B14" s="4" t="s">
        <v>72</v>
      </c>
      <c r="C14" s="5" t="s">
        <v>73</v>
      </c>
      <c r="D14" s="5" t="s">
        <v>49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H2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1.85"/>
    <col collapsed="false" customWidth="true" hidden="false" outlineLevel="0" max="3" min="2" style="0" width="10.92"/>
    <col collapsed="false" customWidth="true" hidden="false" outlineLevel="0" max="4" min="4" style="0" width="21.84"/>
    <col collapsed="false" customWidth="true" hidden="false" outlineLevel="0" max="5" min="5" style="0" width="18.2"/>
    <col collapsed="false" customWidth="true" hidden="false" outlineLevel="0" max="6" min="6" style="0" width="68.24"/>
    <col collapsed="false" customWidth="true" hidden="false" outlineLevel="0" max="7" min="7" style="0" width="86.43"/>
    <col collapsed="false" customWidth="true" hidden="false" outlineLevel="0" max="8" min="8" style="0" width="16.38"/>
  </cols>
  <sheetData>
    <row r="1" customFormat="false" ht="31.5" hidden="false" customHeight="true" outlineLevel="0" collapsed="false">
      <c r="A1" s="6" t="s">
        <v>74</v>
      </c>
      <c r="B1" s="6"/>
      <c r="C1" s="6"/>
      <c r="D1" s="6"/>
      <c r="E1" s="6"/>
      <c r="F1" s="6"/>
      <c r="G1" s="6"/>
      <c r="H1" s="6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5" hidden="false" customHeight="true" outlineLevel="0" collapsed="false">
      <c r="A3" s="3" t="s">
        <v>75</v>
      </c>
      <c r="B3" s="3" t="s">
        <v>76</v>
      </c>
      <c r="C3" s="3" t="s">
        <v>6</v>
      </c>
      <c r="D3" s="3" t="s">
        <v>77</v>
      </c>
      <c r="E3" s="3" t="s">
        <v>78</v>
      </c>
      <c r="F3" s="3" t="s">
        <v>79</v>
      </c>
      <c r="G3" s="3" t="s">
        <v>80</v>
      </c>
      <c r="H3" s="3" t="s">
        <v>81</v>
      </c>
    </row>
    <row r="4" customFormat="false" ht="43.5" hidden="false" customHeight="true" outlineLevel="0" collapsed="false">
      <c r="A4" s="5" t="s">
        <v>82</v>
      </c>
      <c r="B4" s="5" t="s">
        <v>83</v>
      </c>
      <c r="C4" s="5" t="s">
        <v>84</v>
      </c>
      <c r="D4" s="5" t="s">
        <v>85</v>
      </c>
      <c r="E4" s="8" t="n">
        <v>18674</v>
      </c>
      <c r="F4" s="5" t="s">
        <v>47</v>
      </c>
      <c r="G4" s="5" t="s">
        <v>86</v>
      </c>
      <c r="H4" s="5" t="s">
        <v>49</v>
      </c>
    </row>
    <row r="5" customFormat="false" ht="43.5" hidden="false" customHeight="true" outlineLevel="0" collapsed="false">
      <c r="A5" s="5" t="s">
        <v>87</v>
      </c>
      <c r="B5" s="5" t="s">
        <v>83</v>
      </c>
      <c r="C5" s="5" t="s">
        <v>84</v>
      </c>
      <c r="D5" s="5" t="s">
        <v>88</v>
      </c>
      <c r="E5" s="8" t="n">
        <v>9451</v>
      </c>
      <c r="F5" s="5" t="s">
        <v>47</v>
      </c>
      <c r="G5" s="5" t="s">
        <v>86</v>
      </c>
      <c r="H5" s="5" t="s">
        <v>49</v>
      </c>
    </row>
    <row r="6" customFormat="false" ht="43.5" hidden="false" customHeight="true" outlineLevel="0" collapsed="false">
      <c r="A6" s="5" t="s">
        <v>89</v>
      </c>
      <c r="B6" s="5" t="s">
        <v>83</v>
      </c>
      <c r="C6" s="5" t="s">
        <v>84</v>
      </c>
      <c r="D6" s="5" t="s">
        <v>90</v>
      </c>
      <c r="E6" s="8" t="n">
        <v>-2589</v>
      </c>
      <c r="F6" s="5" t="s">
        <v>47</v>
      </c>
      <c r="G6" s="5" t="s">
        <v>86</v>
      </c>
      <c r="H6" s="5" t="s">
        <v>49</v>
      </c>
    </row>
    <row r="7" customFormat="false" ht="43.5" hidden="false" customHeight="true" outlineLevel="0" collapsed="false">
      <c r="A7" s="5" t="s">
        <v>91</v>
      </c>
      <c r="B7" s="5" t="s">
        <v>83</v>
      </c>
      <c r="C7" s="5" t="s">
        <v>84</v>
      </c>
      <c r="D7" s="5" t="s">
        <v>92</v>
      </c>
      <c r="E7" s="8" t="n">
        <v>-4937</v>
      </c>
      <c r="F7" s="5" t="s">
        <v>47</v>
      </c>
      <c r="G7" s="5" t="s">
        <v>86</v>
      </c>
      <c r="H7" s="5" t="s">
        <v>49</v>
      </c>
    </row>
    <row r="8" customFormat="false" ht="43.5" hidden="false" customHeight="true" outlineLevel="0" collapsed="false">
      <c r="A8" s="5" t="s">
        <v>93</v>
      </c>
      <c r="B8" s="5" t="s">
        <v>83</v>
      </c>
      <c r="C8" s="5" t="s">
        <v>84</v>
      </c>
      <c r="D8" s="5" t="s">
        <v>94</v>
      </c>
      <c r="E8" s="8" t="n">
        <v>-4937</v>
      </c>
      <c r="F8" s="5" t="s">
        <v>47</v>
      </c>
      <c r="G8" s="5" t="s">
        <v>86</v>
      </c>
      <c r="H8" s="5" t="s">
        <v>49</v>
      </c>
    </row>
    <row r="9" customFormat="false" ht="43.5" hidden="false" customHeight="true" outlineLevel="0" collapsed="false">
      <c r="A9" s="5" t="s">
        <v>95</v>
      </c>
      <c r="B9" s="5" t="s">
        <v>83</v>
      </c>
      <c r="C9" s="5" t="s">
        <v>84</v>
      </c>
      <c r="D9" s="5" t="s">
        <v>96</v>
      </c>
      <c r="E9" s="8" t="n">
        <v>6785</v>
      </c>
      <c r="F9" s="5" t="s">
        <v>47</v>
      </c>
      <c r="G9" s="5" t="s">
        <v>86</v>
      </c>
      <c r="H9" s="5" t="s">
        <v>49</v>
      </c>
    </row>
    <row r="10" customFormat="false" ht="43.5" hidden="false" customHeight="true" outlineLevel="0" collapsed="false">
      <c r="A10" s="5" t="s">
        <v>97</v>
      </c>
      <c r="B10" s="5" t="s">
        <v>83</v>
      </c>
      <c r="C10" s="5" t="s">
        <v>84</v>
      </c>
      <c r="D10" s="5" t="s">
        <v>98</v>
      </c>
      <c r="E10" s="8" t="n">
        <v>20737</v>
      </c>
      <c r="F10" s="5" t="s">
        <v>47</v>
      </c>
      <c r="G10" s="5" t="s">
        <v>86</v>
      </c>
      <c r="H10" s="5" t="s">
        <v>49</v>
      </c>
    </row>
    <row r="11" customFormat="false" ht="43.5" hidden="false" customHeight="true" outlineLevel="0" collapsed="false">
      <c r="A11" s="5" t="s">
        <v>99</v>
      </c>
      <c r="B11" s="5" t="s">
        <v>83</v>
      </c>
      <c r="C11" s="5" t="s">
        <v>84</v>
      </c>
      <c r="D11" s="5" t="s">
        <v>100</v>
      </c>
      <c r="E11" s="8" t="n">
        <v>24747</v>
      </c>
      <c r="F11" s="5" t="s">
        <v>47</v>
      </c>
      <c r="G11" s="5" t="s">
        <v>86</v>
      </c>
      <c r="H11" s="5" t="s">
        <v>49</v>
      </c>
    </row>
    <row r="12" customFormat="false" ht="43.5" hidden="false" customHeight="true" outlineLevel="0" collapsed="false">
      <c r="A12" s="5" t="s">
        <v>101</v>
      </c>
      <c r="B12" s="5" t="s">
        <v>83</v>
      </c>
      <c r="C12" s="5" t="s">
        <v>84</v>
      </c>
      <c r="D12" s="5" t="s">
        <v>102</v>
      </c>
      <c r="E12" s="8" t="n">
        <v>0</v>
      </c>
      <c r="F12" s="5" t="s">
        <v>47</v>
      </c>
      <c r="G12" s="5" t="s">
        <v>86</v>
      </c>
      <c r="H12" s="5" t="s">
        <v>49</v>
      </c>
    </row>
    <row r="13" customFormat="false" ht="43.5" hidden="false" customHeight="true" outlineLevel="0" collapsed="false">
      <c r="A13" s="5" t="s">
        <v>103</v>
      </c>
      <c r="B13" s="5" t="s">
        <v>83</v>
      </c>
      <c r="C13" s="5" t="s">
        <v>84</v>
      </c>
      <c r="D13" s="5" t="s">
        <v>104</v>
      </c>
      <c r="E13" s="8" t="n">
        <v>928</v>
      </c>
      <c r="F13" s="5" t="s">
        <v>47</v>
      </c>
      <c r="G13" s="5" t="s">
        <v>86</v>
      </c>
      <c r="H13" s="5" t="s">
        <v>49</v>
      </c>
    </row>
    <row r="14" customFormat="false" ht="43.5" hidden="false" customHeight="true" outlineLevel="0" collapsed="false">
      <c r="A14" s="5" t="s">
        <v>105</v>
      </c>
      <c r="B14" s="5" t="s">
        <v>83</v>
      </c>
      <c r="C14" s="5" t="s">
        <v>84</v>
      </c>
      <c r="D14" s="5" t="s">
        <v>106</v>
      </c>
      <c r="E14" s="8" t="n">
        <v>21968</v>
      </c>
      <c r="F14" s="5" t="s">
        <v>47</v>
      </c>
      <c r="G14" s="5" t="s">
        <v>86</v>
      </c>
      <c r="H14" s="5" t="s">
        <v>49</v>
      </c>
    </row>
    <row r="15" customFormat="false" ht="43.5" hidden="false" customHeight="true" outlineLevel="0" collapsed="false">
      <c r="A15" s="5" t="s">
        <v>107</v>
      </c>
      <c r="B15" s="5" t="s">
        <v>83</v>
      </c>
      <c r="C15" s="5" t="s">
        <v>84</v>
      </c>
      <c r="D15" s="5" t="s">
        <v>108</v>
      </c>
      <c r="E15" s="8" t="n">
        <v>2573</v>
      </c>
      <c r="F15" s="5" t="s">
        <v>47</v>
      </c>
      <c r="G15" s="5" t="s">
        <v>86</v>
      </c>
      <c r="H15" s="5" t="s">
        <v>49</v>
      </c>
    </row>
    <row r="16" customFormat="false" ht="43.5" hidden="false" customHeight="true" outlineLevel="0" collapsed="false">
      <c r="A16" s="5" t="s">
        <v>109</v>
      </c>
      <c r="B16" s="5" t="s">
        <v>83</v>
      </c>
      <c r="C16" s="5" t="s">
        <v>84</v>
      </c>
      <c r="D16" s="5" t="s">
        <v>110</v>
      </c>
      <c r="E16" s="8" t="n">
        <v>92079</v>
      </c>
      <c r="F16" s="5" t="s">
        <v>47</v>
      </c>
      <c r="G16" s="5" t="s">
        <v>86</v>
      </c>
      <c r="H16" s="5" t="s">
        <v>49</v>
      </c>
    </row>
    <row r="17" customFormat="false" ht="43.5" hidden="false" customHeight="true" outlineLevel="0" collapsed="false">
      <c r="A17" s="5" t="s">
        <v>111</v>
      </c>
      <c r="B17" s="5" t="s">
        <v>83</v>
      </c>
      <c r="C17" s="5" t="s">
        <v>84</v>
      </c>
      <c r="D17" s="5" t="s">
        <v>112</v>
      </c>
      <c r="E17" s="8" t="n">
        <v>50754</v>
      </c>
      <c r="F17" s="5" t="s">
        <v>47</v>
      </c>
      <c r="G17" s="5" t="s">
        <v>86</v>
      </c>
      <c r="H17" s="5" t="s">
        <v>49</v>
      </c>
    </row>
    <row r="18" customFormat="false" ht="43.5" hidden="false" customHeight="true" outlineLevel="0" collapsed="false">
      <c r="A18" s="5" t="s">
        <v>113</v>
      </c>
      <c r="B18" s="5" t="s">
        <v>83</v>
      </c>
      <c r="C18" s="5" t="s">
        <v>84</v>
      </c>
      <c r="D18" s="5" t="s">
        <v>114</v>
      </c>
      <c r="E18" s="8" t="n">
        <v>38752</v>
      </c>
      <c r="F18" s="5" t="s">
        <v>47</v>
      </c>
      <c r="G18" s="5" t="s">
        <v>86</v>
      </c>
      <c r="H18" s="5" t="s">
        <v>49</v>
      </c>
    </row>
    <row r="19" customFormat="false" ht="43.5" hidden="false" customHeight="true" outlineLevel="0" collapsed="false">
      <c r="A19" s="5" t="s">
        <v>115</v>
      </c>
      <c r="B19" s="5" t="s">
        <v>83</v>
      </c>
      <c r="C19" s="5" t="s">
        <v>116</v>
      </c>
      <c r="D19" s="5" t="s">
        <v>85</v>
      </c>
      <c r="E19" s="8" t="n">
        <v>13714</v>
      </c>
      <c r="F19" s="5" t="s">
        <v>53</v>
      </c>
      <c r="G19" s="5" t="s">
        <v>117</v>
      </c>
      <c r="H19" s="5" t="s">
        <v>49</v>
      </c>
    </row>
    <row r="20" customFormat="false" ht="43.5" hidden="false" customHeight="true" outlineLevel="0" collapsed="false">
      <c r="A20" s="5" t="s">
        <v>118</v>
      </c>
      <c r="B20" s="5" t="s">
        <v>83</v>
      </c>
      <c r="C20" s="5" t="s">
        <v>116</v>
      </c>
      <c r="D20" s="5" t="s">
        <v>88</v>
      </c>
      <c r="E20" s="8" t="n">
        <v>6949</v>
      </c>
      <c r="F20" s="5" t="s">
        <v>53</v>
      </c>
      <c r="G20" s="5" t="s">
        <v>117</v>
      </c>
      <c r="H20" s="5" t="s">
        <v>49</v>
      </c>
    </row>
    <row r="21" customFormat="false" ht="43.5" hidden="false" customHeight="true" outlineLevel="0" collapsed="false">
      <c r="A21" s="5" t="s">
        <v>119</v>
      </c>
      <c r="B21" s="5" t="s">
        <v>83</v>
      </c>
      <c r="C21" s="5" t="s">
        <v>116</v>
      </c>
      <c r="D21" s="5" t="s">
        <v>90</v>
      </c>
      <c r="E21" s="8" t="n">
        <v>-1216</v>
      </c>
      <c r="F21" s="5" t="s">
        <v>53</v>
      </c>
      <c r="G21" s="5" t="s">
        <v>117</v>
      </c>
      <c r="H21" s="5" t="s">
        <v>49</v>
      </c>
    </row>
    <row r="22" customFormat="false" ht="43.5" hidden="false" customHeight="true" outlineLevel="0" collapsed="false">
      <c r="A22" s="5" t="s">
        <v>120</v>
      </c>
      <c r="B22" s="5" t="s">
        <v>83</v>
      </c>
      <c r="C22" s="5" t="s">
        <v>116</v>
      </c>
      <c r="D22" s="5" t="s">
        <v>92</v>
      </c>
      <c r="E22" s="8" t="n">
        <v>-2590</v>
      </c>
      <c r="F22" s="5" t="s">
        <v>53</v>
      </c>
      <c r="G22" s="5" t="s">
        <v>117</v>
      </c>
      <c r="H22" s="5" t="s">
        <v>49</v>
      </c>
    </row>
    <row r="23" customFormat="false" ht="43.5" hidden="false" customHeight="true" outlineLevel="0" collapsed="false">
      <c r="A23" s="5" t="s">
        <v>121</v>
      </c>
      <c r="B23" s="5" t="s">
        <v>83</v>
      </c>
      <c r="C23" s="5" t="s">
        <v>116</v>
      </c>
      <c r="D23" s="5" t="s">
        <v>94</v>
      </c>
      <c r="E23" s="8" t="n">
        <v>-2590</v>
      </c>
      <c r="F23" s="5" t="s">
        <v>53</v>
      </c>
      <c r="G23" s="5" t="s">
        <v>117</v>
      </c>
      <c r="H23" s="5" t="s">
        <v>49</v>
      </c>
    </row>
    <row r="24" customFormat="false" ht="43.5" hidden="false" customHeight="true" outlineLevel="0" collapsed="false">
      <c r="A24" s="5" t="s">
        <v>122</v>
      </c>
      <c r="B24" s="5" t="s">
        <v>83</v>
      </c>
      <c r="C24" s="5" t="s">
        <v>116</v>
      </c>
      <c r="D24" s="5" t="s">
        <v>96</v>
      </c>
      <c r="E24" s="8" t="n">
        <v>4120</v>
      </c>
      <c r="F24" s="5" t="s">
        <v>53</v>
      </c>
      <c r="G24" s="5" t="s">
        <v>117</v>
      </c>
      <c r="H24" s="5" t="s">
        <v>49</v>
      </c>
    </row>
    <row r="25" customFormat="false" ht="43.5" hidden="false" customHeight="true" outlineLevel="0" collapsed="false">
      <c r="A25" s="5" t="s">
        <v>123</v>
      </c>
      <c r="B25" s="5" t="s">
        <v>83</v>
      </c>
      <c r="C25" s="5" t="s">
        <v>116</v>
      </c>
      <c r="D25" s="5" t="s">
        <v>98</v>
      </c>
      <c r="E25" s="8" t="n">
        <v>13846</v>
      </c>
      <c r="F25" s="5" t="s">
        <v>53</v>
      </c>
      <c r="G25" s="5" t="s">
        <v>117</v>
      </c>
      <c r="H25" s="5" t="s">
        <v>49</v>
      </c>
    </row>
    <row r="26" customFormat="false" ht="43.5" hidden="false" customHeight="true" outlineLevel="0" collapsed="false">
      <c r="A26" s="5" t="s">
        <v>124</v>
      </c>
      <c r="B26" s="5" t="s">
        <v>83</v>
      </c>
      <c r="C26" s="5" t="s">
        <v>125</v>
      </c>
      <c r="D26" s="5" t="s">
        <v>85</v>
      </c>
      <c r="E26" s="8" t="n">
        <v>4694</v>
      </c>
      <c r="F26" s="5" t="s">
        <v>47</v>
      </c>
      <c r="G26" s="5" t="s">
        <v>126</v>
      </c>
      <c r="H26" s="5" t="s">
        <v>49</v>
      </c>
    </row>
    <row r="27" customFormat="false" ht="43.5" hidden="false" customHeight="true" outlineLevel="0" collapsed="false">
      <c r="A27" s="5" t="s">
        <v>127</v>
      </c>
      <c r="B27" s="5" t="s">
        <v>83</v>
      </c>
      <c r="C27" s="5" t="s">
        <v>125</v>
      </c>
      <c r="D27" s="5" t="s">
        <v>88</v>
      </c>
      <c r="E27" s="8" t="n">
        <v>2388</v>
      </c>
      <c r="F27" s="5" t="s">
        <v>47</v>
      </c>
      <c r="G27" s="5" t="s">
        <v>126</v>
      </c>
      <c r="H27" s="5" t="s">
        <v>49</v>
      </c>
    </row>
    <row r="28" customFormat="false" ht="43.5" hidden="false" customHeight="true" outlineLevel="0" collapsed="false">
      <c r="A28" s="5" t="s">
        <v>128</v>
      </c>
      <c r="B28" s="5" t="s">
        <v>83</v>
      </c>
      <c r="C28" s="5" t="s">
        <v>125</v>
      </c>
      <c r="D28" s="5" t="s">
        <v>90</v>
      </c>
      <c r="E28" s="8" t="n">
        <v>-1943</v>
      </c>
      <c r="F28" s="5" t="s">
        <v>47</v>
      </c>
      <c r="G28" s="5" t="s">
        <v>126</v>
      </c>
      <c r="H28" s="5" t="s">
        <v>49</v>
      </c>
    </row>
    <row r="29" customFormat="false" ht="43.5" hidden="false" customHeight="true" outlineLevel="0" collapsed="false">
      <c r="A29" s="5" t="s">
        <v>129</v>
      </c>
      <c r="B29" s="5" t="s">
        <v>83</v>
      </c>
      <c r="C29" s="5" t="s">
        <v>125</v>
      </c>
      <c r="D29" s="5" t="s">
        <v>92</v>
      </c>
      <c r="E29" s="8" t="n">
        <v>-4276</v>
      </c>
      <c r="F29" s="5" t="s">
        <v>47</v>
      </c>
      <c r="G29" s="5" t="s">
        <v>126</v>
      </c>
      <c r="H29" s="5" t="s">
        <v>49</v>
      </c>
    </row>
    <row r="30" customFormat="false" ht="43.5" hidden="false" customHeight="true" outlineLevel="0" collapsed="false">
      <c r="A30" s="5" t="s">
        <v>130</v>
      </c>
      <c r="B30" s="5" t="s">
        <v>83</v>
      </c>
      <c r="C30" s="5" t="s">
        <v>125</v>
      </c>
      <c r="D30" s="5" t="s">
        <v>94</v>
      </c>
      <c r="E30" s="8" t="n">
        <v>-4947</v>
      </c>
      <c r="F30" s="5" t="s">
        <v>47</v>
      </c>
      <c r="G30" s="5" t="s">
        <v>126</v>
      </c>
      <c r="H30" s="5" t="s">
        <v>49</v>
      </c>
    </row>
    <row r="31" customFormat="false" ht="43.5" hidden="false" customHeight="true" outlineLevel="0" collapsed="false">
      <c r="A31" s="5" t="s">
        <v>131</v>
      </c>
      <c r="B31" s="5" t="s">
        <v>83</v>
      </c>
      <c r="C31" s="5" t="s">
        <v>125</v>
      </c>
      <c r="D31" s="5" t="s">
        <v>96</v>
      </c>
      <c r="E31" s="8" t="n">
        <v>1047</v>
      </c>
      <c r="F31" s="5" t="s">
        <v>47</v>
      </c>
      <c r="G31" s="5" t="s">
        <v>126</v>
      </c>
      <c r="H31" s="5" t="s">
        <v>49</v>
      </c>
    </row>
    <row r="32" customFormat="false" ht="43.5" hidden="false" customHeight="true" outlineLevel="0" collapsed="false">
      <c r="A32" s="5" t="s">
        <v>132</v>
      </c>
      <c r="B32" s="5" t="s">
        <v>83</v>
      </c>
      <c r="C32" s="5" t="s">
        <v>125</v>
      </c>
      <c r="D32" s="5" t="s">
        <v>98</v>
      </c>
      <c r="E32" s="8" t="n">
        <v>10107</v>
      </c>
      <c r="F32" s="5" t="s">
        <v>47</v>
      </c>
      <c r="G32" s="5" t="s">
        <v>126</v>
      </c>
      <c r="H32" s="5" t="s">
        <v>49</v>
      </c>
    </row>
    <row r="33" customFormat="false" ht="43.5" hidden="false" customHeight="true" outlineLevel="0" collapsed="false">
      <c r="A33" s="5" t="s">
        <v>133</v>
      </c>
      <c r="B33" s="5" t="s">
        <v>83</v>
      </c>
      <c r="C33" s="5" t="s">
        <v>125</v>
      </c>
      <c r="D33" s="5" t="s">
        <v>100</v>
      </c>
      <c r="E33" s="8" t="n">
        <v>15852</v>
      </c>
      <c r="F33" s="5" t="s">
        <v>47</v>
      </c>
      <c r="G33" s="5" t="s">
        <v>126</v>
      </c>
      <c r="H33" s="5" t="s">
        <v>49</v>
      </c>
    </row>
    <row r="34" customFormat="false" ht="43.5" hidden="false" customHeight="true" outlineLevel="0" collapsed="false">
      <c r="A34" s="5" t="s">
        <v>134</v>
      </c>
      <c r="B34" s="5" t="s">
        <v>83</v>
      </c>
      <c r="C34" s="5" t="s">
        <v>125</v>
      </c>
      <c r="D34" s="5" t="s">
        <v>102</v>
      </c>
      <c r="E34" s="8" t="n">
        <v>7823</v>
      </c>
      <c r="F34" s="5" t="s">
        <v>47</v>
      </c>
      <c r="G34" s="5" t="s">
        <v>126</v>
      </c>
      <c r="H34" s="5" t="s">
        <v>49</v>
      </c>
    </row>
    <row r="35" customFormat="false" ht="43.5" hidden="false" customHeight="true" outlineLevel="0" collapsed="false">
      <c r="A35" s="5" t="s">
        <v>135</v>
      </c>
      <c r="B35" s="5" t="s">
        <v>83</v>
      </c>
      <c r="C35" s="5" t="s">
        <v>125</v>
      </c>
      <c r="D35" s="5" t="s">
        <v>104</v>
      </c>
      <c r="E35" s="8" t="n">
        <v>1538</v>
      </c>
      <c r="F35" s="5" t="s">
        <v>47</v>
      </c>
      <c r="G35" s="5" t="s">
        <v>126</v>
      </c>
      <c r="H35" s="5" t="s">
        <v>49</v>
      </c>
    </row>
    <row r="36" customFormat="false" ht="43.5" hidden="false" customHeight="true" outlineLevel="0" collapsed="false">
      <c r="A36" s="5" t="s">
        <v>136</v>
      </c>
      <c r="B36" s="5" t="s">
        <v>83</v>
      </c>
      <c r="C36" s="5" t="s">
        <v>125</v>
      </c>
      <c r="D36" s="5" t="s">
        <v>106</v>
      </c>
      <c r="E36" s="8" t="n">
        <v>28727</v>
      </c>
      <c r="F36" s="5" t="s">
        <v>47</v>
      </c>
      <c r="G36" s="5" t="s">
        <v>126</v>
      </c>
      <c r="H36" s="5" t="s">
        <v>49</v>
      </c>
    </row>
    <row r="37" customFormat="false" ht="43.5" hidden="false" customHeight="true" outlineLevel="0" collapsed="false">
      <c r="A37" s="5" t="s">
        <v>137</v>
      </c>
      <c r="B37" s="5" t="s">
        <v>83</v>
      </c>
      <c r="C37" s="5" t="s">
        <v>125</v>
      </c>
      <c r="D37" s="5" t="s">
        <v>108</v>
      </c>
      <c r="E37" s="8" t="n">
        <v>34533</v>
      </c>
      <c r="F37" s="5" t="s">
        <v>47</v>
      </c>
      <c r="G37" s="5" t="s">
        <v>126</v>
      </c>
      <c r="H37" s="5" t="s">
        <v>49</v>
      </c>
    </row>
    <row r="38" customFormat="false" ht="43.5" hidden="false" customHeight="true" outlineLevel="0" collapsed="false">
      <c r="A38" s="5" t="s">
        <v>138</v>
      </c>
      <c r="B38" s="5" t="s">
        <v>83</v>
      </c>
      <c r="C38" s="5" t="s">
        <v>125</v>
      </c>
      <c r="D38" s="5" t="s">
        <v>110</v>
      </c>
      <c r="E38" s="8" t="n">
        <v>102094</v>
      </c>
      <c r="F38" s="5" t="s">
        <v>47</v>
      </c>
      <c r="G38" s="5" t="s">
        <v>126</v>
      </c>
      <c r="H38" s="5" t="s">
        <v>49</v>
      </c>
    </row>
    <row r="39" customFormat="false" ht="43.5" hidden="false" customHeight="true" outlineLevel="0" collapsed="false">
      <c r="A39" s="5" t="s">
        <v>139</v>
      </c>
      <c r="B39" s="5" t="s">
        <v>83</v>
      </c>
      <c r="C39" s="5" t="s">
        <v>125</v>
      </c>
      <c r="D39" s="5" t="s">
        <v>112</v>
      </c>
      <c r="E39" s="8" t="n">
        <v>60512</v>
      </c>
      <c r="F39" s="5" t="s">
        <v>47</v>
      </c>
      <c r="G39" s="5" t="s">
        <v>126</v>
      </c>
      <c r="H39" s="5" t="s">
        <v>49</v>
      </c>
    </row>
    <row r="40" customFormat="false" ht="43.5" hidden="false" customHeight="true" outlineLevel="0" collapsed="false">
      <c r="A40" s="5" t="s">
        <v>140</v>
      </c>
      <c r="B40" s="5" t="s">
        <v>83</v>
      </c>
      <c r="C40" s="5" t="s">
        <v>125</v>
      </c>
      <c r="D40" s="5" t="s">
        <v>114</v>
      </c>
      <c r="E40" s="8" t="n">
        <v>7049</v>
      </c>
      <c r="F40" s="5" t="s">
        <v>47</v>
      </c>
      <c r="G40" s="5" t="s">
        <v>126</v>
      </c>
      <c r="H40" s="5" t="s">
        <v>49</v>
      </c>
    </row>
    <row r="41" customFormat="false" ht="43.5" hidden="false" customHeight="true" outlineLevel="0" collapsed="false">
      <c r="A41" s="5" t="s">
        <v>141</v>
      </c>
      <c r="B41" s="5" t="s">
        <v>83</v>
      </c>
      <c r="C41" s="5" t="s">
        <v>142</v>
      </c>
      <c r="D41" s="5" t="s">
        <v>85</v>
      </c>
      <c r="E41" s="8" t="n">
        <v>7814</v>
      </c>
      <c r="F41" s="5" t="s">
        <v>51</v>
      </c>
      <c r="G41" s="5" t="s">
        <v>143</v>
      </c>
      <c r="H41" s="5" t="s">
        <v>49</v>
      </c>
    </row>
    <row r="42" customFormat="false" ht="43.5" hidden="false" customHeight="true" outlineLevel="0" collapsed="false">
      <c r="A42" s="5" t="s">
        <v>144</v>
      </c>
      <c r="B42" s="5" t="s">
        <v>83</v>
      </c>
      <c r="C42" s="5" t="s">
        <v>142</v>
      </c>
      <c r="D42" s="5" t="s">
        <v>88</v>
      </c>
      <c r="E42" s="8" t="n">
        <v>3495</v>
      </c>
      <c r="F42" s="5" t="s">
        <v>51</v>
      </c>
      <c r="G42" s="5" t="s">
        <v>143</v>
      </c>
      <c r="H42" s="5" t="s">
        <v>49</v>
      </c>
    </row>
    <row r="43" customFormat="false" ht="43.5" hidden="false" customHeight="true" outlineLevel="0" collapsed="false">
      <c r="A43" s="5" t="s">
        <v>145</v>
      </c>
      <c r="B43" s="5" t="s">
        <v>83</v>
      </c>
      <c r="C43" s="5" t="s">
        <v>142</v>
      </c>
      <c r="D43" s="5" t="s">
        <v>90</v>
      </c>
      <c r="E43" s="8" t="n">
        <v>-143</v>
      </c>
      <c r="F43" s="5" t="s">
        <v>51</v>
      </c>
      <c r="G43" s="5" t="s">
        <v>143</v>
      </c>
      <c r="H43" s="5" t="s">
        <v>49</v>
      </c>
    </row>
    <row r="44" customFormat="false" ht="43.5" hidden="false" customHeight="true" outlineLevel="0" collapsed="false">
      <c r="A44" s="5" t="s">
        <v>146</v>
      </c>
      <c r="B44" s="5" t="s">
        <v>83</v>
      </c>
      <c r="C44" s="5" t="s">
        <v>142</v>
      </c>
      <c r="D44" s="5" t="s">
        <v>92</v>
      </c>
      <c r="E44" s="8" t="n">
        <v>-541</v>
      </c>
      <c r="F44" s="5" t="s">
        <v>51</v>
      </c>
      <c r="G44" s="5" t="s">
        <v>143</v>
      </c>
      <c r="H44" s="5" t="s">
        <v>49</v>
      </c>
    </row>
    <row r="45" customFormat="false" ht="43.5" hidden="false" customHeight="true" outlineLevel="0" collapsed="false">
      <c r="A45" s="5" t="s">
        <v>147</v>
      </c>
      <c r="B45" s="5" t="s">
        <v>83</v>
      </c>
      <c r="C45" s="5" t="s">
        <v>142</v>
      </c>
      <c r="D45" s="5" t="s">
        <v>94</v>
      </c>
      <c r="E45" s="8" t="n">
        <v>-541</v>
      </c>
      <c r="F45" s="5" t="s">
        <v>51</v>
      </c>
      <c r="G45" s="5" t="s">
        <v>143</v>
      </c>
      <c r="H45" s="5" t="s">
        <v>49</v>
      </c>
    </row>
    <row r="46" customFormat="false" ht="43.5" hidden="false" customHeight="true" outlineLevel="0" collapsed="false">
      <c r="A46" s="5" t="s">
        <v>148</v>
      </c>
      <c r="B46" s="5" t="s">
        <v>83</v>
      </c>
      <c r="C46" s="5" t="s">
        <v>142</v>
      </c>
      <c r="D46" s="5" t="s">
        <v>100</v>
      </c>
      <c r="E46" s="8" t="n">
        <v>93522</v>
      </c>
      <c r="F46" s="5" t="s">
        <v>51</v>
      </c>
      <c r="G46" s="5" t="s">
        <v>143</v>
      </c>
      <c r="H46" s="5" t="s">
        <v>49</v>
      </c>
    </row>
    <row r="47" customFormat="false" ht="43.5" hidden="false" customHeight="true" outlineLevel="0" collapsed="false">
      <c r="A47" s="5" t="s">
        <v>149</v>
      </c>
      <c r="B47" s="5" t="s">
        <v>83</v>
      </c>
      <c r="C47" s="5" t="s">
        <v>142</v>
      </c>
      <c r="D47" s="5" t="s">
        <v>102</v>
      </c>
      <c r="E47" s="8" t="n">
        <v>6487</v>
      </c>
      <c r="F47" s="5" t="s">
        <v>51</v>
      </c>
      <c r="G47" s="5" t="s">
        <v>143</v>
      </c>
      <c r="H47" s="5" t="s">
        <v>49</v>
      </c>
    </row>
    <row r="48" customFormat="false" ht="43.5" hidden="false" customHeight="true" outlineLevel="0" collapsed="false">
      <c r="A48" s="5" t="s">
        <v>150</v>
      </c>
      <c r="B48" s="5" t="s">
        <v>83</v>
      </c>
      <c r="C48" s="5" t="s">
        <v>142</v>
      </c>
      <c r="D48" s="5" t="s">
        <v>104</v>
      </c>
      <c r="E48" s="8" t="n">
        <v>2525</v>
      </c>
      <c r="F48" s="5" t="s">
        <v>51</v>
      </c>
      <c r="G48" s="5" t="s">
        <v>143</v>
      </c>
      <c r="H48" s="5" t="s">
        <v>49</v>
      </c>
    </row>
    <row r="49" customFormat="false" ht="43.5" hidden="false" customHeight="true" outlineLevel="0" collapsed="false">
      <c r="A49" s="5" t="s">
        <v>151</v>
      </c>
      <c r="B49" s="5" t="s">
        <v>83</v>
      </c>
      <c r="C49" s="5" t="s">
        <v>142</v>
      </c>
      <c r="D49" s="5" t="s">
        <v>106</v>
      </c>
      <c r="E49" s="8" t="n">
        <v>36839</v>
      </c>
      <c r="F49" s="5" t="s">
        <v>51</v>
      </c>
      <c r="G49" s="5" t="s">
        <v>143</v>
      </c>
      <c r="H49" s="5" t="s">
        <v>49</v>
      </c>
    </row>
    <row r="50" customFormat="false" ht="43.5" hidden="false" customHeight="true" outlineLevel="0" collapsed="false">
      <c r="A50" s="5" t="s">
        <v>152</v>
      </c>
      <c r="B50" s="5" t="s">
        <v>83</v>
      </c>
      <c r="C50" s="5" t="s">
        <v>142</v>
      </c>
      <c r="D50" s="5" t="s">
        <v>108</v>
      </c>
      <c r="E50" s="8" t="n">
        <v>127224</v>
      </c>
      <c r="F50" s="5" t="s">
        <v>51</v>
      </c>
      <c r="G50" s="5" t="s">
        <v>143</v>
      </c>
      <c r="H50" s="5" t="s">
        <v>49</v>
      </c>
    </row>
    <row r="51" customFormat="false" ht="43.5" hidden="false" customHeight="true" outlineLevel="0" collapsed="false">
      <c r="A51" s="5" t="s">
        <v>153</v>
      </c>
      <c r="B51" s="5" t="s">
        <v>83</v>
      </c>
      <c r="C51" s="5" t="s">
        <v>142</v>
      </c>
      <c r="D51" s="5" t="s">
        <v>110</v>
      </c>
      <c r="E51" s="8" t="n">
        <v>192770</v>
      </c>
      <c r="F51" s="5" t="s">
        <v>51</v>
      </c>
      <c r="G51" s="5" t="s">
        <v>143</v>
      </c>
      <c r="H51" s="5" t="s">
        <v>49</v>
      </c>
    </row>
    <row r="52" customFormat="false" ht="43.5" hidden="false" customHeight="true" outlineLevel="0" collapsed="false">
      <c r="A52" s="5" t="s">
        <v>154</v>
      </c>
      <c r="B52" s="5" t="s">
        <v>83</v>
      </c>
      <c r="C52" s="5" t="s">
        <v>142</v>
      </c>
      <c r="D52" s="5" t="s">
        <v>112</v>
      </c>
      <c r="E52" s="8" t="n">
        <v>65546</v>
      </c>
      <c r="F52" s="5" t="s">
        <v>51</v>
      </c>
      <c r="G52" s="5" t="s">
        <v>143</v>
      </c>
      <c r="H52" s="5" t="s">
        <v>49</v>
      </c>
    </row>
    <row r="53" customFormat="false" ht="43.5" hidden="false" customHeight="true" outlineLevel="0" collapsed="false">
      <c r="A53" s="5" t="s">
        <v>155</v>
      </c>
      <c r="B53" s="5" t="s">
        <v>83</v>
      </c>
      <c r="C53" s="5" t="s">
        <v>142</v>
      </c>
      <c r="D53" s="5" t="s">
        <v>114</v>
      </c>
      <c r="E53" s="8" t="n">
        <v>0</v>
      </c>
      <c r="F53" s="5" t="s">
        <v>51</v>
      </c>
      <c r="G53" s="5" t="s">
        <v>143</v>
      </c>
      <c r="H53" s="5" t="s">
        <v>49</v>
      </c>
    </row>
    <row r="54" customFormat="false" ht="43.5" hidden="false" customHeight="true" outlineLevel="0" collapsed="false">
      <c r="A54" s="5" t="s">
        <v>156</v>
      </c>
      <c r="B54" s="5" t="s">
        <v>83</v>
      </c>
      <c r="C54" s="5" t="s">
        <v>157</v>
      </c>
      <c r="D54" s="5" t="s">
        <v>96</v>
      </c>
      <c r="E54" s="8" t="n">
        <v>3466</v>
      </c>
      <c r="F54" s="5" t="s">
        <v>51</v>
      </c>
      <c r="G54" s="5" t="s">
        <v>158</v>
      </c>
      <c r="H54" s="5" t="s">
        <v>49</v>
      </c>
    </row>
    <row r="55" customFormat="false" ht="43.5" hidden="false" customHeight="true" outlineLevel="0" collapsed="false">
      <c r="A55" s="5" t="s">
        <v>159</v>
      </c>
      <c r="B55" s="5" t="s">
        <v>83</v>
      </c>
      <c r="C55" s="5" t="s">
        <v>157</v>
      </c>
      <c r="D55" s="5" t="s">
        <v>98</v>
      </c>
      <c r="E55" s="8" t="n">
        <v>28476</v>
      </c>
      <c r="F55" s="5" t="s">
        <v>51</v>
      </c>
      <c r="G55" s="5" t="s">
        <v>158</v>
      </c>
      <c r="H55" s="5" t="s">
        <v>49</v>
      </c>
    </row>
    <row r="56" customFormat="false" ht="43.5" hidden="false" customHeight="true" outlineLevel="0" collapsed="false">
      <c r="A56" s="5" t="s">
        <v>160</v>
      </c>
      <c r="B56" s="5" t="s">
        <v>83</v>
      </c>
      <c r="C56" s="5" t="s">
        <v>161</v>
      </c>
      <c r="D56" s="5" t="s">
        <v>85</v>
      </c>
      <c r="E56" s="8" t="n">
        <v>14575</v>
      </c>
      <c r="F56" s="5" t="s">
        <v>53</v>
      </c>
      <c r="G56" s="5" t="s">
        <v>162</v>
      </c>
      <c r="H56" s="5" t="s">
        <v>49</v>
      </c>
    </row>
    <row r="57" customFormat="false" ht="43.5" hidden="false" customHeight="true" outlineLevel="0" collapsed="false">
      <c r="A57" s="5" t="s">
        <v>163</v>
      </c>
      <c r="B57" s="5" t="s">
        <v>83</v>
      </c>
      <c r="C57" s="5" t="s">
        <v>161</v>
      </c>
      <c r="D57" s="5" t="s">
        <v>88</v>
      </c>
      <c r="E57" s="8" t="n">
        <v>5478</v>
      </c>
      <c r="F57" s="5" t="s">
        <v>53</v>
      </c>
      <c r="G57" s="5" t="s">
        <v>162</v>
      </c>
      <c r="H57" s="5" t="s">
        <v>49</v>
      </c>
    </row>
    <row r="58" customFormat="false" ht="43.5" hidden="false" customHeight="true" outlineLevel="0" collapsed="false">
      <c r="A58" s="5" t="s">
        <v>164</v>
      </c>
      <c r="B58" s="5" t="s">
        <v>83</v>
      </c>
      <c r="C58" s="5" t="s">
        <v>161</v>
      </c>
      <c r="D58" s="5" t="s">
        <v>90</v>
      </c>
      <c r="E58" s="8" t="n">
        <v>2791</v>
      </c>
      <c r="F58" s="5" t="s">
        <v>53</v>
      </c>
      <c r="G58" s="5" t="s">
        <v>162</v>
      </c>
      <c r="H58" s="5" t="s">
        <v>49</v>
      </c>
    </row>
    <row r="59" customFormat="false" ht="43.5" hidden="false" customHeight="true" outlineLevel="0" collapsed="false">
      <c r="A59" s="5" t="s">
        <v>165</v>
      </c>
      <c r="B59" s="5" t="s">
        <v>83</v>
      </c>
      <c r="C59" s="5" t="s">
        <v>161</v>
      </c>
      <c r="D59" s="5" t="s">
        <v>92</v>
      </c>
      <c r="E59" s="8" t="n">
        <v>4404</v>
      </c>
      <c r="F59" s="5" t="s">
        <v>53</v>
      </c>
      <c r="G59" s="5" t="s">
        <v>162</v>
      </c>
      <c r="H59" s="5" t="s">
        <v>49</v>
      </c>
    </row>
    <row r="60" customFormat="false" ht="43.5" hidden="false" customHeight="true" outlineLevel="0" collapsed="false">
      <c r="A60" s="5" t="s">
        <v>166</v>
      </c>
      <c r="B60" s="5" t="s">
        <v>83</v>
      </c>
      <c r="C60" s="5" t="s">
        <v>161</v>
      </c>
      <c r="D60" s="5" t="s">
        <v>94</v>
      </c>
      <c r="E60" s="8" t="n">
        <v>4404</v>
      </c>
      <c r="F60" s="5" t="s">
        <v>53</v>
      </c>
      <c r="G60" s="5" t="s">
        <v>162</v>
      </c>
      <c r="H60" s="5" t="s">
        <v>49</v>
      </c>
    </row>
    <row r="61" customFormat="false" ht="43.5" hidden="false" customHeight="true" outlineLevel="0" collapsed="false">
      <c r="A61" s="5" t="s">
        <v>167</v>
      </c>
      <c r="B61" s="5" t="s">
        <v>83</v>
      </c>
      <c r="C61" s="5" t="s">
        <v>161</v>
      </c>
      <c r="D61" s="5" t="s">
        <v>100</v>
      </c>
      <c r="E61" s="8" t="n">
        <v>51294</v>
      </c>
      <c r="F61" s="5" t="s">
        <v>53</v>
      </c>
      <c r="G61" s="5" t="s">
        <v>162</v>
      </c>
      <c r="H61" s="5" t="s">
        <v>49</v>
      </c>
    </row>
    <row r="62" customFormat="false" ht="43.5" hidden="false" customHeight="true" outlineLevel="0" collapsed="false">
      <c r="A62" s="5" t="s">
        <v>168</v>
      </c>
      <c r="B62" s="5" t="s">
        <v>83</v>
      </c>
      <c r="C62" s="5" t="s">
        <v>161</v>
      </c>
      <c r="D62" s="5" t="s">
        <v>102</v>
      </c>
      <c r="E62" s="8" t="n">
        <v>38561</v>
      </c>
      <c r="F62" s="5" t="s">
        <v>53</v>
      </c>
      <c r="G62" s="5" t="s">
        <v>162</v>
      </c>
      <c r="H62" s="5" t="s">
        <v>49</v>
      </c>
    </row>
    <row r="63" customFormat="false" ht="43.5" hidden="false" customHeight="true" outlineLevel="0" collapsed="false">
      <c r="A63" s="5" t="s">
        <v>169</v>
      </c>
      <c r="B63" s="5" t="s">
        <v>83</v>
      </c>
      <c r="C63" s="5" t="s">
        <v>161</v>
      </c>
      <c r="D63" s="5" t="s">
        <v>104</v>
      </c>
      <c r="E63" s="8" t="n">
        <v>2698</v>
      </c>
      <c r="F63" s="5" t="s">
        <v>53</v>
      </c>
      <c r="G63" s="5" t="s">
        <v>162</v>
      </c>
      <c r="H63" s="5" t="s">
        <v>49</v>
      </c>
    </row>
    <row r="64" customFormat="false" ht="43.5" hidden="false" customHeight="true" outlineLevel="0" collapsed="false">
      <c r="A64" s="5" t="s">
        <v>170</v>
      </c>
      <c r="B64" s="5" t="s">
        <v>83</v>
      </c>
      <c r="C64" s="5" t="s">
        <v>161</v>
      </c>
      <c r="D64" s="5" t="s">
        <v>106</v>
      </c>
      <c r="E64" s="8" t="n">
        <v>36146</v>
      </c>
      <c r="F64" s="5" t="s">
        <v>53</v>
      </c>
      <c r="G64" s="5" t="s">
        <v>162</v>
      </c>
      <c r="H64" s="5" t="s">
        <v>49</v>
      </c>
    </row>
    <row r="65" customFormat="false" ht="43.5" hidden="false" customHeight="true" outlineLevel="0" collapsed="false">
      <c r="A65" s="5" t="s">
        <v>171</v>
      </c>
      <c r="B65" s="5" t="s">
        <v>83</v>
      </c>
      <c r="C65" s="5" t="s">
        <v>161</v>
      </c>
      <c r="D65" s="5" t="s">
        <v>108</v>
      </c>
      <c r="E65" s="8" t="n">
        <v>176768</v>
      </c>
      <c r="F65" s="5" t="s">
        <v>53</v>
      </c>
      <c r="G65" s="5" t="s">
        <v>162</v>
      </c>
      <c r="H65" s="5" t="s">
        <v>49</v>
      </c>
    </row>
    <row r="66" customFormat="false" ht="43.5" hidden="false" customHeight="true" outlineLevel="0" collapsed="false">
      <c r="A66" s="5" t="s">
        <v>172</v>
      </c>
      <c r="B66" s="5" t="s">
        <v>83</v>
      </c>
      <c r="C66" s="5" t="s">
        <v>161</v>
      </c>
      <c r="D66" s="5" t="s">
        <v>110</v>
      </c>
      <c r="E66" s="8" t="n">
        <v>254045</v>
      </c>
      <c r="F66" s="5" t="s">
        <v>53</v>
      </c>
      <c r="G66" s="5" t="s">
        <v>162</v>
      </c>
      <c r="H66" s="5" t="s">
        <v>49</v>
      </c>
    </row>
    <row r="67" customFormat="false" ht="43.5" hidden="false" customHeight="true" outlineLevel="0" collapsed="false">
      <c r="A67" s="5" t="s">
        <v>173</v>
      </c>
      <c r="B67" s="5" t="s">
        <v>83</v>
      </c>
      <c r="C67" s="5" t="s">
        <v>161</v>
      </c>
      <c r="D67" s="5" t="s">
        <v>112</v>
      </c>
      <c r="E67" s="8" t="n">
        <v>77277</v>
      </c>
      <c r="F67" s="5" t="s">
        <v>53</v>
      </c>
      <c r="G67" s="5" t="s">
        <v>162</v>
      </c>
      <c r="H67" s="5" t="s">
        <v>49</v>
      </c>
    </row>
    <row r="68" customFormat="false" ht="43.5" hidden="false" customHeight="true" outlineLevel="0" collapsed="false">
      <c r="A68" s="5" t="s">
        <v>174</v>
      </c>
      <c r="B68" s="5" t="s">
        <v>83</v>
      </c>
      <c r="C68" s="5" t="s">
        <v>161</v>
      </c>
      <c r="D68" s="5" t="s">
        <v>114</v>
      </c>
      <c r="E68" s="8" t="n">
        <v>0</v>
      </c>
      <c r="F68" s="5" t="s">
        <v>53</v>
      </c>
      <c r="G68" s="5" t="s">
        <v>162</v>
      </c>
      <c r="H68" s="5" t="s">
        <v>49</v>
      </c>
    </row>
    <row r="69" customFormat="false" ht="43.5" hidden="false" customHeight="true" outlineLevel="0" collapsed="false">
      <c r="A69" s="5" t="s">
        <v>175</v>
      </c>
      <c r="B69" s="5" t="s">
        <v>83</v>
      </c>
      <c r="C69" s="5" t="s">
        <v>176</v>
      </c>
      <c r="D69" s="5" t="s">
        <v>85</v>
      </c>
      <c r="E69" s="8" t="n">
        <v>27083</v>
      </c>
      <c r="F69" s="5" t="s">
        <v>53</v>
      </c>
      <c r="G69" s="5" t="s">
        <v>177</v>
      </c>
      <c r="H69" s="5" t="s">
        <v>49</v>
      </c>
    </row>
    <row r="70" customFormat="false" ht="43.5" hidden="false" customHeight="true" outlineLevel="0" collapsed="false">
      <c r="A70" s="5" t="s">
        <v>178</v>
      </c>
      <c r="B70" s="5" t="s">
        <v>83</v>
      </c>
      <c r="C70" s="5" t="s">
        <v>176</v>
      </c>
      <c r="D70" s="5" t="s">
        <v>88</v>
      </c>
      <c r="E70" s="8" t="n">
        <v>11361</v>
      </c>
      <c r="F70" s="5" t="s">
        <v>53</v>
      </c>
      <c r="G70" s="5" t="s">
        <v>177</v>
      </c>
      <c r="H70" s="5" t="s">
        <v>49</v>
      </c>
    </row>
    <row r="71" customFormat="false" ht="43.5" hidden="false" customHeight="true" outlineLevel="0" collapsed="false">
      <c r="A71" s="5" t="s">
        <v>179</v>
      </c>
      <c r="B71" s="5" t="s">
        <v>83</v>
      </c>
      <c r="C71" s="5" t="s">
        <v>176</v>
      </c>
      <c r="D71" s="5" t="s">
        <v>90</v>
      </c>
      <c r="E71" s="8" t="n">
        <v>705</v>
      </c>
      <c r="F71" s="5" t="s">
        <v>53</v>
      </c>
      <c r="G71" s="5" t="s">
        <v>177</v>
      </c>
      <c r="H71" s="5" t="s">
        <v>49</v>
      </c>
    </row>
    <row r="72" customFormat="false" ht="43.5" hidden="false" customHeight="true" outlineLevel="0" collapsed="false">
      <c r="A72" s="5" t="s">
        <v>180</v>
      </c>
      <c r="B72" s="5" t="s">
        <v>83</v>
      </c>
      <c r="C72" s="5" t="s">
        <v>176</v>
      </c>
      <c r="D72" s="5" t="s">
        <v>92</v>
      </c>
      <c r="E72" s="8" t="n">
        <v>-413</v>
      </c>
      <c r="F72" s="5" t="s">
        <v>53</v>
      </c>
      <c r="G72" s="5" t="s">
        <v>177</v>
      </c>
      <c r="H72" s="5" t="s">
        <v>49</v>
      </c>
    </row>
    <row r="73" customFormat="false" ht="43.5" hidden="false" customHeight="true" outlineLevel="0" collapsed="false">
      <c r="A73" s="5" t="s">
        <v>181</v>
      </c>
      <c r="B73" s="5" t="s">
        <v>83</v>
      </c>
      <c r="C73" s="5" t="s">
        <v>176</v>
      </c>
      <c r="D73" s="5" t="s">
        <v>94</v>
      </c>
      <c r="E73" s="8" t="n">
        <v>-1084</v>
      </c>
      <c r="F73" s="5" t="s">
        <v>53</v>
      </c>
      <c r="G73" s="5" t="s">
        <v>177</v>
      </c>
      <c r="H73" s="5" t="s">
        <v>49</v>
      </c>
    </row>
    <row r="74" customFormat="false" ht="43.5" hidden="false" customHeight="true" outlineLevel="0" collapsed="false">
      <c r="A74" s="5" t="s">
        <v>182</v>
      </c>
      <c r="B74" s="5" t="s">
        <v>83</v>
      </c>
      <c r="C74" s="5" t="s">
        <v>176</v>
      </c>
      <c r="D74" s="5" t="s">
        <v>96</v>
      </c>
      <c r="E74" s="8" t="n">
        <v>13097</v>
      </c>
      <c r="F74" s="5" t="s">
        <v>53</v>
      </c>
      <c r="G74" s="5" t="s">
        <v>177</v>
      </c>
      <c r="H74" s="5" t="s">
        <v>49</v>
      </c>
    </row>
    <row r="75" customFormat="false" ht="43.5" hidden="false" customHeight="true" outlineLevel="0" collapsed="false">
      <c r="A75" s="5" t="s">
        <v>183</v>
      </c>
      <c r="B75" s="5" t="s">
        <v>83</v>
      </c>
      <c r="C75" s="5" t="s">
        <v>176</v>
      </c>
      <c r="D75" s="5" t="s">
        <v>98</v>
      </c>
      <c r="E75" s="8" t="n">
        <v>48069</v>
      </c>
      <c r="F75" s="5" t="s">
        <v>53</v>
      </c>
      <c r="G75" s="5" t="s">
        <v>177</v>
      </c>
      <c r="H75" s="5" t="s">
        <v>49</v>
      </c>
    </row>
    <row r="76" customFormat="false" ht="43.5" hidden="false" customHeight="true" outlineLevel="0" collapsed="false">
      <c r="A76" s="5" t="s">
        <v>184</v>
      </c>
      <c r="B76" s="5" t="s">
        <v>83</v>
      </c>
      <c r="C76" s="5" t="s">
        <v>84</v>
      </c>
      <c r="D76" s="5" t="s">
        <v>185</v>
      </c>
      <c r="E76" s="8" t="n">
        <v>4086</v>
      </c>
      <c r="F76" s="5" t="s">
        <v>47</v>
      </c>
      <c r="G76" s="5" t="s">
        <v>186</v>
      </c>
      <c r="H76" s="5" t="s">
        <v>49</v>
      </c>
    </row>
    <row r="77" customFormat="false" ht="43.5" hidden="false" customHeight="true" outlineLevel="0" collapsed="false">
      <c r="A77" s="5" t="s">
        <v>187</v>
      </c>
      <c r="B77" s="5" t="s">
        <v>83</v>
      </c>
      <c r="C77" s="5" t="s">
        <v>84</v>
      </c>
      <c r="D77" s="5" t="s">
        <v>188</v>
      </c>
      <c r="E77" s="8" t="n">
        <v>1352</v>
      </c>
      <c r="F77" s="5" t="s">
        <v>47</v>
      </c>
      <c r="G77" s="5" t="s">
        <v>186</v>
      </c>
      <c r="H77" s="5" t="s">
        <v>49</v>
      </c>
    </row>
    <row r="78" customFormat="false" ht="43.5" hidden="false" customHeight="true" outlineLevel="0" collapsed="false">
      <c r="A78" s="5" t="s">
        <v>189</v>
      </c>
      <c r="B78" s="5" t="s">
        <v>83</v>
      </c>
      <c r="C78" s="5" t="s">
        <v>84</v>
      </c>
      <c r="D78" s="5" t="s">
        <v>190</v>
      </c>
      <c r="E78" s="8" t="n">
        <v>-657</v>
      </c>
      <c r="F78" s="5" t="s">
        <v>47</v>
      </c>
      <c r="G78" s="5" t="s">
        <v>186</v>
      </c>
      <c r="H78" s="5" t="s">
        <v>49</v>
      </c>
    </row>
    <row r="79" customFormat="false" ht="43.5" hidden="false" customHeight="true" outlineLevel="0" collapsed="false">
      <c r="A79" s="5" t="s">
        <v>191</v>
      </c>
      <c r="B79" s="5" t="s">
        <v>83</v>
      </c>
      <c r="C79" s="5" t="s">
        <v>84</v>
      </c>
      <c r="D79" s="5" t="s">
        <v>192</v>
      </c>
      <c r="E79" s="8" t="n">
        <v>11387</v>
      </c>
      <c r="F79" s="5" t="s">
        <v>47</v>
      </c>
      <c r="G79" s="5" t="s">
        <v>186</v>
      </c>
      <c r="H79" s="5" t="s">
        <v>49</v>
      </c>
    </row>
    <row r="80" customFormat="false" ht="43.5" hidden="false" customHeight="true" outlineLevel="0" collapsed="false">
      <c r="A80" s="5" t="s">
        <v>193</v>
      </c>
      <c r="B80" s="5" t="s">
        <v>83</v>
      </c>
      <c r="C80" s="5" t="s">
        <v>84</v>
      </c>
      <c r="D80" s="5" t="s">
        <v>194</v>
      </c>
      <c r="E80" s="8" t="n">
        <v>5921</v>
      </c>
      <c r="F80" s="5" t="s">
        <v>47</v>
      </c>
      <c r="G80" s="5" t="s">
        <v>186</v>
      </c>
      <c r="H80" s="5" t="s">
        <v>49</v>
      </c>
    </row>
    <row r="81" customFormat="false" ht="43.5" hidden="false" customHeight="true" outlineLevel="0" collapsed="false">
      <c r="A81" s="5" t="s">
        <v>195</v>
      </c>
      <c r="B81" s="5" t="s">
        <v>83</v>
      </c>
      <c r="C81" s="5" t="s">
        <v>84</v>
      </c>
      <c r="D81" s="5" t="s">
        <v>196</v>
      </c>
      <c r="E81" s="8" t="n">
        <v>4423</v>
      </c>
      <c r="F81" s="5" t="s">
        <v>47</v>
      </c>
      <c r="G81" s="5" t="s">
        <v>186</v>
      </c>
      <c r="H81" s="5" t="s">
        <v>49</v>
      </c>
    </row>
    <row r="82" customFormat="false" ht="43.5" hidden="false" customHeight="true" outlineLevel="0" collapsed="false">
      <c r="A82" s="5" t="s">
        <v>197</v>
      </c>
      <c r="B82" s="5" t="s">
        <v>83</v>
      </c>
      <c r="C82" s="5" t="s">
        <v>84</v>
      </c>
      <c r="D82" s="5" t="s">
        <v>198</v>
      </c>
      <c r="E82" s="8" t="n">
        <v>3201</v>
      </c>
      <c r="F82" s="5" t="s">
        <v>47</v>
      </c>
      <c r="G82" s="5" t="s">
        <v>186</v>
      </c>
      <c r="H82" s="5" t="s">
        <v>49</v>
      </c>
    </row>
    <row r="83" customFormat="false" ht="43.5" hidden="false" customHeight="true" outlineLevel="0" collapsed="false">
      <c r="A83" s="5" t="s">
        <v>199</v>
      </c>
      <c r="B83" s="5" t="s">
        <v>83</v>
      </c>
      <c r="C83" s="5" t="s">
        <v>84</v>
      </c>
      <c r="D83" s="5" t="s">
        <v>200</v>
      </c>
      <c r="E83" s="8" t="n">
        <v>2178</v>
      </c>
      <c r="F83" s="5" t="s">
        <v>47</v>
      </c>
      <c r="G83" s="5" t="s">
        <v>186</v>
      </c>
      <c r="H83" s="5" t="s">
        <v>49</v>
      </c>
    </row>
    <row r="84" customFormat="false" ht="43.5" hidden="false" customHeight="true" outlineLevel="0" collapsed="false">
      <c r="A84" s="5" t="s">
        <v>201</v>
      </c>
      <c r="B84" s="5" t="s">
        <v>83</v>
      </c>
      <c r="C84" s="5" t="s">
        <v>84</v>
      </c>
      <c r="D84" s="5" t="s">
        <v>202</v>
      </c>
      <c r="E84" s="8" t="n">
        <v>-6355</v>
      </c>
      <c r="F84" s="5" t="s">
        <v>47</v>
      </c>
      <c r="G84" s="5" t="s">
        <v>186</v>
      </c>
      <c r="H84" s="5" t="s">
        <v>49</v>
      </c>
    </row>
    <row r="85" customFormat="false" ht="43.5" hidden="false" customHeight="true" outlineLevel="0" collapsed="false">
      <c r="A85" s="5" t="s">
        <v>203</v>
      </c>
      <c r="B85" s="5" t="s">
        <v>83</v>
      </c>
      <c r="C85" s="5" t="s">
        <v>116</v>
      </c>
      <c r="D85" s="5" t="s">
        <v>185</v>
      </c>
      <c r="E85" s="8" t="n">
        <v>3277</v>
      </c>
      <c r="F85" s="5" t="s">
        <v>53</v>
      </c>
      <c r="G85" s="5" t="s">
        <v>204</v>
      </c>
      <c r="H85" s="5" t="s">
        <v>49</v>
      </c>
    </row>
    <row r="86" customFormat="false" ht="43.5" hidden="false" customHeight="true" outlineLevel="0" collapsed="false">
      <c r="A86" s="5" t="s">
        <v>205</v>
      </c>
      <c r="B86" s="5" t="s">
        <v>83</v>
      </c>
      <c r="C86" s="5" t="s">
        <v>116</v>
      </c>
      <c r="D86" s="5" t="s">
        <v>188</v>
      </c>
      <c r="E86" s="8" t="n">
        <v>1104</v>
      </c>
      <c r="F86" s="5" t="s">
        <v>53</v>
      </c>
      <c r="G86" s="5" t="s">
        <v>204</v>
      </c>
      <c r="H86" s="5" t="s">
        <v>49</v>
      </c>
    </row>
    <row r="87" customFormat="false" ht="43.5" hidden="false" customHeight="true" outlineLevel="0" collapsed="false">
      <c r="A87" s="5" t="s">
        <v>206</v>
      </c>
      <c r="B87" s="5" t="s">
        <v>83</v>
      </c>
      <c r="C87" s="5" t="s">
        <v>116</v>
      </c>
      <c r="D87" s="5" t="s">
        <v>190</v>
      </c>
      <c r="E87" s="8" t="n">
        <v>-181</v>
      </c>
      <c r="F87" s="5" t="s">
        <v>53</v>
      </c>
      <c r="G87" s="5" t="s">
        <v>204</v>
      </c>
      <c r="H87" s="5" t="s">
        <v>49</v>
      </c>
    </row>
    <row r="88" customFormat="false" ht="43.5" hidden="false" customHeight="true" outlineLevel="0" collapsed="false">
      <c r="A88" s="5" t="s">
        <v>207</v>
      </c>
      <c r="B88" s="5" t="s">
        <v>83</v>
      </c>
      <c r="C88" s="5" t="s">
        <v>116</v>
      </c>
      <c r="D88" s="5" t="s">
        <v>192</v>
      </c>
      <c r="E88" s="8" t="n">
        <v>8159</v>
      </c>
      <c r="F88" s="5" t="s">
        <v>53</v>
      </c>
      <c r="G88" s="5" t="s">
        <v>204</v>
      </c>
      <c r="H88" s="5" t="s">
        <v>49</v>
      </c>
    </row>
    <row r="89" customFormat="false" ht="43.5" hidden="false" customHeight="true" outlineLevel="0" collapsed="false">
      <c r="A89" s="5" t="s">
        <v>208</v>
      </c>
      <c r="B89" s="5" t="s">
        <v>83</v>
      </c>
      <c r="C89" s="5" t="s">
        <v>116</v>
      </c>
      <c r="D89" s="5" t="s">
        <v>194</v>
      </c>
      <c r="E89" s="8" t="n">
        <v>4271</v>
      </c>
      <c r="F89" s="5" t="s">
        <v>53</v>
      </c>
      <c r="G89" s="5" t="s">
        <v>204</v>
      </c>
      <c r="H89" s="5" t="s">
        <v>49</v>
      </c>
    </row>
    <row r="90" customFormat="false" ht="43.5" hidden="false" customHeight="true" outlineLevel="0" collapsed="false">
      <c r="A90" s="5" t="s">
        <v>209</v>
      </c>
      <c r="B90" s="5" t="s">
        <v>83</v>
      </c>
      <c r="C90" s="5" t="s">
        <v>116</v>
      </c>
      <c r="D90" s="5" t="s">
        <v>196</v>
      </c>
      <c r="E90" s="8" t="n">
        <v>3147</v>
      </c>
      <c r="F90" s="5" t="s">
        <v>53</v>
      </c>
      <c r="G90" s="5" t="s">
        <v>204</v>
      </c>
      <c r="H90" s="5" t="s">
        <v>49</v>
      </c>
    </row>
    <row r="91" customFormat="false" ht="43.5" hidden="false" customHeight="true" outlineLevel="0" collapsed="false">
      <c r="A91" s="5" t="s">
        <v>210</v>
      </c>
      <c r="B91" s="5" t="s">
        <v>83</v>
      </c>
      <c r="C91" s="5" t="s">
        <v>116</v>
      </c>
      <c r="D91" s="5" t="s">
        <v>198</v>
      </c>
      <c r="E91" s="8" t="n">
        <v>2278</v>
      </c>
      <c r="F91" s="5" t="s">
        <v>53</v>
      </c>
      <c r="G91" s="5" t="s">
        <v>204</v>
      </c>
      <c r="H91" s="5" t="s">
        <v>49</v>
      </c>
    </row>
    <row r="92" customFormat="false" ht="43.5" hidden="false" customHeight="true" outlineLevel="0" collapsed="false">
      <c r="A92" s="5" t="s">
        <v>211</v>
      </c>
      <c r="B92" s="5" t="s">
        <v>83</v>
      </c>
      <c r="C92" s="5" t="s">
        <v>116</v>
      </c>
      <c r="D92" s="5" t="s">
        <v>200</v>
      </c>
      <c r="E92" s="8" t="n">
        <v>1574</v>
      </c>
      <c r="F92" s="5" t="s">
        <v>53</v>
      </c>
      <c r="G92" s="5" t="s">
        <v>204</v>
      </c>
      <c r="H92" s="5" t="s">
        <v>49</v>
      </c>
    </row>
    <row r="93" customFormat="false" ht="43.5" hidden="false" customHeight="true" outlineLevel="0" collapsed="false">
      <c r="A93" s="5" t="s">
        <v>212</v>
      </c>
      <c r="B93" s="5" t="s">
        <v>83</v>
      </c>
      <c r="C93" s="5" t="s">
        <v>116</v>
      </c>
      <c r="D93" s="5" t="s">
        <v>202</v>
      </c>
      <c r="E93" s="8" t="n">
        <v>-4182</v>
      </c>
      <c r="F93" s="5" t="s">
        <v>53</v>
      </c>
      <c r="G93" s="5" t="s">
        <v>204</v>
      </c>
      <c r="H93" s="5" t="s">
        <v>49</v>
      </c>
    </row>
    <row r="94" customFormat="false" ht="43.5" hidden="false" customHeight="true" outlineLevel="0" collapsed="false">
      <c r="A94" s="5" t="s">
        <v>213</v>
      </c>
      <c r="B94" s="5" t="s">
        <v>83</v>
      </c>
      <c r="C94" s="5" t="s">
        <v>125</v>
      </c>
      <c r="D94" s="5" t="s">
        <v>185</v>
      </c>
      <c r="E94" s="8" t="n">
        <v>619</v>
      </c>
      <c r="F94" s="5" t="s">
        <v>47</v>
      </c>
      <c r="G94" s="5" t="s">
        <v>214</v>
      </c>
      <c r="H94" s="5" t="s">
        <v>49</v>
      </c>
    </row>
    <row r="95" customFormat="false" ht="43.5" hidden="false" customHeight="true" outlineLevel="0" collapsed="false">
      <c r="A95" s="5" t="s">
        <v>215</v>
      </c>
      <c r="B95" s="5" t="s">
        <v>83</v>
      </c>
      <c r="C95" s="5" t="s">
        <v>125</v>
      </c>
      <c r="D95" s="5" t="s">
        <v>188</v>
      </c>
      <c r="E95" s="8" t="n">
        <v>281</v>
      </c>
      <c r="F95" s="5" t="s">
        <v>47</v>
      </c>
      <c r="G95" s="5" t="s">
        <v>214</v>
      </c>
      <c r="H95" s="5" t="s">
        <v>49</v>
      </c>
    </row>
    <row r="96" customFormat="false" ht="43.5" hidden="false" customHeight="true" outlineLevel="0" collapsed="false">
      <c r="A96" s="5" t="s">
        <v>216</v>
      </c>
      <c r="B96" s="5" t="s">
        <v>83</v>
      </c>
      <c r="C96" s="5" t="s">
        <v>125</v>
      </c>
      <c r="D96" s="5" t="s">
        <v>190</v>
      </c>
      <c r="E96" s="8" t="n">
        <v>-662</v>
      </c>
      <c r="F96" s="5" t="s">
        <v>47</v>
      </c>
      <c r="G96" s="5" t="s">
        <v>214</v>
      </c>
      <c r="H96" s="5" t="s">
        <v>49</v>
      </c>
    </row>
    <row r="97" customFormat="false" ht="43.5" hidden="false" customHeight="true" outlineLevel="0" collapsed="false">
      <c r="A97" s="5" t="s">
        <v>217</v>
      </c>
      <c r="B97" s="5" t="s">
        <v>83</v>
      </c>
      <c r="C97" s="5" t="s">
        <v>125</v>
      </c>
      <c r="D97" s="5" t="s">
        <v>192</v>
      </c>
      <c r="E97" s="8" t="n">
        <v>3257</v>
      </c>
      <c r="F97" s="5" t="s">
        <v>47</v>
      </c>
      <c r="G97" s="5" t="s">
        <v>214</v>
      </c>
      <c r="H97" s="5" t="s">
        <v>49</v>
      </c>
    </row>
    <row r="98" customFormat="false" ht="43.5" hidden="false" customHeight="true" outlineLevel="0" collapsed="false">
      <c r="A98" s="5" t="s">
        <v>218</v>
      </c>
      <c r="B98" s="5" t="s">
        <v>83</v>
      </c>
      <c r="C98" s="5" t="s">
        <v>125</v>
      </c>
      <c r="D98" s="5" t="s">
        <v>194</v>
      </c>
      <c r="E98" s="8" t="n">
        <v>1651</v>
      </c>
      <c r="F98" s="5" t="s">
        <v>47</v>
      </c>
      <c r="G98" s="5" t="s">
        <v>214</v>
      </c>
      <c r="H98" s="5" t="s">
        <v>49</v>
      </c>
    </row>
    <row r="99" customFormat="false" ht="43.5" hidden="false" customHeight="true" outlineLevel="0" collapsed="false">
      <c r="A99" s="5" t="s">
        <v>219</v>
      </c>
      <c r="B99" s="5" t="s">
        <v>83</v>
      </c>
      <c r="C99" s="5" t="s">
        <v>125</v>
      </c>
      <c r="D99" s="5" t="s">
        <v>196</v>
      </c>
      <c r="E99" s="8" t="n">
        <v>1188</v>
      </c>
      <c r="F99" s="5" t="s">
        <v>47</v>
      </c>
      <c r="G99" s="5" t="s">
        <v>214</v>
      </c>
      <c r="H99" s="5" t="s">
        <v>49</v>
      </c>
    </row>
    <row r="100" customFormat="false" ht="43.5" hidden="false" customHeight="true" outlineLevel="0" collapsed="false">
      <c r="A100" s="5" t="s">
        <v>220</v>
      </c>
      <c r="B100" s="5" t="s">
        <v>83</v>
      </c>
      <c r="C100" s="5" t="s">
        <v>125</v>
      </c>
      <c r="D100" s="5" t="s">
        <v>198</v>
      </c>
      <c r="E100" s="8" t="n">
        <v>818</v>
      </c>
      <c r="F100" s="5" t="s">
        <v>47</v>
      </c>
      <c r="G100" s="5" t="s">
        <v>214</v>
      </c>
      <c r="H100" s="5" t="s">
        <v>49</v>
      </c>
    </row>
    <row r="101" customFormat="false" ht="43.5" hidden="false" customHeight="true" outlineLevel="0" collapsed="false">
      <c r="A101" s="5" t="s">
        <v>221</v>
      </c>
      <c r="B101" s="5" t="s">
        <v>83</v>
      </c>
      <c r="C101" s="5" t="s">
        <v>125</v>
      </c>
      <c r="D101" s="5" t="s">
        <v>200</v>
      </c>
      <c r="E101" s="8" t="n">
        <v>456</v>
      </c>
      <c r="F101" s="5" t="s">
        <v>47</v>
      </c>
      <c r="G101" s="5" t="s">
        <v>214</v>
      </c>
      <c r="H101" s="5" t="s">
        <v>49</v>
      </c>
    </row>
    <row r="102" customFormat="false" ht="43.5" hidden="false" customHeight="true" outlineLevel="0" collapsed="false">
      <c r="A102" s="5" t="s">
        <v>222</v>
      </c>
      <c r="B102" s="5" t="s">
        <v>83</v>
      </c>
      <c r="C102" s="5" t="s">
        <v>125</v>
      </c>
      <c r="D102" s="5" t="s">
        <v>202</v>
      </c>
      <c r="E102" s="8" t="n">
        <v>-2469</v>
      </c>
      <c r="F102" s="5" t="s">
        <v>47</v>
      </c>
      <c r="G102" s="5" t="s">
        <v>214</v>
      </c>
      <c r="H102" s="5" t="s">
        <v>49</v>
      </c>
    </row>
    <row r="103" customFormat="false" ht="43.5" hidden="false" customHeight="true" outlineLevel="0" collapsed="false">
      <c r="A103" s="5" t="s">
        <v>223</v>
      </c>
      <c r="B103" s="5" t="s">
        <v>83</v>
      </c>
      <c r="C103" s="5" t="s">
        <v>142</v>
      </c>
      <c r="D103" s="5" t="s">
        <v>185</v>
      </c>
      <c r="E103" s="8" t="n">
        <v>962</v>
      </c>
      <c r="F103" s="5" t="s">
        <v>53</v>
      </c>
      <c r="G103" s="5" t="s">
        <v>224</v>
      </c>
      <c r="H103" s="5" t="s">
        <v>49</v>
      </c>
    </row>
    <row r="104" customFormat="false" ht="43.5" hidden="false" customHeight="true" outlineLevel="0" collapsed="false">
      <c r="A104" s="5" t="s">
        <v>225</v>
      </c>
      <c r="B104" s="5" t="s">
        <v>83</v>
      </c>
      <c r="C104" s="5" t="s">
        <v>142</v>
      </c>
      <c r="D104" s="5" t="s">
        <v>188</v>
      </c>
      <c r="E104" s="8" t="n">
        <v>329</v>
      </c>
      <c r="F104" s="5" t="s">
        <v>53</v>
      </c>
      <c r="G104" s="5" t="s">
        <v>224</v>
      </c>
      <c r="H104" s="5" t="s">
        <v>49</v>
      </c>
    </row>
    <row r="105" customFormat="false" ht="43.5" hidden="false" customHeight="true" outlineLevel="0" collapsed="false">
      <c r="A105" s="5" t="s">
        <v>226</v>
      </c>
      <c r="B105" s="5" t="s">
        <v>83</v>
      </c>
      <c r="C105" s="5" t="s">
        <v>142</v>
      </c>
      <c r="D105" s="5" t="s">
        <v>190</v>
      </c>
      <c r="E105" s="8" t="n">
        <v>-542</v>
      </c>
      <c r="F105" s="5" t="s">
        <v>53</v>
      </c>
      <c r="G105" s="5" t="s">
        <v>224</v>
      </c>
      <c r="H105" s="5" t="s">
        <v>49</v>
      </c>
    </row>
    <row r="106" customFormat="false" ht="43.5" hidden="false" customHeight="true" outlineLevel="0" collapsed="false">
      <c r="A106" s="5" t="s">
        <v>227</v>
      </c>
      <c r="B106" s="5" t="s">
        <v>83</v>
      </c>
      <c r="C106" s="5" t="s">
        <v>142</v>
      </c>
      <c r="D106" s="5" t="s">
        <v>192</v>
      </c>
      <c r="E106" s="8" t="n">
        <v>4291</v>
      </c>
      <c r="F106" s="5" t="s">
        <v>53</v>
      </c>
      <c r="G106" s="5" t="s">
        <v>224</v>
      </c>
      <c r="H106" s="5" t="s">
        <v>49</v>
      </c>
    </row>
    <row r="107" customFormat="false" ht="43.5" hidden="false" customHeight="true" outlineLevel="0" collapsed="false">
      <c r="A107" s="5" t="s">
        <v>228</v>
      </c>
      <c r="B107" s="5" t="s">
        <v>83</v>
      </c>
      <c r="C107" s="5" t="s">
        <v>142</v>
      </c>
      <c r="D107" s="5" t="s">
        <v>194</v>
      </c>
      <c r="E107" s="8" t="n">
        <v>2060</v>
      </c>
      <c r="F107" s="5" t="s">
        <v>53</v>
      </c>
      <c r="G107" s="5" t="s">
        <v>224</v>
      </c>
      <c r="H107" s="5" t="s">
        <v>49</v>
      </c>
    </row>
    <row r="108" customFormat="false" ht="43.5" hidden="false" customHeight="true" outlineLevel="0" collapsed="false">
      <c r="A108" s="5" t="s">
        <v>229</v>
      </c>
      <c r="B108" s="5" t="s">
        <v>83</v>
      </c>
      <c r="C108" s="5" t="s">
        <v>142</v>
      </c>
      <c r="D108" s="5" t="s">
        <v>196</v>
      </c>
      <c r="E108" s="8" t="n">
        <v>1656</v>
      </c>
      <c r="F108" s="5" t="s">
        <v>53</v>
      </c>
      <c r="G108" s="5" t="s">
        <v>224</v>
      </c>
      <c r="H108" s="5" t="s">
        <v>49</v>
      </c>
    </row>
    <row r="109" customFormat="false" ht="43.5" hidden="false" customHeight="true" outlineLevel="0" collapsed="false">
      <c r="A109" s="5" t="s">
        <v>230</v>
      </c>
      <c r="B109" s="5" t="s">
        <v>83</v>
      </c>
      <c r="C109" s="5" t="s">
        <v>142</v>
      </c>
      <c r="D109" s="5" t="s">
        <v>198</v>
      </c>
      <c r="E109" s="8" t="n">
        <v>2561</v>
      </c>
      <c r="F109" s="5" t="s">
        <v>53</v>
      </c>
      <c r="G109" s="5" t="s">
        <v>224</v>
      </c>
      <c r="H109" s="5" t="s">
        <v>49</v>
      </c>
    </row>
    <row r="110" customFormat="false" ht="43.5" hidden="false" customHeight="true" outlineLevel="0" collapsed="false">
      <c r="A110" s="5" t="s">
        <v>231</v>
      </c>
      <c r="B110" s="5" t="s">
        <v>83</v>
      </c>
      <c r="C110" s="5" t="s">
        <v>142</v>
      </c>
      <c r="D110" s="5" t="s">
        <v>200</v>
      </c>
      <c r="E110" s="8" t="n">
        <v>1106</v>
      </c>
      <c r="F110" s="5" t="s">
        <v>53</v>
      </c>
      <c r="G110" s="5" t="s">
        <v>224</v>
      </c>
      <c r="H110" s="5" t="s">
        <v>49</v>
      </c>
    </row>
    <row r="111" customFormat="false" ht="43.5" hidden="false" customHeight="true" outlineLevel="0" collapsed="false">
      <c r="A111" s="5" t="s">
        <v>232</v>
      </c>
      <c r="B111" s="5" t="s">
        <v>83</v>
      </c>
      <c r="C111" s="5" t="s">
        <v>142</v>
      </c>
      <c r="D111" s="5" t="s">
        <v>202</v>
      </c>
      <c r="E111" s="8" t="n">
        <v>-1257</v>
      </c>
      <c r="F111" s="5" t="s">
        <v>53</v>
      </c>
      <c r="G111" s="5" t="s">
        <v>224</v>
      </c>
      <c r="H111" s="5" t="s">
        <v>49</v>
      </c>
    </row>
    <row r="112" customFormat="false" ht="43.5" hidden="false" customHeight="true" outlineLevel="0" collapsed="false">
      <c r="A112" s="5" t="s">
        <v>233</v>
      </c>
      <c r="B112" s="5" t="s">
        <v>83</v>
      </c>
      <c r="C112" s="5" t="s">
        <v>161</v>
      </c>
      <c r="D112" s="5" t="s">
        <v>185</v>
      </c>
      <c r="E112" s="8" t="n">
        <v>1767</v>
      </c>
      <c r="F112" s="5" t="s">
        <v>53</v>
      </c>
      <c r="G112" s="5" t="s">
        <v>234</v>
      </c>
      <c r="H112" s="5" t="s">
        <v>49</v>
      </c>
    </row>
    <row r="113" customFormat="false" ht="43.5" hidden="false" customHeight="true" outlineLevel="0" collapsed="false">
      <c r="A113" s="5" t="s">
        <v>235</v>
      </c>
      <c r="B113" s="5" t="s">
        <v>83</v>
      </c>
      <c r="C113" s="5" t="s">
        <v>161</v>
      </c>
      <c r="D113" s="5" t="s">
        <v>188</v>
      </c>
      <c r="E113" s="8" t="n">
        <v>435</v>
      </c>
      <c r="F113" s="5" t="s">
        <v>53</v>
      </c>
      <c r="G113" s="5" t="s">
        <v>234</v>
      </c>
      <c r="H113" s="5" t="s">
        <v>49</v>
      </c>
    </row>
    <row r="114" customFormat="false" ht="43.5" hidden="false" customHeight="true" outlineLevel="0" collapsed="false">
      <c r="A114" s="5" t="s">
        <v>236</v>
      </c>
      <c r="B114" s="5" t="s">
        <v>83</v>
      </c>
      <c r="C114" s="5" t="s">
        <v>161</v>
      </c>
      <c r="D114" s="5" t="s">
        <v>190</v>
      </c>
      <c r="E114" s="8" t="n">
        <v>-7</v>
      </c>
      <c r="F114" s="5" t="s">
        <v>53</v>
      </c>
      <c r="G114" s="5" t="s">
        <v>234</v>
      </c>
      <c r="H114" s="5" t="s">
        <v>49</v>
      </c>
    </row>
    <row r="115" customFormat="false" ht="43.5" hidden="false" customHeight="true" outlineLevel="0" collapsed="false">
      <c r="A115" s="5" t="s">
        <v>237</v>
      </c>
      <c r="B115" s="5" t="s">
        <v>83</v>
      </c>
      <c r="C115" s="5" t="s">
        <v>161</v>
      </c>
      <c r="D115" s="5" t="s">
        <v>192</v>
      </c>
      <c r="E115" s="8" t="n">
        <v>5248</v>
      </c>
      <c r="F115" s="5" t="s">
        <v>53</v>
      </c>
      <c r="G115" s="5" t="s">
        <v>234</v>
      </c>
      <c r="H115" s="5" t="s">
        <v>49</v>
      </c>
    </row>
    <row r="116" customFormat="false" ht="43.5" hidden="false" customHeight="true" outlineLevel="0" collapsed="false">
      <c r="A116" s="5" t="s">
        <v>238</v>
      </c>
      <c r="B116" s="5" t="s">
        <v>83</v>
      </c>
      <c r="C116" s="5" t="s">
        <v>161</v>
      </c>
      <c r="D116" s="5" t="s">
        <v>194</v>
      </c>
      <c r="E116" s="8" t="n">
        <v>2368</v>
      </c>
      <c r="F116" s="5" t="s">
        <v>53</v>
      </c>
      <c r="G116" s="5" t="s">
        <v>234</v>
      </c>
      <c r="H116" s="5" t="s">
        <v>49</v>
      </c>
    </row>
    <row r="117" customFormat="false" ht="43.5" hidden="false" customHeight="true" outlineLevel="0" collapsed="false">
      <c r="A117" s="5" t="s">
        <v>239</v>
      </c>
      <c r="B117" s="5" t="s">
        <v>83</v>
      </c>
      <c r="C117" s="5" t="s">
        <v>161</v>
      </c>
      <c r="D117" s="5" t="s">
        <v>196</v>
      </c>
      <c r="E117" s="8" t="n">
        <v>2367</v>
      </c>
      <c r="F117" s="5" t="s">
        <v>53</v>
      </c>
      <c r="G117" s="5" t="s">
        <v>234</v>
      </c>
      <c r="H117" s="5" t="s">
        <v>49</v>
      </c>
    </row>
    <row r="118" customFormat="false" ht="43.5" hidden="false" customHeight="true" outlineLevel="0" collapsed="false">
      <c r="A118" s="5" t="s">
        <v>240</v>
      </c>
      <c r="B118" s="5" t="s">
        <v>83</v>
      </c>
      <c r="C118" s="5" t="s">
        <v>161</v>
      </c>
      <c r="D118" s="5" t="s">
        <v>198</v>
      </c>
      <c r="E118" s="8" t="n">
        <v>7560</v>
      </c>
      <c r="F118" s="5" t="s">
        <v>53</v>
      </c>
      <c r="G118" s="5" t="s">
        <v>234</v>
      </c>
      <c r="H118" s="5" t="s">
        <v>49</v>
      </c>
    </row>
    <row r="119" customFormat="false" ht="43.5" hidden="false" customHeight="true" outlineLevel="0" collapsed="false">
      <c r="A119" s="5" t="s">
        <v>241</v>
      </c>
      <c r="B119" s="5" t="s">
        <v>83</v>
      </c>
      <c r="C119" s="5" t="s">
        <v>161</v>
      </c>
      <c r="D119" s="5" t="s">
        <v>200</v>
      </c>
      <c r="E119" s="8" t="n">
        <v>2675</v>
      </c>
      <c r="F119" s="5" t="s">
        <v>53</v>
      </c>
      <c r="G119" s="5" t="s">
        <v>234</v>
      </c>
      <c r="H119" s="5" t="s">
        <v>49</v>
      </c>
    </row>
    <row r="120" customFormat="false" ht="43.5" hidden="false" customHeight="true" outlineLevel="0" collapsed="false">
      <c r="A120" s="5" t="s">
        <v>242</v>
      </c>
      <c r="B120" s="5" t="s">
        <v>83</v>
      </c>
      <c r="C120" s="5" t="s">
        <v>161</v>
      </c>
      <c r="D120" s="5" t="s">
        <v>202</v>
      </c>
      <c r="E120" s="8" t="n">
        <v>431</v>
      </c>
      <c r="F120" s="5" t="s">
        <v>53</v>
      </c>
      <c r="G120" s="5" t="s">
        <v>234</v>
      </c>
      <c r="H120" s="5" t="s">
        <v>49</v>
      </c>
    </row>
    <row r="121" customFormat="false" ht="43.5" hidden="false" customHeight="true" outlineLevel="0" collapsed="false">
      <c r="A121" s="5" t="s">
        <v>243</v>
      </c>
      <c r="B121" s="5" t="s">
        <v>244</v>
      </c>
      <c r="C121" s="5" t="s">
        <v>84</v>
      </c>
      <c r="D121" s="5" t="s">
        <v>85</v>
      </c>
      <c r="E121" s="8" t="n">
        <v>94827</v>
      </c>
      <c r="F121" s="5" t="s">
        <v>55</v>
      </c>
      <c r="G121" s="5" t="s">
        <v>245</v>
      </c>
      <c r="H121" s="5" t="s">
        <v>49</v>
      </c>
    </row>
    <row r="122" customFormat="false" ht="43.5" hidden="false" customHeight="true" outlineLevel="0" collapsed="false">
      <c r="A122" s="5" t="s">
        <v>246</v>
      </c>
      <c r="B122" s="5" t="s">
        <v>244</v>
      </c>
      <c r="C122" s="5" t="s">
        <v>84</v>
      </c>
      <c r="D122" s="5" t="s">
        <v>88</v>
      </c>
      <c r="E122" s="8" t="n">
        <v>77733</v>
      </c>
      <c r="F122" s="5" t="s">
        <v>55</v>
      </c>
      <c r="G122" s="5" t="s">
        <v>245</v>
      </c>
      <c r="H122" s="5" t="s">
        <v>49</v>
      </c>
    </row>
    <row r="123" customFormat="false" ht="43.5" hidden="false" customHeight="true" outlineLevel="0" collapsed="false">
      <c r="A123" s="5" t="s">
        <v>247</v>
      </c>
      <c r="B123" s="5" t="s">
        <v>244</v>
      </c>
      <c r="C123" s="5" t="s">
        <v>84</v>
      </c>
      <c r="D123" s="5" t="s">
        <v>90</v>
      </c>
      <c r="E123" s="8" t="n">
        <v>4355</v>
      </c>
      <c r="F123" s="5" t="s">
        <v>55</v>
      </c>
      <c r="G123" s="5" t="s">
        <v>245</v>
      </c>
      <c r="H123" s="5" t="s">
        <v>49</v>
      </c>
    </row>
    <row r="124" customFormat="false" ht="43.5" hidden="false" customHeight="true" outlineLevel="0" collapsed="false">
      <c r="A124" s="5" t="s">
        <v>248</v>
      </c>
      <c r="B124" s="5" t="s">
        <v>244</v>
      </c>
      <c r="C124" s="5" t="s">
        <v>84</v>
      </c>
      <c r="D124" s="5" t="s">
        <v>92</v>
      </c>
      <c r="E124" s="8" t="n">
        <v>3855</v>
      </c>
      <c r="F124" s="5" t="s">
        <v>55</v>
      </c>
      <c r="G124" s="5" t="s">
        <v>245</v>
      </c>
      <c r="H124" s="5" t="s">
        <v>49</v>
      </c>
    </row>
    <row r="125" customFormat="false" ht="43.5" hidden="false" customHeight="true" outlineLevel="0" collapsed="false">
      <c r="A125" s="5" t="s">
        <v>249</v>
      </c>
      <c r="B125" s="5" t="s">
        <v>244</v>
      </c>
      <c r="C125" s="5" t="s">
        <v>84</v>
      </c>
      <c r="D125" s="5" t="s">
        <v>94</v>
      </c>
      <c r="E125" s="8" t="n">
        <v>3794</v>
      </c>
      <c r="F125" s="5" t="s">
        <v>55</v>
      </c>
      <c r="G125" s="5" t="s">
        <v>245</v>
      </c>
      <c r="H125" s="5" t="s">
        <v>49</v>
      </c>
    </row>
    <row r="126" customFormat="false" ht="43.5" hidden="false" customHeight="true" outlineLevel="0" collapsed="false">
      <c r="A126" s="5" t="s">
        <v>250</v>
      </c>
      <c r="B126" s="5" t="s">
        <v>244</v>
      </c>
      <c r="C126" s="5" t="s">
        <v>84</v>
      </c>
      <c r="D126" s="5" t="s">
        <v>96</v>
      </c>
      <c r="E126" s="8" t="n">
        <v>14747</v>
      </c>
      <c r="F126" s="5" t="s">
        <v>55</v>
      </c>
      <c r="G126" s="5" t="s">
        <v>245</v>
      </c>
      <c r="H126" s="5" t="s">
        <v>49</v>
      </c>
    </row>
    <row r="127" customFormat="false" ht="43.5" hidden="false" customHeight="true" outlineLevel="0" collapsed="false">
      <c r="A127" s="5" t="s">
        <v>251</v>
      </c>
      <c r="B127" s="5" t="s">
        <v>244</v>
      </c>
      <c r="C127" s="5" t="s">
        <v>84</v>
      </c>
      <c r="D127" s="5" t="s">
        <v>98</v>
      </c>
      <c r="E127" s="8" t="n">
        <v>8527</v>
      </c>
      <c r="F127" s="5" t="s">
        <v>55</v>
      </c>
      <c r="G127" s="5" t="s">
        <v>245</v>
      </c>
      <c r="H127" s="5" t="s">
        <v>49</v>
      </c>
    </row>
    <row r="128" customFormat="false" ht="43.5" hidden="false" customHeight="true" outlineLevel="0" collapsed="false">
      <c r="A128" s="5" t="s">
        <v>252</v>
      </c>
      <c r="B128" s="5" t="s">
        <v>244</v>
      </c>
      <c r="C128" s="5" t="s">
        <v>84</v>
      </c>
      <c r="D128" s="5" t="s">
        <v>100</v>
      </c>
      <c r="E128" s="8" t="n">
        <v>16513</v>
      </c>
      <c r="F128" s="5" t="s">
        <v>55</v>
      </c>
      <c r="G128" s="5" t="s">
        <v>245</v>
      </c>
      <c r="H128" s="5" t="s">
        <v>49</v>
      </c>
    </row>
    <row r="129" customFormat="false" ht="43.5" hidden="false" customHeight="true" outlineLevel="0" collapsed="false">
      <c r="A129" s="5" t="s">
        <v>253</v>
      </c>
      <c r="B129" s="5" t="s">
        <v>244</v>
      </c>
      <c r="C129" s="5" t="s">
        <v>84</v>
      </c>
      <c r="D129" s="5" t="s">
        <v>102</v>
      </c>
      <c r="E129" s="8" t="n">
        <v>27546</v>
      </c>
      <c r="F129" s="5" t="s">
        <v>55</v>
      </c>
      <c r="G129" s="5" t="s">
        <v>245</v>
      </c>
      <c r="H129" s="5" t="s">
        <v>49</v>
      </c>
    </row>
    <row r="130" customFormat="false" ht="43.5" hidden="false" customHeight="true" outlineLevel="0" collapsed="false">
      <c r="A130" s="5" t="s">
        <v>254</v>
      </c>
      <c r="B130" s="5" t="s">
        <v>244</v>
      </c>
      <c r="C130" s="5" t="s">
        <v>84</v>
      </c>
      <c r="D130" s="5" t="s">
        <v>104</v>
      </c>
      <c r="E130" s="8" t="n">
        <v>1640</v>
      </c>
      <c r="F130" s="5" t="s">
        <v>55</v>
      </c>
      <c r="G130" s="5" t="s">
        <v>245</v>
      </c>
      <c r="H130" s="5" t="s">
        <v>49</v>
      </c>
    </row>
    <row r="131" customFormat="false" ht="43.5" hidden="false" customHeight="true" outlineLevel="0" collapsed="false">
      <c r="A131" s="5" t="s">
        <v>255</v>
      </c>
      <c r="B131" s="5" t="s">
        <v>244</v>
      </c>
      <c r="C131" s="5" t="s">
        <v>84</v>
      </c>
      <c r="D131" s="5" t="s">
        <v>106</v>
      </c>
      <c r="E131" s="8" t="n">
        <v>6736</v>
      </c>
      <c r="F131" s="5" t="s">
        <v>55</v>
      </c>
      <c r="G131" s="5" t="s">
        <v>245</v>
      </c>
      <c r="H131" s="5" t="s">
        <v>49</v>
      </c>
    </row>
    <row r="132" customFormat="false" ht="43.5" hidden="false" customHeight="true" outlineLevel="0" collapsed="false">
      <c r="A132" s="5" t="s">
        <v>256</v>
      </c>
      <c r="B132" s="5" t="s">
        <v>244</v>
      </c>
      <c r="C132" s="5" t="s">
        <v>84</v>
      </c>
      <c r="D132" s="5" t="s">
        <v>108</v>
      </c>
      <c r="E132" s="8" t="n">
        <v>82137</v>
      </c>
      <c r="F132" s="5" t="s">
        <v>55</v>
      </c>
      <c r="G132" s="5" t="s">
        <v>245</v>
      </c>
      <c r="H132" s="5" t="s">
        <v>49</v>
      </c>
    </row>
    <row r="133" customFormat="false" ht="43.5" hidden="false" customHeight="true" outlineLevel="0" collapsed="false">
      <c r="A133" s="5" t="s">
        <v>257</v>
      </c>
      <c r="B133" s="5" t="s">
        <v>244</v>
      </c>
      <c r="C133" s="5" t="s">
        <v>84</v>
      </c>
      <c r="D133" s="5" t="s">
        <v>110</v>
      </c>
      <c r="E133" s="8" t="n">
        <v>137806</v>
      </c>
      <c r="F133" s="5" t="s">
        <v>55</v>
      </c>
      <c r="G133" s="5" t="s">
        <v>245</v>
      </c>
      <c r="H133" s="5" t="s">
        <v>49</v>
      </c>
    </row>
    <row r="134" customFormat="false" ht="43.5" hidden="false" customHeight="true" outlineLevel="0" collapsed="false">
      <c r="A134" s="5" t="s">
        <v>258</v>
      </c>
      <c r="B134" s="5" t="s">
        <v>244</v>
      </c>
      <c r="C134" s="5" t="s">
        <v>84</v>
      </c>
      <c r="D134" s="5" t="s">
        <v>112</v>
      </c>
      <c r="E134" s="8" t="n">
        <v>54941</v>
      </c>
      <c r="F134" s="5" t="s">
        <v>55</v>
      </c>
      <c r="G134" s="5" t="s">
        <v>245</v>
      </c>
      <c r="H134" s="5" t="s">
        <v>49</v>
      </c>
    </row>
    <row r="135" customFormat="false" ht="43.5" hidden="false" customHeight="true" outlineLevel="0" collapsed="false">
      <c r="A135" s="5" t="s">
        <v>259</v>
      </c>
      <c r="B135" s="5" t="s">
        <v>244</v>
      </c>
      <c r="C135" s="5" t="s">
        <v>84</v>
      </c>
      <c r="D135" s="5" t="s">
        <v>260</v>
      </c>
      <c r="E135" s="8" t="n">
        <v>69526</v>
      </c>
      <c r="F135" s="5" t="s">
        <v>55</v>
      </c>
      <c r="G135" s="5" t="s">
        <v>245</v>
      </c>
      <c r="H135" s="5" t="s">
        <v>49</v>
      </c>
    </row>
    <row r="136" customFormat="false" ht="43.5" hidden="false" customHeight="true" outlineLevel="0" collapsed="false">
      <c r="A136" s="5" t="s">
        <v>261</v>
      </c>
      <c r="B136" s="5" t="s">
        <v>244</v>
      </c>
      <c r="C136" s="5" t="s">
        <v>84</v>
      </c>
      <c r="D136" s="5" t="s">
        <v>262</v>
      </c>
      <c r="E136" s="8" t="n">
        <v>12530</v>
      </c>
      <c r="F136" s="5" t="s">
        <v>55</v>
      </c>
      <c r="G136" s="5" t="s">
        <v>245</v>
      </c>
      <c r="H136" s="5" t="s">
        <v>49</v>
      </c>
    </row>
    <row r="137" customFormat="false" ht="43.5" hidden="false" customHeight="true" outlineLevel="0" collapsed="false">
      <c r="A137" s="5" t="s">
        <v>263</v>
      </c>
      <c r="B137" s="5" t="s">
        <v>244</v>
      </c>
      <c r="C137" s="5" t="s">
        <v>84</v>
      </c>
      <c r="D137" s="5" t="s">
        <v>264</v>
      </c>
      <c r="E137" s="8" t="n">
        <v>12771</v>
      </c>
      <c r="F137" s="5" t="s">
        <v>55</v>
      </c>
      <c r="G137" s="5" t="s">
        <v>245</v>
      </c>
      <c r="H137" s="5" t="s">
        <v>49</v>
      </c>
    </row>
    <row r="138" customFormat="false" ht="43.5" hidden="false" customHeight="true" outlineLevel="0" collapsed="false">
      <c r="A138" s="5" t="s">
        <v>265</v>
      </c>
      <c r="B138" s="5" t="s">
        <v>244</v>
      </c>
      <c r="C138" s="5" t="s">
        <v>84</v>
      </c>
      <c r="D138" s="5" t="s">
        <v>266</v>
      </c>
      <c r="E138" s="8" t="n">
        <v>57165</v>
      </c>
      <c r="F138" s="5" t="s">
        <v>55</v>
      </c>
      <c r="G138" s="5" t="s">
        <v>245</v>
      </c>
      <c r="H138" s="5" t="s">
        <v>49</v>
      </c>
    </row>
    <row r="139" customFormat="false" ht="43.5" hidden="false" customHeight="true" outlineLevel="0" collapsed="false">
      <c r="A139" s="5" t="s">
        <v>267</v>
      </c>
      <c r="B139" s="5" t="s">
        <v>244</v>
      </c>
      <c r="C139" s="5" t="s">
        <v>84</v>
      </c>
      <c r="D139" s="5" t="s">
        <v>268</v>
      </c>
      <c r="E139" s="8" t="n">
        <v>11599</v>
      </c>
      <c r="F139" s="5" t="s">
        <v>55</v>
      </c>
      <c r="G139" s="5" t="s">
        <v>245</v>
      </c>
      <c r="H139" s="5" t="s">
        <v>49</v>
      </c>
    </row>
    <row r="140" customFormat="false" ht="43.5" hidden="false" customHeight="true" outlineLevel="0" collapsed="false">
      <c r="A140" s="5" t="s">
        <v>269</v>
      </c>
      <c r="B140" s="5" t="s">
        <v>244</v>
      </c>
      <c r="C140" s="5" t="s">
        <v>84</v>
      </c>
      <c r="D140" s="5" t="s">
        <v>270</v>
      </c>
      <c r="E140" s="8" t="n">
        <v>8969</v>
      </c>
      <c r="F140" s="5" t="s">
        <v>55</v>
      </c>
      <c r="G140" s="5" t="s">
        <v>245</v>
      </c>
      <c r="H140" s="5" t="s">
        <v>49</v>
      </c>
    </row>
    <row r="141" customFormat="false" ht="43.5" hidden="false" customHeight="true" outlineLevel="0" collapsed="false">
      <c r="A141" s="5" t="s">
        <v>271</v>
      </c>
      <c r="B141" s="5" t="s">
        <v>244</v>
      </c>
      <c r="C141" s="5" t="s">
        <v>272</v>
      </c>
      <c r="D141" s="5" t="s">
        <v>85</v>
      </c>
      <c r="E141" s="8" t="n">
        <v>24901</v>
      </c>
      <c r="F141" s="5" t="s">
        <v>59</v>
      </c>
      <c r="G141" s="5" t="s">
        <v>273</v>
      </c>
      <c r="H141" s="5" t="s">
        <v>49</v>
      </c>
    </row>
    <row r="142" customFormat="false" ht="43.5" hidden="false" customHeight="true" outlineLevel="0" collapsed="false">
      <c r="A142" s="5" t="s">
        <v>274</v>
      </c>
      <c r="B142" s="5" t="s">
        <v>244</v>
      </c>
      <c r="C142" s="5" t="s">
        <v>272</v>
      </c>
      <c r="D142" s="5" t="s">
        <v>88</v>
      </c>
      <c r="E142" s="8" t="n">
        <v>19892</v>
      </c>
      <c r="F142" s="5" t="s">
        <v>59</v>
      </c>
      <c r="G142" s="5" t="s">
        <v>273</v>
      </c>
      <c r="H142" s="5" t="s">
        <v>49</v>
      </c>
    </row>
    <row r="143" customFormat="false" ht="43.5" hidden="false" customHeight="true" outlineLevel="0" collapsed="false">
      <c r="A143" s="5" t="s">
        <v>275</v>
      </c>
      <c r="B143" s="5" t="s">
        <v>244</v>
      </c>
      <c r="C143" s="5" t="s">
        <v>272</v>
      </c>
      <c r="D143" s="5" t="s">
        <v>90</v>
      </c>
      <c r="E143" s="8" t="n">
        <v>1409</v>
      </c>
      <c r="F143" s="5" t="s">
        <v>59</v>
      </c>
      <c r="G143" s="5" t="s">
        <v>273</v>
      </c>
      <c r="H143" s="5" t="s">
        <v>49</v>
      </c>
    </row>
    <row r="144" customFormat="false" ht="43.5" hidden="false" customHeight="true" outlineLevel="0" collapsed="false">
      <c r="A144" s="5" t="s">
        <v>276</v>
      </c>
      <c r="B144" s="5" t="s">
        <v>244</v>
      </c>
      <c r="C144" s="5" t="s">
        <v>272</v>
      </c>
      <c r="D144" s="5" t="s">
        <v>92</v>
      </c>
      <c r="E144" s="8" t="n">
        <v>856</v>
      </c>
      <c r="F144" s="5" t="s">
        <v>59</v>
      </c>
      <c r="G144" s="5" t="s">
        <v>273</v>
      </c>
      <c r="H144" s="5" t="s">
        <v>49</v>
      </c>
    </row>
    <row r="145" customFormat="false" ht="43.5" hidden="false" customHeight="true" outlineLevel="0" collapsed="false">
      <c r="A145" s="5" t="s">
        <v>277</v>
      </c>
      <c r="B145" s="5" t="s">
        <v>244</v>
      </c>
      <c r="C145" s="5" t="s">
        <v>272</v>
      </c>
      <c r="D145" s="5" t="s">
        <v>94</v>
      </c>
      <c r="E145" s="8" t="n">
        <v>840</v>
      </c>
      <c r="F145" s="5" t="s">
        <v>59</v>
      </c>
      <c r="G145" s="5" t="s">
        <v>273</v>
      </c>
      <c r="H145" s="5" t="s">
        <v>49</v>
      </c>
    </row>
    <row r="146" customFormat="false" ht="43.5" hidden="false" customHeight="true" outlineLevel="0" collapsed="false">
      <c r="A146" s="5" t="s">
        <v>278</v>
      </c>
      <c r="B146" s="5" t="s">
        <v>244</v>
      </c>
      <c r="C146" s="5" t="s">
        <v>272</v>
      </c>
      <c r="D146" s="5" t="s">
        <v>96</v>
      </c>
      <c r="E146" s="8" t="n">
        <v>3813</v>
      </c>
      <c r="F146" s="5" t="s">
        <v>59</v>
      </c>
      <c r="G146" s="5" t="s">
        <v>273</v>
      </c>
      <c r="H146" s="5" t="s">
        <v>49</v>
      </c>
    </row>
    <row r="147" customFormat="false" ht="43.5" hidden="false" customHeight="true" outlineLevel="0" collapsed="false">
      <c r="A147" s="5" t="s">
        <v>279</v>
      </c>
      <c r="B147" s="5" t="s">
        <v>244</v>
      </c>
      <c r="C147" s="5" t="s">
        <v>272</v>
      </c>
      <c r="D147" s="5" t="s">
        <v>98</v>
      </c>
      <c r="E147" s="8" t="n">
        <v>2393</v>
      </c>
      <c r="F147" s="5" t="s">
        <v>59</v>
      </c>
      <c r="G147" s="5" t="s">
        <v>273</v>
      </c>
      <c r="H147" s="5" t="s">
        <v>49</v>
      </c>
    </row>
    <row r="148" customFormat="false" ht="43.5" hidden="false" customHeight="true" outlineLevel="0" collapsed="false">
      <c r="A148" s="5" t="s">
        <v>280</v>
      </c>
      <c r="B148" s="5" t="s">
        <v>244</v>
      </c>
      <c r="C148" s="5" t="s">
        <v>272</v>
      </c>
      <c r="D148" s="5" t="s">
        <v>281</v>
      </c>
      <c r="E148" s="8" t="n">
        <v>44059</v>
      </c>
      <c r="F148" s="5" t="s">
        <v>59</v>
      </c>
      <c r="G148" s="5" t="s">
        <v>273</v>
      </c>
      <c r="H148" s="5" t="s">
        <v>49</v>
      </c>
    </row>
    <row r="149" customFormat="false" ht="43.5" hidden="false" customHeight="true" outlineLevel="0" collapsed="false">
      <c r="A149" s="5" t="s">
        <v>282</v>
      </c>
      <c r="B149" s="5" t="s">
        <v>244</v>
      </c>
      <c r="C149" s="5" t="s">
        <v>272</v>
      </c>
      <c r="D149" s="5" t="s">
        <v>104</v>
      </c>
      <c r="E149" s="8" t="n">
        <v>1640</v>
      </c>
      <c r="F149" s="5" t="s">
        <v>59</v>
      </c>
      <c r="G149" s="5" t="s">
        <v>273</v>
      </c>
      <c r="H149" s="5" t="s">
        <v>49</v>
      </c>
    </row>
    <row r="150" customFormat="false" ht="43.5" hidden="false" customHeight="true" outlineLevel="0" collapsed="false">
      <c r="A150" s="5" t="s">
        <v>283</v>
      </c>
      <c r="B150" s="5" t="s">
        <v>244</v>
      </c>
      <c r="C150" s="5" t="s">
        <v>272</v>
      </c>
      <c r="D150" s="5" t="s">
        <v>106</v>
      </c>
      <c r="E150" s="8" t="n">
        <v>6736</v>
      </c>
      <c r="F150" s="5" t="s">
        <v>59</v>
      </c>
      <c r="G150" s="5" t="s">
        <v>273</v>
      </c>
      <c r="H150" s="5" t="s">
        <v>49</v>
      </c>
    </row>
    <row r="151" customFormat="false" ht="43.5" hidden="false" customHeight="true" outlineLevel="0" collapsed="false">
      <c r="A151" s="5" t="s">
        <v>284</v>
      </c>
      <c r="B151" s="5" t="s">
        <v>244</v>
      </c>
      <c r="C151" s="5" t="s">
        <v>272</v>
      </c>
      <c r="D151" s="5" t="s">
        <v>108</v>
      </c>
      <c r="E151" s="8" t="n">
        <v>82137</v>
      </c>
      <c r="F151" s="5" t="s">
        <v>59</v>
      </c>
      <c r="G151" s="5" t="s">
        <v>273</v>
      </c>
      <c r="H151" s="5" t="s">
        <v>49</v>
      </c>
    </row>
    <row r="152" customFormat="false" ht="43.5" hidden="false" customHeight="true" outlineLevel="0" collapsed="false">
      <c r="A152" s="5" t="s">
        <v>285</v>
      </c>
      <c r="B152" s="5" t="s">
        <v>244</v>
      </c>
      <c r="C152" s="5" t="s">
        <v>272</v>
      </c>
      <c r="D152" s="5" t="s">
        <v>110</v>
      </c>
      <c r="E152" s="8" t="n">
        <v>137806</v>
      </c>
      <c r="F152" s="5" t="s">
        <v>59</v>
      </c>
      <c r="G152" s="5" t="s">
        <v>273</v>
      </c>
      <c r="H152" s="5" t="s">
        <v>49</v>
      </c>
    </row>
    <row r="153" customFormat="false" ht="43.5" hidden="false" customHeight="true" outlineLevel="0" collapsed="false">
      <c r="A153" s="5" t="s">
        <v>286</v>
      </c>
      <c r="B153" s="5" t="s">
        <v>244</v>
      </c>
      <c r="C153" s="5" t="s">
        <v>272</v>
      </c>
      <c r="D153" s="5" t="s">
        <v>112</v>
      </c>
      <c r="E153" s="8" t="n">
        <v>54941</v>
      </c>
      <c r="F153" s="5" t="s">
        <v>59</v>
      </c>
      <c r="G153" s="5" t="s">
        <v>273</v>
      </c>
      <c r="H153" s="5" t="s">
        <v>49</v>
      </c>
    </row>
    <row r="154" customFormat="false" ht="43.5" hidden="false" customHeight="true" outlineLevel="0" collapsed="false">
      <c r="A154" s="5" t="s">
        <v>287</v>
      </c>
      <c r="B154" s="5" t="s">
        <v>244</v>
      </c>
      <c r="C154" s="5" t="s">
        <v>272</v>
      </c>
      <c r="D154" s="5" t="s">
        <v>260</v>
      </c>
      <c r="E154" s="8" t="n">
        <v>17693</v>
      </c>
      <c r="F154" s="5" t="s">
        <v>59</v>
      </c>
      <c r="G154" s="5" t="s">
        <v>273</v>
      </c>
      <c r="H154" s="5" t="s">
        <v>49</v>
      </c>
    </row>
    <row r="155" customFormat="false" ht="43.5" hidden="false" customHeight="true" outlineLevel="0" collapsed="false">
      <c r="A155" s="5" t="s">
        <v>288</v>
      </c>
      <c r="B155" s="5" t="s">
        <v>244</v>
      </c>
      <c r="C155" s="5" t="s">
        <v>272</v>
      </c>
      <c r="D155" s="5" t="s">
        <v>262</v>
      </c>
      <c r="E155" s="8" t="n">
        <v>3371</v>
      </c>
      <c r="F155" s="5" t="s">
        <v>59</v>
      </c>
      <c r="G155" s="5" t="s">
        <v>273</v>
      </c>
      <c r="H155" s="5" t="s">
        <v>49</v>
      </c>
    </row>
    <row r="156" customFormat="false" ht="43.5" hidden="false" customHeight="true" outlineLevel="0" collapsed="false">
      <c r="A156" s="5" t="s">
        <v>289</v>
      </c>
      <c r="B156" s="5" t="s">
        <v>244</v>
      </c>
      <c r="C156" s="5" t="s">
        <v>272</v>
      </c>
      <c r="D156" s="5" t="s">
        <v>264</v>
      </c>
      <c r="E156" s="8" t="n">
        <v>3837</v>
      </c>
      <c r="F156" s="5" t="s">
        <v>59</v>
      </c>
      <c r="G156" s="5" t="s">
        <v>273</v>
      </c>
      <c r="H156" s="5" t="s">
        <v>49</v>
      </c>
    </row>
    <row r="157" customFormat="false" ht="43.5" hidden="false" customHeight="true" outlineLevel="0" collapsed="false">
      <c r="A157" s="5" t="s">
        <v>290</v>
      </c>
      <c r="B157" s="5" t="s">
        <v>244</v>
      </c>
      <c r="C157" s="5" t="s">
        <v>272</v>
      </c>
      <c r="D157" s="5" t="s">
        <v>266</v>
      </c>
      <c r="E157" s="8" t="n">
        <v>14080</v>
      </c>
      <c r="F157" s="5" t="s">
        <v>59</v>
      </c>
      <c r="G157" s="5" t="s">
        <v>273</v>
      </c>
      <c r="H157" s="5" t="s">
        <v>49</v>
      </c>
    </row>
    <row r="158" customFormat="false" ht="43.5" hidden="false" customHeight="true" outlineLevel="0" collapsed="false">
      <c r="A158" s="5" t="s">
        <v>291</v>
      </c>
      <c r="B158" s="5" t="s">
        <v>244</v>
      </c>
      <c r="C158" s="5" t="s">
        <v>272</v>
      </c>
      <c r="D158" s="5" t="s">
        <v>268</v>
      </c>
      <c r="E158" s="8" t="n">
        <v>3073</v>
      </c>
      <c r="F158" s="5" t="s">
        <v>59</v>
      </c>
      <c r="G158" s="5" t="s">
        <v>273</v>
      </c>
      <c r="H158" s="5" t="s">
        <v>49</v>
      </c>
    </row>
    <row r="159" customFormat="false" ht="43.5" hidden="false" customHeight="true" outlineLevel="0" collapsed="false">
      <c r="A159" s="5" t="s">
        <v>292</v>
      </c>
      <c r="B159" s="5" t="s">
        <v>244</v>
      </c>
      <c r="C159" s="5" t="s">
        <v>272</v>
      </c>
      <c r="D159" s="5" t="s">
        <v>270</v>
      </c>
      <c r="E159" s="8" t="n">
        <v>2739</v>
      </c>
      <c r="F159" s="5" t="s">
        <v>59</v>
      </c>
      <c r="G159" s="5" t="s">
        <v>273</v>
      </c>
      <c r="H159" s="5" t="s">
        <v>49</v>
      </c>
    </row>
    <row r="160" customFormat="false" ht="43.5" hidden="false" customHeight="true" outlineLevel="0" collapsed="false">
      <c r="A160" s="5" t="s">
        <v>293</v>
      </c>
      <c r="B160" s="5" t="s">
        <v>244</v>
      </c>
      <c r="C160" s="5" t="s">
        <v>125</v>
      </c>
      <c r="D160" s="5" t="s">
        <v>85</v>
      </c>
      <c r="E160" s="8" t="n">
        <v>22387</v>
      </c>
      <c r="F160" s="5" t="s">
        <v>59</v>
      </c>
      <c r="G160" s="5" t="s">
        <v>273</v>
      </c>
      <c r="H160" s="5" t="s">
        <v>49</v>
      </c>
    </row>
    <row r="161" customFormat="false" ht="43.5" hidden="false" customHeight="true" outlineLevel="0" collapsed="false">
      <c r="A161" s="5" t="s">
        <v>294</v>
      </c>
      <c r="B161" s="5" t="s">
        <v>244</v>
      </c>
      <c r="C161" s="5" t="s">
        <v>125</v>
      </c>
      <c r="D161" s="5" t="s">
        <v>88</v>
      </c>
      <c r="E161" s="8" t="n">
        <v>17667</v>
      </c>
      <c r="F161" s="5" t="s">
        <v>59</v>
      </c>
      <c r="G161" s="5" t="s">
        <v>273</v>
      </c>
      <c r="H161" s="5" t="s">
        <v>49</v>
      </c>
    </row>
    <row r="162" customFormat="false" ht="43.5" hidden="false" customHeight="true" outlineLevel="0" collapsed="false">
      <c r="A162" s="5" t="s">
        <v>295</v>
      </c>
      <c r="B162" s="5" t="s">
        <v>244</v>
      </c>
      <c r="C162" s="5" t="s">
        <v>125</v>
      </c>
      <c r="D162" s="5" t="s">
        <v>90</v>
      </c>
      <c r="E162" s="8" t="n">
        <v>941</v>
      </c>
      <c r="F162" s="5" t="s">
        <v>59</v>
      </c>
      <c r="G162" s="5" t="s">
        <v>273</v>
      </c>
      <c r="H162" s="5" t="s">
        <v>49</v>
      </c>
    </row>
    <row r="163" customFormat="false" ht="43.5" hidden="false" customHeight="true" outlineLevel="0" collapsed="false">
      <c r="A163" s="5" t="s">
        <v>296</v>
      </c>
      <c r="B163" s="5" t="s">
        <v>244</v>
      </c>
      <c r="C163" s="5" t="s">
        <v>125</v>
      </c>
      <c r="D163" s="5" t="s">
        <v>92</v>
      </c>
      <c r="E163" s="8" t="n">
        <v>491</v>
      </c>
      <c r="F163" s="5" t="s">
        <v>59</v>
      </c>
      <c r="G163" s="5" t="s">
        <v>273</v>
      </c>
      <c r="H163" s="5" t="s">
        <v>49</v>
      </c>
    </row>
    <row r="164" customFormat="false" ht="43.5" hidden="false" customHeight="true" outlineLevel="0" collapsed="false">
      <c r="A164" s="5" t="s">
        <v>297</v>
      </c>
      <c r="B164" s="5" t="s">
        <v>244</v>
      </c>
      <c r="C164" s="5" t="s">
        <v>125</v>
      </c>
      <c r="D164" s="5" t="s">
        <v>94</v>
      </c>
      <c r="E164" s="8" t="n">
        <v>477</v>
      </c>
      <c r="F164" s="5" t="s">
        <v>59</v>
      </c>
      <c r="G164" s="5" t="s">
        <v>273</v>
      </c>
      <c r="H164" s="5" t="s">
        <v>49</v>
      </c>
    </row>
    <row r="165" customFormat="false" ht="43.5" hidden="false" customHeight="true" outlineLevel="0" collapsed="false">
      <c r="A165" s="5" t="s">
        <v>298</v>
      </c>
      <c r="B165" s="5" t="s">
        <v>244</v>
      </c>
      <c r="C165" s="5" t="s">
        <v>125</v>
      </c>
      <c r="D165" s="5" t="s">
        <v>96</v>
      </c>
      <c r="E165" s="8" t="n">
        <v>3937</v>
      </c>
      <c r="F165" s="5" t="s">
        <v>59</v>
      </c>
      <c r="G165" s="5" t="s">
        <v>273</v>
      </c>
      <c r="H165" s="5" t="s">
        <v>49</v>
      </c>
    </row>
    <row r="166" customFormat="false" ht="43.5" hidden="false" customHeight="true" outlineLevel="0" collapsed="false">
      <c r="A166" s="5" t="s">
        <v>299</v>
      </c>
      <c r="B166" s="5" t="s">
        <v>244</v>
      </c>
      <c r="C166" s="5" t="s">
        <v>125</v>
      </c>
      <c r="D166" s="5" t="s">
        <v>98</v>
      </c>
      <c r="E166" s="8" t="n">
        <v>2493</v>
      </c>
      <c r="F166" s="5" t="s">
        <v>59</v>
      </c>
      <c r="G166" s="5" t="s">
        <v>273</v>
      </c>
      <c r="H166" s="5" t="s">
        <v>49</v>
      </c>
    </row>
    <row r="167" customFormat="false" ht="43.5" hidden="false" customHeight="true" outlineLevel="0" collapsed="false">
      <c r="A167" s="5" t="s">
        <v>300</v>
      </c>
      <c r="B167" s="5" t="s">
        <v>244</v>
      </c>
      <c r="C167" s="5" t="s">
        <v>125</v>
      </c>
      <c r="D167" s="5" t="s">
        <v>281</v>
      </c>
      <c r="E167" s="8" t="n">
        <v>44743</v>
      </c>
      <c r="F167" s="5" t="s">
        <v>59</v>
      </c>
      <c r="G167" s="5" t="s">
        <v>273</v>
      </c>
      <c r="H167" s="5" t="s">
        <v>49</v>
      </c>
    </row>
    <row r="168" customFormat="false" ht="43.5" hidden="false" customHeight="true" outlineLevel="0" collapsed="false">
      <c r="A168" s="5" t="s">
        <v>301</v>
      </c>
      <c r="B168" s="5" t="s">
        <v>244</v>
      </c>
      <c r="C168" s="5" t="s">
        <v>125</v>
      </c>
      <c r="D168" s="5" t="s">
        <v>104</v>
      </c>
      <c r="E168" s="8" t="n">
        <v>1447</v>
      </c>
      <c r="F168" s="5" t="s">
        <v>59</v>
      </c>
      <c r="G168" s="5" t="s">
        <v>273</v>
      </c>
      <c r="H168" s="5" t="s">
        <v>49</v>
      </c>
    </row>
    <row r="169" customFormat="false" ht="43.5" hidden="false" customHeight="true" outlineLevel="0" collapsed="false">
      <c r="A169" s="5" t="s">
        <v>302</v>
      </c>
      <c r="B169" s="5" t="s">
        <v>244</v>
      </c>
      <c r="C169" s="5" t="s">
        <v>125</v>
      </c>
      <c r="D169" s="5" t="s">
        <v>106</v>
      </c>
      <c r="E169" s="8" t="n">
        <v>7782</v>
      </c>
      <c r="F169" s="5" t="s">
        <v>59</v>
      </c>
      <c r="G169" s="5" t="s">
        <v>273</v>
      </c>
      <c r="H169" s="5" t="s">
        <v>49</v>
      </c>
    </row>
    <row r="170" customFormat="false" ht="43.5" hidden="false" customHeight="true" outlineLevel="0" collapsed="false">
      <c r="A170" s="5" t="s">
        <v>303</v>
      </c>
      <c r="B170" s="5" t="s">
        <v>244</v>
      </c>
      <c r="C170" s="5" t="s">
        <v>125</v>
      </c>
      <c r="D170" s="5" t="s">
        <v>108</v>
      </c>
      <c r="E170" s="8" t="n">
        <v>84116</v>
      </c>
      <c r="F170" s="5" t="s">
        <v>59</v>
      </c>
      <c r="G170" s="5" t="s">
        <v>273</v>
      </c>
      <c r="H170" s="5" t="s">
        <v>49</v>
      </c>
    </row>
    <row r="171" customFormat="false" ht="43.5" hidden="false" customHeight="true" outlineLevel="0" collapsed="false">
      <c r="A171" s="5" t="s">
        <v>304</v>
      </c>
      <c r="B171" s="5" t="s">
        <v>244</v>
      </c>
      <c r="C171" s="5" t="s">
        <v>125</v>
      </c>
      <c r="D171" s="5" t="s">
        <v>110</v>
      </c>
      <c r="E171" s="8" t="n">
        <v>143724</v>
      </c>
      <c r="F171" s="5" t="s">
        <v>59</v>
      </c>
      <c r="G171" s="5" t="s">
        <v>273</v>
      </c>
      <c r="H171" s="5" t="s">
        <v>49</v>
      </c>
    </row>
    <row r="172" customFormat="false" ht="43.5" hidden="false" customHeight="true" outlineLevel="0" collapsed="false">
      <c r="A172" s="5" t="s">
        <v>305</v>
      </c>
      <c r="B172" s="5" t="s">
        <v>244</v>
      </c>
      <c r="C172" s="5" t="s">
        <v>125</v>
      </c>
      <c r="D172" s="5" t="s">
        <v>112</v>
      </c>
      <c r="E172" s="8" t="n">
        <v>58922</v>
      </c>
      <c r="F172" s="5" t="s">
        <v>59</v>
      </c>
      <c r="G172" s="5" t="s">
        <v>273</v>
      </c>
      <c r="H172" s="5" t="s">
        <v>49</v>
      </c>
    </row>
    <row r="173" customFormat="false" ht="43.5" hidden="false" customHeight="true" outlineLevel="0" collapsed="false">
      <c r="A173" s="5" t="s">
        <v>306</v>
      </c>
      <c r="B173" s="5" t="s">
        <v>244</v>
      </c>
      <c r="C173" s="5" t="s">
        <v>125</v>
      </c>
      <c r="D173" s="5" t="s">
        <v>260</v>
      </c>
      <c r="E173" s="8" t="n">
        <v>16234</v>
      </c>
      <c r="F173" s="5" t="s">
        <v>59</v>
      </c>
      <c r="G173" s="5" t="s">
        <v>273</v>
      </c>
      <c r="H173" s="5" t="s">
        <v>49</v>
      </c>
    </row>
    <row r="174" customFormat="false" ht="43.5" hidden="false" customHeight="true" outlineLevel="0" collapsed="false">
      <c r="A174" s="5" t="s">
        <v>307</v>
      </c>
      <c r="B174" s="5" t="s">
        <v>244</v>
      </c>
      <c r="C174" s="5" t="s">
        <v>125</v>
      </c>
      <c r="D174" s="5" t="s">
        <v>262</v>
      </c>
      <c r="E174" s="8" t="n">
        <v>3745</v>
      </c>
      <c r="F174" s="5" t="s">
        <v>59</v>
      </c>
      <c r="G174" s="5" t="s">
        <v>273</v>
      </c>
      <c r="H174" s="5" t="s">
        <v>49</v>
      </c>
    </row>
    <row r="175" customFormat="false" ht="43.5" hidden="false" customHeight="true" outlineLevel="0" collapsed="false">
      <c r="A175" s="5" t="s">
        <v>308</v>
      </c>
      <c r="B175" s="5" t="s">
        <v>244</v>
      </c>
      <c r="C175" s="5" t="s">
        <v>125</v>
      </c>
      <c r="D175" s="5" t="s">
        <v>264</v>
      </c>
      <c r="E175" s="8" t="n">
        <v>2408</v>
      </c>
      <c r="F175" s="5" t="s">
        <v>59</v>
      </c>
      <c r="G175" s="5" t="s">
        <v>273</v>
      </c>
      <c r="H175" s="5" t="s">
        <v>49</v>
      </c>
    </row>
    <row r="176" customFormat="false" ht="43.5" hidden="false" customHeight="true" outlineLevel="0" collapsed="false">
      <c r="A176" s="5" t="s">
        <v>309</v>
      </c>
      <c r="B176" s="5" t="s">
        <v>244</v>
      </c>
      <c r="C176" s="5" t="s">
        <v>125</v>
      </c>
      <c r="D176" s="5" t="s">
        <v>266</v>
      </c>
      <c r="E176" s="8" t="n">
        <v>12812</v>
      </c>
      <c r="F176" s="5" t="s">
        <v>59</v>
      </c>
      <c r="G176" s="5" t="s">
        <v>273</v>
      </c>
      <c r="H176" s="5" t="s">
        <v>49</v>
      </c>
    </row>
    <row r="177" customFormat="false" ht="43.5" hidden="false" customHeight="true" outlineLevel="0" collapsed="false">
      <c r="A177" s="5" t="s">
        <v>310</v>
      </c>
      <c r="B177" s="5" t="s">
        <v>244</v>
      </c>
      <c r="C177" s="5" t="s">
        <v>125</v>
      </c>
      <c r="D177" s="5" t="s">
        <v>268</v>
      </c>
      <c r="E177" s="8" t="n">
        <v>3399</v>
      </c>
      <c r="F177" s="5" t="s">
        <v>59</v>
      </c>
      <c r="G177" s="5" t="s">
        <v>273</v>
      </c>
      <c r="H177" s="5" t="s">
        <v>49</v>
      </c>
    </row>
    <row r="178" customFormat="false" ht="43.5" hidden="false" customHeight="true" outlineLevel="0" collapsed="false">
      <c r="A178" s="5" t="s">
        <v>311</v>
      </c>
      <c r="B178" s="5" t="s">
        <v>244</v>
      </c>
      <c r="C178" s="5" t="s">
        <v>125</v>
      </c>
      <c r="D178" s="5" t="s">
        <v>270</v>
      </c>
      <c r="E178" s="8" t="n">
        <v>1456</v>
      </c>
      <c r="F178" s="5" t="s">
        <v>59</v>
      </c>
      <c r="G178" s="5" t="s">
        <v>273</v>
      </c>
      <c r="H178" s="5" t="s">
        <v>49</v>
      </c>
    </row>
    <row r="179" customFormat="false" ht="43.5" hidden="false" customHeight="true" outlineLevel="0" collapsed="false">
      <c r="A179" s="5" t="s">
        <v>312</v>
      </c>
      <c r="B179" s="5" t="s">
        <v>244</v>
      </c>
      <c r="C179" s="5" t="s">
        <v>142</v>
      </c>
      <c r="D179" s="5" t="s">
        <v>85</v>
      </c>
      <c r="E179" s="8" t="n">
        <v>28236</v>
      </c>
      <c r="F179" s="5" t="s">
        <v>59</v>
      </c>
      <c r="G179" s="5" t="s">
        <v>273</v>
      </c>
      <c r="H179" s="5" t="s">
        <v>49</v>
      </c>
    </row>
    <row r="180" customFormat="false" ht="43.5" hidden="false" customHeight="true" outlineLevel="0" collapsed="false">
      <c r="A180" s="5" t="s">
        <v>313</v>
      </c>
      <c r="B180" s="5" t="s">
        <v>244</v>
      </c>
      <c r="C180" s="5" t="s">
        <v>142</v>
      </c>
      <c r="D180" s="5" t="s">
        <v>88</v>
      </c>
      <c r="E180" s="8" t="n">
        <v>23485</v>
      </c>
      <c r="F180" s="5" t="s">
        <v>59</v>
      </c>
      <c r="G180" s="5" t="s">
        <v>273</v>
      </c>
      <c r="H180" s="5" t="s">
        <v>49</v>
      </c>
    </row>
    <row r="181" customFormat="false" ht="43.5" hidden="false" customHeight="true" outlineLevel="0" collapsed="false">
      <c r="A181" s="5" t="s">
        <v>314</v>
      </c>
      <c r="B181" s="5" t="s">
        <v>244</v>
      </c>
      <c r="C181" s="5" t="s">
        <v>142</v>
      </c>
      <c r="D181" s="5" t="s">
        <v>90</v>
      </c>
      <c r="E181" s="8" t="n">
        <v>398</v>
      </c>
      <c r="F181" s="5" t="s">
        <v>59</v>
      </c>
      <c r="G181" s="5" t="s">
        <v>273</v>
      </c>
      <c r="H181" s="5" t="s">
        <v>49</v>
      </c>
    </row>
    <row r="182" customFormat="false" ht="43.5" hidden="false" customHeight="true" outlineLevel="0" collapsed="false">
      <c r="A182" s="5" t="s">
        <v>315</v>
      </c>
      <c r="B182" s="5" t="s">
        <v>244</v>
      </c>
      <c r="C182" s="5" t="s">
        <v>142</v>
      </c>
      <c r="D182" s="5" t="s">
        <v>92</v>
      </c>
      <c r="E182" s="8" t="n">
        <v>1128</v>
      </c>
      <c r="F182" s="5" t="s">
        <v>59</v>
      </c>
      <c r="G182" s="5" t="s">
        <v>273</v>
      </c>
      <c r="H182" s="5" t="s">
        <v>49</v>
      </c>
    </row>
    <row r="183" customFormat="false" ht="43.5" hidden="false" customHeight="true" outlineLevel="0" collapsed="false">
      <c r="A183" s="5" t="s">
        <v>316</v>
      </c>
      <c r="B183" s="5" t="s">
        <v>244</v>
      </c>
      <c r="C183" s="5" t="s">
        <v>142</v>
      </c>
      <c r="D183" s="5" t="s">
        <v>94</v>
      </c>
      <c r="E183" s="8" t="n">
        <v>1114</v>
      </c>
      <c r="F183" s="5" t="s">
        <v>59</v>
      </c>
      <c r="G183" s="5" t="s">
        <v>273</v>
      </c>
      <c r="H183" s="5" t="s">
        <v>49</v>
      </c>
    </row>
    <row r="184" customFormat="false" ht="43.5" hidden="false" customHeight="true" outlineLevel="0" collapsed="false">
      <c r="A184" s="5" t="s">
        <v>317</v>
      </c>
      <c r="B184" s="5" t="s">
        <v>244</v>
      </c>
      <c r="C184" s="5" t="s">
        <v>142</v>
      </c>
      <c r="D184" s="5" t="s">
        <v>96</v>
      </c>
      <c r="E184" s="8" t="n">
        <v>4697</v>
      </c>
      <c r="F184" s="5" t="s">
        <v>59</v>
      </c>
      <c r="G184" s="5" t="s">
        <v>273</v>
      </c>
      <c r="H184" s="5" t="s">
        <v>49</v>
      </c>
    </row>
    <row r="185" customFormat="false" ht="43.5" hidden="false" customHeight="true" outlineLevel="0" collapsed="false">
      <c r="A185" s="5" t="s">
        <v>318</v>
      </c>
      <c r="B185" s="5" t="s">
        <v>244</v>
      </c>
      <c r="C185" s="5" t="s">
        <v>142</v>
      </c>
      <c r="D185" s="5" t="s">
        <v>98</v>
      </c>
      <c r="E185" s="8" t="n">
        <v>5789</v>
      </c>
      <c r="F185" s="5" t="s">
        <v>59</v>
      </c>
      <c r="G185" s="5" t="s">
        <v>273</v>
      </c>
      <c r="H185" s="5" t="s">
        <v>49</v>
      </c>
    </row>
    <row r="186" customFormat="false" ht="43.5" hidden="false" customHeight="true" outlineLevel="0" collapsed="false">
      <c r="A186" s="5" t="s">
        <v>319</v>
      </c>
      <c r="B186" s="5" t="s">
        <v>244</v>
      </c>
      <c r="C186" s="5" t="s">
        <v>142</v>
      </c>
      <c r="D186" s="5" t="s">
        <v>281</v>
      </c>
      <c r="E186" s="8" t="n">
        <v>43524</v>
      </c>
      <c r="F186" s="5" t="s">
        <v>59</v>
      </c>
      <c r="G186" s="5" t="s">
        <v>273</v>
      </c>
      <c r="H186" s="5" t="s">
        <v>49</v>
      </c>
    </row>
    <row r="187" customFormat="false" ht="43.5" hidden="false" customHeight="true" outlineLevel="0" collapsed="false">
      <c r="A187" s="5" t="s">
        <v>320</v>
      </c>
      <c r="B187" s="5" t="s">
        <v>244</v>
      </c>
      <c r="C187" s="5" t="s">
        <v>142</v>
      </c>
      <c r="D187" s="5" t="s">
        <v>104</v>
      </c>
      <c r="E187" s="8" t="n">
        <v>1418</v>
      </c>
      <c r="F187" s="5" t="s">
        <v>59</v>
      </c>
      <c r="G187" s="5" t="s">
        <v>273</v>
      </c>
      <c r="H187" s="5" t="s">
        <v>49</v>
      </c>
    </row>
    <row r="188" customFormat="false" ht="43.5" hidden="false" customHeight="true" outlineLevel="0" collapsed="false">
      <c r="A188" s="5" t="s">
        <v>321</v>
      </c>
      <c r="B188" s="5" t="s">
        <v>244</v>
      </c>
      <c r="C188" s="5" t="s">
        <v>142</v>
      </c>
      <c r="D188" s="5" t="s">
        <v>106</v>
      </c>
      <c r="E188" s="8" t="n">
        <v>7924</v>
      </c>
      <c r="F188" s="5" t="s">
        <v>59</v>
      </c>
      <c r="G188" s="5" t="s">
        <v>273</v>
      </c>
      <c r="H188" s="5" t="s">
        <v>49</v>
      </c>
    </row>
    <row r="189" customFormat="false" ht="43.5" hidden="false" customHeight="true" outlineLevel="0" collapsed="false">
      <c r="A189" s="5" t="s">
        <v>322</v>
      </c>
      <c r="B189" s="5" t="s">
        <v>244</v>
      </c>
      <c r="C189" s="5" t="s">
        <v>142</v>
      </c>
      <c r="D189" s="5" t="s">
        <v>108</v>
      </c>
      <c r="E189" s="8" t="n">
        <v>86858</v>
      </c>
      <c r="F189" s="5" t="s">
        <v>59</v>
      </c>
      <c r="G189" s="5" t="s">
        <v>273</v>
      </c>
      <c r="H189" s="5" t="s">
        <v>49</v>
      </c>
    </row>
    <row r="190" customFormat="false" ht="43.5" hidden="false" customHeight="true" outlineLevel="0" collapsed="false">
      <c r="A190" s="5" t="s">
        <v>323</v>
      </c>
      <c r="B190" s="5" t="s">
        <v>244</v>
      </c>
      <c r="C190" s="5" t="s">
        <v>142</v>
      </c>
      <c r="D190" s="5" t="s">
        <v>110</v>
      </c>
      <c r="E190" s="8" t="n">
        <v>148524</v>
      </c>
      <c r="F190" s="5" t="s">
        <v>59</v>
      </c>
      <c r="G190" s="5" t="s">
        <v>273</v>
      </c>
      <c r="H190" s="5" t="s">
        <v>49</v>
      </c>
    </row>
    <row r="191" customFormat="false" ht="43.5" hidden="false" customHeight="true" outlineLevel="0" collapsed="false">
      <c r="A191" s="5" t="s">
        <v>324</v>
      </c>
      <c r="B191" s="5" t="s">
        <v>244</v>
      </c>
      <c r="C191" s="5" t="s">
        <v>142</v>
      </c>
      <c r="D191" s="5" t="s">
        <v>112</v>
      </c>
      <c r="E191" s="8" t="n">
        <v>61005</v>
      </c>
      <c r="F191" s="5" t="s">
        <v>59</v>
      </c>
      <c r="G191" s="5" t="s">
        <v>273</v>
      </c>
      <c r="H191" s="5" t="s">
        <v>49</v>
      </c>
    </row>
    <row r="192" customFormat="false" ht="43.5" hidden="false" customHeight="true" outlineLevel="0" collapsed="false">
      <c r="A192" s="5" t="s">
        <v>325</v>
      </c>
      <c r="B192" s="5" t="s">
        <v>244</v>
      </c>
      <c r="C192" s="5" t="s">
        <v>142</v>
      </c>
      <c r="D192" s="5" t="s">
        <v>260</v>
      </c>
      <c r="E192" s="8" t="n">
        <v>20516</v>
      </c>
      <c r="F192" s="5" t="s">
        <v>59</v>
      </c>
      <c r="G192" s="5" t="s">
        <v>273</v>
      </c>
      <c r="H192" s="5" t="s">
        <v>49</v>
      </c>
    </row>
    <row r="193" customFormat="false" ht="43.5" hidden="false" customHeight="true" outlineLevel="0" collapsed="false">
      <c r="A193" s="5" t="s">
        <v>326</v>
      </c>
      <c r="B193" s="5" t="s">
        <v>244</v>
      </c>
      <c r="C193" s="5" t="s">
        <v>142</v>
      </c>
      <c r="D193" s="5" t="s">
        <v>262</v>
      </c>
      <c r="E193" s="8" t="n">
        <v>4581</v>
      </c>
      <c r="F193" s="5" t="s">
        <v>59</v>
      </c>
      <c r="G193" s="5" t="s">
        <v>273</v>
      </c>
      <c r="H193" s="5" t="s">
        <v>49</v>
      </c>
    </row>
    <row r="194" customFormat="false" ht="43.5" hidden="false" customHeight="true" outlineLevel="0" collapsed="false">
      <c r="A194" s="5" t="s">
        <v>327</v>
      </c>
      <c r="B194" s="5" t="s">
        <v>244</v>
      </c>
      <c r="C194" s="5" t="s">
        <v>142</v>
      </c>
      <c r="D194" s="5" t="s">
        <v>264</v>
      </c>
      <c r="E194" s="8" t="n">
        <v>3139</v>
      </c>
      <c r="F194" s="5" t="s">
        <v>59</v>
      </c>
      <c r="G194" s="5" t="s">
        <v>273</v>
      </c>
      <c r="H194" s="5" t="s">
        <v>49</v>
      </c>
    </row>
    <row r="195" customFormat="false" ht="43.5" hidden="false" customHeight="true" outlineLevel="0" collapsed="false">
      <c r="A195" s="5" t="s">
        <v>328</v>
      </c>
      <c r="B195" s="5" t="s">
        <v>244</v>
      </c>
      <c r="C195" s="5" t="s">
        <v>142</v>
      </c>
      <c r="D195" s="5" t="s">
        <v>266</v>
      </c>
      <c r="E195" s="8" t="n">
        <v>17053</v>
      </c>
      <c r="F195" s="5" t="s">
        <v>59</v>
      </c>
      <c r="G195" s="5" t="s">
        <v>273</v>
      </c>
      <c r="H195" s="5" t="s">
        <v>49</v>
      </c>
    </row>
    <row r="196" customFormat="false" ht="43.5" hidden="false" customHeight="true" outlineLevel="0" collapsed="false">
      <c r="A196" s="5" t="s">
        <v>329</v>
      </c>
      <c r="B196" s="5" t="s">
        <v>244</v>
      </c>
      <c r="C196" s="5" t="s">
        <v>142</v>
      </c>
      <c r="D196" s="5" t="s">
        <v>268</v>
      </c>
      <c r="E196" s="8" t="n">
        <v>3933</v>
      </c>
      <c r="F196" s="5" t="s">
        <v>59</v>
      </c>
      <c r="G196" s="5" t="s">
        <v>273</v>
      </c>
      <c r="H196" s="5" t="s">
        <v>49</v>
      </c>
    </row>
    <row r="197" customFormat="false" ht="43.5" hidden="false" customHeight="true" outlineLevel="0" collapsed="false">
      <c r="A197" s="5" t="s">
        <v>330</v>
      </c>
      <c r="B197" s="5" t="s">
        <v>244</v>
      </c>
      <c r="C197" s="5" t="s">
        <v>142</v>
      </c>
      <c r="D197" s="5" t="s">
        <v>270</v>
      </c>
      <c r="E197" s="8" t="n">
        <v>2499</v>
      </c>
      <c r="F197" s="5" t="s">
        <v>59</v>
      </c>
      <c r="G197" s="5" t="s">
        <v>273</v>
      </c>
      <c r="H197" s="5" t="s">
        <v>49</v>
      </c>
    </row>
    <row r="198" customFormat="false" ht="43.5" hidden="false" customHeight="true" outlineLevel="0" collapsed="false">
      <c r="A198" s="5" t="s">
        <v>331</v>
      </c>
      <c r="B198" s="5" t="s">
        <v>244</v>
      </c>
      <c r="C198" s="5" t="s">
        <v>161</v>
      </c>
      <c r="D198" s="5" t="s">
        <v>85</v>
      </c>
      <c r="E198" s="8" t="n">
        <v>28046</v>
      </c>
      <c r="F198" s="5" t="s">
        <v>59</v>
      </c>
      <c r="G198" s="5" t="s">
        <v>273</v>
      </c>
      <c r="H198" s="5" t="s">
        <v>49</v>
      </c>
    </row>
    <row r="199" customFormat="false" ht="43.5" hidden="false" customHeight="true" outlineLevel="0" collapsed="false">
      <c r="A199" s="5" t="s">
        <v>332</v>
      </c>
      <c r="B199" s="5" t="s">
        <v>244</v>
      </c>
      <c r="C199" s="5" t="s">
        <v>161</v>
      </c>
      <c r="D199" s="5" t="s">
        <v>88</v>
      </c>
      <c r="E199" s="8" t="n">
        <v>22552</v>
      </c>
      <c r="F199" s="5" t="s">
        <v>59</v>
      </c>
      <c r="G199" s="5" t="s">
        <v>273</v>
      </c>
      <c r="H199" s="5" t="s">
        <v>49</v>
      </c>
    </row>
    <row r="200" customFormat="false" ht="43.5" hidden="false" customHeight="true" outlineLevel="0" collapsed="false">
      <c r="A200" s="5" t="s">
        <v>333</v>
      </c>
      <c r="B200" s="5" t="s">
        <v>244</v>
      </c>
      <c r="C200" s="5" t="s">
        <v>161</v>
      </c>
      <c r="D200" s="5" t="s">
        <v>90</v>
      </c>
      <c r="E200" s="8" t="n">
        <v>718</v>
      </c>
      <c r="F200" s="5" t="s">
        <v>59</v>
      </c>
      <c r="G200" s="5" t="s">
        <v>273</v>
      </c>
      <c r="H200" s="5" t="s">
        <v>49</v>
      </c>
    </row>
    <row r="201" customFormat="false" ht="43.5" hidden="false" customHeight="true" outlineLevel="0" collapsed="false">
      <c r="A201" s="5" t="s">
        <v>334</v>
      </c>
      <c r="B201" s="5" t="s">
        <v>244</v>
      </c>
      <c r="C201" s="5" t="s">
        <v>161</v>
      </c>
      <c r="D201" s="5" t="s">
        <v>92</v>
      </c>
      <c r="E201" s="8" t="n">
        <v>804</v>
      </c>
      <c r="F201" s="5" t="s">
        <v>59</v>
      </c>
      <c r="G201" s="5" t="s">
        <v>273</v>
      </c>
      <c r="H201" s="5" t="s">
        <v>49</v>
      </c>
    </row>
    <row r="202" customFormat="false" ht="43.5" hidden="false" customHeight="true" outlineLevel="0" collapsed="false">
      <c r="A202" s="5" t="s">
        <v>335</v>
      </c>
      <c r="B202" s="5" t="s">
        <v>244</v>
      </c>
      <c r="C202" s="5" t="s">
        <v>161</v>
      </c>
      <c r="D202" s="5" t="s">
        <v>94</v>
      </c>
      <c r="E202" s="8" t="n">
        <v>787</v>
      </c>
      <c r="F202" s="5" t="s">
        <v>59</v>
      </c>
      <c r="G202" s="5" t="s">
        <v>273</v>
      </c>
      <c r="H202" s="5" t="s">
        <v>49</v>
      </c>
    </row>
    <row r="203" customFormat="false" ht="43.5" hidden="false" customHeight="true" outlineLevel="0" collapsed="false">
      <c r="A203" s="5" t="s">
        <v>336</v>
      </c>
      <c r="B203" s="5" t="s">
        <v>244</v>
      </c>
      <c r="C203" s="5" t="s">
        <v>161</v>
      </c>
      <c r="D203" s="5" t="s">
        <v>96</v>
      </c>
      <c r="E203" s="8" t="n">
        <v>6263</v>
      </c>
      <c r="F203" s="5" t="s">
        <v>59</v>
      </c>
      <c r="G203" s="5" t="s">
        <v>273</v>
      </c>
      <c r="H203" s="5" t="s">
        <v>49</v>
      </c>
    </row>
    <row r="204" customFormat="false" ht="43.5" hidden="false" customHeight="true" outlineLevel="0" collapsed="false">
      <c r="A204" s="5" t="s">
        <v>337</v>
      </c>
      <c r="B204" s="5" t="s">
        <v>244</v>
      </c>
      <c r="C204" s="5" t="s">
        <v>161</v>
      </c>
      <c r="D204" s="5" t="s">
        <v>98</v>
      </c>
      <c r="E204" s="8" t="n">
        <v>4732</v>
      </c>
      <c r="F204" s="5" t="s">
        <v>59</v>
      </c>
      <c r="G204" s="5" t="s">
        <v>273</v>
      </c>
      <c r="H204" s="5" t="s">
        <v>49</v>
      </c>
    </row>
    <row r="205" customFormat="false" ht="43.5" hidden="false" customHeight="true" outlineLevel="0" collapsed="false">
      <c r="A205" s="5" t="s">
        <v>338</v>
      </c>
      <c r="B205" s="5" t="s">
        <v>244</v>
      </c>
      <c r="C205" s="5" t="s">
        <v>161</v>
      </c>
      <c r="D205" s="5" t="s">
        <v>281</v>
      </c>
      <c r="E205" s="8" t="n">
        <v>45447</v>
      </c>
      <c r="F205" s="5" t="s">
        <v>59</v>
      </c>
      <c r="G205" s="5" t="s">
        <v>273</v>
      </c>
      <c r="H205" s="5" t="s">
        <v>49</v>
      </c>
    </row>
    <row r="206" customFormat="false" ht="43.5" hidden="false" customHeight="true" outlineLevel="0" collapsed="false">
      <c r="A206" s="5" t="s">
        <v>339</v>
      </c>
      <c r="B206" s="5" t="s">
        <v>244</v>
      </c>
      <c r="C206" s="5" t="s">
        <v>161</v>
      </c>
      <c r="D206" s="5" t="s">
        <v>104</v>
      </c>
      <c r="E206" s="8" t="n">
        <v>1387</v>
      </c>
      <c r="F206" s="5" t="s">
        <v>59</v>
      </c>
      <c r="G206" s="5" t="s">
        <v>273</v>
      </c>
      <c r="H206" s="5" t="s">
        <v>49</v>
      </c>
    </row>
    <row r="207" customFormat="false" ht="43.5" hidden="false" customHeight="true" outlineLevel="0" collapsed="false">
      <c r="A207" s="5" t="s">
        <v>340</v>
      </c>
      <c r="B207" s="5" t="s">
        <v>244</v>
      </c>
      <c r="C207" s="5" t="s">
        <v>161</v>
      </c>
      <c r="D207" s="5" t="s">
        <v>106</v>
      </c>
      <c r="E207" s="8" t="n">
        <v>8136</v>
      </c>
      <c r="F207" s="5" t="s">
        <v>59</v>
      </c>
      <c r="G207" s="5" t="s">
        <v>273</v>
      </c>
      <c r="H207" s="5" t="s">
        <v>49</v>
      </c>
    </row>
    <row r="208" customFormat="false" ht="43.5" hidden="false" customHeight="true" outlineLevel="0" collapsed="false">
      <c r="A208" s="5" t="s">
        <v>341</v>
      </c>
      <c r="B208" s="5" t="s">
        <v>244</v>
      </c>
      <c r="C208" s="5" t="s">
        <v>161</v>
      </c>
      <c r="D208" s="5" t="s">
        <v>108</v>
      </c>
      <c r="E208" s="8" t="n">
        <v>89289</v>
      </c>
      <c r="F208" s="5" t="s">
        <v>59</v>
      </c>
      <c r="G208" s="5" t="s">
        <v>273</v>
      </c>
      <c r="H208" s="5" t="s">
        <v>49</v>
      </c>
    </row>
    <row r="209" customFormat="false" ht="43.5" hidden="false" customHeight="true" outlineLevel="0" collapsed="false">
      <c r="A209" s="5" t="s">
        <v>342</v>
      </c>
      <c r="B209" s="5" t="s">
        <v>244</v>
      </c>
      <c r="C209" s="5" t="s">
        <v>161</v>
      </c>
      <c r="D209" s="5" t="s">
        <v>110</v>
      </c>
      <c r="E209" s="8" t="n">
        <v>157517</v>
      </c>
      <c r="F209" s="5" t="s">
        <v>59</v>
      </c>
      <c r="G209" s="5" t="s">
        <v>273</v>
      </c>
      <c r="H209" s="5" t="s">
        <v>49</v>
      </c>
    </row>
    <row r="210" customFormat="false" ht="43.5" hidden="false" customHeight="true" outlineLevel="0" collapsed="false">
      <c r="A210" s="5" t="s">
        <v>343</v>
      </c>
      <c r="B210" s="5" t="s">
        <v>244</v>
      </c>
      <c r="C210" s="5" t="s">
        <v>161</v>
      </c>
      <c r="D210" s="5" t="s">
        <v>112</v>
      </c>
      <c r="E210" s="8" t="n">
        <v>67628</v>
      </c>
      <c r="F210" s="5" t="s">
        <v>59</v>
      </c>
      <c r="G210" s="5" t="s">
        <v>273</v>
      </c>
      <c r="H210" s="5" t="s">
        <v>49</v>
      </c>
    </row>
    <row r="211" customFormat="false" ht="43.5" hidden="false" customHeight="true" outlineLevel="0" collapsed="false">
      <c r="A211" s="5" t="s">
        <v>344</v>
      </c>
      <c r="B211" s="5" t="s">
        <v>244</v>
      </c>
      <c r="C211" s="5" t="s">
        <v>161</v>
      </c>
      <c r="D211" s="5" t="s">
        <v>260</v>
      </c>
      <c r="E211" s="8" t="n">
        <v>20560</v>
      </c>
      <c r="F211" s="5" t="s">
        <v>59</v>
      </c>
      <c r="G211" s="5" t="s">
        <v>273</v>
      </c>
      <c r="H211" s="5" t="s">
        <v>49</v>
      </c>
    </row>
    <row r="212" customFormat="false" ht="43.5" hidden="false" customHeight="true" outlineLevel="0" collapsed="false">
      <c r="A212" s="5" t="s">
        <v>345</v>
      </c>
      <c r="B212" s="5" t="s">
        <v>244</v>
      </c>
      <c r="C212" s="5" t="s">
        <v>161</v>
      </c>
      <c r="D212" s="5" t="s">
        <v>262</v>
      </c>
      <c r="E212" s="8" t="n">
        <v>4605</v>
      </c>
      <c r="F212" s="5" t="s">
        <v>59</v>
      </c>
      <c r="G212" s="5" t="s">
        <v>273</v>
      </c>
      <c r="H212" s="5" t="s">
        <v>49</v>
      </c>
    </row>
    <row r="213" customFormat="false" ht="43.5" hidden="false" customHeight="true" outlineLevel="0" collapsed="false">
      <c r="A213" s="5" t="s">
        <v>346</v>
      </c>
      <c r="B213" s="5" t="s">
        <v>244</v>
      </c>
      <c r="C213" s="5" t="s">
        <v>161</v>
      </c>
      <c r="D213" s="5" t="s">
        <v>264</v>
      </c>
      <c r="E213" s="8" t="n">
        <v>2881</v>
      </c>
      <c r="F213" s="5" t="s">
        <v>59</v>
      </c>
      <c r="G213" s="5" t="s">
        <v>273</v>
      </c>
      <c r="H213" s="5" t="s">
        <v>49</v>
      </c>
    </row>
    <row r="214" customFormat="false" ht="43.5" hidden="false" customHeight="true" outlineLevel="0" collapsed="false">
      <c r="A214" s="5" t="s">
        <v>347</v>
      </c>
      <c r="B214" s="5" t="s">
        <v>244</v>
      </c>
      <c r="C214" s="5" t="s">
        <v>161</v>
      </c>
      <c r="D214" s="5" t="s">
        <v>266</v>
      </c>
      <c r="E214" s="8" t="n">
        <v>16754</v>
      </c>
      <c r="F214" s="5" t="s">
        <v>59</v>
      </c>
      <c r="G214" s="5" t="s">
        <v>273</v>
      </c>
      <c r="H214" s="5" t="s">
        <v>49</v>
      </c>
    </row>
    <row r="215" customFormat="false" ht="43.5" hidden="false" customHeight="true" outlineLevel="0" collapsed="false">
      <c r="A215" s="5" t="s">
        <v>348</v>
      </c>
      <c r="B215" s="5" t="s">
        <v>244</v>
      </c>
      <c r="C215" s="5" t="s">
        <v>161</v>
      </c>
      <c r="D215" s="5" t="s">
        <v>268</v>
      </c>
      <c r="E215" s="8" t="n">
        <v>3871</v>
      </c>
      <c r="F215" s="5" t="s">
        <v>59</v>
      </c>
      <c r="G215" s="5" t="s">
        <v>273</v>
      </c>
      <c r="H215" s="5" t="s">
        <v>49</v>
      </c>
    </row>
    <row r="216" customFormat="false" ht="43.5" hidden="false" customHeight="true" outlineLevel="0" collapsed="false">
      <c r="A216" s="5" t="s">
        <v>349</v>
      </c>
      <c r="B216" s="5" t="s">
        <v>244</v>
      </c>
      <c r="C216" s="5" t="s">
        <v>161</v>
      </c>
      <c r="D216" s="5" t="s">
        <v>270</v>
      </c>
      <c r="E216" s="8" t="n">
        <v>1927</v>
      </c>
      <c r="F216" s="5" t="s">
        <v>59</v>
      </c>
      <c r="G216" s="5" t="s">
        <v>273</v>
      </c>
      <c r="H216" s="5" t="s">
        <v>49</v>
      </c>
    </row>
    <row r="217" customFormat="false" ht="43.5" hidden="false" customHeight="true" outlineLevel="0" collapsed="false">
      <c r="A217" s="5" t="s">
        <v>350</v>
      </c>
      <c r="B217" s="5" t="s">
        <v>244</v>
      </c>
      <c r="C217" s="5" t="s">
        <v>176</v>
      </c>
      <c r="D217" s="5" t="s">
        <v>85</v>
      </c>
      <c r="E217" s="8" t="n">
        <v>78669</v>
      </c>
      <c r="F217" s="5" t="s">
        <v>57</v>
      </c>
      <c r="G217" s="5" t="s">
        <v>351</v>
      </c>
      <c r="H217" s="5" t="s">
        <v>49</v>
      </c>
    </row>
    <row r="218" customFormat="false" ht="43.5" hidden="false" customHeight="true" outlineLevel="0" collapsed="false">
      <c r="A218" s="5" t="s">
        <v>352</v>
      </c>
      <c r="B218" s="5" t="s">
        <v>244</v>
      </c>
      <c r="C218" s="5" t="s">
        <v>176</v>
      </c>
      <c r="D218" s="5" t="s">
        <v>88</v>
      </c>
      <c r="E218" s="8" t="n">
        <v>63704</v>
      </c>
      <c r="F218" s="5" t="s">
        <v>57</v>
      </c>
      <c r="G218" s="5" t="s">
        <v>351</v>
      </c>
      <c r="H218" s="5" t="s">
        <v>49</v>
      </c>
    </row>
    <row r="219" customFormat="false" ht="43.5" hidden="false" customHeight="true" outlineLevel="0" collapsed="false">
      <c r="A219" s="5" t="s">
        <v>353</v>
      </c>
      <c r="B219" s="5" t="s">
        <v>244</v>
      </c>
      <c r="C219" s="5" t="s">
        <v>176</v>
      </c>
      <c r="D219" s="5" t="s">
        <v>90</v>
      </c>
      <c r="E219" s="8" t="n">
        <v>2057</v>
      </c>
      <c r="F219" s="5" t="s">
        <v>57</v>
      </c>
      <c r="G219" s="5" t="s">
        <v>351</v>
      </c>
      <c r="H219" s="5" t="s">
        <v>49</v>
      </c>
    </row>
    <row r="220" customFormat="false" ht="43.5" hidden="false" customHeight="true" outlineLevel="0" collapsed="false">
      <c r="A220" s="5" t="s">
        <v>354</v>
      </c>
      <c r="B220" s="5" t="s">
        <v>244</v>
      </c>
      <c r="C220" s="5" t="s">
        <v>176</v>
      </c>
      <c r="D220" s="5" t="s">
        <v>92</v>
      </c>
      <c r="E220" s="8" t="n">
        <v>2423</v>
      </c>
      <c r="F220" s="5" t="s">
        <v>57</v>
      </c>
      <c r="G220" s="5" t="s">
        <v>351</v>
      </c>
      <c r="H220" s="5" t="s">
        <v>49</v>
      </c>
    </row>
    <row r="221" customFormat="false" ht="43.5" hidden="false" customHeight="true" outlineLevel="0" collapsed="false">
      <c r="A221" s="5" t="s">
        <v>355</v>
      </c>
      <c r="B221" s="5" t="s">
        <v>244</v>
      </c>
      <c r="C221" s="5" t="s">
        <v>176</v>
      </c>
      <c r="D221" s="5" t="s">
        <v>94</v>
      </c>
      <c r="E221" s="8" t="n">
        <v>2378</v>
      </c>
      <c r="F221" s="5" t="s">
        <v>57</v>
      </c>
      <c r="G221" s="5" t="s">
        <v>351</v>
      </c>
      <c r="H221" s="5" t="s">
        <v>49</v>
      </c>
    </row>
    <row r="222" customFormat="false" ht="43.5" hidden="false" customHeight="true" outlineLevel="0" collapsed="false">
      <c r="A222" s="5" t="s">
        <v>356</v>
      </c>
      <c r="B222" s="5" t="s">
        <v>244</v>
      </c>
      <c r="C222" s="5" t="s">
        <v>176</v>
      </c>
      <c r="D222" s="5" t="s">
        <v>96</v>
      </c>
      <c r="E222" s="8" t="n">
        <v>14897</v>
      </c>
      <c r="F222" s="5" t="s">
        <v>57</v>
      </c>
      <c r="G222" s="5" t="s">
        <v>351</v>
      </c>
      <c r="H222" s="5" t="s">
        <v>49</v>
      </c>
    </row>
    <row r="223" customFormat="false" ht="43.5" hidden="false" customHeight="true" outlineLevel="0" collapsed="false">
      <c r="A223" s="5" t="s">
        <v>357</v>
      </c>
      <c r="B223" s="5" t="s">
        <v>244</v>
      </c>
      <c r="C223" s="5" t="s">
        <v>176</v>
      </c>
      <c r="D223" s="5" t="s">
        <v>98</v>
      </c>
      <c r="E223" s="8" t="n">
        <v>13014</v>
      </c>
      <c r="F223" s="5" t="s">
        <v>57</v>
      </c>
      <c r="G223" s="5" t="s">
        <v>351</v>
      </c>
      <c r="H223" s="5" t="s">
        <v>49</v>
      </c>
    </row>
    <row r="224" customFormat="false" ht="43.5" hidden="false" customHeight="true" outlineLevel="0" collapsed="false">
      <c r="A224" s="5" t="s">
        <v>358</v>
      </c>
      <c r="B224" s="5" t="s">
        <v>359</v>
      </c>
      <c r="C224" s="5" t="s">
        <v>161</v>
      </c>
      <c r="D224" s="5" t="s">
        <v>360</v>
      </c>
      <c r="E224" s="8" t="n">
        <v>221</v>
      </c>
      <c r="F224" s="5" t="s">
        <v>57</v>
      </c>
      <c r="G224" s="5" t="s">
        <v>361</v>
      </c>
      <c r="H224" s="5" t="s">
        <v>49</v>
      </c>
    </row>
    <row r="225" customFormat="false" ht="43.5" hidden="false" customHeight="true" outlineLevel="0" collapsed="false">
      <c r="A225" s="5" t="s">
        <v>362</v>
      </c>
      <c r="B225" s="5" t="s">
        <v>359</v>
      </c>
      <c r="C225" s="5" t="s">
        <v>161</v>
      </c>
      <c r="D225" s="5" t="s">
        <v>363</v>
      </c>
      <c r="E225" s="8" t="n">
        <v>171</v>
      </c>
      <c r="F225" s="5" t="s">
        <v>57</v>
      </c>
      <c r="G225" s="5" t="s">
        <v>361</v>
      </c>
      <c r="H225" s="5" t="s">
        <v>49</v>
      </c>
    </row>
    <row r="226" customFormat="false" ht="43.5" hidden="false" customHeight="true" outlineLevel="0" collapsed="false">
      <c r="A226" s="5" t="s">
        <v>364</v>
      </c>
      <c r="B226" s="5" t="s">
        <v>359</v>
      </c>
      <c r="C226" s="5" t="s">
        <v>161</v>
      </c>
      <c r="D226" s="5" t="s">
        <v>365</v>
      </c>
      <c r="E226" s="8" t="n">
        <v>-142</v>
      </c>
      <c r="F226" s="5" t="s">
        <v>57</v>
      </c>
      <c r="G226" s="5" t="s">
        <v>361</v>
      </c>
      <c r="H226" s="5" t="s">
        <v>49</v>
      </c>
    </row>
    <row r="227" customFormat="false" ht="43.5" hidden="false" customHeight="true" outlineLevel="0" collapsed="false">
      <c r="A227" s="5" t="s">
        <v>366</v>
      </c>
      <c r="B227" s="5" t="s">
        <v>359</v>
      </c>
      <c r="C227" s="5" t="s">
        <v>176</v>
      </c>
      <c r="D227" s="5" t="s">
        <v>360</v>
      </c>
      <c r="E227" s="8" t="n">
        <v>626</v>
      </c>
      <c r="F227" s="5" t="s">
        <v>57</v>
      </c>
      <c r="G227" s="5" t="s">
        <v>367</v>
      </c>
      <c r="H227" s="5" t="s">
        <v>49</v>
      </c>
    </row>
    <row r="228" customFormat="false" ht="43.5" hidden="false" customHeight="true" outlineLevel="0" collapsed="false">
      <c r="A228" s="5" t="s">
        <v>368</v>
      </c>
      <c r="B228" s="5" t="s">
        <v>359</v>
      </c>
      <c r="C228" s="5" t="s">
        <v>176</v>
      </c>
      <c r="D228" s="5" t="s">
        <v>363</v>
      </c>
      <c r="E228" s="8" t="n">
        <v>478</v>
      </c>
      <c r="F228" s="5" t="s">
        <v>57</v>
      </c>
      <c r="G228" s="5" t="s">
        <v>367</v>
      </c>
      <c r="H228" s="5" t="s">
        <v>49</v>
      </c>
    </row>
    <row r="229" customFormat="false" ht="43.5" hidden="false" customHeight="true" outlineLevel="0" collapsed="false">
      <c r="A229" s="5" t="s">
        <v>369</v>
      </c>
      <c r="B229" s="5" t="s">
        <v>359</v>
      </c>
      <c r="C229" s="5" t="s">
        <v>176</v>
      </c>
      <c r="D229" s="5" t="s">
        <v>365</v>
      </c>
      <c r="E229" s="8" t="n">
        <v>863</v>
      </c>
      <c r="F229" s="5" t="s">
        <v>57</v>
      </c>
      <c r="G229" s="5" t="s">
        <v>367</v>
      </c>
      <c r="H229" s="5" t="s">
        <v>49</v>
      </c>
    </row>
    <row r="230" customFormat="false" ht="43.5" hidden="false" customHeight="true" outlineLevel="0" collapsed="false">
      <c r="A230" s="5" t="s">
        <v>370</v>
      </c>
      <c r="B230" s="5" t="s">
        <v>359</v>
      </c>
      <c r="C230" s="5" t="s">
        <v>176</v>
      </c>
      <c r="D230" s="5" t="s">
        <v>371</v>
      </c>
      <c r="E230" s="8" t="n">
        <v>480</v>
      </c>
      <c r="F230" s="5" t="s">
        <v>57</v>
      </c>
      <c r="G230" s="5" t="s">
        <v>367</v>
      </c>
      <c r="H230" s="5" t="s">
        <v>49</v>
      </c>
    </row>
    <row r="231" customFormat="false" ht="43.5" hidden="false" customHeight="true" outlineLevel="0" collapsed="false">
      <c r="A231" s="5" t="s">
        <v>372</v>
      </c>
      <c r="B231" s="5" t="s">
        <v>359</v>
      </c>
      <c r="C231" s="5" t="s">
        <v>373</v>
      </c>
      <c r="D231" s="5" t="s">
        <v>374</v>
      </c>
      <c r="E231" s="8" t="n">
        <v>729</v>
      </c>
      <c r="F231" s="5" t="s">
        <v>57</v>
      </c>
      <c r="G231" s="5" t="s">
        <v>375</v>
      </c>
      <c r="H231" s="5" t="s">
        <v>49</v>
      </c>
    </row>
    <row r="232" customFormat="false" ht="43.5" hidden="false" customHeight="true" outlineLevel="0" collapsed="false">
      <c r="A232" s="5" t="s">
        <v>376</v>
      </c>
      <c r="B232" s="5" t="s">
        <v>359</v>
      </c>
      <c r="C232" s="5" t="s">
        <v>373</v>
      </c>
      <c r="D232" s="5" t="s">
        <v>377</v>
      </c>
      <c r="E232" s="8" t="n">
        <v>588</v>
      </c>
      <c r="F232" s="5" t="s">
        <v>57</v>
      </c>
      <c r="G232" s="5" t="s">
        <v>375</v>
      </c>
      <c r="H232" s="5" t="s">
        <v>49</v>
      </c>
    </row>
    <row r="233" customFormat="false" ht="43.5" hidden="false" customHeight="true" outlineLevel="0" collapsed="false">
      <c r="A233" s="5" t="s">
        <v>378</v>
      </c>
      <c r="B233" s="5" t="s">
        <v>359</v>
      </c>
      <c r="C233" s="5" t="s">
        <v>373</v>
      </c>
      <c r="D233" s="5" t="s">
        <v>379</v>
      </c>
      <c r="E233" s="8" t="n">
        <v>648</v>
      </c>
      <c r="F233" s="5" t="s">
        <v>57</v>
      </c>
      <c r="G233" s="5" t="s">
        <v>375</v>
      </c>
      <c r="H233" s="5" t="s">
        <v>49</v>
      </c>
    </row>
    <row r="234" customFormat="false" ht="43.5" hidden="false" customHeight="true" outlineLevel="0" collapsed="false">
      <c r="A234" s="5" t="s">
        <v>380</v>
      </c>
      <c r="B234" s="5" t="s">
        <v>359</v>
      </c>
      <c r="C234" s="5" t="s">
        <v>373</v>
      </c>
      <c r="D234" s="5" t="s">
        <v>381</v>
      </c>
      <c r="E234" s="8" t="n">
        <v>516</v>
      </c>
      <c r="F234" s="5" t="s">
        <v>57</v>
      </c>
      <c r="G234" s="5" t="s">
        <v>375</v>
      </c>
      <c r="H234" s="5" t="s">
        <v>49</v>
      </c>
    </row>
    <row r="235" customFormat="false" ht="43.5" hidden="false" customHeight="true" outlineLevel="0" collapsed="false">
      <c r="A235" s="5" t="s">
        <v>382</v>
      </c>
      <c r="B235" s="5" t="s">
        <v>359</v>
      </c>
      <c r="C235" s="5" t="s">
        <v>373</v>
      </c>
      <c r="D235" s="5" t="s">
        <v>383</v>
      </c>
      <c r="E235" s="8" t="n">
        <v>132</v>
      </c>
      <c r="F235" s="5" t="s">
        <v>57</v>
      </c>
      <c r="G235" s="5" t="s">
        <v>375</v>
      </c>
      <c r="H235" s="5" t="s">
        <v>49</v>
      </c>
    </row>
    <row r="236" customFormat="false" ht="43.5" hidden="false" customHeight="true" outlineLevel="0" collapsed="false">
      <c r="A236" s="5" t="s">
        <v>384</v>
      </c>
      <c r="B236" s="5" t="s">
        <v>359</v>
      </c>
      <c r="C236" s="5" t="s">
        <v>373</v>
      </c>
      <c r="D236" s="5" t="s">
        <v>385</v>
      </c>
      <c r="E236" s="8" t="n">
        <v>2865</v>
      </c>
      <c r="F236" s="5" t="s">
        <v>57</v>
      </c>
      <c r="G236" s="5" t="s">
        <v>375</v>
      </c>
      <c r="H236" s="5" t="s">
        <v>49</v>
      </c>
    </row>
    <row r="237" customFormat="false" ht="43.5" hidden="false" customHeight="true" outlineLevel="0" collapsed="false">
      <c r="A237" s="5" t="s">
        <v>386</v>
      </c>
      <c r="B237" s="5" t="s">
        <v>359</v>
      </c>
      <c r="C237" s="5" t="s">
        <v>157</v>
      </c>
      <c r="D237" s="5" t="s">
        <v>371</v>
      </c>
      <c r="E237" s="8" t="n">
        <v>329</v>
      </c>
      <c r="F237" s="5" t="s">
        <v>51</v>
      </c>
      <c r="G237" s="5" t="s">
        <v>387</v>
      </c>
      <c r="H237" s="5" t="s">
        <v>49</v>
      </c>
    </row>
    <row r="238" customFormat="false" ht="43.5" hidden="false" customHeight="true" outlineLevel="0" collapsed="false">
      <c r="A238" s="5" t="s">
        <v>388</v>
      </c>
      <c r="B238" s="5" t="s">
        <v>359</v>
      </c>
      <c r="C238" s="5" t="s">
        <v>157</v>
      </c>
      <c r="D238" s="5" t="s">
        <v>389</v>
      </c>
      <c r="E238" s="8" t="n">
        <v>2039</v>
      </c>
      <c r="F238" s="5" t="s">
        <v>51</v>
      </c>
      <c r="G238" s="5" t="s">
        <v>387</v>
      </c>
      <c r="H238" s="5" t="s">
        <v>49</v>
      </c>
    </row>
    <row r="239" customFormat="false" ht="43.5" hidden="false" customHeight="true" outlineLevel="0" collapsed="false">
      <c r="A239" s="5" t="s">
        <v>390</v>
      </c>
      <c r="B239" s="5" t="s">
        <v>359</v>
      </c>
      <c r="C239" s="5" t="s">
        <v>157</v>
      </c>
      <c r="D239" s="5" t="s">
        <v>391</v>
      </c>
      <c r="E239" s="8" t="n">
        <v>11290</v>
      </c>
      <c r="F239" s="5" t="s">
        <v>51</v>
      </c>
      <c r="G239" s="5" t="s">
        <v>387</v>
      </c>
      <c r="H239" s="5" t="s">
        <v>49</v>
      </c>
    </row>
    <row r="240" customFormat="false" ht="43.5" hidden="false" customHeight="true" outlineLevel="0" collapsed="false">
      <c r="A240" s="5" t="s">
        <v>392</v>
      </c>
      <c r="B240" s="5" t="s">
        <v>359</v>
      </c>
      <c r="C240" s="5" t="s">
        <v>157</v>
      </c>
      <c r="D240" s="5" t="s">
        <v>393</v>
      </c>
      <c r="E240" s="8" t="n">
        <v>513</v>
      </c>
      <c r="F240" s="5" t="s">
        <v>51</v>
      </c>
      <c r="G240" s="5" t="s">
        <v>387</v>
      </c>
      <c r="H240" s="5" t="s">
        <v>49</v>
      </c>
    </row>
    <row r="241" customFormat="false" ht="43.5" hidden="false" customHeight="true" outlineLevel="0" collapsed="false">
      <c r="A241" s="5" t="s">
        <v>394</v>
      </c>
      <c r="B241" s="5" t="s">
        <v>359</v>
      </c>
      <c r="C241" s="5" t="s">
        <v>142</v>
      </c>
      <c r="D241" s="5" t="s">
        <v>371</v>
      </c>
      <c r="E241" s="8" t="n">
        <v>295</v>
      </c>
      <c r="F241" s="5" t="s">
        <v>51</v>
      </c>
      <c r="G241" s="5" t="s">
        <v>387</v>
      </c>
      <c r="H241" s="5" t="s">
        <v>49</v>
      </c>
    </row>
    <row r="242" customFormat="false" ht="43.5" hidden="false" customHeight="true" outlineLevel="0" collapsed="false">
      <c r="A242" s="5" t="s">
        <v>395</v>
      </c>
      <c r="B242" s="5" t="s">
        <v>359</v>
      </c>
      <c r="C242" s="5" t="s">
        <v>142</v>
      </c>
      <c r="D242" s="5" t="s">
        <v>393</v>
      </c>
      <c r="E242" s="8" t="n">
        <v>327</v>
      </c>
      <c r="F242" s="5" t="s">
        <v>51</v>
      </c>
      <c r="G242" s="5" t="s">
        <v>387</v>
      </c>
      <c r="H242" s="5" t="s">
        <v>49</v>
      </c>
    </row>
    <row r="243" customFormat="false" ht="43.5" hidden="false" customHeight="true" outlineLevel="0" collapsed="false">
      <c r="A243" s="5" t="s">
        <v>396</v>
      </c>
      <c r="B243" s="5" t="s">
        <v>359</v>
      </c>
      <c r="C243" s="5" t="s">
        <v>373</v>
      </c>
      <c r="D243" s="5" t="s">
        <v>389</v>
      </c>
      <c r="E243" s="8" t="n">
        <v>2181</v>
      </c>
      <c r="F243" s="5" t="s">
        <v>53</v>
      </c>
      <c r="G243" s="5" t="s">
        <v>397</v>
      </c>
      <c r="H243" s="5" t="s">
        <v>49</v>
      </c>
    </row>
    <row r="244" customFormat="false" ht="43.5" hidden="false" customHeight="true" outlineLevel="0" collapsed="false">
      <c r="A244" s="5" t="s">
        <v>398</v>
      </c>
      <c r="B244" s="5" t="s">
        <v>359</v>
      </c>
      <c r="C244" s="5" t="s">
        <v>373</v>
      </c>
      <c r="D244" s="5" t="s">
        <v>391</v>
      </c>
      <c r="E244" s="8" t="n">
        <v>10716</v>
      </c>
      <c r="F244" s="5" t="s">
        <v>53</v>
      </c>
      <c r="G244" s="5" t="s">
        <v>397</v>
      </c>
      <c r="H244" s="5" t="s">
        <v>49</v>
      </c>
    </row>
    <row r="245" customFormat="false" ht="43.5" hidden="false" customHeight="true" outlineLevel="0" collapsed="false">
      <c r="A245" s="5" t="s">
        <v>399</v>
      </c>
      <c r="B245" s="5" t="s">
        <v>359</v>
      </c>
      <c r="C245" s="5" t="s">
        <v>161</v>
      </c>
      <c r="D245" s="5" t="s">
        <v>400</v>
      </c>
      <c r="E245" s="8" t="n">
        <v>351</v>
      </c>
      <c r="F245" s="5" t="s">
        <v>53</v>
      </c>
      <c r="G245" s="5" t="s">
        <v>401</v>
      </c>
      <c r="H245" s="5" t="s">
        <v>49</v>
      </c>
    </row>
    <row r="246" customFormat="false" ht="43.5" hidden="false" customHeight="true" outlineLevel="0" collapsed="false">
      <c r="A246" s="5" t="s">
        <v>402</v>
      </c>
      <c r="B246" s="5" t="s">
        <v>359</v>
      </c>
      <c r="C246" s="5" t="s">
        <v>161</v>
      </c>
      <c r="D246" s="5" t="s">
        <v>403</v>
      </c>
      <c r="E246" s="8" t="n">
        <v>561</v>
      </c>
      <c r="F246" s="5" t="s">
        <v>53</v>
      </c>
      <c r="G246" s="5" t="s">
        <v>401</v>
      </c>
      <c r="H246" s="5" t="s">
        <v>49</v>
      </c>
    </row>
    <row r="247" customFormat="false" ht="43.5" hidden="false" customHeight="true" outlineLevel="0" collapsed="false">
      <c r="A247" s="5" t="s">
        <v>404</v>
      </c>
      <c r="B247" s="5" t="s">
        <v>359</v>
      </c>
      <c r="C247" s="5" t="s">
        <v>176</v>
      </c>
      <c r="D247" s="5" t="s">
        <v>400</v>
      </c>
      <c r="E247" s="8" t="n">
        <v>864</v>
      </c>
      <c r="F247" s="5" t="s">
        <v>53</v>
      </c>
      <c r="G247" s="5" t="s">
        <v>405</v>
      </c>
      <c r="H247" s="5" t="s">
        <v>49</v>
      </c>
    </row>
    <row r="248" customFormat="false" ht="43.5" hidden="false" customHeight="true" outlineLevel="0" collapsed="false">
      <c r="A248" s="5" t="s">
        <v>406</v>
      </c>
      <c r="B248" s="5" t="s">
        <v>359</v>
      </c>
      <c r="C248" s="5" t="s">
        <v>84</v>
      </c>
      <c r="D248" s="5" t="s">
        <v>407</v>
      </c>
      <c r="E248" s="8" t="n">
        <v>506</v>
      </c>
      <c r="F248" s="5" t="s">
        <v>61</v>
      </c>
      <c r="G248" s="5" t="s">
        <v>408</v>
      </c>
      <c r="H248" s="5" t="s">
        <v>49</v>
      </c>
    </row>
    <row r="249" customFormat="false" ht="43.5" hidden="false" customHeight="true" outlineLevel="0" collapsed="false">
      <c r="A249" s="5" t="s">
        <v>409</v>
      </c>
      <c r="B249" s="5" t="s">
        <v>359</v>
      </c>
      <c r="C249" s="5" t="s">
        <v>84</v>
      </c>
      <c r="D249" s="5" t="s">
        <v>410</v>
      </c>
      <c r="E249" s="8" t="n">
        <v>131</v>
      </c>
      <c r="F249" s="5" t="s">
        <v>61</v>
      </c>
      <c r="G249" s="5" t="s">
        <v>408</v>
      </c>
      <c r="H249" s="5" t="s">
        <v>49</v>
      </c>
    </row>
    <row r="250" customFormat="false" ht="43.5" hidden="false" customHeight="true" outlineLevel="0" collapsed="false">
      <c r="A250" s="5" t="s">
        <v>411</v>
      </c>
      <c r="B250" s="5" t="s">
        <v>359</v>
      </c>
      <c r="C250" s="5" t="s">
        <v>84</v>
      </c>
      <c r="D250" s="5" t="s">
        <v>412</v>
      </c>
      <c r="E250" s="8" t="n">
        <v>143.3</v>
      </c>
      <c r="F250" s="5" t="s">
        <v>61</v>
      </c>
      <c r="G250" s="5" t="s">
        <v>408</v>
      </c>
      <c r="H250" s="5" t="s">
        <v>49</v>
      </c>
    </row>
    <row r="251" customFormat="false" ht="43.5" hidden="false" customHeight="true" outlineLevel="0" collapsed="false">
      <c r="A251" s="5" t="s">
        <v>413</v>
      </c>
      <c r="B251" s="5" t="s">
        <v>359</v>
      </c>
      <c r="C251" s="5" t="s">
        <v>84</v>
      </c>
      <c r="D251" s="5" t="s">
        <v>414</v>
      </c>
      <c r="E251" s="8" t="n">
        <v>430.1</v>
      </c>
      <c r="F251" s="5" t="s">
        <v>61</v>
      </c>
      <c r="G251" s="5" t="s">
        <v>408</v>
      </c>
      <c r="H251" s="5" t="s">
        <v>49</v>
      </c>
    </row>
    <row r="252" customFormat="false" ht="43.5" hidden="false" customHeight="true" outlineLevel="0" collapsed="false">
      <c r="A252" s="5" t="s">
        <v>415</v>
      </c>
      <c r="B252" s="5" t="s">
        <v>359</v>
      </c>
      <c r="C252" s="5" t="s">
        <v>84</v>
      </c>
      <c r="D252" s="5" t="s">
        <v>416</v>
      </c>
      <c r="E252" s="8" t="n">
        <v>11.4</v>
      </c>
      <c r="F252" s="5" t="s">
        <v>61</v>
      </c>
      <c r="G252" s="5" t="s">
        <v>408</v>
      </c>
      <c r="H252" s="5" t="s">
        <v>49</v>
      </c>
    </row>
    <row r="253" customFormat="false" ht="43.5" hidden="false" customHeight="true" outlineLevel="0" collapsed="false">
      <c r="A253" s="5" t="s">
        <v>417</v>
      </c>
      <c r="B253" s="5" t="s">
        <v>359</v>
      </c>
      <c r="C253" s="5" t="s">
        <v>84</v>
      </c>
      <c r="D253" s="5" t="s">
        <v>418</v>
      </c>
      <c r="E253" s="8" t="n">
        <v>0.4</v>
      </c>
      <c r="F253" s="5" t="s">
        <v>61</v>
      </c>
      <c r="G253" s="5" t="s">
        <v>408</v>
      </c>
      <c r="H253" s="5" t="s">
        <v>49</v>
      </c>
    </row>
    <row r="254" customFormat="false" ht="43.5" hidden="false" customHeight="true" outlineLevel="0" collapsed="false">
      <c r="A254" s="5" t="s">
        <v>419</v>
      </c>
      <c r="B254" s="5" t="s">
        <v>359</v>
      </c>
      <c r="C254" s="5" t="s">
        <v>84</v>
      </c>
      <c r="D254" s="5" t="s">
        <v>420</v>
      </c>
      <c r="E254" s="8" t="n">
        <v>3.3</v>
      </c>
      <c r="F254" s="5" t="s">
        <v>61</v>
      </c>
      <c r="G254" s="5" t="s">
        <v>408</v>
      </c>
      <c r="H254" s="5" t="s">
        <v>49</v>
      </c>
    </row>
    <row r="255" customFormat="false" ht="43.5" hidden="false" customHeight="true" outlineLevel="0" collapsed="false">
      <c r="A255" s="5" t="s">
        <v>421</v>
      </c>
      <c r="B255" s="5" t="s">
        <v>359</v>
      </c>
      <c r="C255" s="5" t="s">
        <v>84</v>
      </c>
      <c r="D255" s="5" t="s">
        <v>422</v>
      </c>
      <c r="E255" s="8" t="n">
        <v>4</v>
      </c>
      <c r="F255" s="5" t="s">
        <v>61</v>
      </c>
      <c r="G255" s="5" t="s">
        <v>408</v>
      </c>
      <c r="H255" s="5" t="s">
        <v>49</v>
      </c>
    </row>
    <row r="256" customFormat="false" ht="43.5" hidden="false" customHeight="true" outlineLevel="0" collapsed="false">
      <c r="A256" s="5" t="s">
        <v>423</v>
      </c>
      <c r="B256" s="5" t="s">
        <v>359</v>
      </c>
      <c r="C256" s="5" t="s">
        <v>84</v>
      </c>
      <c r="D256" s="5" t="s">
        <v>424</v>
      </c>
      <c r="E256" s="8" t="n">
        <v>0.3</v>
      </c>
      <c r="F256" s="5" t="s">
        <v>61</v>
      </c>
      <c r="G256" s="5" t="s">
        <v>408</v>
      </c>
      <c r="H256" s="5" t="s">
        <v>49</v>
      </c>
    </row>
    <row r="257" customFormat="false" ht="43.5" hidden="false" customHeight="true" outlineLevel="0" collapsed="false">
      <c r="A257" s="5" t="s">
        <v>425</v>
      </c>
      <c r="B257" s="5" t="s">
        <v>359</v>
      </c>
      <c r="C257" s="5" t="s">
        <v>84</v>
      </c>
      <c r="D257" s="5" t="s">
        <v>426</v>
      </c>
      <c r="E257" s="8" t="n">
        <v>0.9</v>
      </c>
      <c r="F257" s="5" t="s">
        <v>61</v>
      </c>
      <c r="G257" s="5" t="s">
        <v>408</v>
      </c>
      <c r="H257" s="5" t="s">
        <v>49</v>
      </c>
    </row>
    <row r="258" customFormat="false" ht="43.5" hidden="false" customHeight="true" outlineLevel="0" collapsed="false">
      <c r="A258" s="5" t="s">
        <v>427</v>
      </c>
      <c r="B258" s="5" t="s">
        <v>359</v>
      </c>
      <c r="C258" s="5" t="s">
        <v>84</v>
      </c>
      <c r="D258" s="5" t="s">
        <v>428</v>
      </c>
      <c r="E258" s="8" t="n">
        <v>4.8</v>
      </c>
      <c r="F258" s="5" t="s">
        <v>61</v>
      </c>
      <c r="G258" s="5" t="s">
        <v>408</v>
      </c>
      <c r="H258" s="5" t="s">
        <v>49</v>
      </c>
    </row>
    <row r="259" customFormat="false" ht="43.5" hidden="false" customHeight="true" outlineLevel="0" collapsed="false">
      <c r="A259" s="5" t="s">
        <v>429</v>
      </c>
      <c r="B259" s="5" t="s">
        <v>359</v>
      </c>
      <c r="C259" s="5" t="s">
        <v>84</v>
      </c>
      <c r="D259" s="5" t="s">
        <v>430</v>
      </c>
      <c r="E259" s="8" t="n">
        <v>3.3</v>
      </c>
      <c r="F259" s="5" t="s">
        <v>61</v>
      </c>
      <c r="G259" s="5" t="s">
        <v>408</v>
      </c>
      <c r="H259" s="5" t="s">
        <v>49</v>
      </c>
    </row>
    <row r="260" customFormat="false" ht="43.5" hidden="false" customHeight="true" outlineLevel="0" collapsed="false">
      <c r="A260" s="5" t="s">
        <v>431</v>
      </c>
      <c r="B260" s="5" t="s">
        <v>359</v>
      </c>
      <c r="C260" s="5" t="s">
        <v>84</v>
      </c>
      <c r="D260" s="5" t="s">
        <v>432</v>
      </c>
      <c r="E260" s="8" t="n">
        <v>12.9</v>
      </c>
      <c r="F260" s="5" t="s">
        <v>61</v>
      </c>
      <c r="G260" s="5" t="s">
        <v>408</v>
      </c>
      <c r="H260" s="5" t="s">
        <v>49</v>
      </c>
    </row>
    <row r="261" customFormat="false" ht="43.5" hidden="false" customHeight="true" outlineLevel="0" collapsed="false">
      <c r="A261" s="5" t="s">
        <v>433</v>
      </c>
      <c r="B261" s="5" t="s">
        <v>434</v>
      </c>
      <c r="C261" s="5" t="s">
        <v>373</v>
      </c>
      <c r="D261" s="5" t="s">
        <v>435</v>
      </c>
      <c r="E261" s="8" t="n">
        <v>3952.648559</v>
      </c>
      <c r="F261" s="5" t="s">
        <v>61</v>
      </c>
      <c r="G261" s="5" t="s">
        <v>436</v>
      </c>
      <c r="H261" s="5" t="s">
        <v>49</v>
      </c>
    </row>
    <row r="262" customFormat="false" ht="43.5" hidden="false" customHeight="true" outlineLevel="0" collapsed="false">
      <c r="A262" s="5" t="s">
        <v>437</v>
      </c>
      <c r="B262" s="5" t="s">
        <v>434</v>
      </c>
      <c r="C262" s="5" t="s">
        <v>373</v>
      </c>
      <c r="D262" s="5" t="s">
        <v>438</v>
      </c>
      <c r="E262" s="8" t="n">
        <v>699.580882</v>
      </c>
      <c r="F262" s="5" t="s">
        <v>61</v>
      </c>
      <c r="G262" s="5" t="s">
        <v>436</v>
      </c>
      <c r="H262" s="5" t="s">
        <v>49</v>
      </c>
    </row>
    <row r="263" customFormat="false" ht="43.5" hidden="false" customHeight="true" outlineLevel="0" collapsed="false">
      <c r="A263" s="5" t="s">
        <v>439</v>
      </c>
      <c r="B263" s="5" t="s">
        <v>434</v>
      </c>
      <c r="C263" s="5" t="s">
        <v>373</v>
      </c>
      <c r="D263" s="5" t="s">
        <v>440</v>
      </c>
      <c r="E263" s="8" t="n">
        <v>423.743904</v>
      </c>
      <c r="F263" s="5" t="s">
        <v>61</v>
      </c>
      <c r="G263" s="5" t="s">
        <v>436</v>
      </c>
      <c r="H263" s="5" t="s">
        <v>49</v>
      </c>
    </row>
    <row r="264" customFormat="false" ht="43.5" hidden="false" customHeight="true" outlineLevel="0" collapsed="false">
      <c r="A264" s="5" t="s">
        <v>441</v>
      </c>
      <c r="B264" s="5" t="s">
        <v>434</v>
      </c>
      <c r="C264" s="5" t="s">
        <v>373</v>
      </c>
      <c r="D264" s="5" t="s">
        <v>442</v>
      </c>
      <c r="E264" s="8" t="n">
        <v>413.152109</v>
      </c>
      <c r="F264" s="5" t="s">
        <v>61</v>
      </c>
      <c r="G264" s="5" t="s">
        <v>436</v>
      </c>
      <c r="H264" s="5" t="s">
        <v>49</v>
      </c>
    </row>
    <row r="265" customFormat="false" ht="43.5" hidden="false" customHeight="true" outlineLevel="0" collapsed="false">
      <c r="A265" s="5" t="s">
        <v>443</v>
      </c>
      <c r="B265" s="5" t="s">
        <v>434</v>
      </c>
      <c r="C265" s="5" t="s">
        <v>373</v>
      </c>
      <c r="D265" s="5" t="s">
        <v>444</v>
      </c>
      <c r="E265" s="8" t="n">
        <v>286.428773</v>
      </c>
      <c r="F265" s="5" t="s">
        <v>61</v>
      </c>
      <c r="G265" s="5" t="s">
        <v>436</v>
      </c>
      <c r="H265" s="5" t="s">
        <v>49</v>
      </c>
    </row>
    <row r="266" customFormat="false" ht="43.5" hidden="false" customHeight="true" outlineLevel="0" collapsed="false">
      <c r="A266" s="5" t="s">
        <v>445</v>
      </c>
      <c r="B266" s="5" t="s">
        <v>434</v>
      </c>
      <c r="C266" s="5" t="s">
        <v>446</v>
      </c>
      <c r="D266" s="5" t="s">
        <v>447</v>
      </c>
      <c r="E266" s="8" t="n">
        <v>849.49444</v>
      </c>
      <c r="F266" s="5" t="s">
        <v>47</v>
      </c>
      <c r="G266" s="5" t="s">
        <v>448</v>
      </c>
      <c r="H266" s="5" t="s">
        <v>49</v>
      </c>
    </row>
    <row r="267" customFormat="false" ht="43.5" hidden="false" customHeight="true" outlineLevel="0" collapsed="false">
      <c r="A267" s="5" t="s">
        <v>449</v>
      </c>
      <c r="B267" s="5" t="s">
        <v>434</v>
      </c>
      <c r="C267" s="5" t="s">
        <v>446</v>
      </c>
      <c r="D267" s="5" t="s">
        <v>450</v>
      </c>
      <c r="E267" s="8" t="n">
        <v>5569.053075</v>
      </c>
      <c r="F267" s="5" t="s">
        <v>47</v>
      </c>
      <c r="G267" s="5" t="s">
        <v>448</v>
      </c>
      <c r="H267" s="5" t="s">
        <v>49</v>
      </c>
    </row>
    <row r="268" customFormat="false" ht="43.5" hidden="false" customHeight="true" outlineLevel="0" collapsed="false">
      <c r="A268" s="5" t="s">
        <v>451</v>
      </c>
      <c r="B268" s="5" t="s">
        <v>434</v>
      </c>
      <c r="C268" s="5" t="s">
        <v>446</v>
      </c>
      <c r="D268" s="5" t="s">
        <v>452</v>
      </c>
      <c r="E268" s="8" t="n">
        <v>350</v>
      </c>
      <c r="F268" s="5" t="s">
        <v>47</v>
      </c>
      <c r="G268" s="5" t="s">
        <v>448</v>
      </c>
      <c r="H268" s="5" t="s">
        <v>49</v>
      </c>
    </row>
    <row r="269" customFormat="false" ht="43.5" hidden="false" customHeight="true" outlineLevel="0" collapsed="false">
      <c r="A269" s="5" t="s">
        <v>453</v>
      </c>
      <c r="B269" s="5" t="s">
        <v>434</v>
      </c>
      <c r="C269" s="5" t="s">
        <v>446</v>
      </c>
      <c r="D269" s="5" t="s">
        <v>454</v>
      </c>
      <c r="E269" s="8" t="n">
        <v>1302.072285</v>
      </c>
      <c r="F269" s="5" t="s">
        <v>47</v>
      </c>
      <c r="G269" s="5" t="s">
        <v>448</v>
      </c>
      <c r="H269" s="5" t="s">
        <v>49</v>
      </c>
    </row>
    <row r="270" customFormat="false" ht="43.5" hidden="false" customHeight="true" outlineLevel="0" collapsed="false">
      <c r="A270" s="5" t="s">
        <v>455</v>
      </c>
      <c r="B270" s="5" t="s">
        <v>434</v>
      </c>
      <c r="C270" s="5" t="s">
        <v>446</v>
      </c>
      <c r="D270" s="5" t="s">
        <v>456</v>
      </c>
      <c r="E270" s="8" t="n">
        <v>6932.508</v>
      </c>
      <c r="F270" s="5" t="s">
        <v>47</v>
      </c>
      <c r="G270" s="5" t="s">
        <v>448</v>
      </c>
      <c r="H270" s="5" t="s">
        <v>49</v>
      </c>
    </row>
    <row r="271" customFormat="false" ht="43.5" hidden="false" customHeight="true" outlineLevel="0" collapsed="false">
      <c r="A271" s="5" t="s">
        <v>457</v>
      </c>
      <c r="B271" s="5" t="s">
        <v>434</v>
      </c>
      <c r="C271" s="5" t="s">
        <v>446</v>
      </c>
      <c r="D271" s="5" t="s">
        <v>458</v>
      </c>
      <c r="E271" s="8" t="n">
        <v>5602.79041</v>
      </c>
      <c r="F271" s="5" t="s">
        <v>47</v>
      </c>
      <c r="G271" s="5" t="s">
        <v>448</v>
      </c>
      <c r="H271" s="5" t="s">
        <v>49</v>
      </c>
    </row>
    <row r="272" customFormat="false" ht="43.5" hidden="false" customHeight="true" outlineLevel="0" collapsed="false">
      <c r="A272" s="5" t="s">
        <v>459</v>
      </c>
      <c r="B272" s="5" t="s">
        <v>434</v>
      </c>
      <c r="C272" s="5" t="s">
        <v>446</v>
      </c>
      <c r="D272" s="5" t="s">
        <v>460</v>
      </c>
      <c r="E272" s="8" t="n">
        <v>555.555555</v>
      </c>
      <c r="F272" s="5" t="s">
        <v>47</v>
      </c>
      <c r="G272" s="5" t="s">
        <v>448</v>
      </c>
      <c r="H272" s="5" t="s">
        <v>49</v>
      </c>
    </row>
    <row r="273" customFormat="false" ht="43.5" hidden="false" customHeight="true" outlineLevel="0" collapsed="false">
      <c r="A273" s="5" t="s">
        <v>461</v>
      </c>
      <c r="B273" s="5" t="s">
        <v>434</v>
      </c>
      <c r="C273" s="5" t="s">
        <v>446</v>
      </c>
      <c r="D273" s="5" t="s">
        <v>462</v>
      </c>
      <c r="E273" s="8" t="n">
        <v>0.844</v>
      </c>
      <c r="F273" s="5" t="s">
        <v>47</v>
      </c>
      <c r="G273" s="5" t="s">
        <v>448</v>
      </c>
      <c r="H273" s="5" t="s">
        <v>49</v>
      </c>
    </row>
    <row r="274" customFormat="false" ht="43.5" hidden="false" customHeight="true" outlineLevel="0" collapsed="false">
      <c r="A274" s="5" t="s">
        <v>463</v>
      </c>
      <c r="B274" s="5" t="s">
        <v>434</v>
      </c>
      <c r="C274" s="5" t="s">
        <v>373</v>
      </c>
      <c r="D274" s="5" t="s">
        <v>464</v>
      </c>
      <c r="E274" s="8" t="n">
        <v>8240</v>
      </c>
      <c r="F274" s="5" t="s">
        <v>53</v>
      </c>
      <c r="G274" s="5" t="s">
        <v>465</v>
      </c>
      <c r="H274" s="5" t="s">
        <v>49</v>
      </c>
    </row>
    <row r="275" customFormat="false" ht="43.5" hidden="false" customHeight="true" outlineLevel="0" collapsed="false">
      <c r="A275" s="5" t="s">
        <v>466</v>
      </c>
      <c r="B275" s="5" t="s">
        <v>434</v>
      </c>
      <c r="C275" s="5" t="s">
        <v>373</v>
      </c>
      <c r="D275" s="5" t="s">
        <v>467</v>
      </c>
      <c r="E275" s="8" t="n">
        <v>5339</v>
      </c>
      <c r="F275" s="5" t="s">
        <v>53</v>
      </c>
      <c r="G275" s="5" t="s">
        <v>465</v>
      </c>
      <c r="H275" s="5" t="s">
        <v>49</v>
      </c>
    </row>
    <row r="276" customFormat="false" ht="43.5" hidden="false" customHeight="true" outlineLevel="0" collapsed="false">
      <c r="A276" s="5" t="s">
        <v>468</v>
      </c>
      <c r="B276" s="5" t="s">
        <v>434</v>
      </c>
      <c r="C276" s="5" t="s">
        <v>469</v>
      </c>
      <c r="D276" s="5" t="s">
        <v>470</v>
      </c>
      <c r="E276" s="8" t="n">
        <v>3.8</v>
      </c>
      <c r="F276" s="5" t="s">
        <v>47</v>
      </c>
      <c r="G276" s="5" t="s">
        <v>471</v>
      </c>
      <c r="H276" s="5" t="s">
        <v>49</v>
      </c>
    </row>
    <row r="277" customFormat="false" ht="43.5" hidden="false" customHeight="true" outlineLevel="0" collapsed="false">
      <c r="A277" s="5" t="s">
        <v>472</v>
      </c>
      <c r="B277" s="5" t="s">
        <v>434</v>
      </c>
      <c r="C277" s="5" t="s">
        <v>469</v>
      </c>
      <c r="D277" s="5" t="s">
        <v>473</v>
      </c>
      <c r="E277" s="8" t="n">
        <v>5</v>
      </c>
      <c r="F277" s="5" t="s">
        <v>47</v>
      </c>
      <c r="G277" s="5" t="s">
        <v>471</v>
      </c>
      <c r="H277" s="5" t="s">
        <v>49</v>
      </c>
    </row>
    <row r="278" customFormat="false" ht="43.5" hidden="false" customHeight="true" outlineLevel="0" collapsed="false">
      <c r="A278" s="5" t="s">
        <v>474</v>
      </c>
      <c r="B278" s="5" t="s">
        <v>83</v>
      </c>
      <c r="C278" s="5" t="s">
        <v>161</v>
      </c>
      <c r="D278" s="5" t="s">
        <v>475</v>
      </c>
      <c r="E278" s="8" t="n">
        <v>16444</v>
      </c>
      <c r="F278" s="5" t="s">
        <v>53</v>
      </c>
      <c r="G278" s="5" t="s">
        <v>476</v>
      </c>
      <c r="H278" s="5" t="s">
        <v>49</v>
      </c>
    </row>
    <row r="279" customFormat="false" ht="43.5" hidden="false" customHeight="true" outlineLevel="0" collapsed="false">
      <c r="A279" s="5" t="s">
        <v>477</v>
      </c>
      <c r="B279" s="5" t="s">
        <v>83</v>
      </c>
      <c r="C279" s="5" t="s">
        <v>161</v>
      </c>
      <c r="D279" s="5" t="s">
        <v>478</v>
      </c>
      <c r="E279" s="8" t="n">
        <v>1543</v>
      </c>
      <c r="F279" s="5" t="s">
        <v>53</v>
      </c>
      <c r="G279" s="5" t="s">
        <v>476</v>
      </c>
      <c r="H279" s="5" t="s">
        <v>49</v>
      </c>
    </row>
    <row r="280" customFormat="false" ht="43.5" hidden="false" customHeight="true" outlineLevel="0" collapsed="false">
      <c r="A280" s="5" t="s">
        <v>479</v>
      </c>
      <c r="B280" s="5" t="s">
        <v>83</v>
      </c>
      <c r="C280" s="5" t="s">
        <v>161</v>
      </c>
      <c r="D280" s="5" t="s">
        <v>480</v>
      </c>
      <c r="E280" s="8" t="n">
        <v>1606</v>
      </c>
      <c r="F280" s="5" t="s">
        <v>53</v>
      </c>
      <c r="G280" s="5" t="s">
        <v>476</v>
      </c>
      <c r="H280" s="5" t="s">
        <v>49</v>
      </c>
    </row>
    <row r="281" customFormat="false" ht="43.5" hidden="false" customHeight="true" outlineLevel="0" collapsed="false">
      <c r="A281" s="5" t="s">
        <v>481</v>
      </c>
      <c r="B281" s="5" t="s">
        <v>83</v>
      </c>
      <c r="C281" s="5" t="s">
        <v>161</v>
      </c>
      <c r="D281" s="5" t="s">
        <v>482</v>
      </c>
      <c r="E281" s="8" t="n">
        <v>608</v>
      </c>
      <c r="F281" s="5" t="s">
        <v>53</v>
      </c>
      <c r="G281" s="5" t="s">
        <v>476</v>
      </c>
      <c r="H281" s="5" t="s">
        <v>49</v>
      </c>
    </row>
    <row r="282" customFormat="false" ht="43.5" hidden="false" customHeight="true" outlineLevel="0" collapsed="false">
      <c r="A282" s="5" t="s">
        <v>483</v>
      </c>
      <c r="B282" s="5" t="s">
        <v>83</v>
      </c>
      <c r="C282" s="5" t="s">
        <v>161</v>
      </c>
      <c r="D282" s="5" t="s">
        <v>484</v>
      </c>
      <c r="E282" s="8" t="n">
        <v>42500</v>
      </c>
      <c r="F282" s="5" t="s">
        <v>53</v>
      </c>
      <c r="G282" s="5" t="s">
        <v>476</v>
      </c>
      <c r="H282" s="5" t="s">
        <v>49</v>
      </c>
    </row>
    <row r="283" customFormat="false" ht="43.5" hidden="false" customHeight="true" outlineLevel="0" collapsed="false">
      <c r="A283" s="5" t="s">
        <v>485</v>
      </c>
      <c r="B283" s="5" t="s">
        <v>83</v>
      </c>
      <c r="C283" s="5" t="s">
        <v>161</v>
      </c>
      <c r="D283" s="5" t="s">
        <v>486</v>
      </c>
      <c r="E283" s="8" t="n">
        <v>23400</v>
      </c>
      <c r="F283" s="5" t="s">
        <v>53</v>
      </c>
      <c r="G283" s="5" t="s">
        <v>476</v>
      </c>
      <c r="H283" s="5" t="s">
        <v>49</v>
      </c>
    </row>
    <row r="284" customFormat="false" ht="43.5" hidden="false" customHeight="true" outlineLevel="0" collapsed="false">
      <c r="A284" s="5" t="s">
        <v>487</v>
      </c>
      <c r="B284" s="5" t="s">
        <v>244</v>
      </c>
      <c r="C284" s="5" t="s">
        <v>373</v>
      </c>
      <c r="D284" s="5" t="s">
        <v>488</v>
      </c>
      <c r="E284" s="8" t="n">
        <v>546</v>
      </c>
      <c r="F284" s="5" t="s">
        <v>59</v>
      </c>
      <c r="G284" s="5" t="s">
        <v>489</v>
      </c>
      <c r="H284" s="5" t="s">
        <v>49</v>
      </c>
    </row>
    <row r="285" customFormat="false" ht="43.5" hidden="false" customHeight="true" outlineLevel="0" collapsed="false">
      <c r="A285" s="5" t="s">
        <v>490</v>
      </c>
      <c r="B285" s="5" t="s">
        <v>244</v>
      </c>
      <c r="C285" s="5" t="s">
        <v>373</v>
      </c>
      <c r="D285" s="5" t="s">
        <v>491</v>
      </c>
      <c r="E285" s="8" t="n">
        <v>54</v>
      </c>
      <c r="F285" s="5" t="s">
        <v>59</v>
      </c>
      <c r="G285" s="5" t="s">
        <v>489</v>
      </c>
      <c r="H285" s="5" t="s">
        <v>49</v>
      </c>
    </row>
    <row r="286" customFormat="false" ht="43.5" hidden="false" customHeight="true" outlineLevel="0" collapsed="false">
      <c r="A286" s="5" t="s">
        <v>492</v>
      </c>
      <c r="B286" s="5" t="s">
        <v>359</v>
      </c>
      <c r="C286" s="5" t="s">
        <v>161</v>
      </c>
      <c r="D286" s="5" t="s">
        <v>493</v>
      </c>
      <c r="E286" s="8" t="n">
        <v>-108</v>
      </c>
      <c r="F286" s="5" t="s">
        <v>59</v>
      </c>
      <c r="G286" s="5" t="s">
        <v>494</v>
      </c>
      <c r="H286" s="5" t="s">
        <v>49</v>
      </c>
    </row>
    <row r="287" customFormat="false" ht="43.5" hidden="false" customHeight="true" outlineLevel="0" collapsed="false">
      <c r="A287" s="5" t="s">
        <v>495</v>
      </c>
      <c r="B287" s="5" t="s">
        <v>359</v>
      </c>
      <c r="C287" s="5" t="s">
        <v>176</v>
      </c>
      <c r="D287" s="5" t="s">
        <v>493</v>
      </c>
      <c r="E287" s="8" t="n">
        <v>655</v>
      </c>
      <c r="F287" s="5" t="s">
        <v>59</v>
      </c>
      <c r="G287" s="5" t="s">
        <v>494</v>
      </c>
      <c r="H287" s="5" t="s">
        <v>49</v>
      </c>
    </row>
  </sheetData>
  <autoFilter ref="A1:H285">
    <filterColumn colId="0" hiddenButton="1"/>
  </autoFilter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8.21"/>
    <col collapsed="false" customWidth="true" hidden="false" outlineLevel="0" max="2" min="2" style="0" width="20.93"/>
    <col collapsed="false" customWidth="true" hidden="false" outlineLevel="0" max="3" min="3" style="0" width="16.38"/>
    <col collapsed="false" customWidth="true" hidden="false" outlineLevel="0" max="4" min="4" style="0" width="104.63"/>
  </cols>
  <sheetData>
    <row r="1" customFormat="false" ht="31.5" hidden="false" customHeight="true" outlineLevel="0" collapsed="false">
      <c r="A1" s="6" t="s">
        <v>496</v>
      </c>
      <c r="B1" s="6"/>
      <c r="C1" s="6"/>
      <c r="D1" s="6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3" customFormat="false" ht="28.5" hidden="false" customHeight="true" outlineLevel="0" collapsed="false">
      <c r="A3" s="3" t="s">
        <v>497</v>
      </c>
      <c r="B3" s="3" t="s">
        <v>498</v>
      </c>
      <c r="C3" s="3" t="s">
        <v>499</v>
      </c>
      <c r="D3" s="3" t="s">
        <v>3</v>
      </c>
    </row>
    <row r="4" customFormat="false" ht="43.5" hidden="false" customHeight="true" outlineLevel="0" collapsed="false">
      <c r="A4" s="4" t="s">
        <v>500</v>
      </c>
      <c r="B4" s="9" t="n">
        <v>0</v>
      </c>
      <c r="C4" s="4" t="s">
        <v>501</v>
      </c>
      <c r="D4" s="4" t="s">
        <v>502</v>
      </c>
    </row>
    <row r="5" customFormat="false" ht="43.5" hidden="false" customHeight="true" outlineLevel="0" collapsed="false">
      <c r="A5" s="5" t="s">
        <v>503</v>
      </c>
      <c r="B5" s="9" t="n">
        <v>12</v>
      </c>
      <c r="C5" s="4" t="s">
        <v>504</v>
      </c>
      <c r="D5" s="4" t="s">
        <v>505</v>
      </c>
    </row>
    <row r="6" customFormat="false" ht="43.5" hidden="false" customHeight="true" outlineLevel="0" collapsed="false">
      <c r="A6" s="5" t="s">
        <v>506</v>
      </c>
      <c r="B6" s="9" t="n">
        <v>4</v>
      </c>
      <c r="C6" s="4" t="s">
        <v>504</v>
      </c>
      <c r="D6" s="4" t="s">
        <v>507</v>
      </c>
    </row>
    <row r="7" customFormat="false" ht="43.5" hidden="false" customHeight="true" outlineLevel="0" collapsed="false">
      <c r="A7" s="5" t="s">
        <v>508</v>
      </c>
      <c r="B7" s="9" t="n">
        <v>0</v>
      </c>
      <c r="C7" s="4" t="s">
        <v>509</v>
      </c>
      <c r="D7" s="4" t="s">
        <v>510</v>
      </c>
    </row>
    <row r="8" customFormat="false" ht="43.5" hidden="false" customHeight="true" outlineLevel="0" collapsed="false">
      <c r="A8" s="5" t="s">
        <v>511</v>
      </c>
      <c r="B8" s="9" t="n">
        <v>0</v>
      </c>
      <c r="C8" s="4" t="s">
        <v>509</v>
      </c>
      <c r="D8" s="4" t="s">
        <v>512</v>
      </c>
    </row>
    <row r="9" customFormat="false" ht="43.5" hidden="false" customHeight="true" outlineLevel="0" collapsed="false">
      <c r="A9" s="4" t="s">
        <v>513</v>
      </c>
      <c r="B9" s="9" t="n">
        <v>0</v>
      </c>
      <c r="C9" s="4" t="s">
        <v>501</v>
      </c>
      <c r="D9" s="4" t="s">
        <v>514</v>
      </c>
    </row>
    <row r="10" customFormat="false" ht="43.5" hidden="false" customHeight="true" outlineLevel="0" collapsed="false">
      <c r="A10" s="5" t="s">
        <v>515</v>
      </c>
      <c r="B10" s="9" t="n">
        <v>0</v>
      </c>
      <c r="C10" s="4" t="s">
        <v>509</v>
      </c>
      <c r="D10" s="4" t="s">
        <v>516</v>
      </c>
    </row>
    <row r="11" customFormat="false" ht="43.5" hidden="false" customHeight="true" outlineLevel="0" collapsed="false">
      <c r="A11" s="5" t="s">
        <v>517</v>
      </c>
      <c r="B11" s="9" t="n">
        <v>0</v>
      </c>
      <c r="C11" s="4" t="s">
        <v>509</v>
      </c>
      <c r="D11" s="4" t="s">
        <v>518</v>
      </c>
    </row>
    <row r="12" customFormat="false" ht="43.5" hidden="false" customHeight="true" outlineLevel="0" collapsed="false">
      <c r="A12" s="5" t="s">
        <v>519</v>
      </c>
      <c r="B12" s="9" t="n">
        <f aca="false">原始数据!E230-原始数据!E237</f>
        <v>151</v>
      </c>
      <c r="C12" s="4" t="s">
        <v>509</v>
      </c>
      <c r="D12" s="4" t="s">
        <v>520</v>
      </c>
    </row>
    <row r="13" customFormat="false" ht="43.5" hidden="false" customHeight="true" outlineLevel="0" collapsed="false">
      <c r="A13" s="5" t="s">
        <v>521</v>
      </c>
      <c r="B13" s="9" t="n">
        <f aca="false">原始数据!E230</f>
        <v>480</v>
      </c>
      <c r="C13" s="4" t="s">
        <v>509</v>
      </c>
      <c r="D13" s="4" t="s">
        <v>522</v>
      </c>
    </row>
    <row r="14" customFormat="false" ht="43.5" hidden="false" customHeight="true" outlineLevel="0" collapsed="false">
      <c r="A14" s="4" t="s">
        <v>523</v>
      </c>
      <c r="B14" s="9" t="n">
        <v>0</v>
      </c>
      <c r="C14" s="4" t="s">
        <v>509</v>
      </c>
      <c r="D14" s="4" t="s">
        <v>524</v>
      </c>
    </row>
    <row r="15" customFormat="false" ht="43.5" hidden="false" customHeight="true" outlineLevel="0" collapsed="false">
      <c r="A15" s="4" t="s">
        <v>525</v>
      </c>
      <c r="B15" s="9" t="n">
        <v>0</v>
      </c>
      <c r="C15" s="4" t="s">
        <v>509</v>
      </c>
      <c r="D15" s="4" t="s">
        <v>526</v>
      </c>
    </row>
    <row r="16" customFormat="false" ht="43.5" hidden="false" customHeight="true" outlineLevel="0" collapsed="false">
      <c r="A16" s="5" t="s">
        <v>527</v>
      </c>
      <c r="B16" s="9" t="n">
        <v>0</v>
      </c>
      <c r="C16" s="4" t="s">
        <v>509</v>
      </c>
      <c r="D16" s="4" t="s">
        <v>528</v>
      </c>
    </row>
    <row r="17" customFormat="false" ht="43.5" hidden="false" customHeight="true" outlineLevel="0" collapsed="false">
      <c r="A17" s="5" t="s">
        <v>529</v>
      </c>
      <c r="B17" s="9" t="n">
        <v>0</v>
      </c>
      <c r="C17" s="4" t="s">
        <v>530</v>
      </c>
      <c r="D17" s="4" t="s">
        <v>531</v>
      </c>
    </row>
    <row r="18" customFormat="false" ht="43.5" hidden="false" customHeight="true" outlineLevel="0" collapsed="false">
      <c r="A18" s="5" t="s">
        <v>532</v>
      </c>
      <c r="B18" s="9" t="n">
        <v>1</v>
      </c>
      <c r="C18" s="4" t="s">
        <v>501</v>
      </c>
      <c r="D18" s="4" t="s">
        <v>533</v>
      </c>
    </row>
    <row r="19" customFormat="false" ht="43.5" hidden="false" customHeight="true" outlineLevel="0" collapsed="false">
      <c r="A19" s="5" t="s">
        <v>534</v>
      </c>
      <c r="B19" s="9" t="n">
        <v>1</v>
      </c>
      <c r="C19" s="4" t="s">
        <v>501</v>
      </c>
      <c r="D19" s="4" t="s">
        <v>535</v>
      </c>
    </row>
    <row r="20" customFormat="false" ht="43.5" hidden="false" customHeight="true" outlineLevel="0" collapsed="false">
      <c r="A20" s="5" t="s">
        <v>536</v>
      </c>
      <c r="B20" s="9" t="n">
        <v>0</v>
      </c>
      <c r="C20" s="4" t="s">
        <v>509</v>
      </c>
      <c r="D20" s="4" t="s">
        <v>537</v>
      </c>
    </row>
    <row r="21" customFormat="false" ht="43.5" hidden="false" customHeight="true" outlineLevel="0" collapsed="false">
      <c r="A21" s="5" t="s">
        <v>538</v>
      </c>
      <c r="B21" s="9" t="n">
        <v>0</v>
      </c>
      <c r="C21" s="4" t="s">
        <v>509</v>
      </c>
      <c r="D21" s="4" t="s">
        <v>539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6" min="2" style="0" width="18.2"/>
    <col collapsed="false" customWidth="true" hidden="false" outlineLevel="0" max="7" min="7" style="0" width="20.01"/>
    <col collapsed="false" customWidth="true" hidden="false" outlineLevel="0" max="8" min="8" style="0" width="86.43"/>
  </cols>
  <sheetData>
    <row r="1" customFormat="false" ht="31.5" hidden="false" customHeight="true" outlineLevel="0" collapsed="false">
      <c r="A1" s="1" t="s">
        <v>540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5" hidden="false" customHeight="true" outlineLevel="0" collapsed="false">
      <c r="A3" s="3" t="s">
        <v>2</v>
      </c>
      <c r="B3" s="7" t="s">
        <v>541</v>
      </c>
      <c r="C3" s="7" t="s">
        <v>542</v>
      </c>
      <c r="D3" s="7" t="s">
        <v>543</v>
      </c>
      <c r="E3" s="7" t="s">
        <v>544</v>
      </c>
      <c r="F3" s="7" t="s">
        <v>545</v>
      </c>
      <c r="G3" s="7" t="s">
        <v>546</v>
      </c>
      <c r="H3" s="3" t="s">
        <v>547</v>
      </c>
    </row>
    <row r="4" customFormat="false" ht="31.5" hidden="false" customHeight="true" outlineLevel="0" collapsed="false">
      <c r="A4" s="4" t="s">
        <v>548</v>
      </c>
      <c r="B4" s="10" t="n">
        <f aca="false">原始数据!E4</f>
        <v>18674</v>
      </c>
      <c r="C4" s="10" t="n">
        <f aca="false">原始数据!E4-原始数据!E19</f>
        <v>4960</v>
      </c>
      <c r="D4" s="10" t="n">
        <f aca="false">原始数据!E26</f>
        <v>4694</v>
      </c>
      <c r="E4" s="10" t="n">
        <f aca="false">原始数据!E41</f>
        <v>7814</v>
      </c>
      <c r="F4" s="10" t="n">
        <f aca="false">原始数据!E56</f>
        <v>14575</v>
      </c>
      <c r="G4" s="10" t="n">
        <f aca="false">SUM(C4:F4)</f>
        <v>32043</v>
      </c>
      <c r="H4" s="4" t="s">
        <v>549</v>
      </c>
    </row>
    <row r="5" customFormat="false" ht="31.5" hidden="false" customHeight="true" outlineLevel="0" collapsed="false">
      <c r="A5" s="4" t="s">
        <v>550</v>
      </c>
      <c r="B5" s="10" t="n">
        <f aca="false">原始数据!E5</f>
        <v>9451</v>
      </c>
      <c r="C5" s="10" t="n">
        <f aca="false">原始数据!E5-原始数据!E20</f>
        <v>2502</v>
      </c>
      <c r="D5" s="10" t="n">
        <f aca="false">原始数据!E27</f>
        <v>2388</v>
      </c>
      <c r="E5" s="10" t="n">
        <f aca="false">原始数据!E42</f>
        <v>3495</v>
      </c>
      <c r="F5" s="10" t="n">
        <f aca="false">原始数据!E57</f>
        <v>5478</v>
      </c>
      <c r="G5" s="10" t="n">
        <f aca="false">SUM(C5:F5)</f>
        <v>13863</v>
      </c>
      <c r="H5" s="4" t="s">
        <v>549</v>
      </c>
    </row>
    <row r="6" customFormat="false" ht="31.5" hidden="false" customHeight="true" outlineLevel="0" collapsed="false">
      <c r="A6" s="4" t="s">
        <v>551</v>
      </c>
      <c r="B6" s="10" t="n">
        <f aca="false">B4-B5</f>
        <v>9223</v>
      </c>
      <c r="C6" s="10" t="n">
        <f aca="false">C4-C5</f>
        <v>2458</v>
      </c>
      <c r="D6" s="10" t="n">
        <f aca="false">D4-D5</f>
        <v>2306</v>
      </c>
      <c r="E6" s="10" t="n">
        <f aca="false">E4-E5</f>
        <v>4319</v>
      </c>
      <c r="F6" s="10" t="n">
        <f aca="false">F4-F5</f>
        <v>9097</v>
      </c>
      <c r="G6" s="10" t="n">
        <f aca="false">G4-G5</f>
        <v>18180</v>
      </c>
      <c r="H6" s="4" t="s">
        <v>549</v>
      </c>
    </row>
    <row r="7" customFormat="false" ht="31.5" hidden="false" customHeight="true" outlineLevel="0" collapsed="false">
      <c r="A7" s="4" t="s">
        <v>552</v>
      </c>
      <c r="B7" s="10" t="n">
        <f aca="false">原始数据!E6</f>
        <v>-2589</v>
      </c>
      <c r="C7" s="10" t="n">
        <f aca="false">原始数据!E6-原始数据!E21</f>
        <v>-1373</v>
      </c>
      <c r="D7" s="10" t="n">
        <f aca="false">原始数据!E28</f>
        <v>-1943</v>
      </c>
      <c r="E7" s="10" t="n">
        <f aca="false">原始数据!E43</f>
        <v>-143</v>
      </c>
      <c r="F7" s="10" t="n">
        <f aca="false">原始数据!E58</f>
        <v>2791</v>
      </c>
      <c r="G7" s="10" t="n">
        <f aca="false">SUM(C7:F7)</f>
        <v>-668</v>
      </c>
      <c r="H7" s="4" t="s">
        <v>549</v>
      </c>
    </row>
    <row r="8" customFormat="false" ht="31.5" hidden="false" customHeight="true" outlineLevel="0" collapsed="false">
      <c r="A8" s="4" t="s">
        <v>553</v>
      </c>
      <c r="B8" s="10" t="n">
        <f aca="false">原始数据!E7</f>
        <v>-4937</v>
      </c>
      <c r="C8" s="10" t="n">
        <f aca="false">原始数据!E7-原始数据!E22</f>
        <v>-2347</v>
      </c>
      <c r="D8" s="10" t="n">
        <f aca="false">原始数据!E29</f>
        <v>-4276</v>
      </c>
      <c r="E8" s="10" t="n">
        <f aca="false">原始数据!E44</f>
        <v>-541</v>
      </c>
      <c r="F8" s="10" t="n">
        <f aca="false">原始数据!E59</f>
        <v>4404</v>
      </c>
      <c r="G8" s="10" t="n">
        <f aca="false">SUM(C8:F8)</f>
        <v>-2760</v>
      </c>
      <c r="H8" s="4" t="s">
        <v>549</v>
      </c>
    </row>
    <row r="9" customFormat="false" ht="31.5" hidden="false" customHeight="true" outlineLevel="0" collapsed="false">
      <c r="A9" s="4" t="s">
        <v>554</v>
      </c>
      <c r="B9" s="10" t="n">
        <f aca="false">原始数据!E8</f>
        <v>-4937</v>
      </c>
      <c r="C9" s="10" t="n">
        <f aca="false">原始数据!E8-原始数据!E23</f>
        <v>-2347</v>
      </c>
      <c r="D9" s="10" t="n">
        <f aca="false">原始数据!E30</f>
        <v>-4947</v>
      </c>
      <c r="E9" s="10" t="n">
        <f aca="false">原始数据!E45</f>
        <v>-541</v>
      </c>
      <c r="F9" s="10" t="n">
        <f aca="false">原始数据!E60</f>
        <v>4404</v>
      </c>
      <c r="G9" s="10" t="n">
        <f aca="false">SUM(C9:F9)</f>
        <v>-3431</v>
      </c>
      <c r="H9" s="4" t="s">
        <v>549</v>
      </c>
    </row>
    <row r="10" customFormat="false" ht="31.5" hidden="false" customHeight="true" outlineLevel="0" collapsed="false">
      <c r="A10" s="4" t="s">
        <v>555</v>
      </c>
      <c r="B10" s="10" t="n">
        <f aca="false">原始数据!E9</f>
        <v>6785</v>
      </c>
      <c r="C10" s="10" t="n">
        <f aca="false">原始数据!E9-原始数据!E24</f>
        <v>2665</v>
      </c>
      <c r="D10" s="10" t="n">
        <f aca="false">原始数据!E31</f>
        <v>1047</v>
      </c>
      <c r="E10" s="10" t="n">
        <f aca="false">原始数据!E54-原始数据!E31</f>
        <v>2419</v>
      </c>
      <c r="F10" s="10" t="n">
        <f aca="false">原始数据!E74-原始数据!E54</f>
        <v>9631</v>
      </c>
      <c r="G10" s="10" t="n">
        <f aca="false">SUM(C10:F10)</f>
        <v>15762</v>
      </c>
      <c r="H10" s="4" t="s">
        <v>549</v>
      </c>
    </row>
    <row r="11" customFormat="false" ht="31.5" hidden="false" customHeight="true" outlineLevel="0" collapsed="false">
      <c r="A11" s="4" t="s">
        <v>556</v>
      </c>
      <c r="B11" s="10" t="n">
        <f aca="false">原始数据!E10</f>
        <v>20737</v>
      </c>
      <c r="C11" s="10" t="n">
        <f aca="false">原始数据!E10-原始数据!E25</f>
        <v>6891</v>
      </c>
      <c r="D11" s="10" t="n">
        <f aca="false">原始数据!E32</f>
        <v>10107</v>
      </c>
      <c r="E11" s="10" t="n">
        <f aca="false">原始数据!E55-原始数据!E32</f>
        <v>18369</v>
      </c>
      <c r="F11" s="10" t="n">
        <f aca="false">原始数据!E75-原始数据!E55</f>
        <v>19593</v>
      </c>
      <c r="G11" s="10" t="n">
        <f aca="false">SUM(C11:F11)</f>
        <v>54960</v>
      </c>
      <c r="H11" s="4" t="s">
        <v>549</v>
      </c>
    </row>
    <row r="12" customFormat="false" ht="31.5" hidden="false" customHeight="true" outlineLevel="0" collapsed="false">
      <c r="A12" s="4" t="s">
        <v>16</v>
      </c>
      <c r="B12" s="10" t="n">
        <f aca="false">B10-B11</f>
        <v>-13952</v>
      </c>
      <c r="C12" s="10" t="n">
        <f aca="false">C10-C11</f>
        <v>-4226</v>
      </c>
      <c r="D12" s="10" t="n">
        <f aca="false">D10-D11</f>
        <v>-9060</v>
      </c>
      <c r="E12" s="10" t="n">
        <f aca="false">E10-E11</f>
        <v>-15950</v>
      </c>
      <c r="F12" s="10" t="n">
        <f aca="false">F10-F11</f>
        <v>-9962</v>
      </c>
      <c r="G12" s="10" t="n">
        <f aca="false">G10-G11</f>
        <v>-39198</v>
      </c>
      <c r="H12" s="4" t="s">
        <v>549</v>
      </c>
    </row>
    <row r="13" customFormat="false" ht="31.5" hidden="false" customHeight="true" outlineLevel="0" collapsed="false">
      <c r="A13" s="4" t="s">
        <v>557</v>
      </c>
      <c r="B13" s="10" t="n">
        <f aca="false">原始数据!E11+原始数据!E12</f>
        <v>24747</v>
      </c>
      <c r="C13" s="10" t="n">
        <f aca="false">原始数据!E11+原始数据!E12</f>
        <v>24747</v>
      </c>
      <c r="D13" s="10" t="n">
        <f aca="false">原始数据!E33+原始数据!E34</f>
        <v>23675</v>
      </c>
      <c r="E13" s="10" t="n">
        <f aca="false">原始数据!E46+原始数据!E47</f>
        <v>100009</v>
      </c>
      <c r="F13" s="10" t="n">
        <f aca="false">原始数据!E61+原始数据!E62</f>
        <v>89855</v>
      </c>
      <c r="G13" s="10" t="n">
        <f aca="false">原始数据!E61+原始数据!E62</f>
        <v>89855</v>
      </c>
      <c r="H13" s="4" t="s">
        <v>549</v>
      </c>
    </row>
    <row r="14" customFormat="false" ht="31.5" hidden="false" customHeight="true" outlineLevel="0" collapsed="false">
      <c r="A14" s="4" t="s">
        <v>558</v>
      </c>
      <c r="B14" s="10" t="n">
        <f aca="false">原始数据!E13+原始数据!E14</f>
        <v>22896</v>
      </c>
      <c r="C14" s="10" t="n">
        <f aca="false">原始数据!E13+原始数据!E14</f>
        <v>22896</v>
      </c>
      <c r="D14" s="10" t="n">
        <f aca="false">原始数据!E35+原始数据!E36</f>
        <v>30265</v>
      </c>
      <c r="E14" s="10" t="n">
        <f aca="false">原始数据!E48+原始数据!E49</f>
        <v>39364</v>
      </c>
      <c r="F14" s="10" t="n">
        <f aca="false">原始数据!E63+原始数据!E64</f>
        <v>38844</v>
      </c>
      <c r="G14" s="10" t="n">
        <f aca="false">原始数据!E63+原始数据!E64</f>
        <v>38844</v>
      </c>
      <c r="H14" s="4" t="s">
        <v>559</v>
      </c>
    </row>
    <row r="15" customFormat="false" ht="31.5" hidden="false" customHeight="true" outlineLevel="0" collapsed="false">
      <c r="A15" s="4" t="s">
        <v>560</v>
      </c>
      <c r="B15" s="10" t="n">
        <f aca="false">原始数据!E15</f>
        <v>2573</v>
      </c>
      <c r="C15" s="10" t="n">
        <f aca="false">B15</f>
        <v>2573</v>
      </c>
      <c r="D15" s="10" t="n">
        <f aca="false">原始数据!E37</f>
        <v>34533</v>
      </c>
      <c r="E15" s="10" t="n">
        <f aca="false">原始数据!E50</f>
        <v>127224</v>
      </c>
      <c r="F15" s="10" t="n">
        <f aca="false">原始数据!E65</f>
        <v>176768</v>
      </c>
      <c r="G15" s="10" t="n">
        <f aca="false">F15</f>
        <v>176768</v>
      </c>
      <c r="H15" s="4" t="s">
        <v>549</v>
      </c>
    </row>
    <row r="16" customFormat="false" ht="31.5" hidden="false" customHeight="true" outlineLevel="0" collapsed="false">
      <c r="A16" s="4" t="s">
        <v>561</v>
      </c>
      <c r="B16" s="10" t="n">
        <f aca="false">原始数据!E16</f>
        <v>92079</v>
      </c>
      <c r="C16" s="10" t="n">
        <f aca="false">B16</f>
        <v>92079</v>
      </c>
      <c r="D16" s="10" t="n">
        <f aca="false">原始数据!E38</f>
        <v>102094</v>
      </c>
      <c r="E16" s="10" t="n">
        <f aca="false">原始数据!E51</f>
        <v>192770</v>
      </c>
      <c r="F16" s="10" t="n">
        <f aca="false">原始数据!E66</f>
        <v>254045</v>
      </c>
      <c r="G16" s="10" t="n">
        <f aca="false">F16</f>
        <v>254045</v>
      </c>
      <c r="H16" s="4" t="s">
        <v>549</v>
      </c>
    </row>
    <row r="17" customFormat="false" ht="31.5" hidden="false" customHeight="true" outlineLevel="0" collapsed="false">
      <c r="A17" s="4" t="s">
        <v>562</v>
      </c>
      <c r="B17" s="10" t="n">
        <f aca="false">原始数据!E17</f>
        <v>50754</v>
      </c>
      <c r="C17" s="10" t="n">
        <f aca="false">B17</f>
        <v>50754</v>
      </c>
      <c r="D17" s="10" t="n">
        <f aca="false">原始数据!E39</f>
        <v>60512</v>
      </c>
      <c r="E17" s="10" t="n">
        <f aca="false">原始数据!E52</f>
        <v>65546</v>
      </c>
      <c r="F17" s="10" t="n">
        <f aca="false">原始数据!E67</f>
        <v>77277</v>
      </c>
      <c r="G17" s="10" t="n">
        <f aca="false">F17</f>
        <v>77277</v>
      </c>
      <c r="H17" s="4" t="s">
        <v>549</v>
      </c>
    </row>
    <row r="18" customFormat="false" ht="31.5" hidden="false" customHeight="true" outlineLevel="0" collapsed="false">
      <c r="A18" s="4" t="s">
        <v>563</v>
      </c>
      <c r="B18" s="10" t="n">
        <f aca="false">B13-B14</f>
        <v>1851</v>
      </c>
      <c r="C18" s="10" t="n">
        <f aca="false">C13-C14</f>
        <v>1851</v>
      </c>
      <c r="D18" s="10" t="n">
        <f aca="false">D13-D14</f>
        <v>-6590</v>
      </c>
      <c r="E18" s="10" t="n">
        <f aca="false">E13-E14</f>
        <v>60645</v>
      </c>
      <c r="F18" s="10" t="n">
        <f aca="false">F13-F14</f>
        <v>51011</v>
      </c>
      <c r="G18" s="10" t="n">
        <f aca="false">G13-G14</f>
        <v>51011</v>
      </c>
      <c r="H18" s="4" t="s">
        <v>549</v>
      </c>
    </row>
    <row r="19" customFormat="false" ht="31.5" hidden="false" customHeight="true" outlineLevel="0" collapsed="false">
      <c r="A19" s="4" t="s">
        <v>564</v>
      </c>
      <c r="B19" s="11" t="n">
        <f aca="false">B7/B4</f>
        <v>-0.138641962086323</v>
      </c>
      <c r="C19" s="11" t="n">
        <f aca="false">C7/C4</f>
        <v>-0.276814516129032</v>
      </c>
      <c r="D19" s="11" t="n">
        <f aca="false">D7/D4</f>
        <v>-0.413932680017043</v>
      </c>
      <c r="E19" s="11" t="n">
        <f aca="false">E7/E4</f>
        <v>-0.0183004863066291</v>
      </c>
      <c r="F19" s="11" t="n">
        <f aca="false">F7/F4</f>
        <v>0.191492281303602</v>
      </c>
      <c r="G19" s="11" t="n">
        <f aca="false">G7/G4</f>
        <v>-0.020846986861405</v>
      </c>
      <c r="H19" s="4" t="s">
        <v>549</v>
      </c>
    </row>
    <row r="20" customFormat="false" ht="31.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31.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43.5" hidden="false" customHeight="true" outlineLevel="0" collapsed="false">
      <c r="A22" s="4" t="s">
        <v>565</v>
      </c>
      <c r="B22" s="4"/>
      <c r="C22" s="4"/>
      <c r="D22" s="4"/>
      <c r="E22" s="4"/>
      <c r="F22" s="4"/>
      <c r="G22" s="4"/>
      <c r="H22" s="4"/>
    </row>
    <row r="23" customFormat="false" ht="31.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31.5" hidden="false" customHeight="true" outlineLevel="0" collapsed="false">
      <c r="A24" s="4" t="s">
        <v>566</v>
      </c>
      <c r="B24" s="10" t="n">
        <f aca="false">原始数据!E18</f>
        <v>38752</v>
      </c>
      <c r="C24" s="10" t="n">
        <f aca="false">原始数据!E18</f>
        <v>38752</v>
      </c>
      <c r="D24" s="10" t="n">
        <f aca="false">原始数据!E40</f>
        <v>7049</v>
      </c>
      <c r="E24" s="10" t="n">
        <f aca="false">原始数据!E53</f>
        <v>0</v>
      </c>
      <c r="F24" s="10" t="n">
        <f aca="false">原始数据!E68</f>
        <v>0</v>
      </c>
      <c r="G24" s="10" t="n">
        <f aca="false">原始数据!E68</f>
        <v>0</v>
      </c>
      <c r="H24" s="4"/>
    </row>
    <row r="25" customFormat="false" ht="31.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43.5" hidden="false" customHeight="true" outlineLevel="0" collapsed="false">
      <c r="A26" s="4" t="s">
        <v>567</v>
      </c>
      <c r="B26" s="4"/>
      <c r="C26" s="4"/>
      <c r="D26" s="4"/>
      <c r="E26" s="4"/>
      <c r="F26" s="4"/>
      <c r="G26" s="4"/>
      <c r="H26" s="4"/>
    </row>
  </sheetData>
  <mergeCells count="4">
    <mergeCell ref="A1:H1"/>
    <mergeCell ref="A2:H2"/>
    <mergeCell ref="A22:H22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6" min="2" style="0" width="18.2"/>
    <col collapsed="false" customWidth="true" hidden="false" outlineLevel="0" max="7" min="7" style="0" width="20.01"/>
    <col collapsed="false" customWidth="true" hidden="false" outlineLevel="0" max="8" min="8" style="0" width="86.43"/>
  </cols>
  <sheetData>
    <row r="1" customFormat="false" ht="31.5" hidden="false" customHeight="true" outlineLevel="0" collapsed="false">
      <c r="A1" s="1" t="s">
        <v>568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5" hidden="false" customHeight="true" outlineLevel="0" collapsed="false">
      <c r="A3" s="3" t="s">
        <v>2</v>
      </c>
      <c r="B3" s="7" t="s">
        <v>541</v>
      </c>
      <c r="C3" s="7" t="s">
        <v>542</v>
      </c>
      <c r="D3" s="7" t="s">
        <v>543</v>
      </c>
      <c r="E3" s="7" t="s">
        <v>544</v>
      </c>
      <c r="F3" s="7" t="s">
        <v>545</v>
      </c>
      <c r="G3" s="7" t="s">
        <v>546</v>
      </c>
      <c r="H3" s="3" t="s">
        <v>547</v>
      </c>
    </row>
    <row r="4" customFormat="false" ht="31.5" hidden="false" customHeight="true" outlineLevel="0" collapsed="false">
      <c r="A4" s="4" t="s">
        <v>548</v>
      </c>
      <c r="B4" s="10" t="n">
        <f aca="false">原始数据!E121</f>
        <v>94827</v>
      </c>
      <c r="C4" s="10" t="n">
        <f aca="false">原始数据!E141</f>
        <v>24901</v>
      </c>
      <c r="D4" s="10" t="n">
        <f aca="false">原始数据!E160</f>
        <v>22387</v>
      </c>
      <c r="E4" s="10" t="n">
        <f aca="false">原始数据!E179</f>
        <v>28236</v>
      </c>
      <c r="F4" s="10" t="n">
        <f aca="false">原始数据!E198</f>
        <v>28046</v>
      </c>
      <c r="G4" s="10" t="n">
        <f aca="false">SUM(C4:F4)</f>
        <v>103570</v>
      </c>
      <c r="H4" s="4" t="s">
        <v>549</v>
      </c>
    </row>
    <row r="5" customFormat="false" ht="31.5" hidden="false" customHeight="true" outlineLevel="0" collapsed="false">
      <c r="A5" s="4" t="s">
        <v>550</v>
      </c>
      <c r="B5" s="10" t="n">
        <f aca="false">原始数据!E122</f>
        <v>77733</v>
      </c>
      <c r="C5" s="10" t="n">
        <f aca="false">原始数据!E142</f>
        <v>19892</v>
      </c>
      <c r="D5" s="10" t="n">
        <f aca="false">原始数据!E161</f>
        <v>17667</v>
      </c>
      <c r="E5" s="10" t="n">
        <f aca="false">原始数据!E180</f>
        <v>23485</v>
      </c>
      <c r="F5" s="10" t="n">
        <f aca="false">原始数据!E199</f>
        <v>22552</v>
      </c>
      <c r="G5" s="10" t="n">
        <f aca="false">SUM(C5:F5)</f>
        <v>83596</v>
      </c>
      <c r="H5" s="4" t="s">
        <v>549</v>
      </c>
    </row>
    <row r="6" customFormat="false" ht="31.5" hidden="false" customHeight="true" outlineLevel="0" collapsed="false">
      <c r="A6" s="4" t="s">
        <v>551</v>
      </c>
      <c r="B6" s="10" t="n">
        <f aca="false">B4-B5</f>
        <v>17094</v>
      </c>
      <c r="C6" s="10" t="n">
        <f aca="false">C4-C5</f>
        <v>5009</v>
      </c>
      <c r="D6" s="10" t="n">
        <f aca="false">D4-D5</f>
        <v>4720</v>
      </c>
      <c r="E6" s="10" t="n">
        <f aca="false">E4-E5</f>
        <v>4751</v>
      </c>
      <c r="F6" s="10" t="n">
        <f aca="false">F4-F5</f>
        <v>5494</v>
      </c>
      <c r="G6" s="10" t="n">
        <f aca="false">G4-G5</f>
        <v>19974</v>
      </c>
      <c r="H6" s="4" t="s">
        <v>549</v>
      </c>
    </row>
    <row r="7" customFormat="false" ht="31.5" hidden="false" customHeight="true" outlineLevel="0" collapsed="false">
      <c r="A7" s="4" t="s">
        <v>552</v>
      </c>
      <c r="B7" s="10" t="n">
        <f aca="false">原始数据!E123</f>
        <v>4355</v>
      </c>
      <c r="C7" s="10" t="n">
        <f aca="false">原始数据!E143</f>
        <v>1409</v>
      </c>
      <c r="D7" s="10" t="n">
        <f aca="false">原始数据!E162</f>
        <v>941</v>
      </c>
      <c r="E7" s="10" t="n">
        <f aca="false">原始数据!E181</f>
        <v>398</v>
      </c>
      <c r="F7" s="10" t="n">
        <f aca="false">原始数据!E200</f>
        <v>718</v>
      </c>
      <c r="G7" s="10" t="n">
        <f aca="false">SUM(C7:F7)</f>
        <v>3466</v>
      </c>
      <c r="H7" s="4" t="s">
        <v>549</v>
      </c>
    </row>
    <row r="8" customFormat="false" ht="31.5" hidden="false" customHeight="true" outlineLevel="0" collapsed="false">
      <c r="A8" s="4" t="s">
        <v>553</v>
      </c>
      <c r="B8" s="10" t="n">
        <f aca="false">原始数据!E124</f>
        <v>3855</v>
      </c>
      <c r="C8" s="10" t="n">
        <f aca="false">原始数据!E144</f>
        <v>856</v>
      </c>
      <c r="D8" s="10" t="n">
        <f aca="false">原始数据!E163</f>
        <v>491</v>
      </c>
      <c r="E8" s="10" t="n">
        <f aca="false">原始数据!E182</f>
        <v>1128</v>
      </c>
      <c r="F8" s="10" t="n">
        <f aca="false">原始数据!E201</f>
        <v>804</v>
      </c>
      <c r="G8" s="10" t="n">
        <f aca="false">SUM(C8:F8)</f>
        <v>3279</v>
      </c>
      <c r="H8" s="4" t="s">
        <v>549</v>
      </c>
    </row>
    <row r="9" customFormat="false" ht="31.5" hidden="false" customHeight="true" outlineLevel="0" collapsed="false">
      <c r="A9" s="4" t="s">
        <v>554</v>
      </c>
      <c r="B9" s="10" t="n">
        <f aca="false">原始数据!E125</f>
        <v>3794</v>
      </c>
      <c r="C9" s="10" t="n">
        <f aca="false">原始数据!E145</f>
        <v>840</v>
      </c>
      <c r="D9" s="10" t="n">
        <f aca="false">原始数据!E164</f>
        <v>477</v>
      </c>
      <c r="E9" s="10" t="n">
        <f aca="false">原始数据!E183</f>
        <v>1114</v>
      </c>
      <c r="F9" s="10" t="n">
        <f aca="false">原始数据!E202</f>
        <v>787</v>
      </c>
      <c r="G9" s="10" t="n">
        <f aca="false">SUM(C9:F9)</f>
        <v>3218</v>
      </c>
      <c r="H9" s="4" t="s">
        <v>549</v>
      </c>
    </row>
    <row r="10" customFormat="false" ht="31.5" hidden="false" customHeight="true" outlineLevel="0" collapsed="false">
      <c r="A10" s="4" t="s">
        <v>555</v>
      </c>
      <c r="B10" s="10" t="n">
        <f aca="false">原始数据!E126</f>
        <v>14747</v>
      </c>
      <c r="C10" s="10" t="n">
        <f aca="false">原始数据!E146</f>
        <v>3813</v>
      </c>
      <c r="D10" s="10" t="n">
        <f aca="false">原始数据!E165</f>
        <v>3937</v>
      </c>
      <c r="E10" s="10" t="n">
        <f aca="false">原始数据!E184</f>
        <v>4697</v>
      </c>
      <c r="F10" s="10" t="n">
        <f aca="false">原始数据!E203</f>
        <v>6263</v>
      </c>
      <c r="G10" s="10" t="n">
        <f aca="false">SUM(C10:F10)</f>
        <v>18710</v>
      </c>
      <c r="H10" s="4" t="s">
        <v>549</v>
      </c>
    </row>
    <row r="11" customFormat="false" ht="31.5" hidden="false" customHeight="true" outlineLevel="0" collapsed="false">
      <c r="A11" s="4" t="s">
        <v>556</v>
      </c>
      <c r="B11" s="10" t="n">
        <f aca="false">原始数据!E127</f>
        <v>8527</v>
      </c>
      <c r="C11" s="10" t="n">
        <f aca="false">原始数据!E147</f>
        <v>2393</v>
      </c>
      <c r="D11" s="10" t="n">
        <f aca="false">原始数据!E166</f>
        <v>2493</v>
      </c>
      <c r="E11" s="10" t="n">
        <f aca="false">原始数据!E185</f>
        <v>5789</v>
      </c>
      <c r="F11" s="10" t="n">
        <f aca="false">原始数据!E204</f>
        <v>4732</v>
      </c>
      <c r="G11" s="10" t="n">
        <f aca="false">SUM(C11:F11)</f>
        <v>15407</v>
      </c>
      <c r="H11" s="4" t="s">
        <v>549</v>
      </c>
    </row>
    <row r="12" customFormat="false" ht="31.5" hidden="false" customHeight="true" outlineLevel="0" collapsed="false">
      <c r="A12" s="4" t="s">
        <v>16</v>
      </c>
      <c r="B12" s="10" t="n">
        <f aca="false">B10-B11</f>
        <v>6220</v>
      </c>
      <c r="C12" s="10" t="n">
        <f aca="false">C10-C11</f>
        <v>1420</v>
      </c>
      <c r="D12" s="10" t="n">
        <f aca="false">D10-D11</f>
        <v>1444</v>
      </c>
      <c r="E12" s="10" t="n">
        <f aca="false">E10-E11</f>
        <v>-1092</v>
      </c>
      <c r="F12" s="10" t="n">
        <f aca="false">F10-F11</f>
        <v>1531</v>
      </c>
      <c r="G12" s="10" t="n">
        <f aca="false">G10-G11</f>
        <v>3303</v>
      </c>
      <c r="H12" s="4" t="s">
        <v>549</v>
      </c>
    </row>
    <row r="13" customFormat="false" ht="31.5" hidden="false" customHeight="true" outlineLevel="0" collapsed="false">
      <c r="A13" s="4" t="s">
        <v>557</v>
      </c>
      <c r="B13" s="10" t="n">
        <f aca="false">原始数据!E128+原始数据!E129</f>
        <v>44059</v>
      </c>
      <c r="C13" s="10" t="n">
        <f aca="false">原始数据!E148</f>
        <v>44059</v>
      </c>
      <c r="D13" s="10" t="n">
        <f aca="false">原始数据!E167</f>
        <v>44743</v>
      </c>
      <c r="E13" s="10" t="n">
        <f aca="false">原始数据!E186</f>
        <v>43524</v>
      </c>
      <c r="F13" s="10" t="n">
        <f aca="false">原始数据!E205</f>
        <v>45447</v>
      </c>
      <c r="G13" s="10" t="n">
        <f aca="false">原始数据!E205</f>
        <v>45447</v>
      </c>
      <c r="H13" s="4" t="s">
        <v>549</v>
      </c>
    </row>
    <row r="14" customFormat="false" ht="31.5" hidden="false" customHeight="true" outlineLevel="0" collapsed="false">
      <c r="A14" s="4" t="s">
        <v>558</v>
      </c>
      <c r="B14" s="10" t="n">
        <f aca="false">原始数据!E130+原始数据!E131</f>
        <v>8376</v>
      </c>
      <c r="C14" s="10" t="n">
        <f aca="false">原始数据!E149+原始数据!E150</f>
        <v>8376</v>
      </c>
      <c r="D14" s="10" t="n">
        <f aca="false">原始数据!E168+原始数据!E169</f>
        <v>9229</v>
      </c>
      <c r="E14" s="10" t="n">
        <f aca="false">原始数据!E187+原始数据!E188</f>
        <v>9342</v>
      </c>
      <c r="F14" s="10" t="n">
        <f aca="false">原始数据!E206+原始数据!E207</f>
        <v>9523</v>
      </c>
      <c r="G14" s="10" t="n">
        <f aca="false">原始数据!E206+原始数据!E207</f>
        <v>9523</v>
      </c>
      <c r="H14" s="4" t="s">
        <v>559</v>
      </c>
    </row>
    <row r="15" customFormat="false" ht="31.5" hidden="false" customHeight="true" outlineLevel="0" collapsed="false">
      <c r="A15" s="4" t="s">
        <v>560</v>
      </c>
      <c r="B15" s="10" t="n">
        <f aca="false">原始数据!E132</f>
        <v>82137</v>
      </c>
      <c r="C15" s="10" t="n">
        <f aca="false">原始数据!E151</f>
        <v>82137</v>
      </c>
      <c r="D15" s="10" t="n">
        <f aca="false">原始数据!E170</f>
        <v>84116</v>
      </c>
      <c r="E15" s="10" t="n">
        <f aca="false">原始数据!E189</f>
        <v>86858</v>
      </c>
      <c r="F15" s="10" t="n">
        <f aca="false">原始数据!E208</f>
        <v>89289</v>
      </c>
      <c r="G15" s="10" t="n">
        <f aca="false">F15</f>
        <v>89289</v>
      </c>
      <c r="H15" s="4" t="s">
        <v>549</v>
      </c>
    </row>
    <row r="16" customFormat="false" ht="31.5" hidden="false" customHeight="true" outlineLevel="0" collapsed="false">
      <c r="A16" s="4" t="s">
        <v>561</v>
      </c>
      <c r="B16" s="10" t="n">
        <f aca="false">原始数据!E133</f>
        <v>137806</v>
      </c>
      <c r="C16" s="10" t="n">
        <f aca="false">原始数据!E152</f>
        <v>137806</v>
      </c>
      <c r="D16" s="10" t="n">
        <f aca="false">原始数据!E171</f>
        <v>143724</v>
      </c>
      <c r="E16" s="10" t="n">
        <f aca="false">原始数据!E190</f>
        <v>148524</v>
      </c>
      <c r="F16" s="10" t="n">
        <f aca="false">原始数据!E209</f>
        <v>157517</v>
      </c>
      <c r="G16" s="10" t="n">
        <f aca="false">F16</f>
        <v>157517</v>
      </c>
      <c r="H16" s="4" t="s">
        <v>549</v>
      </c>
    </row>
    <row r="17" customFormat="false" ht="31.5" hidden="false" customHeight="true" outlineLevel="0" collapsed="false">
      <c r="A17" s="4" t="s">
        <v>562</v>
      </c>
      <c r="B17" s="10" t="n">
        <f aca="false">原始数据!E134</f>
        <v>54941</v>
      </c>
      <c r="C17" s="10" t="n">
        <f aca="false">原始数据!E153</f>
        <v>54941</v>
      </c>
      <c r="D17" s="10" t="n">
        <f aca="false">原始数据!E172</f>
        <v>58922</v>
      </c>
      <c r="E17" s="10" t="n">
        <f aca="false">原始数据!E191</f>
        <v>61005</v>
      </c>
      <c r="F17" s="10" t="n">
        <f aca="false">原始数据!E210</f>
        <v>67628</v>
      </c>
      <c r="G17" s="10" t="n">
        <f aca="false">F17</f>
        <v>67628</v>
      </c>
      <c r="H17" s="4" t="s">
        <v>549</v>
      </c>
    </row>
    <row r="18" customFormat="false" ht="31.5" hidden="false" customHeight="true" outlineLevel="0" collapsed="false">
      <c r="A18" s="4" t="s">
        <v>563</v>
      </c>
      <c r="B18" s="10" t="n">
        <f aca="false">B13-B14</f>
        <v>35683</v>
      </c>
      <c r="C18" s="10" t="n">
        <f aca="false">C13-C14</f>
        <v>35683</v>
      </c>
      <c r="D18" s="10" t="n">
        <f aca="false">D13-D14</f>
        <v>35514</v>
      </c>
      <c r="E18" s="10" t="n">
        <f aca="false">E13-E14</f>
        <v>34182</v>
      </c>
      <c r="F18" s="10" t="n">
        <f aca="false">F13-F14</f>
        <v>35924</v>
      </c>
      <c r="G18" s="10" t="n">
        <f aca="false">G13-G14</f>
        <v>35924</v>
      </c>
      <c r="H18" s="4" t="s">
        <v>549</v>
      </c>
    </row>
    <row r="19" customFormat="false" ht="31.5" hidden="false" customHeight="true" outlineLevel="0" collapsed="false">
      <c r="A19" s="4" t="s">
        <v>564</v>
      </c>
      <c r="B19" s="11" t="n">
        <f aca="false">B7/B4</f>
        <v>0.0459257384500195</v>
      </c>
      <c r="C19" s="11" t="n">
        <f aca="false">C7/C4</f>
        <v>0.056584072928798</v>
      </c>
      <c r="D19" s="11" t="n">
        <f aca="false">D7/D4</f>
        <v>0.0420333229106178</v>
      </c>
      <c r="E19" s="11" t="n">
        <f aca="false">E7/E4</f>
        <v>0.0140954809463097</v>
      </c>
      <c r="F19" s="11" t="n">
        <f aca="false">F7/F4</f>
        <v>0.0256007986878699</v>
      </c>
      <c r="G19" s="11" t="n">
        <f aca="false">G7/G4</f>
        <v>0.0334652891764024</v>
      </c>
      <c r="H19" s="4" t="s">
        <v>549</v>
      </c>
    </row>
    <row r="20" customFormat="false" ht="31.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31.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43.5" hidden="false" customHeight="true" outlineLevel="0" collapsed="false">
      <c r="A22" s="4" t="s">
        <v>565</v>
      </c>
      <c r="B22" s="4"/>
      <c r="C22" s="4"/>
      <c r="D22" s="4"/>
      <c r="E22" s="4"/>
      <c r="F22" s="4"/>
      <c r="G22" s="4"/>
      <c r="H22" s="4"/>
    </row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6.39"/>
    <col collapsed="false" customWidth="true" hidden="false" outlineLevel="0" max="6" min="2" style="0" width="16.38"/>
    <col collapsed="false" customWidth="true" hidden="false" outlineLevel="0" max="7" min="7" style="0" width="18.2"/>
    <col collapsed="false" customWidth="true" hidden="false" outlineLevel="0" max="8" min="8" style="0" width="95.53"/>
  </cols>
  <sheetData>
    <row r="1" customFormat="false" ht="31.5" hidden="false" customHeight="true" outlineLevel="0" collapsed="false">
      <c r="A1" s="6" t="s">
        <v>569</v>
      </c>
      <c r="B1" s="6"/>
      <c r="C1" s="6"/>
      <c r="D1" s="6"/>
      <c r="E1" s="6"/>
      <c r="F1" s="6"/>
      <c r="G1" s="6"/>
      <c r="H1" s="6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5" hidden="false" customHeight="true" outlineLevel="0" collapsed="false">
      <c r="A3" s="3" t="s">
        <v>570</v>
      </c>
      <c r="B3" s="7" t="s">
        <v>541</v>
      </c>
      <c r="C3" s="7" t="s">
        <v>542</v>
      </c>
      <c r="D3" s="7" t="s">
        <v>543</v>
      </c>
      <c r="E3" s="7" t="s">
        <v>544</v>
      </c>
      <c r="F3" s="7" t="s">
        <v>545</v>
      </c>
      <c r="G3" s="7" t="s">
        <v>546</v>
      </c>
      <c r="H3" s="3" t="s">
        <v>571</v>
      </c>
    </row>
    <row r="4" customFormat="false" ht="31.5" hidden="false" customHeight="true" outlineLevel="0" collapsed="false">
      <c r="A4" s="4" t="s">
        <v>572</v>
      </c>
      <c r="B4" s="10" t="n">
        <f aca="false">原始数据!E76</f>
        <v>4086</v>
      </c>
      <c r="C4" s="10" t="n">
        <f aca="false">原始数据!E76-原始数据!E85</f>
        <v>809</v>
      </c>
      <c r="D4" s="10" t="n">
        <f aca="false">原始数据!E94</f>
        <v>619</v>
      </c>
      <c r="E4" s="10" t="n">
        <f aca="false">原始数据!E103</f>
        <v>962</v>
      </c>
      <c r="F4" s="10" t="n">
        <f aca="false">原始数据!E112</f>
        <v>1767</v>
      </c>
      <c r="G4" s="10" t="n">
        <f aca="false">SUM(C4:F4)</f>
        <v>4157</v>
      </c>
      <c r="H4" s="5" t="s">
        <v>573</v>
      </c>
    </row>
    <row r="5" customFormat="false" ht="31.5" hidden="false" customHeight="true" outlineLevel="0" collapsed="false">
      <c r="A5" s="4" t="s">
        <v>574</v>
      </c>
      <c r="B5" s="10" t="n">
        <f aca="false">原始数据!E77</f>
        <v>1352</v>
      </c>
      <c r="C5" s="10" t="n">
        <f aca="false">原始数据!E77-原始数据!E86</f>
        <v>248</v>
      </c>
      <c r="D5" s="10" t="n">
        <f aca="false">原始数据!E95</f>
        <v>281</v>
      </c>
      <c r="E5" s="10" t="n">
        <f aca="false">原始数据!E104</f>
        <v>329</v>
      </c>
      <c r="F5" s="10" t="n">
        <f aca="false">原始数据!E113</f>
        <v>435</v>
      </c>
      <c r="G5" s="10" t="n">
        <f aca="false">SUM(C5:F5)</f>
        <v>1293</v>
      </c>
      <c r="H5" s="5" t="s">
        <v>573</v>
      </c>
    </row>
    <row r="6" customFormat="false" ht="31.5" hidden="false" customHeight="true" outlineLevel="0" collapsed="false">
      <c r="A6" s="4" t="s">
        <v>575</v>
      </c>
      <c r="B6" s="10" t="n">
        <f aca="false">B4-B5</f>
        <v>2734</v>
      </c>
      <c r="C6" s="10" t="n">
        <f aca="false">C4-C5</f>
        <v>561</v>
      </c>
      <c r="D6" s="10" t="n">
        <f aca="false">D4-D5</f>
        <v>338</v>
      </c>
      <c r="E6" s="10" t="n">
        <f aca="false">E4-E5</f>
        <v>633</v>
      </c>
      <c r="F6" s="10" t="n">
        <f aca="false">F4-F5</f>
        <v>1332</v>
      </c>
      <c r="G6" s="10" t="n">
        <f aca="false">G4-G5</f>
        <v>2864</v>
      </c>
      <c r="H6" s="5" t="s">
        <v>573</v>
      </c>
    </row>
    <row r="7" customFormat="false" ht="31.5" hidden="false" customHeight="true" outlineLevel="0" collapsed="false">
      <c r="A7" s="4" t="s">
        <v>576</v>
      </c>
      <c r="B7" s="10" t="n">
        <f aca="false">原始数据!E78</f>
        <v>-657</v>
      </c>
      <c r="C7" s="10" t="n">
        <f aca="false">原始数据!E78-原始数据!E87</f>
        <v>-476</v>
      </c>
      <c r="D7" s="10" t="n">
        <f aca="false">原始数据!E96</f>
        <v>-662</v>
      </c>
      <c r="E7" s="10" t="n">
        <f aca="false">原始数据!E105</f>
        <v>-542</v>
      </c>
      <c r="F7" s="10" t="n">
        <f aca="false">原始数据!E114</f>
        <v>-7</v>
      </c>
      <c r="G7" s="10" t="n">
        <f aca="false">SUM(C7:F7)</f>
        <v>-1687</v>
      </c>
      <c r="H7" s="5" t="s">
        <v>573</v>
      </c>
    </row>
    <row r="8" customFormat="false" ht="31.5" hidden="false" customHeight="true" outlineLevel="0" collapsed="false">
      <c r="A8" s="4" t="s">
        <v>577</v>
      </c>
      <c r="B8" s="10" t="n">
        <f aca="false">原始数据!E79</f>
        <v>11387</v>
      </c>
      <c r="C8" s="10" t="n">
        <f aca="false">原始数据!E79-原始数据!E88</f>
        <v>3228</v>
      </c>
      <c r="D8" s="10" t="n">
        <f aca="false">原始数据!E97</f>
        <v>3257</v>
      </c>
      <c r="E8" s="10" t="n">
        <f aca="false">原始数据!E106</f>
        <v>4291</v>
      </c>
      <c r="F8" s="10" t="n">
        <f aca="false">原始数据!E115</f>
        <v>5248</v>
      </c>
      <c r="G8" s="10" t="n">
        <f aca="false">SUM(C8:F8)</f>
        <v>16024</v>
      </c>
      <c r="H8" s="5" t="s">
        <v>573</v>
      </c>
    </row>
    <row r="9" customFormat="false" ht="31.5" hidden="false" customHeight="true" outlineLevel="0" collapsed="false">
      <c r="A9" s="4" t="s">
        <v>578</v>
      </c>
      <c r="B9" s="10" t="n">
        <f aca="false">原始数据!E80</f>
        <v>5921</v>
      </c>
      <c r="C9" s="10" t="n">
        <f aca="false">原始数据!E80-原始数据!E89</f>
        <v>1650</v>
      </c>
      <c r="D9" s="10" t="n">
        <f aca="false">原始数据!E98</f>
        <v>1651</v>
      </c>
      <c r="E9" s="10" t="n">
        <f aca="false">原始数据!E107</f>
        <v>2060</v>
      </c>
      <c r="F9" s="10" t="n">
        <f aca="false">原始数据!E116</f>
        <v>2368</v>
      </c>
      <c r="G9" s="10" t="n">
        <f aca="false">SUM(C9:F9)</f>
        <v>7729</v>
      </c>
      <c r="H9" s="5" t="s">
        <v>573</v>
      </c>
    </row>
    <row r="10" customFormat="false" ht="31.5" hidden="false" customHeight="true" outlineLevel="0" collapsed="false">
      <c r="A10" s="4" t="s">
        <v>579</v>
      </c>
      <c r="B10" s="10" t="n">
        <f aca="false">B8-B9</f>
        <v>5466</v>
      </c>
      <c r="C10" s="10" t="n">
        <f aca="false">C8-C9</f>
        <v>1578</v>
      </c>
      <c r="D10" s="10" t="n">
        <f aca="false">D8-D9</f>
        <v>1606</v>
      </c>
      <c r="E10" s="10" t="n">
        <f aca="false">E8-E9</f>
        <v>2231</v>
      </c>
      <c r="F10" s="10" t="n">
        <f aca="false">F8-F9</f>
        <v>2880</v>
      </c>
      <c r="G10" s="10" t="n">
        <f aca="false">G8-G9</f>
        <v>8295</v>
      </c>
      <c r="H10" s="5" t="s">
        <v>573</v>
      </c>
    </row>
    <row r="11" customFormat="false" ht="31.5" hidden="false" customHeight="true" outlineLevel="0" collapsed="false">
      <c r="A11" s="4" t="s">
        <v>580</v>
      </c>
      <c r="B11" s="10" t="n">
        <f aca="false">原始数据!E81</f>
        <v>4423</v>
      </c>
      <c r="C11" s="10" t="n">
        <f aca="false">原始数据!E81-原始数据!E90</f>
        <v>1276</v>
      </c>
      <c r="D11" s="10" t="n">
        <f aca="false">原始数据!E99</f>
        <v>1188</v>
      </c>
      <c r="E11" s="10" t="n">
        <f aca="false">原始数据!E108</f>
        <v>1656</v>
      </c>
      <c r="F11" s="10" t="n">
        <f aca="false">原始数据!E117</f>
        <v>2367</v>
      </c>
      <c r="G11" s="10" t="n">
        <f aca="false">SUM(C11:F11)</f>
        <v>6487</v>
      </c>
      <c r="H11" s="5" t="s">
        <v>573</v>
      </c>
    </row>
    <row r="12" customFormat="false" ht="31.5" hidden="false" customHeight="true" outlineLevel="0" collapsed="false">
      <c r="A12" s="4" t="s">
        <v>581</v>
      </c>
      <c r="B12" s="10" t="n">
        <f aca="false">原始数据!E82</f>
        <v>3201</v>
      </c>
      <c r="C12" s="10" t="n">
        <f aca="false">原始数据!E82-原始数据!E91</f>
        <v>923</v>
      </c>
      <c r="D12" s="10" t="n">
        <f aca="false">原始数据!E100</f>
        <v>818</v>
      </c>
      <c r="E12" s="10" t="n">
        <f aca="false">原始数据!E109</f>
        <v>2561</v>
      </c>
      <c r="F12" s="10" t="n">
        <f aca="false">原始数据!E118</f>
        <v>7560</v>
      </c>
      <c r="G12" s="10" t="n">
        <f aca="false">SUM(C12:F12)</f>
        <v>11862</v>
      </c>
      <c r="H12" s="5" t="s">
        <v>573</v>
      </c>
    </row>
    <row r="13" customFormat="false" ht="31.5" hidden="false" customHeight="true" outlineLevel="0" collapsed="false">
      <c r="A13" s="4" t="s">
        <v>582</v>
      </c>
      <c r="B13" s="10" t="n">
        <f aca="false">原始数据!E83</f>
        <v>2178</v>
      </c>
      <c r="C13" s="10" t="n">
        <f aca="false">原始数据!E83-原始数据!E92</f>
        <v>604</v>
      </c>
      <c r="D13" s="10" t="n">
        <f aca="false">原始数据!E101</f>
        <v>456</v>
      </c>
      <c r="E13" s="10" t="n">
        <f aca="false">原始数据!E110</f>
        <v>1106</v>
      </c>
      <c r="F13" s="10" t="n">
        <f aca="false">原始数据!E119</f>
        <v>2675</v>
      </c>
      <c r="G13" s="10" t="n">
        <f aca="false">SUM(C13:F13)</f>
        <v>4841</v>
      </c>
      <c r="H13" s="5" t="s">
        <v>573</v>
      </c>
    </row>
    <row r="14" customFormat="false" ht="31.5" hidden="false" customHeight="true" outlineLevel="0" collapsed="false">
      <c r="A14" s="4" t="s">
        <v>583</v>
      </c>
      <c r="B14" s="10" t="n">
        <f aca="false">B12-B13</f>
        <v>1023</v>
      </c>
      <c r="C14" s="10" t="n">
        <f aca="false">C12-C13</f>
        <v>319</v>
      </c>
      <c r="D14" s="10" t="n">
        <f aca="false">D12-D13</f>
        <v>362</v>
      </c>
      <c r="E14" s="10" t="n">
        <f aca="false">E12-E13</f>
        <v>1455</v>
      </c>
      <c r="F14" s="10" t="n">
        <f aca="false">F12-F13</f>
        <v>4885</v>
      </c>
      <c r="G14" s="10" t="n">
        <f aca="false">G12-G13</f>
        <v>7021</v>
      </c>
      <c r="H14" s="5" t="s">
        <v>573</v>
      </c>
    </row>
    <row r="15" customFormat="false" ht="31.5" hidden="false" customHeight="true" outlineLevel="0" collapsed="false">
      <c r="A15" s="4" t="s">
        <v>584</v>
      </c>
      <c r="B15" s="10" t="n">
        <f aca="false">原始数据!E84</f>
        <v>-6355</v>
      </c>
      <c r="C15" s="10" t="n">
        <f aca="false">原始数据!E84-原始数据!E93</f>
        <v>-2173</v>
      </c>
      <c r="D15" s="10" t="n">
        <f aca="false">原始数据!E102</f>
        <v>-2469</v>
      </c>
      <c r="E15" s="10" t="n">
        <f aca="false">原始数据!E111</f>
        <v>-1257</v>
      </c>
      <c r="F15" s="10" t="n">
        <f aca="false">原始数据!E120</f>
        <v>431</v>
      </c>
      <c r="G15" s="10" t="n">
        <f aca="false">SUM(C15:F15)</f>
        <v>-5468</v>
      </c>
      <c r="H15" s="5" t="s">
        <v>573</v>
      </c>
    </row>
    <row r="16" customFormat="false" ht="31.5" hidden="false" customHeight="true" outlineLevel="0" collapsed="false">
      <c r="A16" s="4" t="s">
        <v>585</v>
      </c>
      <c r="B16" s="10" t="n">
        <f aca="false">原始数据!E135+原始数据!E136</f>
        <v>82056</v>
      </c>
      <c r="C16" s="10" t="n">
        <f aca="false">原始数据!E154+原始数据!E155</f>
        <v>21064</v>
      </c>
      <c r="D16" s="10" t="n">
        <f aca="false">原始数据!E173+原始数据!E174</f>
        <v>19979</v>
      </c>
      <c r="E16" s="10" t="n">
        <f aca="false">原始数据!E192+原始数据!E193</f>
        <v>25097</v>
      </c>
      <c r="F16" s="10" t="n">
        <f aca="false">原始数据!E211+原始数据!E212</f>
        <v>25165</v>
      </c>
      <c r="G16" s="10" t="n">
        <f aca="false">SUM(C16:F16)</f>
        <v>91305</v>
      </c>
      <c r="H16" s="5" t="s">
        <v>586</v>
      </c>
    </row>
    <row r="17" customFormat="false" ht="31.5" hidden="false" customHeight="true" outlineLevel="0" collapsed="false">
      <c r="A17" s="4" t="s">
        <v>587</v>
      </c>
      <c r="B17" s="10" t="n">
        <f aca="false">原始数据!E138+原始数据!E139</f>
        <v>68764</v>
      </c>
      <c r="C17" s="10" t="n">
        <f aca="false">原始数据!E157+原始数据!E158</f>
        <v>17153</v>
      </c>
      <c r="D17" s="10" t="n">
        <f aca="false">原始数据!E176+原始数据!E177</f>
        <v>16211</v>
      </c>
      <c r="E17" s="10" t="n">
        <f aca="false">原始数据!E195+原始数据!E196</f>
        <v>20986</v>
      </c>
      <c r="F17" s="10" t="n">
        <f aca="false">原始数据!E214+原始数据!E215</f>
        <v>20625</v>
      </c>
      <c r="G17" s="10" t="n">
        <f aca="false">SUM(C17:F17)</f>
        <v>74975</v>
      </c>
      <c r="H17" s="5" t="s">
        <v>586</v>
      </c>
    </row>
    <row r="18" customFormat="false" ht="31.5" hidden="false" customHeight="true" outlineLevel="0" collapsed="false">
      <c r="A18" s="4" t="s">
        <v>588</v>
      </c>
      <c r="B18" s="10" t="n">
        <f aca="false">B16-B17</f>
        <v>13292</v>
      </c>
      <c r="C18" s="10" t="n">
        <f aca="false">C16-C17</f>
        <v>3911</v>
      </c>
      <c r="D18" s="10" t="n">
        <f aca="false">D16-D17</f>
        <v>3768</v>
      </c>
      <c r="E18" s="10" t="n">
        <f aca="false">E16-E17</f>
        <v>4111</v>
      </c>
      <c r="F18" s="10" t="n">
        <f aca="false">F16-F17</f>
        <v>4540</v>
      </c>
      <c r="G18" s="10" t="n">
        <f aca="false">G16-G17</f>
        <v>16330</v>
      </c>
      <c r="H18" s="5" t="s">
        <v>586</v>
      </c>
    </row>
    <row r="19" customFormat="false" ht="31.5" hidden="false" customHeight="true" outlineLevel="0" collapsed="false">
      <c r="A19" s="4" t="s">
        <v>589</v>
      </c>
      <c r="B19" s="10" t="n">
        <f aca="false">原始数据!E137</f>
        <v>12771</v>
      </c>
      <c r="C19" s="10" t="n">
        <f aca="false">原始数据!E156</f>
        <v>3837</v>
      </c>
      <c r="D19" s="10" t="n">
        <f aca="false">原始数据!E175</f>
        <v>2408</v>
      </c>
      <c r="E19" s="10" t="n">
        <f aca="false">原始数据!E194</f>
        <v>3139</v>
      </c>
      <c r="F19" s="10" t="n">
        <f aca="false">原始数据!E213</f>
        <v>2881</v>
      </c>
      <c r="G19" s="10" t="n">
        <f aca="false">SUM(C19:F19)</f>
        <v>12265</v>
      </c>
      <c r="H19" s="5" t="s">
        <v>586</v>
      </c>
    </row>
    <row r="20" customFormat="false" ht="31.5" hidden="false" customHeight="true" outlineLevel="0" collapsed="false">
      <c r="A20" s="4" t="s">
        <v>590</v>
      </c>
      <c r="B20" s="10" t="n">
        <f aca="false">原始数据!E140</f>
        <v>8969</v>
      </c>
      <c r="C20" s="10" t="n">
        <f aca="false">原始数据!E159</f>
        <v>2739</v>
      </c>
      <c r="D20" s="10" t="n">
        <f aca="false">原始数据!E178</f>
        <v>1456</v>
      </c>
      <c r="E20" s="10" t="n">
        <f aca="false">原始数据!E197</f>
        <v>2499</v>
      </c>
      <c r="F20" s="10" t="n">
        <f aca="false">原始数据!E216</f>
        <v>1927</v>
      </c>
      <c r="G20" s="10" t="n">
        <f aca="false">SUM(C20:F20)</f>
        <v>8621</v>
      </c>
      <c r="H20" s="5" t="s">
        <v>586</v>
      </c>
    </row>
    <row r="21" customFormat="false" ht="31.5" hidden="false" customHeight="true" outlineLevel="0" collapsed="false">
      <c r="A21" s="4" t="s">
        <v>591</v>
      </c>
      <c r="B21" s="10" t="n">
        <f aca="false">B19-B20</f>
        <v>3802</v>
      </c>
      <c r="C21" s="10" t="n">
        <f aca="false">C19-C20</f>
        <v>1098</v>
      </c>
      <c r="D21" s="10" t="n">
        <f aca="false">D19-D20</f>
        <v>952</v>
      </c>
      <c r="E21" s="10" t="n">
        <f aca="false">E19-E20</f>
        <v>640</v>
      </c>
      <c r="F21" s="10" t="n">
        <f aca="false">F19-F20</f>
        <v>954</v>
      </c>
      <c r="G21" s="10" t="n">
        <f aca="false">G19-G20</f>
        <v>3644</v>
      </c>
      <c r="H21" s="5" t="s">
        <v>586</v>
      </c>
    </row>
    <row r="22" customFormat="false" ht="31.5" hidden="false" customHeight="true" outlineLevel="0" collapsed="false">
      <c r="A22" s="5" t="s">
        <v>592</v>
      </c>
      <c r="B22" s="10" t="n">
        <f aca="false">Tesla财务!B6-Tesla财务!B7</f>
        <v>12739</v>
      </c>
      <c r="C22" s="10" t="n">
        <f aca="false">Tesla财务!C6-Tesla财务!C7</f>
        <v>3600</v>
      </c>
      <c r="D22" s="10" t="n">
        <f aca="false">Tesla财务!D6-Tesla财务!D7</f>
        <v>3779</v>
      </c>
      <c r="E22" s="10" t="n">
        <f aca="false">Tesla财务!E6-Tesla财务!E7</f>
        <v>4353</v>
      </c>
      <c r="F22" s="10" t="n">
        <f aca="false">Tesla财务!F6-Tesla财务!F7</f>
        <v>4776</v>
      </c>
      <c r="G22" s="10" t="n">
        <f aca="false">Tesla财务!G6-Tesla财务!G7</f>
        <v>16508</v>
      </c>
      <c r="H22" s="4"/>
    </row>
    <row r="23" customFormat="false" ht="31.5" hidden="false" customHeight="true" outlineLevel="0" collapsed="false">
      <c r="A23" s="4" t="s">
        <v>593</v>
      </c>
      <c r="B23" s="10" t="n">
        <f aca="false">B7+B11+B15+B18+B21-B22</f>
        <v>1766</v>
      </c>
      <c r="C23" s="10" t="n">
        <f aca="false">C7+C11+C15+C18+C21-C22</f>
        <v>36</v>
      </c>
      <c r="D23" s="10" t="n">
        <f aca="false">D7+D11+D15+D18+D21-D22</f>
        <v>-1002</v>
      </c>
      <c r="E23" s="10" t="n">
        <f aca="false">E7+E11+E15+E18+E21-E22</f>
        <v>255</v>
      </c>
      <c r="F23" s="10" t="n">
        <f aca="false">F7+F11+F15+F18+F21-F22</f>
        <v>3509</v>
      </c>
      <c r="G23" s="10" t="n">
        <f aca="false">G7+G11+G15+G18+G21-G22</f>
        <v>2798</v>
      </c>
      <c r="H23" s="4"/>
    </row>
    <row r="24" customFormat="false" ht="31.5" hidden="false" customHeight="true" outlineLevel="0" collapsed="false">
      <c r="A24" s="4" t="s">
        <v>594</v>
      </c>
      <c r="B24" s="10" t="n">
        <f aca="false">B4+B8+B12+B16+B19-SpaceX财务!B4-Tesla财务!B4</f>
        <v>0</v>
      </c>
      <c r="C24" s="10" t="n">
        <f aca="false">C4+C8+C12+C16+C19-SpaceX财务!C4-Tesla财务!C4</f>
        <v>0</v>
      </c>
      <c r="D24" s="10" t="n">
        <f aca="false">D4+D8+D12+D16+D19-SpaceX财务!D4-Tesla财务!D4</f>
        <v>0</v>
      </c>
      <c r="E24" s="10" t="n">
        <f aca="false">E4+E8+E12+E16+E19-SpaceX财务!E4-Tesla财务!E4</f>
        <v>0</v>
      </c>
      <c r="F24" s="10" t="n">
        <f aca="false">F4+F8+F12+F16+F19-SpaceX财务!F4-Tesla财务!F4</f>
        <v>0</v>
      </c>
      <c r="G24" s="10" t="n">
        <f aca="false">G4+G8+G12+G16+G19-SpaceX财务!G4-Tesla财务!G4</f>
        <v>0</v>
      </c>
      <c r="H24" s="4"/>
    </row>
    <row r="25" customFormat="false" ht="31.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31.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43.5" hidden="false" customHeight="true" outlineLevel="0" collapsed="false">
      <c r="A27" s="5" t="s">
        <v>595</v>
      </c>
      <c r="B27" s="5"/>
      <c r="C27" s="5"/>
      <c r="D27" s="5"/>
      <c r="E27" s="5"/>
      <c r="F27" s="5"/>
      <c r="G27" s="5"/>
      <c r="H27" s="5"/>
    </row>
  </sheetData>
  <mergeCells count="3">
    <mergeCell ref="A1:H1"/>
    <mergeCell ref="A2:H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18.2"/>
    <col collapsed="false" customWidth="true" hidden="false" outlineLevel="0" max="3" min="3" style="0" width="20.93"/>
    <col collapsed="false" customWidth="true" hidden="false" outlineLevel="0" max="4" min="4" style="0" width="18.2"/>
    <col collapsed="false" customWidth="true" hidden="false" outlineLevel="0" max="5" min="5" style="0" width="20.93"/>
    <col collapsed="false" customWidth="true" hidden="false" outlineLevel="0" max="7" min="6" style="0" width="22.75"/>
    <col collapsed="false" customWidth="true" hidden="false" outlineLevel="0" max="8" min="8" style="0" width="81.88"/>
  </cols>
  <sheetData>
    <row r="1" customFormat="false" ht="31.5" hidden="false" customHeight="true" outlineLevel="0" collapsed="false">
      <c r="A1" s="6" t="s">
        <v>596</v>
      </c>
      <c r="B1" s="6"/>
      <c r="C1" s="6"/>
      <c r="D1" s="6"/>
      <c r="E1" s="6"/>
      <c r="F1" s="6"/>
      <c r="G1" s="6"/>
      <c r="H1" s="6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5" hidden="false" customHeight="true" outlineLevel="0" collapsed="false">
      <c r="A3" s="3" t="s">
        <v>597</v>
      </c>
      <c r="B3" s="7" t="s">
        <v>598</v>
      </c>
      <c r="C3" s="7" t="s">
        <v>599</v>
      </c>
      <c r="D3" s="7" t="s">
        <v>600</v>
      </c>
      <c r="E3" s="7" t="s">
        <v>601</v>
      </c>
      <c r="F3" s="7" t="s">
        <v>602</v>
      </c>
      <c r="G3" s="7" t="s">
        <v>603</v>
      </c>
      <c r="H3" s="3" t="s">
        <v>604</v>
      </c>
    </row>
    <row r="4" customFormat="false" ht="31.5" hidden="false" customHeight="true" outlineLevel="0" collapsed="false">
      <c r="A4" s="5" t="s">
        <v>605</v>
      </c>
      <c r="B4" s="8" t="n">
        <v>159.31</v>
      </c>
      <c r="C4" s="8" t="n">
        <v>217419541</v>
      </c>
      <c r="D4" s="8" t="n">
        <v>386.47</v>
      </c>
      <c r="E4" s="8" t="n">
        <v>43161811</v>
      </c>
      <c r="F4" s="10" t="n">
        <f aca="false">B4*C4</f>
        <v>34637107076.71</v>
      </c>
      <c r="G4" s="10" t="n">
        <f aca="false">D4*E4</f>
        <v>16680745097.17</v>
      </c>
      <c r="H4" s="5" t="s">
        <v>606</v>
      </c>
    </row>
    <row r="5" customFormat="false" ht="31.5" hidden="false" customHeight="true" outlineLevel="0" collapsed="false">
      <c r="A5" s="5" t="s">
        <v>607</v>
      </c>
      <c r="B5" s="8" t="n">
        <v>147.79</v>
      </c>
      <c r="C5" s="8" t="n">
        <v>90413606</v>
      </c>
      <c r="D5" s="8" t="n">
        <v>373.71</v>
      </c>
      <c r="E5" s="8" t="n">
        <v>30590704</v>
      </c>
      <c r="F5" s="10" t="n">
        <f aca="false">B5*C5</f>
        <v>13362226830.74</v>
      </c>
      <c r="G5" s="10" t="n">
        <f aca="false">D5*E5</f>
        <v>11432051991.84</v>
      </c>
      <c r="H5" s="5" t="s">
        <v>606</v>
      </c>
    </row>
    <row r="6" customFormat="false" ht="31.5" hidden="false" customHeight="true" outlineLevel="0" collapsed="false">
      <c r="A6" s="5" t="s">
        <v>608</v>
      </c>
      <c r="B6" s="8" t="n">
        <v>147.96</v>
      </c>
      <c r="C6" s="8" t="n">
        <v>73858005</v>
      </c>
      <c r="D6" s="8" t="n">
        <v>368.06</v>
      </c>
      <c r="E6" s="8" t="n">
        <v>38756339</v>
      </c>
      <c r="F6" s="10" t="n">
        <f aca="false">B6*C6</f>
        <v>10928030419.8</v>
      </c>
      <c r="G6" s="10" t="n">
        <f aca="false">D6*E6</f>
        <v>14264658132.34</v>
      </c>
      <c r="H6" s="5" t="s">
        <v>606</v>
      </c>
    </row>
    <row r="7" customFormat="false" ht="31.5" hidden="false" customHeight="true" outlineLevel="0" collapsed="false">
      <c r="A7" s="5" t="s">
        <v>609</v>
      </c>
      <c r="B7" s="8" t="n">
        <v>146.03</v>
      </c>
      <c r="C7" s="8" t="n">
        <v>88552887</v>
      </c>
      <c r="D7" s="8" t="n">
        <v>354.72</v>
      </c>
      <c r="E7" s="8" t="n">
        <v>62067344</v>
      </c>
      <c r="F7" s="10" t="n">
        <f aca="false">B7*C7</f>
        <v>12931378088.61</v>
      </c>
      <c r="G7" s="10" t="n">
        <f aca="false">D7*E7</f>
        <v>22016528263.68</v>
      </c>
      <c r="H7" s="5" t="s">
        <v>606</v>
      </c>
    </row>
    <row r="8" customFormat="false" ht="31.5" hidden="false" customHeight="true" outlineLevel="0" collapsed="false">
      <c r="A8" s="5" t="s">
        <v>610</v>
      </c>
      <c r="B8" s="8" t="n">
        <v>148.62</v>
      </c>
      <c r="C8" s="8" t="n">
        <v>101177143</v>
      </c>
      <c r="D8" s="8" t="n">
        <v>362.44</v>
      </c>
      <c r="E8" s="8" t="n">
        <v>26728314</v>
      </c>
      <c r="F8" s="10" t="n">
        <f aca="false">B8*C8</f>
        <v>15036946992.66</v>
      </c>
      <c r="G8" s="10" t="n">
        <f aca="false">D8*E8</f>
        <v>9687410126.16</v>
      </c>
      <c r="H8" s="5" t="s">
        <v>606</v>
      </c>
    </row>
    <row r="9" customFormat="false" ht="31.5" hidden="false" customHeight="true" outlineLevel="0" collapsed="false">
      <c r="A9" s="5" t="s">
        <v>611</v>
      </c>
      <c r="B9" s="8" t="n">
        <v>152.16</v>
      </c>
      <c r="C9" s="8" t="n">
        <v>68780976</v>
      </c>
      <c r="D9" s="8" t="n">
        <v>367.16</v>
      </c>
      <c r="E9" s="8" t="n">
        <v>31001421</v>
      </c>
      <c r="F9" s="10" t="n">
        <f aca="false">B9*C9</f>
        <v>10465713308.16</v>
      </c>
      <c r="G9" s="10" t="n">
        <f aca="false">D9*E9</f>
        <v>11382481734.36</v>
      </c>
      <c r="H9" s="5" t="s">
        <v>606</v>
      </c>
    </row>
    <row r="10" customFormat="false" ht="31.5" hidden="false" customHeight="true" outlineLevel="0" collapsed="false">
      <c r="A10" s="5" t="s">
        <v>612</v>
      </c>
      <c r="B10" s="8" t="n">
        <v>156.54</v>
      </c>
      <c r="C10" s="8" t="n">
        <v>69022484</v>
      </c>
      <c r="D10" s="8" t="n">
        <v>375.23</v>
      </c>
      <c r="E10" s="8" t="n">
        <v>18393043</v>
      </c>
      <c r="F10" s="10" t="n">
        <f aca="false">B10*C10</f>
        <v>10804779645.36</v>
      </c>
      <c r="G10" s="10" t="n">
        <f aca="false">D10*E10</f>
        <v>6901621524.89</v>
      </c>
      <c r="H10" s="5" t="s">
        <v>606</v>
      </c>
    </row>
    <row r="11" customFormat="false" ht="31.5" hidden="false" customHeight="true" outlineLevel="0" collapsed="false">
      <c r="A11" s="5" t="s">
        <v>613</v>
      </c>
      <c r="B11" s="8" t="n">
        <v>163.42</v>
      </c>
      <c r="C11" s="8" t="n">
        <v>67434500</v>
      </c>
      <c r="D11" s="8" t="n">
        <v>378.03</v>
      </c>
      <c r="E11" s="8" t="n">
        <v>20244285</v>
      </c>
      <c r="F11" s="10" t="n">
        <f aca="false">B11*C11</f>
        <v>11020145990</v>
      </c>
      <c r="G11" s="10" t="n">
        <f aca="false">D11*E11</f>
        <v>7652947058.55</v>
      </c>
      <c r="H11" s="5" t="s">
        <v>606</v>
      </c>
    </row>
    <row r="12" customFormat="false" ht="31.5" hidden="false" customHeight="true" outlineLevel="0" collapsed="false">
      <c r="A12" s="5" t="s">
        <v>614</v>
      </c>
      <c r="B12" s="8" t="n">
        <v>162.57</v>
      </c>
      <c r="C12" s="8" t="n">
        <v>93042640</v>
      </c>
      <c r="D12" s="8" t="n">
        <v>382.7</v>
      </c>
      <c r="E12" s="8" t="n">
        <v>38952426</v>
      </c>
      <c r="F12" s="10" t="n">
        <f aca="false">B12*C12</f>
        <v>15125941984.8</v>
      </c>
      <c r="G12" s="10" t="n">
        <f aca="false">D12*E12</f>
        <v>14907093430.2</v>
      </c>
      <c r="H12" s="5" t="s">
        <v>606</v>
      </c>
    </row>
    <row r="13" customFormat="false" ht="31.5" hidden="false" customHeight="true" outlineLevel="0" collapsed="false">
      <c r="A13" s="5" t="s">
        <v>615</v>
      </c>
      <c r="B13" s="8" t="n">
        <v>160.57</v>
      </c>
      <c r="C13" s="8" t="n">
        <v>71897847</v>
      </c>
      <c r="D13" s="8" t="n">
        <v>375</v>
      </c>
      <c r="E13" s="8" t="n">
        <v>28394945</v>
      </c>
      <c r="F13" s="10" t="n">
        <f aca="false">B13*C13</f>
        <v>11544637292.79</v>
      </c>
      <c r="G13" s="10" t="n">
        <f aca="false">D13*E13</f>
        <v>10648104375</v>
      </c>
      <c r="H13" s="5" t="s">
        <v>606</v>
      </c>
    </row>
    <row r="14" customFormat="false" ht="31.5" hidden="false" customHeight="true" outlineLevel="0" collapsed="false">
      <c r="A14" s="5" t="s">
        <v>616</v>
      </c>
      <c r="B14" s="8" t="n">
        <v>167.6</v>
      </c>
      <c r="C14" s="8" t="n">
        <v>77473018</v>
      </c>
      <c r="D14" s="8" t="n">
        <v>377.81</v>
      </c>
      <c r="E14" s="8" t="n">
        <v>25594563</v>
      </c>
      <c r="F14" s="10" t="n">
        <f aca="false">B14*C14</f>
        <v>12984477816.8</v>
      </c>
      <c r="G14" s="10" t="n">
        <f aca="false">D14*E14</f>
        <v>9669881847.03</v>
      </c>
      <c r="H14" s="5" t="s">
        <v>606</v>
      </c>
    </row>
    <row r="15" customFormat="false" ht="31.5" hidden="false" customHeight="true" outlineLevel="0" collapsed="false">
      <c r="A15" s="5" t="s">
        <v>617</v>
      </c>
      <c r="B15" s="8" t="n">
        <v>171.92</v>
      </c>
      <c r="C15" s="8" t="n">
        <v>106952443</v>
      </c>
      <c r="D15" s="8" t="n">
        <v>380.68</v>
      </c>
      <c r="E15" s="8" t="n">
        <v>27735438</v>
      </c>
      <c r="F15" s="10" t="n">
        <f aca="false">B15*C15</f>
        <v>18387264000.56</v>
      </c>
      <c r="G15" s="10" t="n">
        <f aca="false">D15*E15</f>
        <v>10558326537.84</v>
      </c>
      <c r="H15" s="5" t="s">
        <v>606</v>
      </c>
    </row>
    <row r="16" customFormat="false" ht="31.5" hidden="false" customHeight="true" outlineLevel="0" collapsed="false">
      <c r="A16" s="5" t="s">
        <v>618</v>
      </c>
      <c r="B16" s="8" t="n">
        <v>171.09</v>
      </c>
      <c r="C16" s="8" t="n">
        <v>135688935</v>
      </c>
      <c r="D16" s="8" t="n">
        <v>378.73</v>
      </c>
      <c r="E16" s="8" t="n">
        <v>42232669</v>
      </c>
      <c r="F16" s="10" t="n">
        <f aca="false">B16*C16</f>
        <v>23215019889.15</v>
      </c>
      <c r="G16" s="10" t="n">
        <f aca="false">D16*E16</f>
        <v>15994778730.37</v>
      </c>
      <c r="H16" s="5" t="s">
        <v>606</v>
      </c>
    </row>
    <row r="17" customFormat="false" ht="31.5" hidden="false" customHeight="true" outlineLevel="0" collapsed="false">
      <c r="A17" s="5" t="s">
        <v>619</v>
      </c>
      <c r="B17" s="8" t="n">
        <v>158.96</v>
      </c>
      <c r="C17" s="8" t="n">
        <v>119859134</v>
      </c>
      <c r="D17" s="8" t="n">
        <v>370.59</v>
      </c>
      <c r="E17" s="8" t="n">
        <v>55330140</v>
      </c>
      <c r="F17" s="10" t="n">
        <f aca="false">B17*C17</f>
        <v>19052807940.64</v>
      </c>
      <c r="G17" s="10" t="n">
        <f aca="false">D17*E17</f>
        <v>20504796582.6</v>
      </c>
      <c r="H17" s="5" t="s">
        <v>606</v>
      </c>
    </row>
    <row r="18" customFormat="false" ht="31.5" hidden="false" customHeight="true" outlineLevel="0" collapsed="false">
      <c r="A18" s="5" t="s">
        <v>620</v>
      </c>
      <c r="B18" s="8" t="n">
        <v>148.07</v>
      </c>
      <c r="C18" s="8" t="n">
        <v>69092538</v>
      </c>
      <c r="D18" s="8" t="n">
        <v>354.11</v>
      </c>
      <c r="E18" s="8" t="n">
        <v>31080774</v>
      </c>
      <c r="F18" s="10" t="n">
        <f aca="false">B18*C18</f>
        <v>10230532101.66</v>
      </c>
      <c r="G18" s="10" t="n">
        <f aca="false">D18*E18</f>
        <v>11006012881.14</v>
      </c>
      <c r="H18" s="5" t="s">
        <v>606</v>
      </c>
    </row>
    <row r="19" customFormat="false" ht="31.5" hidden="false" customHeight="true" outlineLevel="0" collapsed="false">
      <c r="A19" s="5" t="s">
        <v>621</v>
      </c>
      <c r="B19" s="8" t="n">
        <v>150.86</v>
      </c>
      <c r="C19" s="8" t="n">
        <v>79614173</v>
      </c>
      <c r="D19" s="8" t="n">
        <v>354.81</v>
      </c>
      <c r="E19" s="8" t="n">
        <v>39235838</v>
      </c>
      <c r="F19" s="10" t="n">
        <f aca="false">B19*C19</f>
        <v>12010594138.78</v>
      </c>
      <c r="G19" s="10" t="n">
        <f aca="false">D19*E19</f>
        <v>13921267680.78</v>
      </c>
      <c r="H19" s="5" t="s">
        <v>606</v>
      </c>
    </row>
    <row r="20" customFormat="false" ht="31.5" hidden="false" customHeight="true" outlineLevel="0" collapsed="false">
      <c r="A20" s="5" t="s">
        <v>622</v>
      </c>
      <c r="B20" s="8" t="n">
        <v>149.24</v>
      </c>
      <c r="C20" s="8" t="n">
        <v>80056715</v>
      </c>
      <c r="D20" s="8" t="n">
        <v>352.84</v>
      </c>
      <c r="E20" s="8" t="n">
        <v>32492406</v>
      </c>
      <c r="F20" s="10" t="n">
        <f aca="false">B20*C20</f>
        <v>11947664146.6</v>
      </c>
      <c r="G20" s="10" t="n">
        <f aca="false">D20*E20</f>
        <v>11464620533.04</v>
      </c>
      <c r="H20" s="5" t="s">
        <v>606</v>
      </c>
    </row>
    <row r="21" customFormat="false" ht="31.5" hidden="false" customHeight="true" outlineLevel="0" collapsed="false">
      <c r="A21" s="5" t="s">
        <v>623</v>
      </c>
      <c r="B21" s="8" t="n">
        <v>145.47</v>
      </c>
      <c r="C21" s="8" t="n">
        <v>83516666</v>
      </c>
      <c r="D21" s="8" t="n">
        <v>357.45</v>
      </c>
      <c r="E21" s="8" t="n">
        <v>39452901</v>
      </c>
      <c r="F21" s="10" t="n">
        <f aca="false">B21*C21</f>
        <v>12149169403.02</v>
      </c>
      <c r="G21" s="10" t="n">
        <f aca="false">D21*E21</f>
        <v>14102439462.45</v>
      </c>
      <c r="H21" s="5" t="s">
        <v>606</v>
      </c>
    </row>
    <row r="22" customFormat="false" ht="31.5" hidden="false" customHeight="true" outlineLevel="0" collapsed="false">
      <c r="A22" s="5" t="s">
        <v>624</v>
      </c>
      <c r="B22" s="8" t="n">
        <v>148.68</v>
      </c>
      <c r="C22" s="8" t="n">
        <v>54595189</v>
      </c>
      <c r="D22" s="8" t="n">
        <v>372.11</v>
      </c>
      <c r="E22" s="8" t="n">
        <v>45999470</v>
      </c>
      <c r="F22" s="10" t="n">
        <f aca="false">B22*C22</f>
        <v>8117212700.52</v>
      </c>
      <c r="G22" s="10" t="n">
        <f aca="false">D22*E22</f>
        <v>17116862781.7</v>
      </c>
      <c r="H22" s="5" t="s">
        <v>606</v>
      </c>
    </row>
    <row r="23" customFormat="false" ht="31.5" hidden="false" customHeight="true" outlineLevel="0" collapsed="false">
      <c r="A23" s="5" t="s">
        <v>625</v>
      </c>
      <c r="B23" s="8" t="n">
        <v>148.03</v>
      </c>
      <c r="C23" s="8" t="n">
        <v>72721441</v>
      </c>
      <c r="D23" s="8" t="n">
        <v>377.94</v>
      </c>
      <c r="E23" s="8" t="n">
        <v>26165727</v>
      </c>
      <c r="F23" s="10" t="n">
        <f aca="false">B23*C23</f>
        <v>10764954911.23</v>
      </c>
      <c r="G23" s="10" t="n">
        <f aca="false">D23*E23</f>
        <v>9889074862.38</v>
      </c>
      <c r="H23" s="5" t="s">
        <v>606</v>
      </c>
    </row>
    <row r="24" customFormat="false" ht="31.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31.5" hidden="false" customHeight="true" outlineLevel="0" collapsed="false">
      <c r="A25" s="5" t="s">
        <v>626</v>
      </c>
      <c r="B25" s="10" t="n">
        <f aca="false">SUM(F4:F23)/SUM(C4:C23)</f>
        <v>156.337202613</v>
      </c>
      <c r="C25" s="4"/>
      <c r="D25" s="10" t="n">
        <f aca="false">SUM(G4:G23)/SUM(E4:E23)</f>
        <v>369.240769172085</v>
      </c>
      <c r="E25" s="4"/>
      <c r="F25" s="4"/>
      <c r="G25" s="4"/>
      <c r="H25" s="4"/>
    </row>
    <row r="26" customFormat="false" ht="31.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43.5" hidden="false" customHeight="true" outlineLevel="0" collapsed="false">
      <c r="A27" s="4" t="s">
        <v>627</v>
      </c>
      <c r="B27" s="4"/>
      <c r="C27" s="4"/>
      <c r="D27" s="4"/>
      <c r="E27" s="4"/>
      <c r="F27" s="4"/>
      <c r="G27" s="4"/>
      <c r="H27" s="4"/>
    </row>
  </sheetData>
  <mergeCells count="3">
    <mergeCell ref="A1:H1"/>
    <mergeCell ref="A2:H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6.39"/>
    <col collapsed="false" customWidth="true" hidden="false" outlineLevel="0" max="4" min="2" style="0" width="18.2"/>
    <col collapsed="false" customWidth="true" hidden="false" outlineLevel="0" max="5" min="5" style="0" width="16.38"/>
    <col collapsed="false" customWidth="true" hidden="false" outlineLevel="0" max="6" min="6" style="0" width="54.59"/>
    <col collapsed="false" customWidth="true" hidden="false" outlineLevel="0" max="7" min="7" style="0" width="86.43"/>
    <col collapsed="false" customWidth="true" hidden="false" outlineLevel="0" max="8" min="8" style="0" width="77.33"/>
  </cols>
  <sheetData>
    <row r="1" customFormat="false" ht="31.5" hidden="false" customHeight="true" outlineLevel="0" collapsed="false">
      <c r="A1" s="6" t="s">
        <v>628</v>
      </c>
      <c r="B1" s="6"/>
      <c r="C1" s="6"/>
      <c r="D1" s="6"/>
      <c r="E1" s="6"/>
      <c r="F1" s="6"/>
      <c r="G1" s="6"/>
      <c r="H1" s="6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5" hidden="false" customHeight="true" outlineLevel="0" collapsed="false">
      <c r="A3" s="3" t="s">
        <v>629</v>
      </c>
      <c r="B3" s="3" t="s">
        <v>6</v>
      </c>
      <c r="C3" s="3" t="s">
        <v>630</v>
      </c>
      <c r="D3" s="3" t="s">
        <v>631</v>
      </c>
      <c r="E3" s="3" t="s">
        <v>499</v>
      </c>
      <c r="F3" s="3" t="s">
        <v>632</v>
      </c>
      <c r="G3" s="3" t="s">
        <v>633</v>
      </c>
      <c r="H3" s="3" t="s">
        <v>634</v>
      </c>
    </row>
    <row r="4" customFormat="false" ht="63.75" hidden="false" customHeight="true" outlineLevel="0" collapsed="false">
      <c r="A4" s="5" t="s">
        <v>635</v>
      </c>
      <c r="B4" s="5" t="s">
        <v>636</v>
      </c>
      <c r="C4" s="10" t="n">
        <f aca="false">原始数据!E224</f>
        <v>221</v>
      </c>
      <c r="D4" s="10" t="n">
        <f aca="false">原始数据!E225</f>
        <v>171</v>
      </c>
      <c r="E4" s="4" t="s">
        <v>509</v>
      </c>
      <c r="F4" s="5" t="s">
        <v>637</v>
      </c>
      <c r="G4" s="4" t="s">
        <v>638</v>
      </c>
      <c r="H4" s="4" t="s">
        <v>639</v>
      </c>
    </row>
    <row r="5" customFormat="false" ht="63.75" hidden="false" customHeight="true" outlineLevel="0" collapsed="false">
      <c r="A5" s="5" t="s">
        <v>635</v>
      </c>
      <c r="B5" s="5" t="s">
        <v>176</v>
      </c>
      <c r="C5" s="10" t="n">
        <f aca="false">原始数据!E227</f>
        <v>626</v>
      </c>
      <c r="D5" s="10" t="n">
        <f aca="false">原始数据!E228</f>
        <v>478</v>
      </c>
      <c r="E5" s="4" t="s">
        <v>509</v>
      </c>
      <c r="F5" s="5" t="s">
        <v>637</v>
      </c>
      <c r="G5" s="4" t="s">
        <v>640</v>
      </c>
      <c r="H5" s="4" t="s">
        <v>641</v>
      </c>
    </row>
    <row r="6" customFormat="false" ht="63.75" hidden="false" customHeight="true" outlineLevel="0" collapsed="false">
      <c r="A6" s="5" t="s">
        <v>642</v>
      </c>
      <c r="B6" s="5" t="s">
        <v>643</v>
      </c>
      <c r="C6" s="10" t="n">
        <f aca="false">原始数据!E230</f>
        <v>480</v>
      </c>
      <c r="D6" s="10" t="n">
        <f aca="false">原始数据!E237</f>
        <v>329</v>
      </c>
      <c r="E6" s="4" t="s">
        <v>509</v>
      </c>
      <c r="F6" s="5" t="s">
        <v>644</v>
      </c>
      <c r="G6" s="5" t="s">
        <v>645</v>
      </c>
      <c r="H6" s="5" t="s">
        <v>646</v>
      </c>
    </row>
    <row r="7" customFormat="false" ht="63.75" hidden="false" customHeight="true" outlineLevel="0" collapsed="false">
      <c r="A7" s="4" t="s">
        <v>647</v>
      </c>
      <c r="B7" s="5" t="s">
        <v>621</v>
      </c>
      <c r="C7" s="10" t="n">
        <f aca="false">原始数据!E231</f>
        <v>729</v>
      </c>
      <c r="D7" s="10" t="n">
        <f aca="false">原始数据!E232</f>
        <v>588</v>
      </c>
      <c r="E7" s="4" t="s">
        <v>509</v>
      </c>
      <c r="F7" s="5" t="s">
        <v>637</v>
      </c>
      <c r="G7" s="5" t="s">
        <v>648</v>
      </c>
      <c r="H7" s="4" t="s">
        <v>649</v>
      </c>
    </row>
    <row r="8" customFormat="false" ht="63.75" hidden="false" customHeight="true" outlineLevel="0" collapsed="false">
      <c r="A8" s="4" t="s">
        <v>650</v>
      </c>
      <c r="B8" s="5" t="s">
        <v>621</v>
      </c>
      <c r="C8" s="10" t="n">
        <f aca="false">原始数据!E233</f>
        <v>648</v>
      </c>
      <c r="D8" s="10" t="n">
        <f aca="false">原始数据!E232</f>
        <v>588</v>
      </c>
      <c r="E8" s="4" t="s">
        <v>509</v>
      </c>
      <c r="F8" s="5" t="s">
        <v>637</v>
      </c>
      <c r="G8" s="5" t="s">
        <v>651</v>
      </c>
      <c r="H8" s="4" t="s">
        <v>652</v>
      </c>
    </row>
    <row r="9" customFormat="false" ht="63.75" hidden="false" customHeight="true" outlineLevel="0" collapsed="false">
      <c r="A9" s="5" t="s">
        <v>653</v>
      </c>
      <c r="B9" s="5" t="s">
        <v>621</v>
      </c>
      <c r="C9" s="10" t="n">
        <f aca="false">原始数据!E236</f>
        <v>2865</v>
      </c>
      <c r="D9" s="4" t="s">
        <v>654</v>
      </c>
      <c r="E9" s="4" t="s">
        <v>509</v>
      </c>
      <c r="F9" s="5" t="s">
        <v>655</v>
      </c>
      <c r="G9" s="4" t="s">
        <v>656</v>
      </c>
      <c r="H9" s="4" t="s">
        <v>657</v>
      </c>
    </row>
    <row r="10" customFormat="false" ht="63.75" hidden="false" customHeight="true" outlineLevel="0" collapsed="false">
      <c r="A10" s="5" t="s">
        <v>658</v>
      </c>
      <c r="B10" s="5" t="s">
        <v>659</v>
      </c>
      <c r="C10" s="10" t="n">
        <f aca="false">原始数据!E226</f>
        <v>-142</v>
      </c>
      <c r="D10" s="10" t="n">
        <f aca="false">原始数据!E229</f>
        <v>863</v>
      </c>
      <c r="E10" s="4" t="s">
        <v>509</v>
      </c>
      <c r="F10" s="5" t="s">
        <v>660</v>
      </c>
      <c r="G10" s="4" t="s">
        <v>661</v>
      </c>
      <c r="H10" s="4" t="s">
        <v>662</v>
      </c>
    </row>
    <row r="11" customFormat="false" ht="63.75" hidden="false" customHeight="true" outlineLevel="0" collapsed="false">
      <c r="A11" s="5" t="s">
        <v>663</v>
      </c>
      <c r="B11" s="5" t="s">
        <v>621</v>
      </c>
      <c r="C11" s="10" t="n">
        <f aca="false">原始数据!E243</f>
        <v>2181</v>
      </c>
      <c r="D11" s="10" t="n">
        <f aca="false">原始数据!E244</f>
        <v>10716</v>
      </c>
      <c r="E11" s="4" t="s">
        <v>509</v>
      </c>
      <c r="F11" s="5" t="s">
        <v>664</v>
      </c>
      <c r="G11" s="4" t="s">
        <v>665</v>
      </c>
      <c r="H11" s="5" t="s">
        <v>666</v>
      </c>
    </row>
    <row r="12" customFormat="false" ht="63.75" hidden="false" customHeight="true" outlineLevel="0" collapsed="false">
      <c r="A12" s="5" t="s">
        <v>667</v>
      </c>
      <c r="B12" s="5" t="s">
        <v>636</v>
      </c>
      <c r="C12" s="10" t="n">
        <f aca="false">原始数据!E245</f>
        <v>351</v>
      </c>
      <c r="D12" s="10" t="n">
        <f aca="false">原始数据!E246</f>
        <v>561</v>
      </c>
      <c r="E12" s="4" t="s">
        <v>509</v>
      </c>
      <c r="F12" s="5" t="s">
        <v>668</v>
      </c>
      <c r="G12" s="5" t="s">
        <v>669</v>
      </c>
      <c r="H12" s="5" t="s">
        <v>670</v>
      </c>
    </row>
    <row r="13" customFormat="false" ht="63.75" hidden="false" customHeight="true" outlineLevel="0" collapsed="false">
      <c r="A13" s="5" t="s">
        <v>671</v>
      </c>
      <c r="B13" s="5" t="s">
        <v>84</v>
      </c>
      <c r="C13" s="10" t="n">
        <f aca="false">原始数据!E248</f>
        <v>506</v>
      </c>
      <c r="D13" s="10" t="n">
        <f aca="false">原始数据!E249</f>
        <v>131</v>
      </c>
      <c r="E13" s="4" t="s">
        <v>509</v>
      </c>
      <c r="F13" s="5" t="s">
        <v>672</v>
      </c>
      <c r="G13" s="4" t="s">
        <v>673</v>
      </c>
      <c r="H13" s="4" t="s">
        <v>674</v>
      </c>
    </row>
    <row r="14" customFormat="false" ht="63.75" hidden="false" customHeight="true" outlineLevel="0" collapsed="false">
      <c r="A14" s="5" t="s">
        <v>675</v>
      </c>
      <c r="B14" s="5" t="s">
        <v>84</v>
      </c>
      <c r="C14" s="10" t="n">
        <f aca="false">原始数据!E250</f>
        <v>143.3</v>
      </c>
      <c r="D14" s="10" t="n">
        <f aca="false">原始数据!E251</f>
        <v>430.1</v>
      </c>
      <c r="E14" s="4" t="s">
        <v>509</v>
      </c>
      <c r="F14" s="5" t="s">
        <v>676</v>
      </c>
      <c r="G14" s="4" t="s">
        <v>677</v>
      </c>
      <c r="H14" s="5" t="s">
        <v>678</v>
      </c>
    </row>
    <row r="15" customFormat="false" ht="63.75" hidden="false" customHeight="true" outlineLevel="0" collapsed="false">
      <c r="A15" s="4" t="s">
        <v>679</v>
      </c>
      <c r="B15" s="5" t="s">
        <v>84</v>
      </c>
      <c r="C15" s="10" t="n">
        <f aca="false">原始数据!E252</f>
        <v>11.4</v>
      </c>
      <c r="D15" s="10" t="n">
        <f aca="false">原始数据!E255</f>
        <v>4</v>
      </c>
      <c r="E15" s="4" t="s">
        <v>509</v>
      </c>
      <c r="F15" s="5" t="s">
        <v>676</v>
      </c>
      <c r="G15" s="4" t="s">
        <v>680</v>
      </c>
      <c r="H15" s="5" t="s">
        <v>681</v>
      </c>
    </row>
    <row r="16" customFormat="false" ht="63.75" hidden="false" customHeight="true" outlineLevel="0" collapsed="false">
      <c r="A16" s="5" t="s">
        <v>682</v>
      </c>
      <c r="B16" s="5" t="s">
        <v>84</v>
      </c>
      <c r="C16" s="10" t="n">
        <f aca="false">原始数据!E253</f>
        <v>0.4</v>
      </c>
      <c r="D16" s="10" t="n">
        <f aca="false">原始数据!E254</f>
        <v>3.3</v>
      </c>
      <c r="E16" s="4" t="s">
        <v>509</v>
      </c>
      <c r="F16" s="5" t="s">
        <v>676</v>
      </c>
      <c r="G16" s="4" t="s">
        <v>683</v>
      </c>
      <c r="H16" s="4" t="s">
        <v>684</v>
      </c>
    </row>
    <row r="17" customFormat="false" ht="63.75" hidden="false" customHeight="true" outlineLevel="0" collapsed="false">
      <c r="A17" s="5" t="s">
        <v>685</v>
      </c>
      <c r="B17" s="5" t="s">
        <v>84</v>
      </c>
      <c r="C17" s="10" t="n">
        <f aca="false">原始数据!E257</f>
        <v>0.9</v>
      </c>
      <c r="D17" s="10" t="n">
        <f aca="false">原始数据!E258</f>
        <v>4.8</v>
      </c>
      <c r="E17" s="4" t="s">
        <v>509</v>
      </c>
      <c r="F17" s="5" t="s">
        <v>676</v>
      </c>
      <c r="G17" s="4" t="s">
        <v>686</v>
      </c>
      <c r="H17" s="4" t="s">
        <v>687</v>
      </c>
    </row>
    <row r="18" customFormat="false" ht="63.75" hidden="false" customHeight="true" outlineLevel="0" collapsed="false">
      <c r="A18" s="5" t="s">
        <v>688</v>
      </c>
      <c r="B18" s="5" t="s">
        <v>84</v>
      </c>
      <c r="C18" s="10" t="n">
        <f aca="false">原始数据!E259</f>
        <v>3.3</v>
      </c>
      <c r="D18" s="10" t="n">
        <f aca="false">原始数据!E260</f>
        <v>12.9</v>
      </c>
      <c r="E18" s="4" t="s">
        <v>509</v>
      </c>
      <c r="F18" s="5" t="s">
        <v>676</v>
      </c>
      <c r="G18" s="4" t="s">
        <v>689</v>
      </c>
      <c r="H18" s="4" t="s">
        <v>690</v>
      </c>
    </row>
    <row r="19" customFormat="false" ht="63.75" hidden="false" customHeight="true" outlineLevel="0" collapsed="false">
      <c r="A19" s="5" t="s">
        <v>691</v>
      </c>
      <c r="B19" s="5" t="s">
        <v>692</v>
      </c>
      <c r="C19" s="4" t="s">
        <v>693</v>
      </c>
      <c r="D19" s="4" t="s">
        <v>654</v>
      </c>
      <c r="E19" s="4" t="s">
        <v>509</v>
      </c>
      <c r="F19" s="5" t="s">
        <v>694</v>
      </c>
      <c r="G19" s="4" t="s">
        <v>695</v>
      </c>
      <c r="H19" s="4" t="s">
        <v>696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3.66"/>
    <col collapsed="false" customWidth="true" hidden="false" outlineLevel="0" max="3" min="2" style="0" width="19.11"/>
    <col collapsed="false" customWidth="true" hidden="false" outlineLevel="0" max="4" min="4" style="0" width="20.93"/>
    <col collapsed="false" customWidth="true" hidden="false" outlineLevel="0" max="5" min="5" style="0" width="23.66"/>
    <col collapsed="false" customWidth="true" hidden="false" outlineLevel="0" max="6" min="6" style="0" width="20.93"/>
    <col collapsed="false" customWidth="true" hidden="false" outlineLevel="0" max="7" min="7" style="0" width="16.38"/>
    <col collapsed="false" customWidth="true" hidden="false" outlineLevel="0" max="8" min="8" style="0" width="100.08"/>
  </cols>
  <sheetData>
    <row r="1" customFormat="false" ht="31.5" hidden="false" customHeight="true" outlineLevel="0" collapsed="false">
      <c r="A1" s="6" t="s">
        <v>697</v>
      </c>
      <c r="B1" s="6"/>
      <c r="C1" s="6"/>
      <c r="D1" s="6"/>
      <c r="E1" s="6"/>
      <c r="F1" s="6"/>
      <c r="G1" s="6"/>
      <c r="H1" s="6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5" hidden="false" customHeight="true" outlineLevel="0" collapsed="false">
      <c r="A3" s="3" t="s">
        <v>2</v>
      </c>
      <c r="B3" s="7" t="s">
        <v>698</v>
      </c>
      <c r="C3" s="7" t="s">
        <v>699</v>
      </c>
      <c r="D3" s="3" t="s">
        <v>700</v>
      </c>
      <c r="E3" s="3" t="s">
        <v>701</v>
      </c>
      <c r="F3" s="3" t="s">
        <v>702</v>
      </c>
      <c r="G3" s="3" t="s">
        <v>499</v>
      </c>
      <c r="H3" s="3" t="s">
        <v>703</v>
      </c>
    </row>
    <row r="4" customFormat="false" ht="43.5" hidden="false" customHeight="true" outlineLevel="0" collapsed="false">
      <c r="A4" s="5" t="s">
        <v>545</v>
      </c>
      <c r="B4" s="5"/>
      <c r="C4" s="5"/>
      <c r="D4" s="5"/>
      <c r="E4" s="5"/>
      <c r="F4" s="5"/>
      <c r="G4" s="5"/>
      <c r="H4" s="5"/>
    </row>
    <row r="5" customFormat="false" ht="31.5" hidden="false" customHeight="true" outlineLevel="0" collapsed="false">
      <c r="A5" s="4" t="s">
        <v>548</v>
      </c>
      <c r="B5" s="10" t="n">
        <f aca="false">Tesla财务!F4</f>
        <v>28046</v>
      </c>
      <c r="C5" s="10" t="n">
        <f aca="false">SpaceX财务!F4</f>
        <v>14575</v>
      </c>
      <c r="D5" s="10" t="n">
        <f aca="false">B5+C5</f>
        <v>42621</v>
      </c>
      <c r="E5" s="10" t="n">
        <f aca="false">-原始数据!E224</f>
        <v>-221</v>
      </c>
      <c r="F5" s="10" t="n">
        <f aca="false">D5+E5</f>
        <v>42400</v>
      </c>
      <c r="G5" s="4" t="s">
        <v>509</v>
      </c>
      <c r="H5" s="4" t="s">
        <v>704</v>
      </c>
    </row>
    <row r="6" customFormat="false" ht="31.5" hidden="false" customHeight="true" outlineLevel="0" collapsed="false">
      <c r="A6" s="4" t="s">
        <v>551</v>
      </c>
      <c r="B6" s="10" t="n">
        <f aca="false">Tesla财务!F6</f>
        <v>5494</v>
      </c>
      <c r="C6" s="10" t="n">
        <f aca="false">SpaceX财务!F6</f>
        <v>9097</v>
      </c>
      <c r="D6" s="10" t="n">
        <f aca="false">B6+C6</f>
        <v>14591</v>
      </c>
      <c r="E6" s="10" t="n">
        <f aca="false">-(原始数据!E224-原始数据!E225)+假设!B10</f>
        <v>-50</v>
      </c>
      <c r="F6" s="10" t="n">
        <f aca="false">D6+E6</f>
        <v>14541</v>
      </c>
      <c r="G6" s="4" t="s">
        <v>509</v>
      </c>
      <c r="H6" s="4" t="s">
        <v>704</v>
      </c>
    </row>
    <row r="7" customFormat="false" ht="31.5" hidden="false" customHeight="true" outlineLevel="0" collapsed="false">
      <c r="A7" s="4" t="s">
        <v>552</v>
      </c>
      <c r="B7" s="10" t="n">
        <f aca="false">Tesla财务!F7</f>
        <v>718</v>
      </c>
      <c r="C7" s="10" t="n">
        <f aca="false">SpaceX财务!F7</f>
        <v>2791</v>
      </c>
      <c r="D7" s="10" t="n">
        <f aca="false">B7+C7</f>
        <v>3509</v>
      </c>
      <c r="E7" s="10" t="n">
        <f aca="false">-(原始数据!E224-原始数据!E225)+假设!B10+假设!B7-假设!B8</f>
        <v>-50</v>
      </c>
      <c r="F7" s="10" t="n">
        <f aca="false">D7+E7</f>
        <v>3459</v>
      </c>
      <c r="G7" s="4" t="s">
        <v>509</v>
      </c>
      <c r="H7" s="4" t="s">
        <v>705</v>
      </c>
    </row>
    <row r="8" customFormat="false" ht="31.5" hidden="false" customHeight="true" outlineLevel="0" collapsed="false">
      <c r="A8" s="4" t="s">
        <v>553</v>
      </c>
      <c r="B8" s="10" t="n">
        <f aca="false">Tesla财务!F8</f>
        <v>804</v>
      </c>
      <c r="C8" s="10" t="n">
        <f aca="false">SpaceX财务!F8</f>
        <v>4404</v>
      </c>
      <c r="D8" s="10" t="n">
        <f aca="false">B8+C8</f>
        <v>5208</v>
      </c>
      <c r="E8" s="10" t="n">
        <f aca="false">(-(原始数据!E224-原始数据!E225)+假设!B10+假设!B7-假设!B8)*(1-假设!B9)-原始数据!E286</f>
        <v>58</v>
      </c>
      <c r="F8" s="10" t="n">
        <f aca="false">D8+E8</f>
        <v>5266</v>
      </c>
      <c r="G8" s="4" t="s">
        <v>509</v>
      </c>
      <c r="H8" s="4" t="s">
        <v>706</v>
      </c>
    </row>
    <row r="9" customFormat="false" ht="31.5" hidden="false" customHeight="true" outlineLevel="0" collapsed="false">
      <c r="A9" s="4" t="s">
        <v>555</v>
      </c>
      <c r="B9" s="10" t="n">
        <f aca="false">Tesla财务!F10</f>
        <v>6263</v>
      </c>
      <c r="C9" s="10" t="n">
        <f aca="false">SpaceX财务!F10</f>
        <v>9631</v>
      </c>
      <c r="D9" s="10" t="n">
        <f aca="false">B9+C9</f>
        <v>15894</v>
      </c>
      <c r="E9" s="10" t="n">
        <f aca="false">-假设!B12</f>
        <v>-151</v>
      </c>
      <c r="F9" s="10" t="n">
        <f aca="false">D9+E9</f>
        <v>15743</v>
      </c>
      <c r="G9" s="4" t="s">
        <v>509</v>
      </c>
      <c r="H9" s="4" t="s">
        <v>704</v>
      </c>
    </row>
    <row r="10" customFormat="false" ht="31.5" hidden="false" customHeight="true" outlineLevel="0" collapsed="false">
      <c r="A10" s="4" t="s">
        <v>707</v>
      </c>
      <c r="B10" s="10" t="n">
        <f aca="false">Tesla财务!F11</f>
        <v>4732</v>
      </c>
      <c r="C10" s="10" t="n">
        <f aca="false">SpaceX财务!F11</f>
        <v>19593</v>
      </c>
      <c r="D10" s="10" t="n">
        <f aca="false">B10+C10</f>
        <v>24325</v>
      </c>
      <c r="E10" s="10" t="n">
        <f aca="false">-假设!B12</f>
        <v>-151</v>
      </c>
      <c r="F10" s="10" t="n">
        <f aca="false">D10+E10</f>
        <v>24174</v>
      </c>
      <c r="G10" s="4" t="s">
        <v>509</v>
      </c>
      <c r="H10" s="4" t="s">
        <v>704</v>
      </c>
    </row>
    <row r="11" customFormat="false" ht="31.5" hidden="false" customHeight="true" outlineLevel="0" collapsed="false">
      <c r="A11" s="4" t="s">
        <v>16</v>
      </c>
      <c r="B11" s="10" t="n">
        <f aca="false">Tesla财务!F12</f>
        <v>1531</v>
      </c>
      <c r="C11" s="10" t="n">
        <f aca="false">SpaceX财务!F12</f>
        <v>-9962</v>
      </c>
      <c r="D11" s="10" t="n">
        <f aca="false">B11+C11</f>
        <v>-8431</v>
      </c>
      <c r="E11" s="10" t="n">
        <f aca="false">E9-E10</f>
        <v>0</v>
      </c>
      <c r="F11" s="10" t="n">
        <f aca="false">D11+E11</f>
        <v>-8431</v>
      </c>
      <c r="G11" s="4" t="s">
        <v>509</v>
      </c>
      <c r="H11" s="4" t="s">
        <v>708</v>
      </c>
    </row>
    <row r="12" customFormat="false" ht="43.5" hidden="false" customHeight="true" outlineLevel="0" collapsed="false">
      <c r="A12" s="5" t="s">
        <v>709</v>
      </c>
      <c r="B12" s="5"/>
      <c r="C12" s="5"/>
      <c r="D12" s="5"/>
      <c r="E12" s="5"/>
      <c r="F12" s="5"/>
      <c r="G12" s="5"/>
      <c r="H12" s="5"/>
    </row>
    <row r="13" customFormat="false" ht="31.5" hidden="false" customHeight="true" outlineLevel="0" collapsed="false">
      <c r="A13" s="4" t="s">
        <v>548</v>
      </c>
      <c r="B13" s="10" t="n">
        <f aca="false">原始数据!E217</f>
        <v>78669</v>
      </c>
      <c r="C13" s="10" t="n">
        <f aca="false">原始数据!E69</f>
        <v>27083</v>
      </c>
      <c r="D13" s="10" t="n">
        <f aca="false">B13+C13</f>
        <v>105752</v>
      </c>
      <c r="E13" s="10" t="n">
        <f aca="false">-原始数据!E227</f>
        <v>-626</v>
      </c>
      <c r="F13" s="10" t="n">
        <f aca="false">D13+E13</f>
        <v>105126</v>
      </c>
      <c r="G13" s="4" t="s">
        <v>509</v>
      </c>
      <c r="H13" s="4" t="s">
        <v>704</v>
      </c>
    </row>
    <row r="14" customFormat="false" ht="31.5" hidden="false" customHeight="true" outlineLevel="0" collapsed="false">
      <c r="A14" s="4" t="s">
        <v>551</v>
      </c>
      <c r="B14" s="10" t="n">
        <f aca="false">原始数据!E217-原始数据!E218</f>
        <v>14965</v>
      </c>
      <c r="C14" s="10" t="n">
        <f aca="false">原始数据!E69-原始数据!E70</f>
        <v>15722</v>
      </c>
      <c r="D14" s="10" t="n">
        <f aca="false">B14+C14</f>
        <v>30687</v>
      </c>
      <c r="E14" s="10" t="n">
        <f aca="false">-(原始数据!E227-原始数据!E228)+假设!B11</f>
        <v>-148</v>
      </c>
      <c r="F14" s="10" t="n">
        <f aca="false">D14+E14</f>
        <v>30539</v>
      </c>
      <c r="G14" s="4" t="s">
        <v>509</v>
      </c>
      <c r="H14" s="4" t="s">
        <v>704</v>
      </c>
    </row>
    <row r="15" customFormat="false" ht="31.5" hidden="false" customHeight="true" outlineLevel="0" collapsed="false">
      <c r="A15" s="4" t="s">
        <v>552</v>
      </c>
      <c r="B15" s="10" t="n">
        <f aca="false">原始数据!E219</f>
        <v>2057</v>
      </c>
      <c r="C15" s="10" t="n">
        <f aca="false">原始数据!E71</f>
        <v>705</v>
      </c>
      <c r="D15" s="10" t="n">
        <f aca="false">B15+C15</f>
        <v>2762</v>
      </c>
      <c r="E15" s="10" t="n">
        <f aca="false">-(原始数据!E227-原始数据!E228)+假设!B11</f>
        <v>-148</v>
      </c>
      <c r="F15" s="10" t="n">
        <f aca="false">D15+E15</f>
        <v>2614</v>
      </c>
      <c r="G15" s="4" t="s">
        <v>509</v>
      </c>
      <c r="H15" s="4" t="s">
        <v>705</v>
      </c>
    </row>
    <row r="16" customFormat="false" ht="31.5" hidden="false" customHeight="true" outlineLevel="0" collapsed="false">
      <c r="A16" s="4" t="s">
        <v>553</v>
      </c>
      <c r="B16" s="10" t="n">
        <f aca="false">原始数据!E220</f>
        <v>2423</v>
      </c>
      <c r="C16" s="10" t="n">
        <f aca="false">原始数据!E72</f>
        <v>-413</v>
      </c>
      <c r="D16" s="10" t="n">
        <f aca="false">B16+C16</f>
        <v>2010</v>
      </c>
      <c r="E16" s="10" t="n">
        <f aca="false">(-(原始数据!E227-原始数据!E228)+假设!B11)*(1-假设!B9)-原始数据!E287</f>
        <v>-803</v>
      </c>
      <c r="F16" s="10" t="n">
        <f aca="false">D16+E16</f>
        <v>1207</v>
      </c>
      <c r="G16" s="4" t="s">
        <v>509</v>
      </c>
      <c r="H16" s="4" t="s">
        <v>706</v>
      </c>
    </row>
    <row r="17" customFormat="false" ht="31.5" hidden="false" customHeight="true" outlineLevel="0" collapsed="false">
      <c r="A17" s="4" t="s">
        <v>555</v>
      </c>
      <c r="B17" s="10" t="n">
        <f aca="false">原始数据!E222</f>
        <v>14897</v>
      </c>
      <c r="C17" s="10" t="n">
        <f aca="false">原始数据!E74</f>
        <v>13097</v>
      </c>
      <c r="D17" s="10" t="n">
        <f aca="false">B17+C17</f>
        <v>27994</v>
      </c>
      <c r="E17" s="10" t="n">
        <f aca="false">-假设!B13</f>
        <v>-480</v>
      </c>
      <c r="F17" s="10" t="n">
        <f aca="false">D17+E17</f>
        <v>27514</v>
      </c>
      <c r="G17" s="4" t="s">
        <v>509</v>
      </c>
      <c r="H17" s="4" t="s">
        <v>704</v>
      </c>
    </row>
    <row r="18" customFormat="false" ht="31.5" hidden="false" customHeight="true" outlineLevel="0" collapsed="false">
      <c r="A18" s="4" t="s">
        <v>707</v>
      </c>
      <c r="B18" s="10" t="n">
        <f aca="false">原始数据!E223</f>
        <v>13014</v>
      </c>
      <c r="C18" s="10" t="n">
        <f aca="false">原始数据!E75</f>
        <v>48069</v>
      </c>
      <c r="D18" s="10" t="n">
        <f aca="false">B18+C18</f>
        <v>61083</v>
      </c>
      <c r="E18" s="10" t="n">
        <f aca="false">-假设!B13</f>
        <v>-480</v>
      </c>
      <c r="F18" s="10" t="n">
        <f aca="false">D18+E18</f>
        <v>60603</v>
      </c>
      <c r="G18" s="4" t="s">
        <v>509</v>
      </c>
      <c r="H18" s="4" t="s">
        <v>704</v>
      </c>
    </row>
    <row r="19" customFormat="false" ht="31.5" hidden="false" customHeight="true" outlineLevel="0" collapsed="false">
      <c r="A19" s="4" t="s">
        <v>16</v>
      </c>
      <c r="B19" s="10" t="n">
        <f aca="false">原始数据!E222-原始数据!E223</f>
        <v>1883</v>
      </c>
      <c r="C19" s="10" t="n">
        <f aca="false">原始数据!E74-原始数据!E75</f>
        <v>-34972</v>
      </c>
      <c r="D19" s="10" t="n">
        <f aca="false">B19+C19</f>
        <v>-33089</v>
      </c>
      <c r="E19" s="10" t="n">
        <f aca="false">E17-E18</f>
        <v>0</v>
      </c>
      <c r="F19" s="10" t="n">
        <f aca="false">D19+E19</f>
        <v>-33089</v>
      </c>
      <c r="G19" s="4" t="s">
        <v>509</v>
      </c>
      <c r="H19" s="4" t="s">
        <v>708</v>
      </c>
    </row>
    <row r="20" customFormat="false" ht="43.5" hidden="false" customHeight="true" outlineLevel="0" collapsed="false">
      <c r="A20" s="5" t="s">
        <v>710</v>
      </c>
      <c r="B20" s="5"/>
      <c r="C20" s="5"/>
      <c r="D20" s="5"/>
      <c r="E20" s="5"/>
      <c r="F20" s="5"/>
      <c r="G20" s="5"/>
      <c r="H20" s="5"/>
    </row>
    <row r="21" customFormat="false" ht="31.5" hidden="false" customHeight="true" outlineLevel="0" collapsed="false">
      <c r="A21" s="4" t="s">
        <v>548</v>
      </c>
      <c r="B21" s="10" t="n">
        <f aca="false">Tesla财务!G4</f>
        <v>103570</v>
      </c>
      <c r="C21" s="10" t="n">
        <f aca="false">SpaceX财务!G4</f>
        <v>32043</v>
      </c>
      <c r="D21" s="10" t="n">
        <f aca="false">B21+C21</f>
        <v>135613</v>
      </c>
      <c r="E21" s="4" t="s">
        <v>711</v>
      </c>
      <c r="F21" s="10" t="n">
        <f aca="false">D21</f>
        <v>135613</v>
      </c>
      <c r="G21" s="4" t="s">
        <v>509</v>
      </c>
      <c r="H21" s="5" t="s">
        <v>712</v>
      </c>
    </row>
    <row r="22" customFormat="false" ht="31.5" hidden="false" customHeight="true" outlineLevel="0" collapsed="false">
      <c r="A22" s="4" t="s">
        <v>551</v>
      </c>
      <c r="B22" s="10" t="n">
        <f aca="false">Tesla财务!G6</f>
        <v>19974</v>
      </c>
      <c r="C22" s="10" t="n">
        <f aca="false">SpaceX财务!G6</f>
        <v>18180</v>
      </c>
      <c r="D22" s="10" t="n">
        <f aca="false">B22+C22</f>
        <v>38154</v>
      </c>
      <c r="E22" s="4" t="s">
        <v>711</v>
      </c>
      <c r="F22" s="10" t="n">
        <f aca="false">D22</f>
        <v>38154</v>
      </c>
      <c r="G22" s="4" t="s">
        <v>509</v>
      </c>
      <c r="H22" s="5" t="s">
        <v>712</v>
      </c>
    </row>
    <row r="23" customFormat="false" ht="31.5" hidden="false" customHeight="true" outlineLevel="0" collapsed="false">
      <c r="A23" s="4" t="s">
        <v>552</v>
      </c>
      <c r="B23" s="10" t="n">
        <f aca="false">Tesla财务!G7</f>
        <v>3466</v>
      </c>
      <c r="C23" s="10" t="n">
        <f aca="false">SpaceX财务!G7</f>
        <v>-668</v>
      </c>
      <c r="D23" s="10" t="n">
        <f aca="false">B23+C23</f>
        <v>2798</v>
      </c>
      <c r="E23" s="4" t="s">
        <v>711</v>
      </c>
      <c r="F23" s="10" t="n">
        <f aca="false">D23</f>
        <v>2798</v>
      </c>
      <c r="G23" s="4" t="s">
        <v>509</v>
      </c>
      <c r="H23" s="5" t="s">
        <v>712</v>
      </c>
    </row>
    <row r="24" customFormat="false" ht="31.5" hidden="false" customHeight="true" outlineLevel="0" collapsed="false">
      <c r="A24" s="4" t="s">
        <v>553</v>
      </c>
      <c r="B24" s="10" t="n">
        <f aca="false">Tesla财务!G8</f>
        <v>3279</v>
      </c>
      <c r="C24" s="10" t="n">
        <f aca="false">SpaceX财务!G8</f>
        <v>-2760</v>
      </c>
      <c r="D24" s="10" t="n">
        <f aca="false">B24+C24</f>
        <v>519</v>
      </c>
      <c r="E24" s="4" t="s">
        <v>711</v>
      </c>
      <c r="F24" s="10" t="n">
        <f aca="false">D24</f>
        <v>519</v>
      </c>
      <c r="G24" s="4" t="s">
        <v>509</v>
      </c>
      <c r="H24" s="5" t="s">
        <v>712</v>
      </c>
    </row>
    <row r="25" customFormat="false" ht="31.5" hidden="false" customHeight="true" outlineLevel="0" collapsed="false">
      <c r="A25" s="4" t="s">
        <v>555</v>
      </c>
      <c r="B25" s="10" t="n">
        <f aca="false">Tesla财务!G10</f>
        <v>18710</v>
      </c>
      <c r="C25" s="10" t="n">
        <f aca="false">SpaceX财务!G10</f>
        <v>15762</v>
      </c>
      <c r="D25" s="10" t="n">
        <f aca="false">B25+C25</f>
        <v>34472</v>
      </c>
      <c r="E25" s="4" t="s">
        <v>711</v>
      </c>
      <c r="F25" s="10" t="n">
        <f aca="false">D25</f>
        <v>34472</v>
      </c>
      <c r="G25" s="4" t="s">
        <v>509</v>
      </c>
      <c r="H25" s="5" t="s">
        <v>712</v>
      </c>
    </row>
    <row r="26" customFormat="false" ht="31.5" hidden="false" customHeight="true" outlineLevel="0" collapsed="false">
      <c r="A26" s="4" t="s">
        <v>707</v>
      </c>
      <c r="B26" s="10" t="n">
        <f aca="false">Tesla财务!G11</f>
        <v>15407</v>
      </c>
      <c r="C26" s="10" t="n">
        <f aca="false">SpaceX财务!G11</f>
        <v>54960</v>
      </c>
      <c r="D26" s="10" t="n">
        <f aca="false">B26+C26</f>
        <v>70367</v>
      </c>
      <c r="E26" s="4" t="s">
        <v>711</v>
      </c>
      <c r="F26" s="10" t="n">
        <f aca="false">D26</f>
        <v>70367</v>
      </c>
      <c r="G26" s="4" t="s">
        <v>509</v>
      </c>
      <c r="H26" s="5" t="s">
        <v>712</v>
      </c>
    </row>
    <row r="27" customFormat="false" ht="31.5" hidden="false" customHeight="true" outlineLevel="0" collapsed="false">
      <c r="A27" s="4" t="s">
        <v>16</v>
      </c>
      <c r="B27" s="10" t="n">
        <f aca="false">Tesla财务!G12</f>
        <v>3303</v>
      </c>
      <c r="C27" s="10" t="n">
        <f aca="false">SpaceX财务!G12</f>
        <v>-39198</v>
      </c>
      <c r="D27" s="10" t="n">
        <f aca="false">B27+C27</f>
        <v>-35895</v>
      </c>
      <c r="E27" s="4" t="s">
        <v>711</v>
      </c>
      <c r="F27" s="10" t="n">
        <f aca="false">D27</f>
        <v>-35895</v>
      </c>
      <c r="G27" s="4" t="s">
        <v>509</v>
      </c>
      <c r="H27" s="5" t="s">
        <v>712</v>
      </c>
    </row>
    <row r="28" customFormat="false" ht="31.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43.5" hidden="false" customHeight="true" outlineLevel="0" collapsed="false">
      <c r="A29" s="5" t="s">
        <v>713</v>
      </c>
      <c r="B29" s="5"/>
      <c r="C29" s="5"/>
      <c r="D29" s="5"/>
      <c r="E29" s="5"/>
      <c r="F29" s="5"/>
      <c r="G29" s="5"/>
      <c r="H29" s="5"/>
    </row>
    <row r="30" customFormat="false" ht="31.5" hidden="false" customHeight="true" outlineLevel="0" collapsed="false">
      <c r="A30" s="4" t="s">
        <v>557</v>
      </c>
      <c r="B30" s="10" t="n">
        <f aca="false">Tesla财务!F13</f>
        <v>45447</v>
      </c>
      <c r="C30" s="10" t="n">
        <f aca="false">SpaceX财务!F13</f>
        <v>89855</v>
      </c>
      <c r="D30" s="10" t="n">
        <f aca="false">B30+C30</f>
        <v>135302</v>
      </c>
      <c r="E30" s="10" t="n">
        <f aca="false">0</f>
        <v>0</v>
      </c>
      <c r="F30" s="10" t="n">
        <f aca="false">D30+E30</f>
        <v>135302</v>
      </c>
      <c r="G30" s="4"/>
      <c r="H30" s="4" t="s">
        <v>714</v>
      </c>
    </row>
    <row r="31" customFormat="false" ht="31.5" hidden="false" customHeight="true" outlineLevel="0" collapsed="false">
      <c r="A31" s="4" t="s">
        <v>715</v>
      </c>
      <c r="B31" s="10" t="n">
        <f aca="false">Tesla财务!F14</f>
        <v>9523</v>
      </c>
      <c r="C31" s="10" t="n">
        <f aca="false">SpaceX财务!F14</f>
        <v>38844</v>
      </c>
      <c r="D31" s="10" t="n">
        <f aca="false">B31+C31</f>
        <v>48367</v>
      </c>
      <c r="E31" s="10" t="n">
        <f aca="false">0</f>
        <v>0</v>
      </c>
      <c r="F31" s="10" t="n">
        <f aca="false">D31+E31</f>
        <v>48367</v>
      </c>
      <c r="G31" s="4"/>
      <c r="H31" s="4" t="s">
        <v>714</v>
      </c>
    </row>
    <row r="32" customFormat="false" ht="31.5" hidden="false" customHeight="true" outlineLevel="0" collapsed="false">
      <c r="A32" s="4" t="s">
        <v>563</v>
      </c>
      <c r="B32" s="10" t="n">
        <f aca="false">Tesla财务!F18</f>
        <v>35924</v>
      </c>
      <c r="C32" s="10" t="n">
        <f aca="false">SpaceX财务!F18</f>
        <v>51011</v>
      </c>
      <c r="D32" s="10" t="n">
        <f aca="false">B32+C32</f>
        <v>86935</v>
      </c>
      <c r="E32" s="10" t="n">
        <f aca="false">0</f>
        <v>0</v>
      </c>
      <c r="F32" s="10" t="n">
        <f aca="false">D32+E32</f>
        <v>86935</v>
      </c>
      <c r="G32" s="4"/>
      <c r="H32" s="4" t="s">
        <v>714</v>
      </c>
    </row>
    <row r="33" customFormat="false" ht="31.5" hidden="false" customHeight="true" outlineLevel="0" collapsed="false">
      <c r="A33" s="4" t="s">
        <v>561</v>
      </c>
      <c r="B33" s="10" t="n">
        <f aca="false">Tesla财务!F16</f>
        <v>157517</v>
      </c>
      <c r="C33" s="10" t="n">
        <f aca="false">SpaceX财务!F16</f>
        <v>254045</v>
      </c>
      <c r="D33" s="10" t="n">
        <f aca="false">B33+C33</f>
        <v>411562</v>
      </c>
      <c r="E33" s="10" t="n">
        <f aca="false">-原始数据!E236-(原始数据!E227-原始数据!E228)+假设!B11-假设!B16-假设!B14-假设!B15</f>
        <v>-3013</v>
      </c>
      <c r="F33" s="10" t="n">
        <f aca="false">D33+E33</f>
        <v>408549</v>
      </c>
      <c r="G33" s="4"/>
      <c r="H33" s="4" t="s">
        <v>714</v>
      </c>
    </row>
    <row r="34" customFormat="false" ht="31.5" hidden="false" customHeight="true" outlineLevel="0" collapsed="false">
      <c r="A34" s="4" t="s">
        <v>562</v>
      </c>
      <c r="B34" s="10" t="n">
        <f aca="false">Tesla财务!F17</f>
        <v>67628</v>
      </c>
      <c r="C34" s="10" t="n">
        <f aca="false">SpaceX财务!F17</f>
        <v>77277</v>
      </c>
      <c r="D34" s="10" t="n">
        <f aca="false">B34+C34</f>
        <v>144905</v>
      </c>
      <c r="E34" s="10" t="n">
        <f aca="false">-假设!B14-假设!B15</f>
        <v>-0</v>
      </c>
      <c r="F34" s="10" t="n">
        <f aca="false">D34+E34</f>
        <v>144905</v>
      </c>
      <c r="G34" s="4"/>
      <c r="H34" s="4" t="s">
        <v>714</v>
      </c>
    </row>
    <row r="35" customFormat="false" ht="31.5" hidden="false" customHeight="true" outlineLevel="0" collapsed="false">
      <c r="A35" s="4" t="s">
        <v>716</v>
      </c>
      <c r="B35" s="10" t="n">
        <f aca="false">Tesla财务!F15</f>
        <v>89289</v>
      </c>
      <c r="C35" s="10" t="n">
        <f aca="false">SpaceX财务!F15</f>
        <v>176768</v>
      </c>
      <c r="D35" s="10" t="n">
        <f aca="false">B35+C35</f>
        <v>266057</v>
      </c>
      <c r="E35" s="10" t="n">
        <f aca="false">-原始数据!E236-(原始数据!E227-原始数据!E228)+假设!B11-假设!B16</f>
        <v>-3013</v>
      </c>
      <c r="F35" s="10" t="n">
        <f aca="false">D35+E35</f>
        <v>263044</v>
      </c>
      <c r="G35" s="4"/>
      <c r="H35" s="4" t="s">
        <v>714</v>
      </c>
    </row>
    <row r="36" customFormat="false" ht="31.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43.5" hidden="false" customHeight="true" outlineLevel="0" collapsed="false">
      <c r="A37" s="5" t="s">
        <v>717</v>
      </c>
      <c r="B37" s="5"/>
      <c r="C37" s="5"/>
      <c r="D37" s="5"/>
      <c r="E37" s="5"/>
      <c r="F37" s="5"/>
      <c r="G37" s="5"/>
      <c r="H37" s="5"/>
    </row>
    <row r="38" customFormat="false" ht="31.5" hidden="false" customHeight="true" outlineLevel="0" collapsed="false">
      <c r="A38" s="4" t="s">
        <v>718</v>
      </c>
      <c r="B38" s="10" t="n">
        <f aca="false">分部财务!F16</f>
        <v>25165</v>
      </c>
      <c r="C38" s="11" t="n">
        <f aca="false">B38/F5</f>
        <v>0.593514150943396</v>
      </c>
      <c r="D38" s="10" t="n">
        <f aca="false">分部财务!F18</f>
        <v>4540</v>
      </c>
      <c r="E38" s="4"/>
      <c r="F38" s="4"/>
      <c r="G38" s="4"/>
      <c r="H38" s="5" t="s">
        <v>719</v>
      </c>
    </row>
    <row r="39" customFormat="false" ht="31.5" hidden="false" customHeight="true" outlineLevel="0" collapsed="false">
      <c r="A39" s="4" t="s">
        <v>720</v>
      </c>
      <c r="B39" s="10" t="n">
        <f aca="false">分部财务!F19-原始数据!E224</f>
        <v>2660</v>
      </c>
      <c r="C39" s="11" t="n">
        <f aca="false">B39/F5</f>
        <v>0.0627358490566038</v>
      </c>
      <c r="D39" s="10" t="n">
        <f aca="false">分部财务!F21-(原始数据!E224-原始数据!E225)</f>
        <v>904</v>
      </c>
      <c r="E39" s="4"/>
      <c r="F39" s="4"/>
      <c r="G39" s="4"/>
      <c r="H39" s="5" t="s">
        <v>719</v>
      </c>
    </row>
    <row r="40" customFormat="false" ht="31.5" hidden="false" customHeight="true" outlineLevel="0" collapsed="false">
      <c r="A40" s="4" t="s">
        <v>721</v>
      </c>
      <c r="B40" s="10" t="n">
        <f aca="false">分部财务!F4</f>
        <v>1767</v>
      </c>
      <c r="C40" s="11" t="n">
        <f aca="false">B40/F5</f>
        <v>0.0416745283018868</v>
      </c>
      <c r="D40" s="10" t="n">
        <f aca="false">分部财务!F7</f>
        <v>-7</v>
      </c>
      <c r="E40" s="4"/>
      <c r="F40" s="4"/>
      <c r="G40" s="4"/>
      <c r="H40" s="5" t="s">
        <v>722</v>
      </c>
    </row>
    <row r="41" customFormat="false" ht="31.5" hidden="false" customHeight="true" outlineLevel="0" collapsed="false">
      <c r="A41" s="4" t="s">
        <v>723</v>
      </c>
      <c r="B41" s="10" t="n">
        <f aca="false">分部财务!F8</f>
        <v>5248</v>
      </c>
      <c r="C41" s="11" t="n">
        <f aca="false">B41/F5</f>
        <v>0.12377358490566</v>
      </c>
      <c r="D41" s="10" t="n">
        <f aca="false">分部财务!F11</f>
        <v>2367</v>
      </c>
      <c r="E41" s="4"/>
      <c r="F41" s="4"/>
      <c r="G41" s="4"/>
      <c r="H41" s="5" t="s">
        <v>722</v>
      </c>
    </row>
    <row r="42" customFormat="false" ht="31.5" hidden="false" customHeight="true" outlineLevel="0" collapsed="false">
      <c r="A42" s="4" t="s">
        <v>724</v>
      </c>
      <c r="B42" s="10" t="n">
        <f aca="false">分部财务!F12</f>
        <v>7560</v>
      </c>
      <c r="C42" s="11" t="n">
        <f aca="false">B42/F5</f>
        <v>0.178301886792453</v>
      </c>
      <c r="D42" s="10" t="n">
        <f aca="false">分部财务!F15</f>
        <v>431</v>
      </c>
      <c r="E42" s="4"/>
      <c r="F42" s="4"/>
      <c r="G42" s="4"/>
      <c r="H42" s="5" t="s">
        <v>722</v>
      </c>
    </row>
    <row r="43" customFormat="false" ht="31.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31.5" hidden="false" customHeight="true" outlineLevel="0" collapsed="false">
      <c r="A44" s="4" t="s">
        <v>725</v>
      </c>
      <c r="B44" s="4"/>
      <c r="C44" s="4"/>
      <c r="D44" s="4"/>
      <c r="E44" s="4"/>
      <c r="F44" s="10" t="n">
        <f aca="false">原始数据!E284+原始数据!E285</f>
        <v>600</v>
      </c>
      <c r="G44" s="4"/>
      <c r="H44" s="4" t="s">
        <v>726</v>
      </c>
    </row>
  </sheetData>
  <mergeCells count="7">
    <mergeCell ref="A1:H1"/>
    <mergeCell ref="A2:H2"/>
    <mergeCell ref="A4:H4"/>
    <mergeCell ref="A12:H12"/>
    <mergeCell ref="A20:H20"/>
    <mergeCell ref="A29:H29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0.04"/>
    <col collapsed="false" customWidth="true" hidden="false" outlineLevel="0" max="2" min="2" style="0" width="22.75"/>
    <col collapsed="false" customWidth="true" hidden="false" outlineLevel="0" max="3" min="3" style="0" width="18.2"/>
    <col collapsed="false" customWidth="true" hidden="false" outlineLevel="0" max="4" min="4" style="0" width="113.73"/>
  </cols>
  <sheetData>
    <row r="1" customFormat="false" ht="31.5" hidden="false" customHeight="true" outlineLevel="0" collapsed="false">
      <c r="A1" s="6" t="s">
        <v>727</v>
      </c>
      <c r="B1" s="6"/>
      <c r="C1" s="6"/>
      <c r="D1" s="6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3" customFormat="false" ht="28.5" hidden="false" customHeight="true" outlineLevel="0" collapsed="false">
      <c r="A3" s="3" t="s">
        <v>2</v>
      </c>
      <c r="B3" s="3" t="s">
        <v>498</v>
      </c>
      <c r="C3" s="3" t="s">
        <v>499</v>
      </c>
      <c r="D3" s="3" t="s">
        <v>728</v>
      </c>
    </row>
    <row r="4" customFormat="false" ht="31.5" hidden="false" customHeight="true" outlineLevel="0" collapsed="false">
      <c r="A4" s="5" t="s">
        <v>729</v>
      </c>
      <c r="B4" s="10" t="n">
        <f aca="false">原始数据!E261</f>
        <v>3952.648559</v>
      </c>
      <c r="C4" s="4" t="s">
        <v>530</v>
      </c>
      <c r="D4" s="5" t="s">
        <v>730</v>
      </c>
    </row>
    <row r="5" customFormat="false" ht="31.5" hidden="false" customHeight="true" outlineLevel="0" collapsed="false">
      <c r="A5" s="5" t="s">
        <v>731</v>
      </c>
      <c r="B5" s="10" t="n">
        <f aca="false">原始数据!E274+原始数据!E275</f>
        <v>13579</v>
      </c>
      <c r="C5" s="4" t="s">
        <v>530</v>
      </c>
      <c r="D5" s="5" t="s">
        <v>732</v>
      </c>
    </row>
    <row r="6" customFormat="false" ht="31.5" hidden="false" customHeight="true" outlineLevel="0" collapsed="false">
      <c r="A6" s="5" t="s">
        <v>733</v>
      </c>
      <c r="B6" s="10" t="n">
        <f aca="false">原始数据!E276*原始数据!E277</f>
        <v>19</v>
      </c>
      <c r="C6" s="4" t="s">
        <v>530</v>
      </c>
      <c r="D6" s="5" t="s">
        <v>734</v>
      </c>
    </row>
    <row r="7" customFormat="false" ht="31.5" hidden="false" customHeight="true" outlineLevel="0" collapsed="false">
      <c r="A7" s="5" t="s">
        <v>735</v>
      </c>
      <c r="B7" s="10" t="n">
        <f aca="false">B5-B6</f>
        <v>13560</v>
      </c>
      <c r="C7" s="4" t="s">
        <v>530</v>
      </c>
      <c r="D7" s="4" t="s">
        <v>736</v>
      </c>
    </row>
    <row r="8" customFormat="false" ht="31.5" hidden="false" customHeight="true" outlineLevel="0" collapsed="false">
      <c r="A8" s="5" t="s">
        <v>737</v>
      </c>
      <c r="B8" s="10" t="n">
        <f aca="false">原始数据!E262</f>
        <v>699.580882</v>
      </c>
      <c r="C8" s="4" t="s">
        <v>530</v>
      </c>
      <c r="D8" s="5" t="s">
        <v>738</v>
      </c>
    </row>
    <row r="9" customFormat="false" ht="31.5" hidden="false" customHeight="true" outlineLevel="0" collapsed="false">
      <c r="A9" s="5" t="s">
        <v>739</v>
      </c>
      <c r="B9" s="10" t="n">
        <f aca="false">原始数据!E266+原始数据!E267-原始数据!E268+假设!B17</f>
        <v>6068.547515</v>
      </c>
      <c r="C9" s="4" t="s">
        <v>530</v>
      </c>
      <c r="D9" s="5" t="s">
        <v>740</v>
      </c>
    </row>
    <row r="10" customFormat="false" ht="31.5" hidden="false" customHeight="true" outlineLevel="0" collapsed="false">
      <c r="A10" s="5" t="s">
        <v>741</v>
      </c>
      <c r="B10" s="12" t="n">
        <f aca="false">B8/B4</f>
        <v>0.176990408218076</v>
      </c>
      <c r="C10" s="4" t="s">
        <v>501</v>
      </c>
      <c r="D10" s="4" t="s">
        <v>742</v>
      </c>
    </row>
    <row r="11" customFormat="false" ht="31.5" hidden="false" customHeight="true" outlineLevel="0" collapsed="false">
      <c r="A11" s="5" t="s">
        <v>743</v>
      </c>
      <c r="B11" s="12" t="n">
        <f aca="false">B9/B5</f>
        <v>0.446906805729435</v>
      </c>
      <c r="C11" s="4" t="s">
        <v>501</v>
      </c>
      <c r="D11" s="5" t="s">
        <v>744</v>
      </c>
    </row>
    <row r="12" customFormat="false" ht="31.5" hidden="false" customHeight="true" outlineLevel="0" collapsed="false">
      <c r="A12" s="5" t="s">
        <v>745</v>
      </c>
      <c r="B12" s="12" t="n">
        <f aca="false">B8/(B4-原始数据!E263)</f>
        <v>0.198243067011965</v>
      </c>
      <c r="C12" s="4" t="s">
        <v>501</v>
      </c>
      <c r="D12" s="4" t="s">
        <v>746</v>
      </c>
    </row>
    <row r="13" customFormat="false" ht="31.5" hidden="false" customHeight="true" outlineLevel="0" collapsed="false">
      <c r="A13" s="5" t="s">
        <v>747</v>
      </c>
      <c r="B13" s="12" t="n">
        <f aca="false">(原始数据!E266+原始数据!E267)/(原始数据!E270+原始数据!E271+原始数据!E272+原始数据!E268)</f>
        <v>0.477540157174083</v>
      </c>
      <c r="C13" s="4" t="s">
        <v>501</v>
      </c>
      <c r="D13" s="4" t="s">
        <v>748</v>
      </c>
    </row>
    <row r="14" customFormat="false" ht="31.5" hidden="false" customHeight="true" outlineLevel="0" collapsed="false">
      <c r="A14" s="5" t="s">
        <v>749</v>
      </c>
      <c r="B14" s="11" t="n">
        <f aca="false">原始数据!E273</f>
        <v>0.844</v>
      </c>
      <c r="C14" s="4" t="s">
        <v>501</v>
      </c>
      <c r="D14" s="4" t="s">
        <v>750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9.12"/>
    <col collapsed="false" customWidth="true" hidden="false" outlineLevel="0" max="4" min="2" style="0" width="22.75"/>
    <col collapsed="false" customWidth="true" hidden="false" outlineLevel="0" max="5" min="5" style="0" width="109.18"/>
  </cols>
  <sheetData>
    <row r="1" customFormat="false" ht="31.5" hidden="false" customHeight="true" outlineLevel="0" collapsed="false">
      <c r="A1" s="6" t="s">
        <v>751</v>
      </c>
      <c r="B1" s="6"/>
      <c r="C1" s="6"/>
      <c r="D1" s="6"/>
      <c r="E1" s="6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8.5" hidden="false" customHeight="true" outlineLevel="0" collapsed="false">
      <c r="A3" s="3" t="s">
        <v>2</v>
      </c>
      <c r="B3" s="7" t="s">
        <v>752</v>
      </c>
      <c r="C3" s="7" t="s">
        <v>753</v>
      </c>
      <c r="D3" s="3" t="s">
        <v>754</v>
      </c>
      <c r="E3" s="3" t="s">
        <v>755</v>
      </c>
    </row>
    <row r="4" customFormat="false" ht="31.5" hidden="false" customHeight="true" outlineLevel="0" collapsed="false">
      <c r="A4" s="5" t="s">
        <v>756</v>
      </c>
      <c r="B4" s="13" t="n">
        <f aca="false">市场数据!B4</f>
        <v>159.31</v>
      </c>
      <c r="C4" s="13" t="n">
        <f aca="false">市场数据!B25</f>
        <v>156.337202613</v>
      </c>
      <c r="D4" s="13" t="n">
        <f aca="false">(SpaceX财务!G4*假设!B5+SpaceX财务!F18+假设!B20)/股本与持股!B5</f>
        <v>32.0735694822888</v>
      </c>
      <c r="E4" s="4"/>
    </row>
    <row r="5" customFormat="false" ht="31.5" hidden="false" customHeight="true" outlineLevel="0" collapsed="false">
      <c r="A5" s="5" t="s">
        <v>757</v>
      </c>
      <c r="B5" s="13" t="n">
        <f aca="false">市场数据!D4</f>
        <v>386.47</v>
      </c>
      <c r="C5" s="13" t="n">
        <f aca="false">市场数据!D25</f>
        <v>369.240769172085</v>
      </c>
      <c r="D5" s="13" t="n">
        <f aca="false">(Tesla财务!G4*假设!B6+Tesla财务!F18+股本与持股!B6*D4+假设!B21)/股本与持股!B4</f>
        <v>114.053498835276</v>
      </c>
      <c r="E5" s="4"/>
    </row>
    <row r="6" customFormat="false" ht="31.5" hidden="false" customHeight="true" outlineLevel="0" collapsed="false">
      <c r="A6" s="5" t="s">
        <v>758</v>
      </c>
      <c r="B6" s="13" t="n">
        <f aca="false">B4*股本与持股!B5</f>
        <v>2163270.49</v>
      </c>
      <c r="C6" s="13" t="n">
        <f aca="false">C4*股本与持股!B5</f>
        <v>2122902.87428193</v>
      </c>
      <c r="D6" s="13" t="n">
        <f aca="false">D4*股本与持股!B5</f>
        <v>435527</v>
      </c>
      <c r="E6" s="4" t="s">
        <v>759</v>
      </c>
    </row>
    <row r="7" customFormat="false" ht="31.5" hidden="false" customHeight="true" outlineLevel="0" collapsed="false">
      <c r="A7" s="5" t="s">
        <v>760</v>
      </c>
      <c r="B7" s="13" t="n">
        <f aca="false">B5*股本与持股!B4</f>
        <v>1527580.08859673</v>
      </c>
      <c r="C7" s="13" t="n">
        <f aca="false">C5*股本与持股!B4</f>
        <v>1459478.99419209</v>
      </c>
      <c r="D7" s="13" t="n">
        <f aca="false">D5*股本与持股!B4</f>
        <v>450813.397820163</v>
      </c>
      <c r="E7" s="4" t="s">
        <v>761</v>
      </c>
    </row>
    <row r="8" customFormat="false" ht="31.5" hidden="false" customHeight="true" outlineLevel="0" collapsed="false">
      <c r="A8" s="4" t="s">
        <v>762</v>
      </c>
      <c r="B8" s="13" t="n">
        <f aca="false">B4*股本与持股!B7*(1+假设!B4)</f>
        <v>2160243.6</v>
      </c>
      <c r="C8" s="13" t="n">
        <f aca="false">C4*股本与持股!B7*(1+假设!B4)</f>
        <v>2119932.46743228</v>
      </c>
      <c r="D8" s="13" t="n">
        <f aca="false">D4*股本与持股!B7*(1+假设!B4)</f>
        <v>434917.602179837</v>
      </c>
      <c r="E8" s="4"/>
    </row>
    <row r="9" customFormat="false" ht="31.5" hidden="false" customHeight="true" outlineLevel="0" collapsed="false">
      <c r="A9" s="4" t="s">
        <v>763</v>
      </c>
      <c r="B9" s="14" t="n">
        <f aca="false">B4*(1+假设!B4)/B5</f>
        <v>0.412218283437265</v>
      </c>
      <c r="C9" s="14" t="n">
        <f aca="false">C4*(1+假设!B4)/C5</f>
        <v>0.423401790012356</v>
      </c>
      <c r="D9" s="14" t="n">
        <f aca="false">D4*(1+假设!B4)/D5</f>
        <v>0.281215129827903</v>
      </c>
      <c r="E9" s="4" t="s">
        <v>764</v>
      </c>
    </row>
    <row r="10" customFormat="false" ht="31.5" hidden="false" customHeight="true" outlineLevel="0" collapsed="false">
      <c r="A10" s="4" t="s">
        <v>765</v>
      </c>
      <c r="B10" s="13" t="n">
        <f aca="false">B9*股本与持股!B7</f>
        <v>5589.67992340932</v>
      </c>
      <c r="C10" s="13" t="n">
        <f aca="false">C9*股本与持股!B7</f>
        <v>5741.32827256755</v>
      </c>
      <c r="D10" s="13" t="n">
        <f aca="false">D9*股本与持股!B7</f>
        <v>3813.27716046636</v>
      </c>
      <c r="E10" s="4"/>
    </row>
    <row r="11" customFormat="false" ht="31.5" hidden="false" customHeight="true" outlineLevel="0" collapsed="false">
      <c r="A11" s="4" t="s">
        <v>766</v>
      </c>
      <c r="B11" s="13" t="n">
        <f aca="false">B10+股本与持股!B4</f>
        <v>9542.32848240932</v>
      </c>
      <c r="C11" s="13" t="n">
        <f aca="false">C10+股本与持股!B4</f>
        <v>9693.97683156755</v>
      </c>
      <c r="D11" s="13" t="n">
        <f aca="false">D10+股本与持股!B4</f>
        <v>7765.92571946636</v>
      </c>
      <c r="E11" s="4"/>
    </row>
    <row r="12" customFormat="false" ht="31.5" hidden="false" customHeight="true" outlineLevel="0" collapsed="false">
      <c r="A12" s="4" t="s">
        <v>767</v>
      </c>
      <c r="B12" s="12" t="n">
        <f aca="false">B10/B11</f>
        <v>0.585777353369625</v>
      </c>
      <c r="C12" s="12" t="n">
        <f aca="false">C10/C11</f>
        <v>0.592257271945548</v>
      </c>
      <c r="D12" s="12" t="n">
        <f aca="false">D10/D11</f>
        <v>0.491026736311404</v>
      </c>
      <c r="E12" s="4"/>
    </row>
    <row r="13" customFormat="false" ht="31.5" hidden="false" customHeight="true" outlineLevel="0" collapsed="false">
      <c r="A13" s="4" t="s">
        <v>768</v>
      </c>
      <c r="B13" s="12" t="n">
        <f aca="false">股本与持股!B4/B11</f>
        <v>0.414222646630375</v>
      </c>
      <c r="C13" s="12" t="n">
        <f aca="false">股本与持股!B4/C11</f>
        <v>0.407742728054452</v>
      </c>
      <c r="D13" s="12" t="n">
        <f aca="false">股本与持股!B4/D11</f>
        <v>0.508973263688596</v>
      </c>
      <c r="E13" s="4"/>
    </row>
    <row r="14" customFormat="false" ht="31.5" hidden="false" customHeight="true" outlineLevel="0" collapsed="false">
      <c r="A14" s="5" t="s">
        <v>769</v>
      </c>
      <c r="B14" s="12" t="n">
        <f aca="false">(股本与持股!B8+股本与持股!B9*B9)/B11</f>
        <v>0.335468133117812</v>
      </c>
      <c r="C14" s="12" t="n">
        <f aca="false">(股本与持股!B8+股本与持股!B9*C9)/C11</f>
        <v>0.337221227100604</v>
      </c>
      <c r="D14" s="12" t="n">
        <f aca="false">(股本与持股!B8+股本与持股!B9*D9)/D11</f>
        <v>0.309834055361382</v>
      </c>
      <c r="E14" s="4" t="s">
        <v>770</v>
      </c>
    </row>
    <row r="15" customFormat="false" ht="31.5" hidden="false" customHeight="true" outlineLevel="0" collapsed="false">
      <c r="A15" s="4" t="s">
        <v>771</v>
      </c>
      <c r="B15" s="13" t="n">
        <f aca="false">(B14-股本与持股!B10)*100</f>
        <v>15.8477724899736</v>
      </c>
      <c r="C15" s="13" t="n">
        <f aca="false">(C14-股本与持股!B10)*100</f>
        <v>16.0230818882528</v>
      </c>
      <c r="D15" s="13" t="n">
        <f aca="false">(D14-股本与持股!B10)*100</f>
        <v>13.2843647143306</v>
      </c>
      <c r="E15" s="4"/>
    </row>
    <row r="16" customFormat="false" ht="31.5" hidden="false" customHeight="true" outlineLevel="0" collapsed="false">
      <c r="A16" s="4" t="s">
        <v>772</v>
      </c>
      <c r="B16" s="13" t="n">
        <f aca="false">(B14-股本与持股!B11)*100</f>
        <v>-11.1438672611623</v>
      </c>
      <c r="C16" s="13" t="n">
        <f aca="false">(C14-股本与持股!B11)*100</f>
        <v>-10.9685578628831</v>
      </c>
      <c r="D16" s="13" t="n">
        <f aca="false">(D14-股本与持股!B11)*100</f>
        <v>-13.7072750368053</v>
      </c>
      <c r="E16" s="4"/>
    </row>
    <row r="17" customFormat="false" ht="31.5" hidden="false" customHeight="true" outlineLevel="0" collapsed="false">
      <c r="A17" s="4" t="s">
        <v>773</v>
      </c>
      <c r="B17" s="12" t="n">
        <f aca="false">(股本与持股!B8+(股本与持股!B9+原始数据!E268*假设!B18)*B9)/(B11+原始数据!E268*假设!B18*B9)</f>
        <v>0.345365952434407</v>
      </c>
      <c r="C17" s="12" t="n">
        <f aca="false">(股本与持股!B8+(股本与持股!B9+原始数据!E268*假设!B18)*C9)/(C11+原始数据!E268*假设!B18*C9)</f>
        <v>0.347200492542707</v>
      </c>
      <c r="D17" s="12" t="n">
        <f aca="false">(股本与持股!B8+(股本与持股!B9+原始数据!E268*假设!B18)*D9)/(D11+原始数据!E268*假设!B18*D9)</f>
        <v>0.318471740387746</v>
      </c>
      <c r="E17" s="4" t="s">
        <v>774</v>
      </c>
    </row>
    <row r="18" customFormat="false" ht="31.5" hidden="false" customHeight="true" outlineLevel="0" collapsed="false">
      <c r="A18" s="4" t="s">
        <v>775</v>
      </c>
      <c r="B18" s="12" t="n">
        <f aca="false">(股本与持股!B8+原始数据!E263*假设!B19+股本与持股!B9*B9)/B11</f>
        <v>0.379874894505365</v>
      </c>
      <c r="C18" s="12" t="n">
        <f aca="false">(股本与持股!B8+原始数据!E263*假设!B19+股本与持股!B9*C9)/C11</f>
        <v>0.380933308464376</v>
      </c>
      <c r="D18" s="12" t="n">
        <f aca="false">(股本与持股!B8+原始数据!E263*假设!B19+股本与持股!B9*D9)/D11</f>
        <v>0.364398561810089</v>
      </c>
      <c r="E18" s="4" t="s">
        <v>776</v>
      </c>
    </row>
    <row r="19" customFormat="false" ht="31.5" hidden="false" customHeight="true" outlineLevel="0" collapsed="false">
      <c r="A19" s="4"/>
      <c r="B19" s="4"/>
      <c r="C19" s="4"/>
      <c r="D19" s="4"/>
      <c r="E19" s="4"/>
    </row>
    <row r="20" customFormat="false" ht="31.5" hidden="false" customHeight="true" outlineLevel="0" collapsed="false">
      <c r="A20" s="4"/>
      <c r="B20" s="4"/>
      <c r="C20" s="4"/>
      <c r="D20" s="4"/>
      <c r="E20" s="4"/>
    </row>
    <row r="21" customFormat="false" ht="31.5" hidden="false" customHeight="true" outlineLevel="0" collapsed="false">
      <c r="A21" s="4"/>
      <c r="B21" s="4"/>
      <c r="C21" s="4"/>
      <c r="D21" s="4"/>
      <c r="E21" s="4"/>
    </row>
    <row r="22" customFormat="false" ht="43.5" hidden="false" customHeight="true" outlineLevel="0" collapsed="false">
      <c r="A22" s="4" t="s">
        <v>777</v>
      </c>
      <c r="B22" s="4"/>
      <c r="C22" s="4"/>
      <c r="D22" s="4"/>
      <c r="E22" s="4"/>
    </row>
  </sheetData>
  <mergeCells count="3">
    <mergeCell ref="A1:E1"/>
    <mergeCell ref="A2:E2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93"/>
    <col collapsed="false" customWidth="true" hidden="false" outlineLevel="0" max="4" min="2" style="0" width="23.66"/>
    <col collapsed="false" customWidth="true" hidden="false" outlineLevel="0" max="5" min="5" style="0" width="54.59"/>
  </cols>
  <sheetData>
    <row r="1" customFormat="false" ht="31.5" hidden="false" customHeight="true" outlineLevel="0" collapsed="false">
      <c r="A1" s="6" t="s">
        <v>778</v>
      </c>
      <c r="B1" s="6"/>
      <c r="C1" s="6"/>
      <c r="D1" s="6"/>
      <c r="E1" s="6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8.5" hidden="false" customHeight="true" outlineLevel="0" collapsed="false">
      <c r="A3" s="7" t="s">
        <v>779</v>
      </c>
      <c r="B3" s="7" t="s">
        <v>752</v>
      </c>
      <c r="C3" s="7" t="s">
        <v>753</v>
      </c>
      <c r="D3" s="3" t="s">
        <v>754</v>
      </c>
      <c r="E3" s="3" t="s">
        <v>780</v>
      </c>
    </row>
    <row r="4" customFormat="false" ht="31.5" hidden="false" customHeight="true" outlineLevel="0" collapsed="false">
      <c r="A4" s="15" t="n">
        <v>-0.2</v>
      </c>
      <c r="B4" s="14" t="n">
        <f aca="false">换股比例!B4*(1+$A4)/换股比例!B5</f>
        <v>0.329774626749812</v>
      </c>
      <c r="C4" s="14" t="n">
        <f aca="false">换股比例!C4*(1+$A4)/换股比例!C5</f>
        <v>0.338721432009885</v>
      </c>
      <c r="D4" s="14" t="n">
        <f aca="false">换股比例!D4*(1+$A4)/换股比例!D5</f>
        <v>0.224972103862322</v>
      </c>
      <c r="E4" s="4" t="s">
        <v>781</v>
      </c>
    </row>
    <row r="5" customFormat="false" ht="31.5" hidden="false" customHeight="true" outlineLevel="0" collapsed="false">
      <c r="A5" s="15" t="n">
        <v>-0.1</v>
      </c>
      <c r="B5" s="14" t="n">
        <f aca="false">换股比例!B4*(1+$A5)/换股比例!B5</f>
        <v>0.370996455093539</v>
      </c>
      <c r="C5" s="14" t="n">
        <f aca="false">换股比例!C4*(1+$A5)/换股比例!C5</f>
        <v>0.38106161101112</v>
      </c>
      <c r="D5" s="14" t="n">
        <f aca="false">换股比例!D4*(1+$A5)/换股比例!D5</f>
        <v>0.253093616845113</v>
      </c>
      <c r="E5" s="4" t="s">
        <v>781</v>
      </c>
    </row>
    <row r="6" customFormat="false" ht="31.5" hidden="false" customHeight="true" outlineLevel="0" collapsed="false">
      <c r="A6" s="15" t="n">
        <v>0</v>
      </c>
      <c r="B6" s="14" t="n">
        <f aca="false">换股比例!B4*(1+$A6)/换股比例!B5</f>
        <v>0.412218283437265</v>
      </c>
      <c r="C6" s="14" t="n">
        <f aca="false">换股比例!C4*(1+$A6)/换股比例!C5</f>
        <v>0.423401790012356</v>
      </c>
      <c r="D6" s="14" t="n">
        <f aca="false">换股比例!D4*(1+$A6)/换股比例!D5</f>
        <v>0.281215129827903</v>
      </c>
      <c r="E6" s="4" t="s">
        <v>781</v>
      </c>
    </row>
    <row r="7" customFormat="false" ht="31.5" hidden="false" customHeight="true" outlineLevel="0" collapsed="false">
      <c r="A7" s="15" t="n">
        <v>0.1</v>
      </c>
      <c r="B7" s="14" t="n">
        <f aca="false">换股比例!B4*(1+$A7)/换股比例!B5</f>
        <v>0.453440111780992</v>
      </c>
      <c r="C7" s="14" t="n">
        <f aca="false">换股比例!C4*(1+$A7)/换股比例!C5</f>
        <v>0.465741969013591</v>
      </c>
      <c r="D7" s="14" t="n">
        <f aca="false">换股比例!D4*(1+$A7)/换股比例!D5</f>
        <v>0.309336642810693</v>
      </c>
      <c r="E7" s="4" t="s">
        <v>781</v>
      </c>
    </row>
    <row r="8" customFormat="false" ht="31.5" hidden="false" customHeight="true" outlineLevel="0" collapsed="false">
      <c r="A8" s="15" t="n">
        <v>0.2</v>
      </c>
      <c r="B8" s="14" t="n">
        <f aca="false">换股比例!B4*(1+$A8)/换股比例!B5</f>
        <v>0.494661940124719</v>
      </c>
      <c r="C8" s="14" t="n">
        <f aca="false">换股比例!C4*(1+$A8)/换股比例!C5</f>
        <v>0.508082148014827</v>
      </c>
      <c r="D8" s="14" t="n">
        <f aca="false">换股比例!D4*(1+$A8)/换股比例!D5</f>
        <v>0.337458155793483</v>
      </c>
      <c r="E8" s="4" t="s">
        <v>781</v>
      </c>
    </row>
    <row r="9" customFormat="false" ht="31.5" hidden="false" customHeight="true" outlineLevel="0" collapsed="false">
      <c r="A9" s="15" t="n">
        <v>0.3</v>
      </c>
      <c r="B9" s="14" t="n">
        <f aca="false">换股比例!B4*(1+$A9)/换股比例!B5</f>
        <v>0.535883768468445</v>
      </c>
      <c r="C9" s="14" t="n">
        <f aca="false">换股比例!C4*(1+$A9)/换股比例!C5</f>
        <v>0.550422327016063</v>
      </c>
      <c r="D9" s="14" t="n">
        <f aca="false">换股比例!D4*(1+$A9)/换股比例!D5</f>
        <v>0.365579668776274</v>
      </c>
      <c r="E9" s="4" t="s">
        <v>781</v>
      </c>
    </row>
    <row r="10" customFormat="false" ht="31.5" hidden="false" customHeight="true" outlineLevel="0" collapsed="false">
      <c r="A10" s="4"/>
      <c r="B10" s="4"/>
      <c r="C10" s="4"/>
      <c r="D10" s="4"/>
      <c r="E10" s="4"/>
    </row>
    <row r="11" customFormat="false" ht="31.5" hidden="false" customHeight="true" outlineLevel="0" collapsed="false">
      <c r="A11" s="4"/>
      <c r="B11" s="4"/>
      <c r="C11" s="4"/>
      <c r="D11" s="4"/>
      <c r="E11" s="4"/>
    </row>
    <row r="12" customFormat="false" ht="31.5" hidden="false" customHeight="true" outlineLevel="0" collapsed="false">
      <c r="A12" s="15" t="n">
        <v>-0.2</v>
      </c>
      <c r="B12" s="12" t="n">
        <f aca="false">(换股比例!B4*(1+$A12)/换股比例!B5)*股本与持股!B7/(股本与持股!B4+(换股比例!B4*(1+$A12)/换股比例!B5)*股本与持股!B7)</f>
        <v>0.530809069014026</v>
      </c>
      <c r="C12" s="12" t="n">
        <f aca="false">(换股比例!C4*(1+$A12)/换股比例!C5)*股本与持股!B7/(股本与持股!B4+(换股比例!C4*(1+$A12)/换股比例!C5)*股本与持股!B7)</f>
        <v>0.537469910097922</v>
      </c>
      <c r="D12" s="12" t="n">
        <f aca="false">(换股比例!D4*(1+$A12)/换股比例!D5)*股本与持股!B7/(股本与持股!B4+(换股比例!D4*(1+$A12)/换股比例!D5)*股本与持股!B7)</f>
        <v>0.435599598929284</v>
      </c>
      <c r="E12" s="4" t="s">
        <v>767</v>
      </c>
    </row>
    <row r="13" customFormat="false" ht="31.5" hidden="false" customHeight="true" outlineLevel="0" collapsed="false">
      <c r="A13" s="15" t="n">
        <v>-0.1</v>
      </c>
      <c r="B13" s="12" t="n">
        <f aca="false">(换股比例!B4*(1+$A13)/换股比例!B5)*股本与持股!B7/(股本与持股!B4+(换股比例!B4*(1+$A13)/换股比例!B5)*股本与持股!B7)</f>
        <v>0.560003345811417</v>
      </c>
      <c r="C13" s="12" t="n">
        <f aca="false">(换股比例!C4*(1+$A13)/换股比例!C5)*股本与持股!B7/(股本与持股!B4+(换股比例!C4*(1+$A13)/换股比例!C5)*股本与持股!B7)</f>
        <v>0.566588139322158</v>
      </c>
      <c r="D13" s="12" t="n">
        <f aca="false">(换股比例!D4*(1+$A13)/换股比例!D5)*股本与持股!B7/(股本与持股!B4+(换股比例!D4*(1+$A13)/换股比例!D5)*股本与持股!B7)</f>
        <v>0.464744247802037</v>
      </c>
      <c r="E13" s="4" t="s">
        <v>767</v>
      </c>
    </row>
    <row r="14" customFormat="false" ht="31.5" hidden="false" customHeight="true" outlineLevel="0" collapsed="false">
      <c r="A14" s="15" t="n">
        <v>0</v>
      </c>
      <c r="B14" s="12" t="n">
        <f aca="false">(换股比例!B4*(1+$A14)/换股比例!B5)*股本与持股!B7/(股本与持股!B4+(换股比例!B4*(1+$A14)/换股比例!B5)*股本与持股!B7)</f>
        <v>0.585777353369625</v>
      </c>
      <c r="C14" s="12" t="n">
        <f aca="false">(换股比例!C4*(1+$A14)/换股比例!C5)*股本与持股!B7/(股本与持股!B4+(换股比例!C4*(1+$A14)/换股比例!C5)*股本与持股!B7)</f>
        <v>0.592257271945548</v>
      </c>
      <c r="D14" s="12" t="n">
        <f aca="false">(换股比例!D4*(1+$A14)/换股比例!D5)*股本与持股!B7/(股本与持股!B4+(换股比例!D4*(1+$A14)/换股比例!D5)*股本与持股!B7)</f>
        <v>0.491026736311404</v>
      </c>
      <c r="E14" s="4" t="s">
        <v>767</v>
      </c>
    </row>
    <row r="15" customFormat="false" ht="31.5" hidden="false" customHeight="true" outlineLevel="0" collapsed="false">
      <c r="A15" s="15" t="n">
        <v>0.1</v>
      </c>
      <c r="B15" s="12" t="n">
        <f aca="false">(换股比例!B4*(1+$A15)/换股比例!B5)*股本与持股!B7/(股本与持股!B4+(换股比例!B4*(1+$A15)/换股比例!B5)*股本与持股!B7)</f>
        <v>0.608698886436978</v>
      </c>
      <c r="C15" s="12" t="n">
        <f aca="false">(换股比例!C4*(1+$A15)/换股比例!C5)*股本与持股!B7/(股本与持股!B4+(换股比例!C4*(1+$A15)/换股比例!C5)*股本与持股!B7)</f>
        <v>0.615055868087352</v>
      </c>
      <c r="D15" s="12" t="n">
        <f aca="false">(换股比例!D4*(1+$A15)/换股比例!D5)*股本与持股!B7/(股本与持股!B4+(换股比例!D4*(1+$A15)/换股比例!D5)*股本与持股!B7)</f>
        <v>0.514848949982232</v>
      </c>
      <c r="E15" s="4" t="s">
        <v>767</v>
      </c>
    </row>
    <row r="16" customFormat="false" ht="31.5" hidden="false" customHeight="true" outlineLevel="0" collapsed="false">
      <c r="A16" s="15" t="n">
        <v>0.2</v>
      </c>
      <c r="B16" s="12" t="n">
        <f aca="false">(换股比例!B4*(1+$A16)/换股比例!B5)*股本与持股!B7/(股本与持股!B4+(换股比例!B4*(1+$A16)/换股比例!B5)*股本与持股!B7)</f>
        <v>0.629216651125116</v>
      </c>
      <c r="C16" s="12" t="n">
        <f aca="false">(换股比例!C4*(1+$A16)/换股比例!C5)*股本与持股!B7/(股本与持股!B4+(换股比例!C4*(1+$A16)/换股比例!C5)*股本与持股!B7)</f>
        <v>0.635439941130786</v>
      </c>
      <c r="D16" s="12" t="n">
        <f aca="false">(换股比例!D4*(1+$A16)/换股比例!D5)*股本与持股!B7/(股本与持股!B4+(换股比例!D4*(1+$A16)/换股比例!D5)*股本与持股!B7)</f>
        <v>0.536540898332524</v>
      </c>
      <c r="E16" s="4" t="s">
        <v>767</v>
      </c>
    </row>
    <row r="17" customFormat="false" ht="31.5" hidden="false" customHeight="true" outlineLevel="0" collapsed="false">
      <c r="A17" s="15" t="n">
        <v>0.3</v>
      </c>
      <c r="B17" s="12" t="n">
        <f aca="false">(换股比例!B4*(1+$A17)/换股比例!B5)*股本与持股!B7/(股本与持股!B4+(换股比例!B4*(1+$A17)/换股比例!B5)*股本与持股!B7)</f>
        <v>0.647689931259338</v>
      </c>
      <c r="C17" s="12" t="n">
        <f aca="false">(换股比例!C4*(1+$A17)/换股比例!C5)*股本与持股!B7/(股本与持股!B4+(换股比例!C4*(1+$A17)/换股比例!C5)*股本与持股!B7)</f>
        <v>0.653773772277607</v>
      </c>
      <c r="D17" s="12" t="n">
        <f aca="false">(换股比例!D4*(1+$A17)/换股比例!D5)*股本与持股!B7/(股本与持股!B4+(换股比例!D4*(1+$A17)/换股比例!D5)*股本与持股!B7)</f>
        <v>0.556376095678079</v>
      </c>
      <c r="E17" s="4" t="s">
        <v>767</v>
      </c>
    </row>
    <row r="18" customFormat="false" ht="31.5" hidden="false" customHeight="true" outlineLevel="0" collapsed="false">
      <c r="A18" s="4"/>
      <c r="B18" s="4"/>
      <c r="C18" s="4"/>
      <c r="D18" s="4"/>
      <c r="E18" s="4"/>
    </row>
    <row r="19" customFormat="false" ht="31.5" hidden="false" customHeight="true" outlineLevel="0" collapsed="false">
      <c r="A19" s="4"/>
      <c r="B19" s="4"/>
      <c r="C19" s="4"/>
      <c r="D19" s="4"/>
      <c r="E19" s="4"/>
    </row>
    <row r="20" customFormat="false" ht="31.5" hidden="false" customHeight="true" outlineLevel="0" collapsed="false">
      <c r="A20" s="15" t="n">
        <v>-0.2</v>
      </c>
      <c r="B20" s="12" t="n">
        <f aca="false">(股本与持股!B8+(换股比例!B4*(1+$A20)/换股比例!B5)*股本与持股!B9)/(股本与持股!B4+(换股比例!B4*(1+$A20)/换股比例!B5)*股本与持股!B7)</f>
        <v>0.320596870860563</v>
      </c>
      <c r="C20" s="12" t="n">
        <f aca="false">(股本与持股!B8+(换股比例!C4*(1+$A20)/换股比例!C5)*股本与持股!B9)/(股本与持股!B4+(换股比例!C4*(1+$A20)/换股比例!C5)*股本与持股!B7)</f>
        <v>0.32239891208804</v>
      </c>
      <c r="D20" s="12" t="n">
        <f aca="false">(股本与持股!B8+(换股比例!D4*(1+$A20)/换股比例!D5)*股本与持股!B9)/(股本与持股!B4+(换股比例!D4*(1+$A20)/换股比例!D5)*股本与持股!B7)</f>
        <v>0.294838653815906</v>
      </c>
      <c r="E20" s="5" t="s">
        <v>769</v>
      </c>
    </row>
    <row r="21" customFormat="false" ht="31.5" hidden="false" customHeight="true" outlineLevel="0" collapsed="false">
      <c r="A21" s="15" t="n">
        <v>-0.1</v>
      </c>
      <c r="B21" s="12" t="n">
        <f aca="false">(股本与持股!B8+(换股比例!B4*(1+$A21)/换股比例!B5)*股本与持股!B9)/(股本与持股!B4+(换股比例!B4*(1+$A21)/换股比例!B5)*股本与持股!B7)</f>
        <v>0.328495166245882</v>
      </c>
      <c r="C21" s="12" t="n">
        <f aca="false">(股本与持股!B8+(换股比例!C4*(1+$A21)/换股比例!C5)*股本与持股!B9)/(股本与持股!B4+(换股比例!C4*(1+$A21)/换股比例!C5)*股本与持股!B7)</f>
        <v>0.330276633365623</v>
      </c>
      <c r="D21" s="12" t="n">
        <f aca="false">(股本与持股!B8+(换股比例!D4*(1+$A21)/换股比例!D5)*股本与持股!B9)/(股本与持股!B4+(换股比例!D4*(1+$A21)/换股比例!D5)*股本与持股!B7)</f>
        <v>0.302723522733741</v>
      </c>
      <c r="E21" s="5" t="s">
        <v>769</v>
      </c>
    </row>
    <row r="22" customFormat="false" ht="31.5" hidden="false" customHeight="true" outlineLevel="0" collapsed="false">
      <c r="A22" s="15" t="n">
        <v>0</v>
      </c>
      <c r="B22" s="12" t="n">
        <f aca="false">(股本与持股!B8+(换股比例!B4*(1+$A22)/换股比例!B5)*股本与持股!B9)/(股本与持股!B4+(换股比例!B4*(1+$A22)/换股比例!B5)*股本与持股!B7)</f>
        <v>0.335468133117812</v>
      </c>
      <c r="C22" s="12" t="n">
        <f aca="false">(股本与持股!B8+(换股比例!C4*(1+$A22)/换股比例!C5)*股本与持股!B9)/(股本与持股!B4+(换股比例!C4*(1+$A22)/换股比例!C5)*股本与持股!B7)</f>
        <v>0.337221227100604</v>
      </c>
      <c r="D22" s="12" t="n">
        <f aca="false">(股本与持股!B8+(换股比例!D4*(1+$A22)/换股比例!D5)*股本与持股!B9)/(股本与持股!B4+(换股比例!D4*(1+$A22)/换股比例!D5)*股本与持股!B7)</f>
        <v>0.309834055361382</v>
      </c>
      <c r="E22" s="5" t="s">
        <v>769</v>
      </c>
    </row>
    <row r="23" customFormat="false" ht="31.5" hidden="false" customHeight="true" outlineLevel="0" collapsed="false">
      <c r="A23" s="15" t="n">
        <v>0.1</v>
      </c>
      <c r="B23" s="12" t="n">
        <f aca="false">(股本与持股!B8+(换股比例!B4*(1+$A23)/换股比例!B5)*股本与持股!B9)/(股本与持股!B4+(换股比例!B4*(1+$A23)/换股比例!B5)*股本与持股!B7)</f>
        <v>0.341669384140633</v>
      </c>
      <c r="C23" s="12" t="n">
        <f aca="false">(股本与持股!B8+(换股比例!C4*(1+$A23)/换股比例!C5)*股本与持股!B9)/(股本与持股!B4+(换股比例!C4*(1+$A23)/换股比例!C5)*股本与持股!B7)</f>
        <v>0.343389218448643</v>
      </c>
      <c r="D23" s="12" t="n">
        <f aca="false">(股本与持股!B8+(换股比例!D4*(1+$A23)/换股比例!D5)*股本与持股!B9)/(股本与持股!B4+(换股比例!D4*(1+$A23)/换股比例!D5)*股本与持股!B7)</f>
        <v>0.316278978851359</v>
      </c>
      <c r="E23" s="5" t="s">
        <v>769</v>
      </c>
    </row>
    <row r="24" customFormat="false" ht="31.5" hidden="false" customHeight="true" outlineLevel="0" collapsed="false">
      <c r="A24" s="15" t="n">
        <v>0.2</v>
      </c>
      <c r="B24" s="12" t="n">
        <f aca="false">(股本与持股!B8+(换股比例!B4*(1+$A24)/换股比例!B5)*股本与持股!B9)/(股本与持股!B4+(换股比例!B4*(1+$A24)/换股比例!B5)*股本与持股!B7)</f>
        <v>0.347220313429892</v>
      </c>
      <c r="C24" s="12" t="n">
        <f aca="false">(股本与持股!B8+(换股比例!C4*(1+$A24)/换股比例!C5)*股本与持股!B9)/(股本与持股!B4+(换股比例!C4*(1+$A24)/换股比例!C5)*股本与持股!B7)</f>
        <v>0.3489039784535</v>
      </c>
      <c r="D24" s="12" t="n">
        <f aca="false">(股本与持股!B8+(换股比例!D4*(1+$A24)/换股比例!D5)*股本与持股!B9)/(股本与持股!B4+(换股比例!D4*(1+$A24)/换股比例!D5)*股本与持股!B7)</f>
        <v>0.322147574834836</v>
      </c>
      <c r="E24" s="5" t="s">
        <v>769</v>
      </c>
    </row>
    <row r="25" customFormat="false" ht="31.5" hidden="false" customHeight="true" outlineLevel="0" collapsed="false">
      <c r="A25" s="15" t="n">
        <v>0.3</v>
      </c>
      <c r="B25" s="12" t="n">
        <f aca="false">(股本与持股!B8+(换股比例!B4*(1+$A25)/换股比例!B5)*股本与持股!B9)/(股本与持股!B4+(换股比例!B4*(1+$A25)/换股比例!B5)*股本与持股!B7)</f>
        <v>0.3522181225638</v>
      </c>
      <c r="C25" s="12" t="n">
        <f aca="false">(股本与持股!B8+(换股比例!C4*(1+$A25)/换股比例!C5)*股本与持股!B9)/(股本与持股!B4+(换股比例!C4*(1+$A25)/换股比例!C5)*股本与持股!B7)</f>
        <v>0.353864060696574</v>
      </c>
      <c r="D25" s="12" t="n">
        <f aca="false">(股本与持股!B8+(换股比例!D4*(1+$A25)/换股比例!D5)*股本与持股!B9)/(股本与持股!B4+(换股比例!D4*(1+$A25)/换股比例!D5)*股本与持股!B7)</f>
        <v>0.327513840584405</v>
      </c>
      <c r="E25" s="5" t="s">
        <v>769</v>
      </c>
    </row>
    <row r="26" customFormat="false" ht="31.5" hidden="false" customHeight="true" outlineLevel="0" collapsed="false">
      <c r="A26" s="4"/>
      <c r="B26" s="4"/>
      <c r="C26" s="4"/>
      <c r="D26" s="4"/>
      <c r="E26" s="4"/>
    </row>
    <row r="27" customFormat="false" ht="31.5" hidden="false" customHeight="true" outlineLevel="0" collapsed="false">
      <c r="A27" s="4"/>
      <c r="B27" s="4"/>
      <c r="C27" s="4"/>
      <c r="D27" s="4"/>
      <c r="E27" s="4"/>
    </row>
    <row r="28" customFormat="false" ht="43.5" hidden="false" customHeight="true" outlineLevel="0" collapsed="false">
      <c r="A28" s="4" t="s">
        <v>782</v>
      </c>
      <c r="B28" s="4"/>
      <c r="C28" s="4"/>
      <c r="D28" s="4"/>
      <c r="E28" s="4"/>
    </row>
  </sheetData>
  <mergeCells count="3">
    <mergeCell ref="A1:E1"/>
    <mergeCell ref="A2:E2"/>
    <mergeCell ref="A28:E28"/>
  </mergeCells>
  <conditionalFormatting sqref="B4:D9">
    <cfRule type="colorScale" priority="2">
      <colorScale>
        <cfvo type="min" val="0"/>
        <cfvo type="max" val="0"/>
        <color rgb="FFE3EFFA"/>
        <color rgb="FF37ADAE"/>
      </colorScale>
    </cfRule>
  </conditionalFormatting>
  <conditionalFormatting sqref="B12:D17">
    <cfRule type="colorScale" priority="3">
      <colorScale>
        <cfvo type="min" val="0"/>
        <cfvo type="max" val="0"/>
        <color rgb="FFE3EFFA"/>
        <color rgb="FF37ADAE"/>
      </colorScale>
    </cfRule>
  </conditionalFormatting>
  <conditionalFormatting sqref="B20:D25">
    <cfRule type="colorScale" priority="4">
      <colorScale>
        <cfvo type="min" val="0"/>
        <cfvo type="max" val="0"/>
        <color rgb="FFE3EFFA"/>
        <color rgb="FF37ADA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0.04"/>
    <col collapsed="false" customWidth="true" hidden="false" outlineLevel="0" max="2" min="2" style="0" width="22.75"/>
    <col collapsed="false" customWidth="true" hidden="false" outlineLevel="0" max="3" min="3" style="0" width="100.08"/>
  </cols>
  <sheetData>
    <row r="1" customFormat="false" ht="31.5" hidden="false" customHeight="true" outlineLevel="0" collapsed="false">
      <c r="A1" s="6" t="s">
        <v>783</v>
      </c>
      <c r="B1" s="6"/>
      <c r="C1" s="6"/>
    </row>
    <row r="2" customFormat="false" ht="25.5" hidden="false" customHeight="true" outlineLevel="0" collapsed="false">
      <c r="A2" s="2" t="s">
        <v>1</v>
      </c>
      <c r="B2" s="2"/>
      <c r="C2" s="2"/>
    </row>
    <row r="3" customFormat="false" ht="28.5" hidden="false" customHeight="true" outlineLevel="0" collapsed="false">
      <c r="A3" s="3" t="s">
        <v>784</v>
      </c>
      <c r="B3" s="3" t="s">
        <v>785</v>
      </c>
      <c r="C3" s="3" t="s">
        <v>3</v>
      </c>
    </row>
    <row r="4" customFormat="false" ht="31.5" hidden="false" customHeight="true" outlineLevel="0" collapsed="false">
      <c r="A4" s="5" t="s">
        <v>786</v>
      </c>
      <c r="B4" s="10" t="n">
        <f aca="false">分部财务!B16+分部财务!B19-Tesla财务!B4</f>
        <v>0</v>
      </c>
      <c r="C4" s="4" t="s">
        <v>787</v>
      </c>
    </row>
    <row r="5" customFormat="false" ht="31.5" hidden="false" customHeight="true" outlineLevel="0" collapsed="false">
      <c r="A5" s="5" t="s">
        <v>788</v>
      </c>
      <c r="B5" s="10" t="n">
        <f aca="false">分部财务!C16+分部财务!C19-Tesla财务!C4</f>
        <v>0</v>
      </c>
      <c r="C5" s="4" t="s">
        <v>787</v>
      </c>
    </row>
    <row r="6" customFormat="false" ht="31.5" hidden="false" customHeight="true" outlineLevel="0" collapsed="false">
      <c r="A6" s="5" t="s">
        <v>789</v>
      </c>
      <c r="B6" s="10" t="n">
        <f aca="false">分部财务!D16+分部财务!D19-Tesla财务!D4</f>
        <v>0</v>
      </c>
      <c r="C6" s="4" t="s">
        <v>787</v>
      </c>
    </row>
    <row r="7" customFormat="false" ht="31.5" hidden="false" customHeight="true" outlineLevel="0" collapsed="false">
      <c r="A7" s="5" t="s">
        <v>790</v>
      </c>
      <c r="B7" s="10" t="n">
        <f aca="false">分部财务!E16+分部财务!E19-Tesla财务!E4</f>
        <v>0</v>
      </c>
      <c r="C7" s="4" t="s">
        <v>787</v>
      </c>
    </row>
    <row r="8" customFormat="false" ht="31.5" hidden="false" customHeight="true" outlineLevel="0" collapsed="false">
      <c r="A8" s="5" t="s">
        <v>791</v>
      </c>
      <c r="B8" s="10" t="n">
        <f aca="false">分部财务!F16+分部财务!F19-Tesla财务!F4</f>
        <v>0</v>
      </c>
      <c r="C8" s="4" t="s">
        <v>787</v>
      </c>
    </row>
    <row r="9" customFormat="false" ht="31.5" hidden="false" customHeight="true" outlineLevel="0" collapsed="false">
      <c r="A9" s="5" t="s">
        <v>792</v>
      </c>
      <c r="B9" s="10" t="n">
        <f aca="false">分部财务!G16+分部财务!G19-Tesla财务!G4</f>
        <v>0</v>
      </c>
      <c r="C9" s="4" t="s">
        <v>787</v>
      </c>
    </row>
    <row r="10" customFormat="false" ht="31.5" hidden="false" customHeight="true" outlineLevel="0" collapsed="false">
      <c r="A10" s="5" t="s">
        <v>793</v>
      </c>
      <c r="B10" s="10" t="n">
        <f aca="false">分部财务!B4+分部财务!B8+分部财务!B12-SpaceX财务!B4</f>
        <v>0</v>
      </c>
      <c r="C10" s="4" t="s">
        <v>787</v>
      </c>
    </row>
    <row r="11" customFormat="false" ht="31.5" hidden="false" customHeight="true" outlineLevel="0" collapsed="false">
      <c r="A11" s="5" t="s">
        <v>794</v>
      </c>
      <c r="B11" s="10" t="n">
        <f aca="false">分部财务!C4+分部财务!C8+分部财务!C12-SpaceX财务!C4</f>
        <v>0</v>
      </c>
      <c r="C11" s="4" t="s">
        <v>787</v>
      </c>
    </row>
    <row r="12" customFormat="false" ht="31.5" hidden="false" customHeight="true" outlineLevel="0" collapsed="false">
      <c r="A12" s="5" t="s">
        <v>795</v>
      </c>
      <c r="B12" s="10" t="n">
        <f aca="false">分部财务!D4+分部财务!D8+分部财务!D12-SpaceX财务!D4</f>
        <v>0</v>
      </c>
      <c r="C12" s="4" t="s">
        <v>787</v>
      </c>
    </row>
    <row r="13" customFormat="false" ht="31.5" hidden="false" customHeight="true" outlineLevel="0" collapsed="false">
      <c r="A13" s="5" t="s">
        <v>796</v>
      </c>
      <c r="B13" s="10" t="n">
        <f aca="false">分部财务!E4+分部财务!E8+分部财务!E12-SpaceX财务!E4</f>
        <v>0</v>
      </c>
      <c r="C13" s="4" t="s">
        <v>787</v>
      </c>
    </row>
    <row r="14" customFormat="false" ht="31.5" hidden="false" customHeight="true" outlineLevel="0" collapsed="false">
      <c r="A14" s="5" t="s">
        <v>797</v>
      </c>
      <c r="B14" s="10" t="n">
        <f aca="false">分部财务!F4+分部财务!F8+分部财务!F12-SpaceX财务!F4</f>
        <v>0</v>
      </c>
      <c r="C14" s="4" t="s">
        <v>787</v>
      </c>
    </row>
    <row r="15" customFormat="false" ht="31.5" hidden="false" customHeight="true" outlineLevel="0" collapsed="false">
      <c r="A15" s="5" t="s">
        <v>798</v>
      </c>
      <c r="B15" s="10" t="n">
        <f aca="false">分部财务!G4+分部财务!G8+分部财务!G12-SpaceX财务!G4</f>
        <v>0</v>
      </c>
      <c r="C15" s="4" t="s">
        <v>787</v>
      </c>
    </row>
    <row r="16" customFormat="false" ht="31.5" hidden="false" customHeight="true" outlineLevel="0" collapsed="false">
      <c r="A16" s="4" t="s">
        <v>799</v>
      </c>
      <c r="B16" s="10" t="n">
        <f aca="false">换股比例!B12+换股比例!B13-1</f>
        <v>0</v>
      </c>
      <c r="C16" s="4" t="s">
        <v>800</v>
      </c>
    </row>
    <row r="17" customFormat="false" ht="31.5" hidden="false" customHeight="true" outlineLevel="0" collapsed="false">
      <c r="A17" s="4" t="s">
        <v>801</v>
      </c>
      <c r="B17" s="10" t="n">
        <f aca="false">换股比例!C12+换股比例!C13-1</f>
        <v>0</v>
      </c>
      <c r="C17" s="4" t="s">
        <v>800</v>
      </c>
    </row>
    <row r="18" customFormat="false" ht="31.5" hidden="false" customHeight="true" outlineLevel="0" collapsed="false">
      <c r="A18" s="4" t="s">
        <v>802</v>
      </c>
      <c r="B18" s="10" t="n">
        <f aca="false">换股比例!D12+换股比例!D13-1</f>
        <v>0</v>
      </c>
      <c r="C18" s="4" t="s">
        <v>800</v>
      </c>
    </row>
    <row r="19" customFormat="false" ht="31.5" hidden="false" customHeight="true" outlineLevel="0" collapsed="false">
      <c r="A19" s="5" t="s">
        <v>803</v>
      </c>
      <c r="B19" s="10" t="n">
        <f aca="false">SUM(合并备考!B38:B42)-合并备考!F5</f>
        <v>0</v>
      </c>
      <c r="C19" s="4" t="s">
        <v>804</v>
      </c>
    </row>
    <row r="20" customFormat="false" ht="31.5" hidden="false" customHeight="true" outlineLevel="0" collapsed="false">
      <c r="A20" s="5" t="s">
        <v>805</v>
      </c>
      <c r="B20" s="10" t="n">
        <f aca="false">合并备考!F11-合并备考!D11</f>
        <v>0</v>
      </c>
      <c r="C20" s="4" t="s">
        <v>806</v>
      </c>
    </row>
    <row r="21" customFormat="false" ht="31.5" hidden="false" customHeight="true" outlineLevel="0" collapsed="false">
      <c r="A21" s="5" t="s">
        <v>807</v>
      </c>
      <c r="B21" s="10" t="n">
        <f aca="false">合并备考!F19-合并备考!D19</f>
        <v>0</v>
      </c>
      <c r="C21" s="4" t="s">
        <v>808</v>
      </c>
    </row>
    <row r="22" customFormat="false" ht="31.5" hidden="false" customHeight="true" outlineLevel="0" collapsed="false">
      <c r="A22" s="4" t="s">
        <v>809</v>
      </c>
      <c r="B22" s="10" t="n">
        <f aca="false">合并备考!F33-合并备考!F34-合并备考!F35-合并备考!F44</f>
        <v>0</v>
      </c>
      <c r="C22" s="4" t="s">
        <v>810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2026-10-22T20:02:37Z</dcterms:created>
  <dc:creator>openpyxl</dc:creator>
  <dc:description/>
  <dc:language>zh-CN</dc:language>
  <cp:lastModifiedBy/>
  <dcterms:modified xsi:type="dcterms:W3CDTF">2026-10-22T20:02:37Z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