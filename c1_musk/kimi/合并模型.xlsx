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SpaceX" sheetId="2" state="visible" r:id="rId4"/>
    <sheet name="Tesla" sheetId="3" state="visible" r:id="rId5"/>
    <sheet name="合并备考" sheetId="4" state="visible" r:id="rId6"/>
    <sheet name="换股比例" sheetId="5" state="visible" r:id="rId7"/>
    <sheet name="敏感性" sheetId="6" state="visible" r:id="rId8"/>
    <sheet name="市场数据" sheetId="7" state="visible" r:id="rId9"/>
    <sheet name="关联交易" sheetId="8" state="visible" r:id="rId10"/>
    <sheet name="持股" sheetId="9" state="visible" r:id="rId11"/>
  </sheets>
  <definedNames>
    <definedName function="false" hidden="false" localSheetId="8" name="_xlnm.Print_Titles" vbProcedure="false">持股!$1:$4</definedName>
    <definedName function="false" hidden="false" localSheetId="7" name="_xlnm.Print_Titles" vbProcedure="false">关联交易!$1:$4</definedName>
    <definedName function="false" hidden="false" localSheetId="3" name="_xlnm.Print_Titles" vbProcedure="false">合并备考!$1:$4</definedName>
    <definedName function="false" hidden="false" localSheetId="4" name="_xlnm.Print_Titles" vbProcedure="false">换股比例!$1:$4</definedName>
    <definedName function="false" hidden="false" localSheetId="5" name="_xlnm.Print_Titles" vbProcedure="false">敏感性!$1:$4</definedName>
    <definedName function="false" hidden="false" localSheetId="6" name="_xlnm.Print_Titles" vbProcedure="false">市场数据!$1:$4</definedName>
    <definedName function="false" hidden="false" localSheetId="0" name="_xlnm.Print_Titles" vbProcedure="false">说明!$1:$4</definedName>
    <definedName function="false" hidden="false" localSheetId="1" name="_xlnm.Print_Titles" vbProcedure="false">SpaceX!$1:$4</definedName>
    <definedName function="false" hidden="false" localSheetId="2" name="_xlnm.Print_Titles" vbProcedure="false">Tesla!$1:$4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<sst xmlns="http://schemas.openxmlformats.org/spreadsheetml/2006/main" count="753" uniqueCount="504">
  <si>
    <r>
      <rPr>
        <b val="true"/>
        <sz val="16"/>
        <color rgb="FFFFFFFF"/>
        <rFont val="Arial"/>
        <family val="0"/>
        <charset val="1"/>
      </rPr>
      <t xml:space="preserve">SpaceX + Tesla</t>
    </r>
    <r>
      <rPr>
        <b val="true"/>
        <sz val="16"/>
        <color rgb="FFFFFFFF"/>
        <rFont val="Noto Sans CJK SC"/>
        <family val="2"/>
      </rPr>
      <t xml:space="preserve">｜合并财务分析模型</t>
    </r>
  </si>
  <si>
    <r>
      <rPr>
        <i val="true"/>
        <sz val="10"/>
        <color rgb="FF52606D"/>
        <rFont val="Noto Sans CJK SC"/>
        <family val="2"/>
      </rPr>
      <t xml:space="preserve">投委会内部讨论底稿｜截至</t>
    </r>
    <r>
      <rPr>
        <i val="true"/>
        <sz val="10"/>
        <color rgb="FF52606D"/>
        <rFont val="Arial"/>
        <family val="0"/>
        <charset val="1"/>
      </rPr>
      <t xml:space="preserve">2026-10-22</t>
    </r>
    <r>
      <rPr>
        <i val="true"/>
        <sz val="10"/>
        <color rgb="FF52606D"/>
        <rFont val="Noto Sans CJK SC"/>
        <family val="2"/>
      </rPr>
      <t xml:space="preserve">｜所有金额除特别注明均为</t>
    </r>
    <r>
      <rPr>
        <i val="true"/>
        <sz val="10"/>
        <color rgb="FF52606D"/>
        <rFont val="Arial"/>
        <family val="0"/>
        <charset val="1"/>
      </rPr>
      <t xml:space="preserve">US$ million</t>
    </r>
    <r>
      <rPr>
        <i val="true"/>
        <sz val="10"/>
        <color rgb="FF52606D"/>
        <rFont val="Noto Sans CJK SC"/>
        <family val="2"/>
      </rPr>
      <t xml:space="preserve">；本模型为研究和展示用途，不构成投资建议。</t>
    </r>
  </si>
  <si>
    <t xml:space="preserve">先看结论（公式链接至合并备考）</t>
  </si>
  <si>
    <t xml:space="preserve">指标</t>
  </si>
  <si>
    <t xml:space="preserve">数值</t>
  </si>
  <si>
    <t xml:space="preserve">说明</t>
  </si>
  <si>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经营利润</t>
    </r>
  </si>
  <si>
    <r>
      <rPr>
        <sz val="10"/>
        <color rgb="FF17202A"/>
        <rFont val="Noto Sans CJK SC"/>
        <family val="2"/>
      </rPr>
      <t xml:space="preserve">未抵销汇总；</t>
    </r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为</t>
    </r>
    <r>
      <rPr>
        <sz val="10"/>
        <color rgb="FF17202A"/>
        <rFont val="Arial"/>
        <family val="0"/>
        <charset val="1"/>
      </rPr>
      <t xml:space="preserve">2025Q4–2026Q3</t>
    </r>
  </si>
  <si>
    <t xml:space="preserve">期末现金＋短期投资</t>
  </si>
  <si>
    <r>
      <rPr>
        <sz val="10"/>
        <color rgb="FF17202A"/>
        <rFont val="Noto Sans CJK SC"/>
        <family val="2"/>
      </rPr>
      <t xml:space="preserve">现金为期末余额，不与</t>
    </r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流量混淆</t>
    </r>
  </si>
  <si>
    <t xml:space="preserve">期末净现金</t>
  </si>
  <si>
    <t xml:space="preserve">含融资租赁；不含夹层项目</t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</si>
  <si>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合并后经济持股（静态）</t>
    </r>
  </si>
  <si>
    <r>
      <rPr>
        <sz val="10"/>
        <color rgb="FF17202A"/>
        <rFont val="Noto Sans CJK SC"/>
        <family val="2"/>
      </rPr>
      <t xml:space="preserve">每</t>
    </r>
    <r>
      <rPr>
        <sz val="10"/>
        <color rgb="FF17202A"/>
        <rFont val="Arial"/>
        <family val="0"/>
        <charset val="1"/>
      </rPr>
      <t xml:space="preserve">1</t>
    </r>
    <r>
      <rPr>
        <sz val="10"/>
        <color rgb="FF17202A"/>
        <rFont val="Noto Sans CJK SC"/>
        <family val="2"/>
      </rPr>
      <t xml:space="preserve">股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换取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股数；经济权益非投票权</t>
    </r>
  </si>
  <si>
    <t xml:space="preserve">口径与使用说明</t>
  </si>
  <si>
    <r>
      <rPr>
        <sz val="10"/>
        <color rgb="FF17202A"/>
        <rFont val="Arial"/>
        <family val="0"/>
        <charset val="1"/>
      </rPr>
      <t xml:space="preserve">1. </t>
    </r>
    <r>
      <rPr>
        <sz val="10"/>
        <color rgb="FF17202A"/>
        <rFont val="Noto Sans CJK SC"/>
        <family val="2"/>
      </rPr>
      <t xml:space="preserve">期间：两家最近四个季度为</t>
    </r>
    <r>
      <rPr>
        <sz val="10"/>
        <color rgb="FF17202A"/>
        <rFont val="Arial"/>
        <family val="0"/>
        <charset val="1"/>
      </rPr>
      <t xml:space="preserve">2025Q4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2026Q1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2026Q2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2026Q3</t>
    </r>
    <r>
      <rPr>
        <sz val="10"/>
        <color rgb="FF17202A"/>
        <rFont val="Noto Sans CJK SC"/>
        <family val="2"/>
      </rPr>
      <t xml:space="preserve">；最近完整财年为</t>
    </r>
    <r>
      <rPr>
        <sz val="10"/>
        <color rgb="FF17202A"/>
        <rFont val="Arial"/>
        <family val="0"/>
        <charset val="1"/>
      </rPr>
      <t xml:space="preserve">FY2025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为四季相加。资产负债表使用</t>
    </r>
    <r>
      <rPr>
        <sz val="10"/>
        <color rgb="FF17202A"/>
        <rFont val="Arial"/>
        <family val="0"/>
        <charset val="1"/>
      </rPr>
      <t xml:space="preserve">2025-12-31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2026-03-31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2026-06-30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2026-09-30</t>
    </r>
    <r>
      <rPr>
        <sz val="10"/>
        <color rgb="FF17202A"/>
        <rFont val="Noto Sans CJK SC"/>
        <family val="2"/>
      </rPr>
      <t xml:space="preserve">期末。</t>
    </r>
  </si>
  <si>
    <r>
      <rPr>
        <sz val="10"/>
        <color rgb="FF17202A"/>
        <rFont val="Arial"/>
        <family val="0"/>
        <charset val="1"/>
      </rPr>
      <t xml:space="preserve">2. </t>
    </r>
    <r>
      <rPr>
        <sz val="10"/>
        <color rgb="FF17202A"/>
        <rFont val="Noto Sans CJK SC"/>
        <family val="2"/>
      </rPr>
      <t xml:space="preserve">毛利</t>
    </r>
    <r>
      <rPr>
        <sz val="10"/>
        <color rgb="FF17202A"/>
        <rFont val="Arial"/>
        <family val="0"/>
        <charset val="1"/>
      </rPr>
      <t xml:space="preserve">=</t>
    </r>
    <r>
      <rPr>
        <sz val="10"/>
        <color rgb="FF17202A"/>
        <rFont val="Noto Sans CJK SC"/>
        <family val="2"/>
      </rPr>
      <t xml:space="preserve">营收−营收成本；自由现金流</t>
    </r>
    <r>
      <rPr>
        <sz val="10"/>
        <color rgb="FF17202A"/>
        <rFont val="Arial"/>
        <family val="0"/>
        <charset val="1"/>
      </rPr>
      <t xml:space="preserve">=</t>
    </r>
    <r>
      <rPr>
        <sz val="10"/>
        <color rgb="FF17202A"/>
        <rFont val="Noto Sans CJK SC"/>
        <family val="2"/>
      </rPr>
      <t xml:space="preserve">经营现金流−资本开支。</t>
    </r>
    <r>
      <rPr>
        <sz val="10"/>
        <color rgb="FF17202A"/>
        <rFont val="Arial"/>
        <family val="0"/>
        <charset val="1"/>
      </rPr>
      <t xml:space="preserve">Capex</t>
    </r>
    <r>
      <rPr>
        <sz val="10"/>
        <color rgb="FF17202A"/>
        <rFont val="Noto Sans CJK SC"/>
        <family val="2"/>
      </rPr>
      <t xml:space="preserve">以现金流出正数列示；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包含能源发电及储能系统购买，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不含资本化利息等非</t>
    </r>
    <r>
      <rPr>
        <sz val="10"/>
        <color rgb="FF17202A"/>
        <rFont val="Arial"/>
        <family val="0"/>
        <charset val="1"/>
      </rPr>
      <t xml:space="preserve">PP&amp;E</t>
    </r>
    <r>
      <rPr>
        <sz val="10"/>
        <color rgb="FF17202A"/>
        <rFont val="Noto Sans CJK SC"/>
        <family val="2"/>
      </rPr>
      <t xml:space="preserve">项目。</t>
    </r>
  </si>
  <si>
    <r>
      <rPr>
        <sz val="10"/>
        <color rgb="FF17202A"/>
        <rFont val="Arial"/>
        <family val="0"/>
        <charset val="1"/>
      </rPr>
      <t xml:space="preserve">3. SpaceX Q4</t>
    </r>
    <r>
      <rPr>
        <sz val="10"/>
        <color rgb="FF17202A"/>
        <rFont val="Noto Sans CJK SC"/>
        <family val="2"/>
      </rPr>
      <t xml:space="preserve">经营数据</t>
    </r>
    <r>
      <rPr>
        <sz val="10"/>
        <color rgb="FF17202A"/>
        <rFont val="Arial"/>
        <family val="0"/>
        <charset val="1"/>
      </rPr>
      <t xml:space="preserve">=FY2025−9M2025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2026Q2/Q3 CFO</t>
    </r>
    <r>
      <rPr>
        <sz val="10"/>
        <color rgb="FF17202A"/>
        <rFont val="Noto Sans CJK SC"/>
        <family val="2"/>
      </rPr>
      <t xml:space="preserve">和</t>
    </r>
    <r>
      <rPr>
        <sz val="10"/>
        <color rgb="FF17202A"/>
        <rFont val="Arial"/>
        <family val="0"/>
        <charset val="1"/>
      </rPr>
      <t xml:space="preserve">Capex</t>
    </r>
    <r>
      <rPr>
        <sz val="10"/>
        <color rgb="FF17202A"/>
        <rFont val="Noto Sans CJK SC"/>
        <family val="2"/>
      </rPr>
      <t xml:space="preserve">由</t>
    </r>
    <r>
      <rPr>
        <sz val="10"/>
        <color rgb="FF17202A"/>
        <rFont val="Arial"/>
        <family val="0"/>
        <charset val="1"/>
      </rPr>
      <t xml:space="preserve">YTD</t>
    </r>
    <r>
      <rPr>
        <sz val="10"/>
        <color rgb="FF17202A"/>
        <rFont val="Noto Sans CJK SC"/>
        <family val="2"/>
      </rPr>
      <t xml:space="preserve">差分。</t>
    </r>
    <r>
      <rPr>
        <sz val="10"/>
        <color rgb="FF17202A"/>
        <rFont val="Arial"/>
        <family val="0"/>
        <charset val="1"/>
      </rPr>
      <t xml:space="preserve">Tesla Q4</t>
    </r>
    <r>
      <rPr>
        <sz val="10"/>
        <color rgb="FF17202A"/>
        <rFont val="Noto Sans CJK SC"/>
        <family val="2"/>
      </rPr>
      <t xml:space="preserve">由</t>
    </r>
    <r>
      <rPr>
        <sz val="10"/>
        <color rgb="FF17202A"/>
        <rFont val="Arial"/>
        <family val="0"/>
        <charset val="1"/>
      </rPr>
      <t xml:space="preserve">Q3 Update</t>
    </r>
    <r>
      <rPr>
        <sz val="10"/>
        <color rgb="FF17202A"/>
        <rFont val="Noto Sans CJK SC"/>
        <family val="2"/>
      </rPr>
      <t xml:space="preserve">直接披露，另与</t>
    </r>
    <r>
      <rPr>
        <sz val="10"/>
        <color rgb="FF17202A"/>
        <rFont val="Arial"/>
        <family val="0"/>
        <charset val="1"/>
      </rPr>
      <t xml:space="preserve">10-K/10-Q</t>
    </r>
    <r>
      <rPr>
        <sz val="10"/>
        <color rgb="FF17202A"/>
        <rFont val="Noto Sans CJK SC"/>
        <family val="2"/>
      </rPr>
      <t xml:space="preserve">比较期勾稽。</t>
    </r>
  </si>
  <si>
    <r>
      <rPr>
        <sz val="10"/>
        <color rgb="FF17202A"/>
        <rFont val="Arial"/>
        <family val="0"/>
        <charset val="1"/>
      </rPr>
      <t xml:space="preserve">4. Tesla</t>
    </r>
    <r>
      <rPr>
        <sz val="10"/>
        <color rgb="FF17202A"/>
        <rFont val="Noto Sans CJK SC"/>
        <family val="2"/>
      </rPr>
      <t xml:space="preserve">汽车报告分部含</t>
    </r>
    <r>
      <rPr>
        <sz val="10"/>
        <color rgb="FF17202A"/>
        <rFont val="Arial"/>
        <family val="0"/>
        <charset val="1"/>
      </rPr>
      <t xml:space="preserve">Services and other</t>
    </r>
    <r>
      <rPr>
        <sz val="10"/>
        <color rgb="FF17202A"/>
        <rFont val="Noto Sans CJK SC"/>
        <family val="2"/>
      </rPr>
      <t xml:space="preserve">，能源为另一报告分部；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分部利润只有毛利。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分部经营利润是</t>
    </r>
    <r>
      <rPr>
        <sz val="10"/>
        <color rgb="FF17202A"/>
        <rFont val="Arial"/>
        <family val="0"/>
        <charset val="1"/>
      </rPr>
      <t xml:space="preserve">CODM</t>
    </r>
    <r>
      <rPr>
        <sz val="10"/>
        <color rgb="FF17202A"/>
        <rFont val="Noto Sans CJK SC"/>
        <family val="2"/>
      </rPr>
      <t xml:space="preserve">口径，</t>
    </r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是原</t>
    </r>
    <r>
      <rPr>
        <sz val="10"/>
        <color rgb="FF17202A"/>
        <rFont val="Arial"/>
        <family val="0"/>
        <charset val="1"/>
      </rPr>
      <t xml:space="preserve">AI</t>
    </r>
    <r>
      <rPr>
        <sz val="10"/>
        <color rgb="FF17202A"/>
        <rFont val="Noto Sans CJK SC"/>
        <family val="2"/>
      </rPr>
      <t xml:space="preserve">分部的新名称。</t>
    </r>
  </si>
  <si>
    <r>
      <rPr>
        <sz val="10"/>
        <color rgb="FF17202A"/>
        <rFont val="Arial"/>
        <family val="0"/>
        <charset val="1"/>
      </rPr>
      <t xml:space="preserve">5. </t>
    </r>
    <r>
      <rPr>
        <sz val="10"/>
        <color rgb="FF17202A"/>
        <rFont val="Noto Sans CJK SC"/>
        <family val="2"/>
      </rPr>
      <t xml:space="preserve">合并备考</t>
    </r>
    <r>
      <rPr>
        <sz val="10"/>
        <color rgb="FF17202A"/>
        <rFont val="Arial"/>
        <family val="0"/>
        <charset val="1"/>
      </rPr>
      <t xml:space="preserve">Headline</t>
    </r>
    <r>
      <rPr>
        <sz val="10"/>
        <color rgb="FF17202A"/>
        <rFont val="Noto Sans CJK SC"/>
        <family val="2"/>
      </rPr>
      <t xml:space="preserve">是未抵销汇总，不是正式会计合并报表。已知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内部销售另列示例；完整</t>
    </r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抵销、交叉投资、购买法和协同尚未确定。</t>
    </r>
  </si>
  <si>
    <r>
      <rPr>
        <sz val="10"/>
        <color rgb="FF17202A"/>
        <rFont val="Arial"/>
        <family val="0"/>
        <charset val="1"/>
      </rPr>
      <t xml:space="preserve">6. </t>
    </r>
    <r>
      <rPr>
        <sz val="10"/>
        <color rgb="FF17202A"/>
        <rFont val="Noto Sans CJK SC"/>
        <family val="2"/>
      </rPr>
      <t xml:space="preserve">换股结构仅为假设：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发行</t>
    </r>
    <r>
      <rPr>
        <sz val="10"/>
        <color rgb="FF17202A"/>
        <rFont val="Arial"/>
        <family val="0"/>
        <charset val="1"/>
      </rPr>
      <t xml:space="preserve">Class A</t>
    </r>
    <r>
      <rPr>
        <sz val="10"/>
        <color rgb="FF17202A"/>
        <rFont val="Noto Sans CJK SC"/>
        <family val="2"/>
      </rPr>
      <t xml:space="preserve">给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股东；溢价应用于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对价。四种方法均为相对定价情景，不给目标价，不评价股价贵不贵。</t>
    </r>
  </si>
  <si>
    <r>
      <rPr>
        <sz val="10"/>
        <color rgb="FF17202A"/>
        <rFont val="Arial"/>
        <family val="0"/>
        <charset val="1"/>
      </rPr>
      <t xml:space="preserve">7. </t>
    </r>
    <r>
      <rPr>
        <sz val="10"/>
        <color rgb="FF17202A"/>
        <rFont val="Noto Sans CJK SC"/>
        <family val="2"/>
      </rPr>
      <t xml:space="preserve">持股：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实际</t>
    </r>
    <r>
      <rPr>
        <sz val="10"/>
        <color rgb="FF17202A"/>
        <rFont val="Arial"/>
        <family val="0"/>
        <charset val="1"/>
      </rPr>
      <t xml:space="preserve">Class A+B</t>
    </r>
    <r>
      <rPr>
        <sz val="10"/>
        <color rgb="FF17202A"/>
        <rFont val="Noto Sans CJK SC"/>
        <family val="2"/>
      </rPr>
      <t xml:space="preserve">不含</t>
    </r>
    <r>
      <rPr>
        <sz val="10"/>
        <color rgb="FF17202A"/>
        <rFont val="Arial"/>
        <family val="0"/>
        <charset val="1"/>
      </rPr>
      <t xml:space="preserve">350m</t>
    </r>
    <r>
      <rPr>
        <sz val="10"/>
        <color rgb="FF17202A"/>
        <rFont val="Noto Sans CJK SC"/>
        <family val="2"/>
      </rPr>
      <t xml:space="preserve">期权；</t>
    </r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经济比例与最新股数静态比例分列。</t>
    </r>
    <r>
      <rPr>
        <sz val="10"/>
        <color rgb="FF17202A"/>
        <rFont val="Arial"/>
        <family val="0"/>
        <charset val="1"/>
      </rPr>
      <t xml:space="preserve">Tesla Proxy</t>
    </r>
    <r>
      <rPr>
        <sz val="10"/>
        <color rgb="FF17202A"/>
        <rFont val="Noto Sans CJK SC"/>
        <family val="2"/>
      </rPr>
      <t xml:space="preserve">的</t>
    </r>
    <r>
      <rPr>
        <sz val="10"/>
        <color rgb="FF17202A"/>
        <rFont val="Arial"/>
        <family val="0"/>
        <charset val="1"/>
      </rPr>
      <t xml:space="preserve">19.8%</t>
    </r>
    <r>
      <rPr>
        <sz val="10"/>
        <color rgb="FF17202A"/>
        <rFont val="Noto Sans CJK SC"/>
        <family val="2"/>
      </rPr>
      <t xml:space="preserve">使用调整分母，模型另列全部已发行股数口径</t>
    </r>
    <r>
      <rPr>
        <sz val="10"/>
        <color rgb="FF17202A"/>
        <rFont val="Arial"/>
        <family val="0"/>
        <charset val="1"/>
      </rPr>
      <t xml:space="preserve">17.7%</t>
    </r>
    <r>
      <rPr>
        <sz val="10"/>
        <color rgb="FF17202A"/>
        <rFont val="Noto Sans CJK SC"/>
        <family val="2"/>
      </rPr>
      <t xml:space="preserve">。投票权不由经济比例推导。</t>
    </r>
  </si>
  <si>
    <t xml:space="preserve">数据来源与取数日期</t>
  </si>
  <si>
    <r>
      <rPr>
        <b val="true"/>
        <sz val="10"/>
        <color rgb="FFFFFFFF"/>
        <rFont val="Noto Sans CJK SC"/>
        <family val="2"/>
      </rPr>
      <t xml:space="preserve">来源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</si>
  <si>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文件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网页</t>
    </r>
  </si>
  <si>
    <t xml:space="preserve">用途</t>
  </si>
  <si>
    <r>
      <rPr>
        <b val="true"/>
        <sz val="10"/>
        <color rgb="FFFFFFFF"/>
        <rFont val="Noto Sans CJK SC"/>
        <family val="2"/>
      </rPr>
      <t xml:space="preserve">取数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访问日期</t>
    </r>
  </si>
  <si>
    <r>
      <rPr>
        <b val="true"/>
        <sz val="10"/>
        <color rgb="FFFFFFFF"/>
        <rFont val="Noto Sans CJK SC"/>
        <family val="2"/>
      </rPr>
      <t xml:space="preserve">关键章节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表名</t>
    </r>
  </si>
  <si>
    <t xml:space="preserve">SX-IPO</t>
  </si>
  <si>
    <r>
      <rPr>
        <sz val="10"/>
        <color rgb="FF17202A"/>
        <rFont val="Noto Sans CJK SC"/>
        <family val="2"/>
      </rPr>
      <t xml:space="preserve">材料</t>
    </r>
    <r>
      <rPr>
        <sz val="10"/>
        <color rgb="FF17202A"/>
        <rFont val="Arial"/>
        <family val="0"/>
        <charset val="1"/>
      </rPr>
      <t xml:space="preserve">/SpaceX_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__spaceexplorationtechnologi.htm</t>
    </r>
  </si>
  <si>
    <r>
      <rPr>
        <sz val="10"/>
        <color rgb="FF17202A"/>
        <rFont val="Arial"/>
        <family val="0"/>
        <charset val="1"/>
      </rPr>
      <t xml:space="preserve">FY2025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Q1</t>
    </r>
    <r>
      <rPr>
        <sz val="10"/>
        <color rgb="FF17202A"/>
        <rFont val="Noto Sans CJK SC"/>
        <family val="2"/>
      </rPr>
      <t xml:space="preserve">、分部、债务、关联交易、</t>
    </r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持股、</t>
    </r>
    <r>
      <rPr>
        <sz val="10"/>
        <color rgb="FF17202A"/>
        <rFont val="Arial"/>
        <family val="0"/>
        <charset val="1"/>
      </rPr>
      <t xml:space="preserve">IPO</t>
    </r>
  </si>
  <si>
    <t xml:space="preserve">2026-10-22</t>
  </si>
  <si>
    <r>
      <rPr>
        <sz val="10"/>
        <color rgb="FF17202A"/>
        <rFont val="Arial"/>
        <family val="0"/>
        <charset val="1"/>
      </rPr>
      <t xml:space="preserve">F-4/F-5/F-8/F-58/F-63/F-95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Note 18/19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Security Ownership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Transactions with Tesla</t>
    </r>
  </si>
  <si>
    <t xml:space="preserve">SX-Q2</t>
  </si>
  <si>
    <r>
      <rPr>
        <sz val="10"/>
        <color rgb="FF17202A"/>
        <rFont val="Noto Sans CJK SC"/>
        <family val="2"/>
      </rPr>
      <t xml:space="preserve">材料</t>
    </r>
    <r>
      <rPr>
        <sz val="10"/>
        <color rgb="FF17202A"/>
        <rFont val="Arial"/>
        <family val="0"/>
        <charset val="1"/>
      </rPr>
      <t xml:space="preserve">/SpaceX_2026Q2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__spcx-20260630.htm</t>
    </r>
  </si>
  <si>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YTD</t>
    </r>
    <r>
      <rPr>
        <sz val="10"/>
        <color rgb="FF17202A"/>
        <rFont val="Noto Sans CJK SC"/>
        <family val="2"/>
      </rPr>
      <t xml:space="preserve">、分部、债务、关联交易</t>
    </r>
  </si>
  <si>
    <r>
      <rPr>
        <sz val="10"/>
        <color rgb="FF17202A"/>
        <rFont val="Arial"/>
        <family val="0"/>
        <charset val="1"/>
      </rPr>
      <t xml:space="preserve">p.4–5/p.9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Note 9/17/18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MD&amp;A</t>
    </r>
  </si>
  <si>
    <t xml:space="preserve">SX-Q3</t>
  </si>
  <si>
    <r>
      <rPr>
        <sz val="10"/>
        <color rgb="FF17202A"/>
        <rFont val="Noto Sans CJK SC"/>
        <family val="2"/>
      </rPr>
      <t xml:space="preserve">材料</t>
    </r>
    <r>
      <rPr>
        <sz val="10"/>
        <color rgb="FF17202A"/>
        <rFont val="Arial"/>
        <family val="0"/>
        <charset val="1"/>
      </rPr>
      <t xml:space="preserve">/SpaceX_2026Q3</t>
    </r>
    <r>
      <rPr>
        <sz val="10"/>
        <color rgb="FF17202A"/>
        <rFont val="Noto Sans CJK SC"/>
        <family val="2"/>
      </rPr>
      <t xml:space="preserve">业绩公告</t>
    </r>
    <r>
      <rPr>
        <sz val="10"/>
        <color rgb="FF17202A"/>
        <rFont val="Arial"/>
        <family val="0"/>
        <charset val="1"/>
      </rPr>
      <t xml:space="preserve">__spaceexplorationtechnologi.htm</t>
    </r>
  </si>
  <si>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9M</t>
    </r>
    <r>
      <rPr>
        <sz val="10"/>
        <color rgb="FF17202A"/>
        <rFont val="Noto Sans CJK SC"/>
        <family val="2"/>
      </rPr>
      <t xml:space="preserve">、期末资产负债、分部、</t>
    </r>
    <r>
      <rPr>
        <sz val="10"/>
        <color rgb="FF17202A"/>
        <rFont val="Arial"/>
        <family val="0"/>
        <charset val="1"/>
      </rPr>
      <t xml:space="preserve">Cursor</t>
    </r>
  </si>
  <si>
    <r>
      <rPr>
        <sz val="10"/>
        <color rgb="FF17202A"/>
        <rFont val="Arial"/>
        <family val="0"/>
        <charset val="1"/>
      </rPr>
      <t xml:space="preserve">p.3–11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Consolidated Statements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Segment Operating and Financial Data</t>
    </r>
  </si>
  <si>
    <t xml:space="preserve">T-10K</t>
  </si>
  <si>
    <r>
      <rPr>
        <sz val="10"/>
        <color rgb="FF17202A"/>
        <rFont val="Noto Sans CJK SC"/>
        <family val="2"/>
      </rPr>
      <t xml:space="preserve">材料</t>
    </r>
    <r>
      <rPr>
        <sz val="10"/>
        <color rgb="FF17202A"/>
        <rFont val="Arial"/>
        <family val="0"/>
        <charset val="1"/>
      </rPr>
      <t xml:space="preserve">/Tesla_2025</t>
    </r>
    <r>
      <rPr>
        <sz val="10"/>
        <color rgb="FF17202A"/>
        <rFont val="Noto Sans CJK SC"/>
        <family val="2"/>
      </rPr>
      <t xml:space="preserve">年报</t>
    </r>
    <r>
      <rPr>
        <sz val="10"/>
        <color rgb="FF17202A"/>
        <rFont val="Arial"/>
        <family val="0"/>
        <charset val="1"/>
      </rPr>
      <t xml:space="preserve">__tsla-20251231.htm</t>
    </r>
  </si>
  <si>
    <r>
      <rPr>
        <sz val="10"/>
        <color rgb="FF17202A"/>
        <rFont val="Arial"/>
        <family val="0"/>
        <charset val="1"/>
      </rPr>
      <t xml:space="preserve">FY2025</t>
    </r>
    <r>
      <rPr>
        <sz val="10"/>
        <color rgb="FF17202A"/>
        <rFont val="Noto Sans CJK SC"/>
        <family val="2"/>
      </rPr>
      <t xml:space="preserve">、分部、债务、关联交易</t>
    </r>
  </si>
  <si>
    <r>
      <rPr>
        <sz val="10"/>
        <color rgb="FF17202A"/>
        <rFont val="Arial"/>
        <family val="0"/>
        <charset val="1"/>
      </rPr>
      <t xml:space="preserve">Consolidated Statements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Note 8/15/16</t>
    </r>
  </si>
  <si>
    <t xml:space="preserve">T-10Q</t>
  </si>
  <si>
    <r>
      <rPr>
        <sz val="10"/>
        <color rgb="FF17202A"/>
        <rFont val="Noto Sans CJK SC"/>
        <family val="2"/>
      </rPr>
      <t xml:space="preserve">材料</t>
    </r>
    <r>
      <rPr>
        <sz val="10"/>
        <color rgb="FF17202A"/>
        <rFont val="Arial"/>
        <family val="0"/>
        <charset val="1"/>
      </rPr>
      <t xml:space="preserve">/Tesla_2026Q3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__tsla-20260930.htm</t>
    </r>
  </si>
  <si>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、期末、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投资、内部交易、股数</t>
    </r>
  </si>
  <si>
    <r>
      <rPr>
        <sz val="10"/>
        <color rgb="FF17202A"/>
        <rFont val="Arial"/>
        <family val="0"/>
        <charset val="1"/>
      </rPr>
      <t xml:space="preserve">Balance Sheets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Note 1/2/8/13/14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Part II Item 5</t>
    </r>
    <r>
      <rPr>
        <sz val="10"/>
        <color rgb="FF17202A"/>
        <rFont val="Noto Sans CJK SC"/>
        <family val="2"/>
      </rPr>
      <t xml:space="preserve">；封面</t>
    </r>
  </si>
  <si>
    <t xml:space="preserve">T-Q3</t>
  </si>
  <si>
    <r>
      <rPr>
        <sz val="10"/>
        <color rgb="FF17202A"/>
        <rFont val="Noto Sans CJK SC"/>
        <family val="2"/>
      </rPr>
      <t xml:space="preserve">材料</t>
    </r>
    <r>
      <rPr>
        <sz val="10"/>
        <color rgb="FF17202A"/>
        <rFont val="Arial"/>
        <family val="0"/>
        <charset val="1"/>
      </rPr>
      <t xml:space="preserve">/Tesla_2026Q3</t>
    </r>
    <r>
      <rPr>
        <sz val="10"/>
        <color rgb="FF17202A"/>
        <rFont val="Noto Sans CJK SC"/>
        <family val="2"/>
      </rPr>
      <t xml:space="preserve">业绩公告</t>
    </r>
    <r>
      <rPr>
        <sz val="10"/>
        <color rgb="FF17202A"/>
        <rFont val="Arial"/>
        <family val="0"/>
        <charset val="1"/>
      </rPr>
      <t xml:space="preserve">__exhibit9914.htm</t>
    </r>
  </si>
  <si>
    <r>
      <rPr>
        <sz val="10"/>
        <color rgb="FF17202A"/>
        <rFont val="Noto Sans CJK SC"/>
        <family val="2"/>
      </rPr>
      <t xml:space="preserve">季度经营、现金流、非</t>
    </r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FCF</t>
    </r>
    <r>
      <rPr>
        <sz val="10"/>
        <color rgb="FF17202A"/>
        <rFont val="Noto Sans CJK SC"/>
        <family val="2"/>
      </rPr>
      <t xml:space="preserve">定义</t>
    </r>
  </si>
  <si>
    <t xml:space="preserve">slides 4/27–32</t>
  </si>
  <si>
    <t xml:space="preserve">T-Proxy</t>
  </si>
  <si>
    <r>
      <rPr>
        <sz val="10"/>
        <color rgb="FF17202A"/>
        <rFont val="Noto Sans CJK SC"/>
        <family val="2"/>
      </rPr>
      <t xml:space="preserve">材料</t>
    </r>
    <r>
      <rPr>
        <sz val="10"/>
        <color rgb="FF17202A"/>
        <rFont val="Arial"/>
        <family val="0"/>
        <charset val="1"/>
      </rPr>
      <t xml:space="preserve">/Tesla_2026</t>
    </r>
    <r>
      <rPr>
        <sz val="10"/>
        <color rgb="FF17202A"/>
        <rFont val="Noto Sans CJK SC"/>
        <family val="2"/>
      </rPr>
      <t xml:space="preserve">股东大会委托书</t>
    </r>
    <r>
      <rPr>
        <sz val="10"/>
        <color rgb="FF17202A"/>
        <rFont val="Arial"/>
        <family val="0"/>
        <charset val="1"/>
      </rPr>
      <t xml:space="preserve">__tm267596-1_def14a.htm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</si>
  <si>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持股、投票安排、关联交易</t>
    </r>
  </si>
  <si>
    <r>
      <rPr>
        <sz val="10"/>
        <color rgb="FF17202A"/>
        <rFont val="Arial"/>
        <family val="0"/>
        <charset val="1"/>
      </rPr>
      <t xml:space="preserve">Ownership of Securities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Related Person Transactions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Voting Agreement</t>
    </r>
  </si>
  <si>
    <t xml:space="preserve">MKT</t>
  </si>
  <si>
    <r>
      <rPr>
        <sz val="10"/>
        <color rgb="FF17202A"/>
        <rFont val="Arial"/>
        <family val="0"/>
        <charset val="1"/>
      </rPr>
      <t xml:space="preserve">Yahoo Finance Chart API</t>
    </r>
    <r>
      <rPr>
        <sz val="10"/>
        <color rgb="FF17202A"/>
        <rFont val="Noto Sans CJK SC"/>
        <family val="2"/>
      </rPr>
      <t xml:space="preserve">（</t>
    </r>
    <r>
      <rPr>
        <sz val="10"/>
        <color rgb="FF17202A"/>
        <rFont val="Arial"/>
        <family val="0"/>
        <charset val="1"/>
      </rPr>
      <t xml:space="preserve">SPCX/TSLA</t>
    </r>
    <r>
      <rPr>
        <sz val="10"/>
        <color rgb="FF17202A"/>
        <rFont val="Noto Sans CJK SC"/>
        <family val="2"/>
      </rPr>
      <t xml:space="preserve">）</t>
    </r>
  </si>
  <si>
    <r>
      <rPr>
        <sz val="10"/>
        <color rgb="FF17202A"/>
        <rFont val="Noto Sans CJK SC"/>
        <family val="2"/>
      </rPr>
      <t xml:space="preserve">收盘价、</t>
    </r>
    <r>
      <rPr>
        <sz val="10"/>
        <color rgb="FF17202A"/>
        <rFont val="Arial"/>
        <family val="0"/>
        <charset val="1"/>
      </rPr>
      <t xml:space="preserve">20</t>
    </r>
    <r>
      <rPr>
        <sz val="10"/>
        <color rgb="FF17202A"/>
        <rFont val="Noto Sans CJK SC"/>
        <family val="2"/>
      </rPr>
      <t xml:space="preserve">日成交量、</t>
    </r>
    <r>
      <rPr>
        <sz val="10"/>
        <color rgb="FF17202A"/>
        <rFont val="Arial"/>
        <family val="0"/>
        <charset val="1"/>
      </rPr>
      <t xml:space="preserve">20</t>
    </r>
    <r>
      <rPr>
        <sz val="10"/>
        <color rgb="FF17202A"/>
        <rFont val="Noto Sans CJK SC"/>
        <family val="2"/>
      </rPr>
      <t xml:space="preserve">日加权价格</t>
    </r>
  </si>
  <si>
    <r>
      <rPr>
        <sz val="10"/>
        <color rgb="FF17202A"/>
        <rFont val="Noto Sans CJK SC"/>
        <family val="2"/>
      </rPr>
      <t xml:space="preserve">完整接口</t>
    </r>
    <r>
      <rPr>
        <sz val="10"/>
        <color rgb="FF17202A"/>
        <rFont val="Arial"/>
        <family val="0"/>
        <charset val="1"/>
      </rPr>
      <t xml:space="preserve">URL</t>
    </r>
    <r>
      <rPr>
        <sz val="10"/>
        <color rgb="FF17202A"/>
        <rFont val="Noto Sans CJK SC"/>
        <family val="2"/>
      </rPr>
      <t xml:space="preserve">见市场数据页；定价日为</t>
    </r>
    <r>
      <rPr>
        <sz val="10"/>
        <color rgb="FF17202A"/>
        <rFont val="Arial"/>
        <family val="0"/>
        <charset val="1"/>
      </rPr>
      <t xml:space="preserve">2026-10-21</t>
    </r>
  </si>
  <si>
    <t xml:space="preserve">颜色、假设与未核实事项</t>
  </si>
  <si>
    <r>
      <rPr>
        <sz val="10"/>
        <color rgb="FF17202A"/>
        <rFont val="Noto Sans CJK SC"/>
        <family val="2"/>
      </rPr>
      <t xml:space="preserve">黄底：披露原始输入；蓝底：公式；橙底：可编辑假设。修改“换股比例”</t>
    </r>
    <r>
      <rPr>
        <sz val="10"/>
        <color rgb="FF17202A"/>
        <rFont val="Arial"/>
        <family val="0"/>
        <charset val="1"/>
      </rPr>
      <t xml:space="preserve">B7:B10</t>
    </r>
    <r>
      <rPr>
        <sz val="10"/>
        <color rgb="FF17202A"/>
        <rFont val="Noto Sans CJK SC"/>
        <family val="2"/>
      </rPr>
      <t xml:space="preserve">或“敏感性”溢价率，相关换股与持股结果会自动更新。</t>
    </r>
  </si>
  <si>
    <r>
      <rPr>
        <sz val="10"/>
        <color rgb="FF17202A"/>
        <rFont val="Noto Sans CJK SC"/>
        <family val="2"/>
      </rPr>
      <t xml:space="preserve">假设：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发行</t>
    </r>
    <r>
      <rPr>
        <sz val="10"/>
        <color rgb="FF17202A"/>
        <rFont val="Arial"/>
        <family val="0"/>
        <charset val="1"/>
      </rPr>
      <t xml:space="preserve">Class A</t>
    </r>
    <r>
      <rPr>
        <sz val="10"/>
        <color rgb="FF17202A"/>
        <rFont val="Noto Sans CJK SC"/>
        <family val="2"/>
      </rPr>
      <t xml:space="preserve">；收入倍数</t>
    </r>
    <r>
      <rPr>
        <sz val="10"/>
        <color rgb="FF17202A"/>
        <rFont val="Arial"/>
        <family val="0"/>
        <charset val="1"/>
      </rPr>
      <t xml:space="preserve">6.0x/2.0x</t>
    </r>
    <r>
      <rPr>
        <sz val="10"/>
        <color rgb="FF17202A"/>
        <rFont val="Noto Sans CJK SC"/>
        <family val="2"/>
      </rPr>
      <t xml:space="preserve">；共同</t>
    </r>
    <r>
      <rPr>
        <sz val="10"/>
        <color rgb="FF17202A"/>
        <rFont val="Arial"/>
        <family val="0"/>
        <charset val="1"/>
      </rPr>
      <t xml:space="preserve">EBITDA</t>
    </r>
    <r>
      <rPr>
        <sz val="10"/>
        <color rgb="FF17202A"/>
        <rFont val="Noto Sans CJK SC"/>
        <family val="2"/>
      </rPr>
      <t xml:space="preserve">倍数</t>
    </r>
    <r>
      <rPr>
        <sz val="10"/>
        <color rgb="FF17202A"/>
        <rFont val="Arial"/>
        <family val="0"/>
        <charset val="1"/>
      </rPr>
      <t xml:space="preserve">20.0x</t>
    </r>
    <r>
      <rPr>
        <sz val="10"/>
        <color rgb="FF17202A"/>
        <rFont val="Noto Sans CJK SC"/>
        <family val="2"/>
      </rPr>
      <t xml:space="preserve">；基准溢价</t>
    </r>
    <r>
      <rPr>
        <sz val="10"/>
        <color rgb="FF17202A"/>
        <rFont val="Arial"/>
        <family val="0"/>
        <charset val="1"/>
      </rPr>
      <t xml:space="preserve">0%</t>
    </r>
    <r>
      <rPr>
        <sz val="10"/>
        <color rgb="FF17202A"/>
        <rFont val="Noto Sans CJK SC"/>
        <family val="2"/>
      </rPr>
      <t xml:space="preserve">；未扣交叉持股、协同、交易成本、税务和奖励股稀释。</t>
    </r>
  </si>
  <si>
    <r>
      <rPr>
        <sz val="10"/>
        <color rgb="FF17202A"/>
        <rFont val="Noto Sans CJK SC"/>
        <family val="2"/>
      </rPr>
      <t xml:space="preserve">未核实：正式合并协议与会计收购方；完整</t>
    </r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内部交易及对应折旧；</t>
    </r>
    <r>
      <rPr>
        <sz val="10"/>
        <color rgb="FF17202A"/>
        <rFont val="Arial"/>
        <family val="0"/>
        <charset val="1"/>
      </rPr>
      <t xml:space="preserve">SpaceX Q3</t>
    </r>
    <r>
      <rPr>
        <sz val="10"/>
        <color rgb="FF17202A"/>
        <rFont val="Noto Sans CJK SC"/>
        <family val="2"/>
      </rPr>
      <t xml:space="preserve">债务本金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租赁拆分；交割后</t>
    </r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持股和投票权；实际公众流通股；购买价格分配。</t>
    </r>
  </si>
  <si>
    <r>
      <rPr>
        <sz val="10"/>
        <color rgb="FF17202A"/>
        <rFont val="Noto Sans CJK SC"/>
        <family val="2"/>
      </rPr>
      <t xml:space="preserve">关联交易提示：</t>
    </r>
    <r>
      <rPr>
        <sz val="10"/>
        <color rgb="FF17202A"/>
        <rFont val="Arial"/>
        <family val="0"/>
        <charset val="1"/>
      </rPr>
      <t xml:space="preserve">Valor</t>
    </r>
    <r>
      <rPr>
        <sz val="10"/>
        <color rgb="FF17202A"/>
        <rFont val="Noto Sans CJK SC"/>
        <family val="2"/>
      </rPr>
      <t xml:space="preserve">为董事关联而非</t>
    </r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旗下；</t>
    </r>
    <r>
      <rPr>
        <sz val="10"/>
        <color rgb="FF17202A"/>
        <rFont val="Arial"/>
        <family val="0"/>
        <charset val="1"/>
      </rPr>
      <t xml:space="preserve">Boring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Musk Industries</t>
    </r>
    <r>
      <rPr>
        <sz val="10"/>
        <color rgb="FF17202A"/>
        <rFont val="Noto Sans CJK SC"/>
        <family val="2"/>
      </rPr>
      <t xml:space="preserve">、安保、航空等不会因本次合并自动成为集团内部主体。</t>
    </r>
  </si>
  <si>
    <r>
      <rPr>
        <b val="true"/>
        <sz val="11"/>
        <color rgb="FF102A43"/>
        <rFont val="Noto Sans CJK SC"/>
        <family val="2"/>
      </rPr>
      <t xml:space="preserve">模型勾稽检查（应为</t>
    </r>
    <r>
      <rPr>
        <b val="true"/>
        <sz val="11"/>
        <color rgb="FF102A43"/>
        <rFont val="Arial"/>
        <family val="0"/>
        <charset val="1"/>
      </rPr>
      <t xml:space="preserve">0</t>
    </r>
    <r>
      <rPr>
        <b val="true"/>
        <sz val="11"/>
        <color rgb="FF102A43"/>
        <rFont val="Noto Sans CJK SC"/>
        <family val="2"/>
      </rPr>
      <t xml:space="preserve">或</t>
    </r>
    <r>
      <rPr>
        <b val="true"/>
        <sz val="11"/>
        <color rgb="FF102A43"/>
        <rFont val="Arial"/>
        <family val="0"/>
        <charset val="1"/>
      </rPr>
      <t xml:space="preserve">TRUE</t>
    </r>
    <r>
      <rPr>
        <b val="true"/>
        <sz val="11"/>
        <color rgb="FF102A43"/>
        <rFont val="Noto Sans CJK SC"/>
        <family val="2"/>
      </rPr>
      <t xml:space="preserve">）</t>
    </r>
  </si>
  <si>
    <r>
      <rPr>
        <sz val="10"/>
        <color rgb="FF17202A"/>
        <rFont val="Arial"/>
        <family val="0"/>
        <charset val="1"/>
      </rPr>
      <t xml:space="preserve">SpaceX LTM</t>
    </r>
    <r>
      <rPr>
        <sz val="10"/>
        <color rgb="FF17202A"/>
        <rFont val="Noto Sans CJK SC"/>
        <family val="2"/>
      </rPr>
      <t xml:space="preserve">营收−分部合计</t>
    </r>
  </si>
  <si>
    <r>
      <rPr>
        <sz val="10"/>
        <color rgb="FF17202A"/>
        <rFont val="Arial"/>
        <family val="0"/>
        <charset val="1"/>
      </rPr>
      <t xml:space="preserve">Tesla LTM</t>
    </r>
    <r>
      <rPr>
        <sz val="10"/>
        <color rgb="FF17202A"/>
        <rFont val="Noto Sans CJK SC"/>
        <family val="2"/>
      </rPr>
      <t xml:space="preserve">营收−分部合计</t>
    </r>
  </si>
  <si>
    <t xml:space="preserve">合并收入−两家合计</t>
  </si>
  <si>
    <t xml:space="preserve">合并现金−两家合计</t>
  </si>
  <si>
    <r>
      <rPr>
        <b val="true"/>
        <sz val="16"/>
        <color rgb="FFFFFFFF"/>
        <rFont val="Arial"/>
        <family val="0"/>
        <charset val="1"/>
      </rPr>
      <t xml:space="preserve">SpaceX</t>
    </r>
    <r>
      <rPr>
        <b val="true"/>
        <sz val="16"/>
        <color rgb="FFFFFFFF"/>
        <rFont val="Noto Sans CJK SC"/>
        <family val="2"/>
      </rPr>
      <t xml:space="preserve">｜历史财务与分部</t>
    </r>
  </si>
  <si>
    <r>
      <rPr>
        <i val="true"/>
        <sz val="10"/>
        <color rgb="FF52606D"/>
        <rFont val="Noto Sans CJK SC"/>
        <family val="2"/>
      </rPr>
      <t xml:space="preserve">单位：</t>
    </r>
    <r>
      <rPr>
        <i val="true"/>
        <sz val="10"/>
        <color rgb="FF52606D"/>
        <rFont val="Arial"/>
        <family val="0"/>
        <charset val="1"/>
      </rPr>
      <t xml:space="preserve">US$ million</t>
    </r>
    <r>
      <rPr>
        <i val="true"/>
        <sz val="10"/>
        <color rgb="FF52606D"/>
        <rFont val="Noto Sans CJK SC"/>
        <family val="2"/>
      </rPr>
      <t xml:space="preserve">；</t>
    </r>
    <r>
      <rPr>
        <i val="true"/>
        <sz val="10"/>
        <color rgb="FF52606D"/>
        <rFont val="Arial"/>
        <family val="0"/>
        <charset val="1"/>
      </rPr>
      <t xml:space="preserve">LTM=2025Q4–2026Q3</t>
    </r>
    <r>
      <rPr>
        <i val="true"/>
        <sz val="10"/>
        <color rgb="FF52606D"/>
        <rFont val="Noto Sans CJK SC"/>
        <family val="2"/>
      </rPr>
      <t xml:space="preserve">。黄底</t>
    </r>
    <r>
      <rPr>
        <i val="true"/>
        <sz val="10"/>
        <color rgb="FF52606D"/>
        <rFont val="Arial"/>
        <family val="0"/>
        <charset val="1"/>
      </rPr>
      <t xml:space="preserve">=</t>
    </r>
    <r>
      <rPr>
        <i val="true"/>
        <sz val="10"/>
        <color rgb="FF52606D"/>
        <rFont val="Noto Sans CJK SC"/>
        <family val="2"/>
      </rPr>
      <t xml:space="preserve">披露输入，蓝底</t>
    </r>
    <r>
      <rPr>
        <i val="true"/>
        <sz val="10"/>
        <color rgb="FF52606D"/>
        <rFont val="Arial"/>
        <family val="0"/>
        <charset val="1"/>
      </rPr>
      <t xml:space="preserve">=</t>
    </r>
    <r>
      <rPr>
        <i val="true"/>
        <sz val="10"/>
        <color rgb="FF52606D"/>
        <rFont val="Noto Sans CJK SC"/>
        <family val="2"/>
      </rPr>
      <t xml:space="preserve">公式，橙底</t>
    </r>
    <r>
      <rPr>
        <i val="true"/>
        <sz val="10"/>
        <color rgb="FF52606D"/>
        <rFont val="Arial"/>
        <family val="0"/>
        <charset val="1"/>
      </rPr>
      <t xml:space="preserve">=</t>
    </r>
    <r>
      <rPr>
        <i val="true"/>
        <sz val="10"/>
        <color rgb="FF52606D"/>
        <rFont val="Noto Sans CJK SC"/>
        <family val="2"/>
      </rPr>
      <t xml:space="preserve">假设。</t>
    </r>
    <r>
      <rPr>
        <i val="true"/>
        <sz val="10"/>
        <color rgb="FF52606D"/>
        <rFont val="Arial"/>
        <family val="0"/>
        <charset val="1"/>
      </rPr>
      <t xml:space="preserve">Q4</t>
    </r>
    <r>
      <rPr>
        <i val="true"/>
        <sz val="10"/>
        <color rgb="FF52606D"/>
        <rFont val="Noto Sans CJK SC"/>
        <family val="2"/>
      </rPr>
      <t xml:space="preserve">经营数据</t>
    </r>
    <r>
      <rPr>
        <i val="true"/>
        <sz val="10"/>
        <color rgb="FF52606D"/>
        <rFont val="Arial"/>
        <family val="0"/>
        <charset val="1"/>
      </rPr>
      <t xml:space="preserve">=FY2025−9M2025</t>
    </r>
    <r>
      <rPr>
        <i val="true"/>
        <sz val="10"/>
        <color rgb="FF52606D"/>
        <rFont val="Noto Sans CJK SC"/>
        <family val="2"/>
      </rPr>
      <t xml:space="preserve">；现金</t>
    </r>
    <r>
      <rPr>
        <i val="true"/>
        <sz val="10"/>
        <color rgb="FF52606D"/>
        <rFont val="Arial"/>
        <family val="0"/>
        <charset val="1"/>
      </rPr>
      <t xml:space="preserve">/</t>
    </r>
    <r>
      <rPr>
        <i val="true"/>
        <sz val="10"/>
        <color rgb="FF52606D"/>
        <rFont val="Noto Sans CJK SC"/>
        <family val="2"/>
      </rPr>
      <t xml:space="preserve">债务</t>
    </r>
    <r>
      <rPr>
        <i val="true"/>
        <sz val="10"/>
        <color rgb="FF52606D"/>
        <rFont val="Arial"/>
        <family val="0"/>
        <charset val="1"/>
      </rPr>
      <t xml:space="preserve">/</t>
    </r>
    <r>
      <rPr>
        <i val="true"/>
        <sz val="10"/>
        <color rgb="FF52606D"/>
        <rFont val="Noto Sans CJK SC"/>
        <family val="2"/>
      </rPr>
      <t xml:space="preserve">权益为期末余额。</t>
    </r>
  </si>
  <si>
    <t xml:space="preserve">2025Q4</t>
  </si>
  <si>
    <t xml:space="preserve">2026Q1</t>
  </si>
  <si>
    <t xml:space="preserve">2026Q2</t>
  </si>
  <si>
    <t xml:space="preserve">2026Q3</t>
  </si>
  <si>
    <t xml:space="preserve">FY2025</t>
  </si>
  <si>
    <t xml:space="preserve">LTM</t>
  </si>
  <si>
    <r>
      <rPr>
        <b val="true"/>
        <sz val="10"/>
        <color rgb="FFFFFFFF"/>
        <rFont val="Arial"/>
        <family val="0"/>
        <charset val="1"/>
      </rPr>
      <t xml:space="preserve">9M2025 / </t>
    </r>
    <r>
      <rPr>
        <b val="true"/>
        <sz val="10"/>
        <color rgb="FFFFFFFF"/>
        <rFont val="Noto Sans CJK SC"/>
        <family val="2"/>
      </rPr>
      <t xml:space="preserve">支持</t>
    </r>
  </si>
  <si>
    <t xml:space="preserve">出处</t>
  </si>
  <si>
    <t xml:space="preserve">口径</t>
  </si>
  <si>
    <r>
      <rPr>
        <sz val="10"/>
        <color rgb="FF17202A"/>
        <rFont val="Noto Sans CJK SC"/>
        <family val="2"/>
      </rPr>
      <t xml:space="preserve">营收 </t>
    </r>
    <r>
      <rPr>
        <sz val="10"/>
        <color rgb="FF17202A"/>
        <rFont val="Arial"/>
        <family val="0"/>
        <charset val="1"/>
      </rPr>
      <t xml:space="preserve">Revenue</t>
    </r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</si>
  <si>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F-5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p.5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p.9</t>
    </r>
  </si>
  <si>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Q4=FY−9M2025</t>
    </r>
  </si>
  <si>
    <r>
      <rPr>
        <sz val="10"/>
        <color rgb="FF17202A"/>
        <rFont val="Noto Sans CJK SC"/>
        <family val="2"/>
      </rPr>
      <t xml:space="preserve">营收成本 </t>
    </r>
    <r>
      <rPr>
        <sz val="10"/>
        <color rgb="FF17202A"/>
        <rFont val="Arial"/>
        <family val="0"/>
        <charset val="1"/>
      </rPr>
      <t xml:space="preserve">Cost of revenue</t>
    </r>
  </si>
  <si>
    <r>
      <rPr>
        <sz val="10"/>
        <color rgb="FF17202A"/>
        <rFont val="Noto Sans CJK SC"/>
        <family val="2"/>
      </rPr>
      <t xml:space="preserve">毛利 </t>
    </r>
    <r>
      <rPr>
        <sz val="10"/>
        <color rgb="FF17202A"/>
        <rFont val="Arial"/>
        <family val="0"/>
        <charset val="1"/>
      </rPr>
      <t xml:space="preserve">Gross profit</t>
    </r>
  </si>
  <si>
    <t xml:space="preserve">计算：营收−营收成本；原始报表见上行</t>
  </si>
  <si>
    <r>
      <rPr>
        <sz val="10"/>
        <color rgb="FF17202A"/>
        <rFont val="Noto Sans CJK SC"/>
        <family val="2"/>
      </rPr>
      <t xml:space="preserve">分析计算，非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报表小计</t>
    </r>
  </si>
  <si>
    <r>
      <rPr>
        <sz val="10"/>
        <color rgb="FF17202A"/>
        <rFont val="Noto Sans CJK SC"/>
        <family val="2"/>
      </rPr>
      <t xml:space="preserve">经营利润</t>
    </r>
    <r>
      <rPr>
        <sz val="10"/>
        <color rgb="FF17202A"/>
        <rFont val="Arial"/>
        <family val="0"/>
        <charset val="1"/>
      </rPr>
      <t xml:space="preserve">/(</t>
    </r>
    <r>
      <rPr>
        <sz val="10"/>
        <color rgb="FF17202A"/>
        <rFont val="Noto Sans CJK SC"/>
        <family val="2"/>
      </rPr>
      <t xml:space="preserve">亏损</t>
    </r>
    <r>
      <rPr>
        <sz val="10"/>
        <color rgb="FF17202A"/>
        <rFont val="Arial"/>
        <family val="0"/>
        <charset val="1"/>
      </rPr>
      <t xml:space="preserve">)</t>
    </r>
  </si>
  <si>
    <r>
      <rPr>
        <sz val="10"/>
        <color rgb="FF17202A"/>
        <rFont val="Noto Sans CJK SC"/>
        <family val="2"/>
      </rPr>
      <t xml:space="preserve">净利润</t>
    </r>
    <r>
      <rPr>
        <sz val="10"/>
        <color rgb="FF17202A"/>
        <rFont val="Arial"/>
        <family val="0"/>
        <charset val="1"/>
      </rPr>
      <t xml:space="preserve">/(</t>
    </r>
    <r>
      <rPr>
        <sz val="10"/>
        <color rgb="FF17202A"/>
        <rFont val="Noto Sans CJK SC"/>
        <family val="2"/>
      </rPr>
      <t xml:space="preserve">亏损</t>
    </r>
    <r>
      <rPr>
        <sz val="10"/>
        <color rgb="FF17202A"/>
        <rFont val="Arial"/>
        <family val="0"/>
        <charset val="1"/>
      </rPr>
      <t xml:space="preserve">)</t>
    </r>
    <r>
      <rPr>
        <sz val="10"/>
        <color rgb="FF17202A"/>
        <rFont val="Noto Sans CJK SC"/>
        <family val="2"/>
      </rPr>
      <t xml:space="preserve">（合并口径）</t>
    </r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</si>
  <si>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F-5/F-64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p.5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p.9</t>
    </r>
  </si>
  <si>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；不与普通股股东应占口径混用</t>
    </r>
  </si>
  <si>
    <r>
      <rPr>
        <sz val="10"/>
        <color rgb="FF17202A"/>
        <rFont val="Noto Sans CJK SC"/>
        <family val="2"/>
      </rPr>
      <t xml:space="preserve">普通股股东应占净利润</t>
    </r>
    <r>
      <rPr>
        <sz val="10"/>
        <color rgb="FF17202A"/>
        <rFont val="Arial"/>
        <family val="0"/>
        <charset val="1"/>
      </rPr>
      <t xml:space="preserve">/(</t>
    </r>
    <r>
      <rPr>
        <sz val="10"/>
        <color rgb="FF17202A"/>
        <rFont val="Noto Sans CJK SC"/>
        <family val="2"/>
      </rPr>
      <t xml:space="preserve">亏损</t>
    </r>
    <r>
      <rPr>
        <sz val="10"/>
        <color rgb="FF17202A"/>
        <rFont val="Arial"/>
        <family val="0"/>
        <charset val="1"/>
      </rPr>
      <t xml:space="preserve">)</t>
    </r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</si>
  <si>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F-64/F-95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p.9</t>
    </r>
  </si>
  <si>
    <r>
      <rPr>
        <sz val="10"/>
        <color rgb="FF17202A"/>
        <rFont val="Arial"/>
        <family val="0"/>
        <charset val="1"/>
      </rPr>
      <t xml:space="preserve">Q1</t>
    </r>
    <r>
      <rPr>
        <sz val="10"/>
        <color rgb="FF17202A"/>
        <rFont val="Noto Sans CJK SC"/>
        <family val="2"/>
      </rPr>
      <t xml:space="preserve">含</t>
    </r>
    <r>
      <rPr>
        <sz val="10"/>
        <color rgb="FF17202A"/>
        <rFont val="Arial"/>
        <family val="0"/>
        <charset val="1"/>
      </rPr>
      <t xml:space="preserve">671 deemed dividend</t>
    </r>
    <r>
      <rPr>
        <sz val="10"/>
        <color rgb="FF17202A"/>
        <rFont val="Noto Sans CJK SC"/>
        <family val="2"/>
      </rPr>
      <t xml:space="preserve">；仅作补充</t>
    </r>
  </si>
  <si>
    <r>
      <rPr>
        <sz val="10"/>
        <color rgb="FF17202A"/>
        <rFont val="Noto Sans CJK SC"/>
        <family val="2"/>
      </rPr>
      <t xml:space="preserve">经营现金流 </t>
    </r>
    <r>
      <rPr>
        <sz val="10"/>
        <color rgb="FF17202A"/>
        <rFont val="Arial"/>
        <family val="0"/>
        <charset val="1"/>
      </rPr>
      <t xml:space="preserve">CFO</t>
    </r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</si>
  <si>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F-8/F-67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p.9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p.11</t>
    </r>
  </si>
  <si>
    <r>
      <rPr>
        <sz val="10"/>
        <color rgb="FF17202A"/>
        <rFont val="Arial"/>
        <family val="0"/>
        <charset val="1"/>
      </rPr>
      <t xml:space="preserve">2026Q2/Q3=</t>
    </r>
    <r>
      <rPr>
        <sz val="10"/>
        <color rgb="FF17202A"/>
        <rFont val="Noto Sans CJK SC"/>
        <family val="2"/>
      </rPr>
      <t xml:space="preserve">相应</t>
    </r>
    <r>
      <rPr>
        <sz val="10"/>
        <color rgb="FF17202A"/>
        <rFont val="Arial"/>
        <family val="0"/>
        <charset val="1"/>
      </rPr>
      <t xml:space="preserve">YTD</t>
    </r>
    <r>
      <rPr>
        <sz val="10"/>
        <color rgb="FF17202A"/>
        <rFont val="Noto Sans CJK SC"/>
        <family val="2"/>
      </rPr>
      <t xml:space="preserve">差分；</t>
    </r>
    <r>
      <rPr>
        <sz val="10"/>
        <color rgb="FF17202A"/>
        <rFont val="Arial"/>
        <family val="0"/>
        <charset val="1"/>
      </rPr>
      <t xml:space="preserve">Q4=FY−9M2025</t>
    </r>
  </si>
  <si>
    <r>
      <rPr>
        <sz val="10"/>
        <color rgb="FF17202A"/>
        <rFont val="Noto Sans CJK SC"/>
        <family val="2"/>
      </rPr>
      <t xml:space="preserve">资本开支 </t>
    </r>
    <r>
      <rPr>
        <sz val="10"/>
        <color rgb="FF17202A"/>
        <rFont val="Arial"/>
        <family val="0"/>
        <charset val="1"/>
      </rPr>
      <t xml:space="preserve">Capex</t>
    </r>
    <r>
      <rPr>
        <sz val="10"/>
        <color rgb="FF17202A"/>
        <rFont val="Noto Sans CJK SC"/>
        <family val="2"/>
      </rPr>
      <t xml:space="preserve">（正数）</t>
    </r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</si>
  <si>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F-8/F-67</t>
    </r>
    <r>
      <rPr>
        <sz val="10"/>
        <color rgb="FF17202A"/>
        <rFont val="Noto Sans CJK SC"/>
        <family val="2"/>
      </rPr>
      <t xml:space="preserve">及</t>
    </r>
    <r>
      <rPr>
        <sz val="10"/>
        <color rgb="FF17202A"/>
        <rFont val="Arial"/>
        <family val="0"/>
        <charset val="1"/>
      </rPr>
      <t xml:space="preserve">Note 19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Note 18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p.3/p.11</t>
    </r>
  </si>
  <si>
    <r>
      <rPr>
        <sz val="10"/>
        <color rgb="FF17202A"/>
        <rFont val="Noto Sans CJK SC"/>
        <family val="2"/>
      </rPr>
      <t xml:space="preserve">购置</t>
    </r>
    <r>
      <rPr>
        <sz val="10"/>
        <color rgb="FF17202A"/>
        <rFont val="Arial"/>
        <family val="0"/>
        <charset val="1"/>
      </rPr>
      <t xml:space="preserve">PP&amp;E</t>
    </r>
    <r>
      <rPr>
        <sz val="10"/>
        <color rgb="FF17202A"/>
        <rFont val="Noto Sans CJK SC"/>
        <family val="2"/>
      </rPr>
      <t xml:space="preserve">；不含资本化利息、证券投资及收购付款</t>
    </r>
  </si>
  <si>
    <r>
      <rPr>
        <sz val="10"/>
        <color rgb="FF17202A"/>
        <rFont val="Noto Sans CJK SC"/>
        <family val="2"/>
      </rPr>
      <t xml:space="preserve">自由现金流 </t>
    </r>
    <r>
      <rPr>
        <sz val="10"/>
        <color rgb="FF17202A"/>
        <rFont val="Arial"/>
        <family val="0"/>
        <charset val="1"/>
      </rPr>
      <t xml:space="preserve">FCF</t>
    </r>
  </si>
  <si>
    <r>
      <rPr>
        <sz val="10"/>
        <color rgb="FF17202A"/>
        <rFont val="Noto Sans CJK SC"/>
        <family val="2"/>
      </rPr>
      <t xml:space="preserve">计算：</t>
    </r>
    <r>
      <rPr>
        <sz val="10"/>
        <color rgb="FF17202A"/>
        <rFont val="Arial"/>
        <family val="0"/>
        <charset val="1"/>
      </rPr>
      <t xml:space="preserve">CFO−Capex</t>
    </r>
    <r>
      <rPr>
        <sz val="10"/>
        <color rgb="FF17202A"/>
        <rFont val="Noto Sans CJK SC"/>
        <family val="2"/>
      </rPr>
      <t xml:space="preserve">；定义与</t>
    </r>
    <r>
      <rPr>
        <sz val="10"/>
        <color rgb="FF17202A"/>
        <rFont val="Arial"/>
        <family val="0"/>
        <charset val="1"/>
      </rPr>
      <t xml:space="preserve">Tesla Q3 Update slide 32</t>
    </r>
    <r>
      <rPr>
        <sz val="10"/>
        <color rgb="FF17202A"/>
        <rFont val="Noto Sans CJK SC"/>
        <family val="2"/>
      </rPr>
      <t xml:space="preserve">一致</t>
    </r>
  </si>
  <si>
    <r>
      <rPr>
        <sz val="10"/>
        <color rgb="FF17202A"/>
        <rFont val="Noto Sans CJK SC"/>
        <family val="2"/>
      </rPr>
      <t xml:space="preserve">分析计算；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未直接披露</t>
    </r>
  </si>
  <si>
    <r>
      <rPr>
        <sz val="10"/>
        <color rgb="FF17202A"/>
        <rFont val="Noto Sans CJK SC"/>
        <family val="2"/>
      </rPr>
      <t xml:space="preserve">调整后 </t>
    </r>
    <r>
      <rPr>
        <sz val="10"/>
        <color rgb="FF17202A"/>
        <rFont val="Arial"/>
        <family val="0"/>
        <charset val="1"/>
      </rPr>
      <t xml:space="preserve">EBITDA</t>
    </r>
    <r>
      <rPr>
        <sz val="10"/>
        <color rgb="FF17202A"/>
        <rFont val="Noto Sans CJK SC"/>
        <family val="2"/>
      </rPr>
      <t xml:space="preserve">（非</t>
    </r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）</t>
    </r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</si>
  <si>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MD&amp;A reconciliation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MD&amp;A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p.9</t>
    </r>
  </si>
  <si>
    <r>
      <rPr>
        <sz val="10"/>
        <color rgb="FF17202A"/>
        <rFont val="Noto Sans CJK SC"/>
        <family val="2"/>
      </rPr>
      <t xml:space="preserve">非</t>
    </r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Q4=FY−9M2025</t>
    </r>
  </si>
  <si>
    <t xml:space="preserve">期末资产负债表（账面净额；不含受限现金）</t>
  </si>
  <si>
    <t xml:space="preserve">2025-12-31</t>
  </si>
  <si>
    <t xml:space="preserve">2026-03-31</t>
  </si>
  <si>
    <t xml:space="preserve">2026-06-30</t>
  </si>
  <si>
    <t xml:space="preserve">2026-09-30</t>
  </si>
  <si>
    <t xml:space="preserve">现金及现金等价物</t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</si>
  <si>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F-4/F-63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p.4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p.10</t>
    </r>
  </si>
  <si>
    <t xml:space="preserve">资产负债表科目</t>
  </si>
  <si>
    <r>
      <rPr>
        <sz val="10"/>
        <color rgb="FF17202A"/>
        <rFont val="Noto Sans CJK SC"/>
        <family val="2"/>
      </rPr>
      <t xml:space="preserve">流动短期投资 </t>
    </r>
    <r>
      <rPr>
        <sz val="10"/>
        <color rgb="FF17202A"/>
        <rFont val="Arial"/>
        <family val="0"/>
        <charset val="1"/>
      </rPr>
      <t xml:space="preserve">/ Marketable securities</t>
    </r>
  </si>
  <si>
    <t xml:space="preserve">不含受限现金</t>
  </si>
  <si>
    <t xml:space="preserve">现金＋短期投资</t>
  </si>
  <si>
    <t xml:space="preserve">计算：现金及现金等价物＋流动短期投资</t>
  </si>
  <si>
    <t xml:space="preserve">分析计算</t>
  </si>
  <si>
    <t xml:space="preserve">债务及融资租赁－流动</t>
  </si>
  <si>
    <t xml:space="preserve">含租赁；账面净额</t>
  </si>
  <si>
    <t xml:space="preserve">债务及融资租赁－非流动</t>
  </si>
  <si>
    <t xml:space="preserve">有息负债合计（含融资租赁）</t>
  </si>
  <si>
    <r>
      <rPr>
        <sz val="10"/>
        <color rgb="FF17202A"/>
        <rFont val="Noto Sans CJK SC"/>
        <family val="2"/>
      </rPr>
      <t xml:space="preserve">计算：流动＋非流动；</t>
    </r>
    <r>
      <rPr>
        <sz val="10"/>
        <color rgb="FF17202A"/>
        <rFont val="Arial"/>
        <family val="0"/>
        <charset val="1"/>
      </rPr>
      <t xml:space="preserve">Q2 Note 9</t>
    </r>
    <r>
      <rPr>
        <sz val="10"/>
        <color rgb="FF17202A"/>
        <rFont val="Noto Sans CJK SC"/>
        <family val="2"/>
      </rPr>
      <t xml:space="preserve">可核对本金与净额</t>
    </r>
  </si>
  <si>
    <t xml:space="preserve">不含夹层优先股</t>
  </si>
  <si>
    <t xml:space="preserve">股东权益</t>
  </si>
  <si>
    <t xml:space="preserve">不含夹层可赎回可转换优先股</t>
  </si>
  <si>
    <t xml:space="preserve">夹层可赎回可转换优先股</t>
  </si>
  <si>
    <t xml:space="preserve">不计入股东权益或有息负债</t>
  </si>
  <si>
    <t xml:space="preserve">其中：关联方债务</t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</si>
  <si>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Note 9/18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Note 9/17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p.10</t>
    </r>
  </si>
  <si>
    <r>
      <rPr>
        <sz val="10"/>
        <color rgb="FF17202A"/>
        <rFont val="Noto Sans CJK SC"/>
        <family val="2"/>
      </rPr>
      <t xml:space="preserve">不等于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债务；含</t>
    </r>
    <r>
      <rPr>
        <sz val="10"/>
        <color rgb="FF17202A"/>
        <rFont val="Arial"/>
        <family val="0"/>
        <charset val="1"/>
      </rPr>
      <t xml:space="preserve">Valor</t>
    </r>
    <r>
      <rPr>
        <sz val="10"/>
        <color rgb="FF17202A"/>
        <rFont val="Noto Sans CJK SC"/>
        <family val="2"/>
      </rPr>
      <t xml:space="preserve">等</t>
    </r>
  </si>
  <si>
    <r>
      <rPr>
        <b val="true"/>
        <sz val="11"/>
        <color rgb="FF102A43"/>
        <rFont val="Arial"/>
        <family val="0"/>
        <charset val="1"/>
      </rPr>
      <t xml:space="preserve">2026</t>
    </r>
    <r>
      <rPr>
        <b val="true"/>
        <sz val="11"/>
        <color rgb="FF102A43"/>
        <rFont val="Noto Sans CJK SC"/>
        <family val="2"/>
      </rPr>
      <t xml:space="preserve">年</t>
    </r>
    <r>
      <rPr>
        <b val="true"/>
        <sz val="11"/>
        <color rgb="FF102A43"/>
        <rFont val="Arial"/>
        <family val="0"/>
        <charset val="1"/>
      </rPr>
      <t xml:space="preserve">YTD</t>
    </r>
    <r>
      <rPr>
        <b val="true"/>
        <sz val="11"/>
        <color rgb="FF102A43"/>
        <rFont val="Noto Sans CJK SC"/>
        <family val="2"/>
      </rPr>
      <t xml:space="preserve">现金流支持值（披露输入；用于差分单季）</t>
    </r>
  </si>
  <si>
    <t xml:space="preserve">项目</t>
  </si>
  <si>
    <t xml:space="preserve">2026H1</t>
  </si>
  <si>
    <t xml:space="preserve">2026M9</t>
  </si>
  <si>
    <t xml:space="preserve">CFO YTD</t>
  </si>
  <si>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p.9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p.11</t>
    </r>
  </si>
  <si>
    <t xml:space="preserve">现金流出按正数输入</t>
  </si>
  <si>
    <t xml:space="preserve">Capex YTD</t>
  </si>
  <si>
    <r>
      <rPr>
        <b val="true"/>
        <sz val="11"/>
        <color rgb="FF102A43"/>
        <rFont val="Noto Sans CJK SC"/>
        <family val="2"/>
      </rPr>
      <t xml:space="preserve">报告分部：收入、成本、毛利（计算）、经营利润、调整后</t>
    </r>
    <r>
      <rPr>
        <b val="true"/>
        <sz val="11"/>
        <color rgb="FF102A43"/>
        <rFont val="Arial"/>
        <family val="0"/>
        <charset val="1"/>
      </rPr>
      <t xml:space="preserve">EBITDA</t>
    </r>
    <r>
      <rPr>
        <b val="true"/>
        <sz val="11"/>
        <color rgb="FF102A43"/>
        <rFont val="Noto Sans CJK SC"/>
        <family val="2"/>
      </rPr>
      <t xml:space="preserve">与</t>
    </r>
    <r>
      <rPr>
        <b val="true"/>
        <sz val="11"/>
        <color rgb="FF102A43"/>
        <rFont val="Arial"/>
        <family val="0"/>
        <charset val="1"/>
      </rPr>
      <t xml:space="preserve">Capex</t>
    </r>
  </si>
  <si>
    <r>
      <rPr>
        <b val="true"/>
        <sz val="10"/>
        <color rgb="FFFFFFFF"/>
        <rFont val="Noto Sans CJK SC"/>
        <family val="2"/>
      </rPr>
      <t xml:space="preserve">分部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指标</t>
    </r>
  </si>
  <si>
    <r>
      <rPr>
        <sz val="10"/>
        <color rgb="FF17202A"/>
        <rFont val="Arial"/>
        <family val="0"/>
        <charset val="1"/>
      </rPr>
      <t xml:space="preserve">Space</t>
    </r>
    <r>
      <rPr>
        <sz val="10"/>
        <color rgb="FF17202A"/>
        <rFont val="Noto Sans CJK SC"/>
        <family val="2"/>
      </rPr>
      <t xml:space="preserve">｜收入</t>
    </r>
  </si>
  <si>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Note 19—Segments</t>
    </r>
    <r>
      <rPr>
        <sz val="10"/>
        <color rgb="FF17202A"/>
        <rFont val="Noto Sans CJK SC"/>
        <family val="2"/>
      </rPr>
      <t xml:space="preserve">（</t>
    </r>
    <r>
      <rPr>
        <sz val="10"/>
        <color rgb="FF17202A"/>
        <rFont val="Arial"/>
        <family val="0"/>
        <charset val="1"/>
      </rPr>
      <t xml:space="preserve">FY2025/Q1</t>
    </r>
    <r>
      <rPr>
        <sz val="10"/>
        <color rgb="FF17202A"/>
        <rFont val="Noto Sans CJK SC"/>
        <family val="2"/>
      </rPr>
      <t xml:space="preserve">）；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Note 18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p.3–6</t>
    </r>
  </si>
  <si>
    <r>
      <rPr>
        <sz val="10"/>
        <color rgb="FF17202A"/>
        <rFont val="Arial"/>
        <family val="0"/>
        <charset val="1"/>
      </rPr>
      <t xml:space="preserve">Q4=FY−9M2025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为原</t>
    </r>
    <r>
      <rPr>
        <sz val="10"/>
        <color rgb="FF17202A"/>
        <rFont val="Arial"/>
        <family val="0"/>
        <charset val="1"/>
      </rPr>
      <t xml:space="preserve">AI</t>
    </r>
    <r>
      <rPr>
        <sz val="10"/>
        <color rgb="FF17202A"/>
        <rFont val="Noto Sans CJK SC"/>
        <family val="2"/>
      </rPr>
      <t xml:space="preserve">分部新名称</t>
    </r>
  </si>
  <si>
    <r>
      <rPr>
        <sz val="10"/>
        <color rgb="FF17202A"/>
        <rFont val="Arial"/>
        <family val="0"/>
        <charset val="1"/>
      </rPr>
      <t xml:space="preserve">Space</t>
    </r>
    <r>
      <rPr>
        <sz val="10"/>
        <color rgb="FF17202A"/>
        <rFont val="Noto Sans CJK SC"/>
        <family val="2"/>
      </rPr>
      <t xml:space="preserve">｜营收成本</t>
    </r>
  </si>
  <si>
    <t xml:space="preserve">按披露分部</t>
  </si>
  <si>
    <r>
      <rPr>
        <sz val="10"/>
        <color rgb="FF17202A"/>
        <rFont val="Arial"/>
        <family val="0"/>
        <charset val="1"/>
      </rPr>
      <t xml:space="preserve">Space</t>
    </r>
    <r>
      <rPr>
        <sz val="10"/>
        <color rgb="FF17202A"/>
        <rFont val="Noto Sans CJK SC"/>
        <family val="2"/>
      </rPr>
      <t xml:space="preserve">｜毛利（计算）</t>
    </r>
  </si>
  <si>
    <r>
      <rPr>
        <sz val="10"/>
        <color rgb="FF17202A"/>
        <rFont val="Noto Sans CJK SC"/>
        <family val="2"/>
      </rPr>
      <t xml:space="preserve">毛利</t>
    </r>
    <r>
      <rPr>
        <sz val="10"/>
        <color rgb="FF17202A"/>
        <rFont val="Arial"/>
        <family val="0"/>
        <charset val="1"/>
      </rPr>
      <t xml:space="preserve">=</t>
    </r>
    <r>
      <rPr>
        <sz val="10"/>
        <color rgb="FF17202A"/>
        <rFont val="Noto Sans CJK SC"/>
        <family val="2"/>
      </rPr>
      <t xml:space="preserve">收入−成本；非</t>
    </r>
    <r>
      <rPr>
        <sz val="10"/>
        <color rgb="FF17202A"/>
        <rFont val="Arial"/>
        <family val="0"/>
        <charset val="1"/>
      </rPr>
      <t xml:space="preserve">SpaceX CODM</t>
    </r>
    <r>
      <rPr>
        <sz val="10"/>
        <color rgb="FF17202A"/>
        <rFont val="Noto Sans CJK SC"/>
        <family val="2"/>
      </rPr>
      <t xml:space="preserve">主要利润指标</t>
    </r>
  </si>
  <si>
    <r>
      <rPr>
        <sz val="10"/>
        <color rgb="FF17202A"/>
        <rFont val="Arial"/>
        <family val="0"/>
        <charset val="1"/>
      </rPr>
      <t xml:space="preserve">Space</t>
    </r>
    <r>
      <rPr>
        <sz val="10"/>
        <color rgb="FF17202A"/>
        <rFont val="Noto Sans CJK SC"/>
        <family val="2"/>
      </rPr>
      <t xml:space="preserve">｜经营利润</t>
    </r>
    <r>
      <rPr>
        <sz val="10"/>
        <color rgb="FF17202A"/>
        <rFont val="Arial"/>
        <family val="0"/>
        <charset val="1"/>
      </rPr>
      <t xml:space="preserve">/(</t>
    </r>
    <r>
      <rPr>
        <sz val="10"/>
        <color rgb="FF17202A"/>
        <rFont val="Noto Sans CJK SC"/>
        <family val="2"/>
      </rPr>
      <t xml:space="preserve">亏损</t>
    </r>
    <r>
      <rPr>
        <sz val="10"/>
        <color rgb="FF17202A"/>
        <rFont val="Arial"/>
        <family val="0"/>
        <charset val="1"/>
      </rPr>
      <t xml:space="preserve">)</t>
    </r>
  </si>
  <si>
    <r>
      <rPr>
        <sz val="10"/>
        <color rgb="FF17202A"/>
        <rFont val="Arial"/>
        <family val="0"/>
        <charset val="1"/>
      </rPr>
      <t xml:space="preserve">Space</t>
    </r>
    <r>
      <rPr>
        <sz val="10"/>
        <color rgb="FF17202A"/>
        <rFont val="Noto Sans CJK SC"/>
        <family val="2"/>
      </rPr>
      <t xml:space="preserve">｜</t>
    </r>
    <r>
      <rPr>
        <sz val="10"/>
        <color rgb="FF17202A"/>
        <rFont val="Arial"/>
        <family val="0"/>
        <charset val="1"/>
      </rPr>
      <t xml:space="preserve">Segment Adj. EBITDA</t>
    </r>
  </si>
  <si>
    <r>
      <rPr>
        <sz val="10"/>
        <color rgb="FF17202A"/>
        <rFont val="Noto Sans CJK SC"/>
        <family val="2"/>
      </rPr>
      <t xml:space="preserve">非</t>
    </r>
    <r>
      <rPr>
        <sz val="10"/>
        <color rgb="FF17202A"/>
        <rFont val="Arial"/>
        <family val="0"/>
        <charset val="1"/>
      </rPr>
      <t xml:space="preserve">GAAP</t>
    </r>
  </si>
  <si>
    <r>
      <rPr>
        <sz val="10"/>
        <color rgb="FF17202A"/>
        <rFont val="Arial"/>
        <family val="0"/>
        <charset val="1"/>
      </rPr>
      <t xml:space="preserve">Space</t>
    </r>
    <r>
      <rPr>
        <sz val="10"/>
        <color rgb="FF17202A"/>
        <rFont val="Noto Sans CJK SC"/>
        <family val="2"/>
      </rPr>
      <t xml:space="preserve">｜</t>
    </r>
    <r>
      <rPr>
        <sz val="10"/>
        <color rgb="FF17202A"/>
        <rFont val="Arial"/>
        <family val="0"/>
        <charset val="1"/>
      </rPr>
      <t xml:space="preserve">Capex</t>
    </r>
  </si>
  <si>
    <r>
      <rPr>
        <sz val="10"/>
        <color rgb="FF17202A"/>
        <rFont val="Arial"/>
        <family val="0"/>
        <charset val="1"/>
      </rPr>
      <t xml:space="preserve">Connectivity</t>
    </r>
    <r>
      <rPr>
        <sz val="10"/>
        <color rgb="FF17202A"/>
        <rFont val="Noto Sans CJK SC"/>
        <family val="2"/>
      </rPr>
      <t xml:space="preserve">｜收入</t>
    </r>
  </si>
  <si>
    <r>
      <rPr>
        <sz val="10"/>
        <color rgb="FF17202A"/>
        <rFont val="Arial"/>
        <family val="0"/>
        <charset val="1"/>
      </rPr>
      <t xml:space="preserve">Connectivity</t>
    </r>
    <r>
      <rPr>
        <sz val="10"/>
        <color rgb="FF17202A"/>
        <rFont val="Noto Sans CJK SC"/>
        <family val="2"/>
      </rPr>
      <t xml:space="preserve">｜营收成本</t>
    </r>
  </si>
  <si>
    <r>
      <rPr>
        <sz val="10"/>
        <color rgb="FF17202A"/>
        <rFont val="Arial"/>
        <family val="0"/>
        <charset val="1"/>
      </rPr>
      <t xml:space="preserve">Connectivity</t>
    </r>
    <r>
      <rPr>
        <sz val="10"/>
        <color rgb="FF17202A"/>
        <rFont val="Noto Sans CJK SC"/>
        <family val="2"/>
      </rPr>
      <t xml:space="preserve">｜毛利（计算）</t>
    </r>
  </si>
  <si>
    <r>
      <rPr>
        <sz val="10"/>
        <color rgb="FF17202A"/>
        <rFont val="Arial"/>
        <family val="0"/>
        <charset val="1"/>
      </rPr>
      <t xml:space="preserve">Connectivity</t>
    </r>
    <r>
      <rPr>
        <sz val="10"/>
        <color rgb="FF17202A"/>
        <rFont val="Noto Sans CJK SC"/>
        <family val="2"/>
      </rPr>
      <t xml:space="preserve">｜经营利润</t>
    </r>
    <r>
      <rPr>
        <sz val="10"/>
        <color rgb="FF17202A"/>
        <rFont val="Arial"/>
        <family val="0"/>
        <charset val="1"/>
      </rPr>
      <t xml:space="preserve">/(</t>
    </r>
    <r>
      <rPr>
        <sz val="10"/>
        <color rgb="FF17202A"/>
        <rFont val="Noto Sans CJK SC"/>
        <family val="2"/>
      </rPr>
      <t xml:space="preserve">亏损</t>
    </r>
    <r>
      <rPr>
        <sz val="10"/>
        <color rgb="FF17202A"/>
        <rFont val="Arial"/>
        <family val="0"/>
        <charset val="1"/>
      </rPr>
      <t xml:space="preserve">)</t>
    </r>
  </si>
  <si>
    <r>
      <rPr>
        <sz val="10"/>
        <color rgb="FF17202A"/>
        <rFont val="Arial"/>
        <family val="0"/>
        <charset val="1"/>
      </rPr>
      <t xml:space="preserve">Connectivity</t>
    </r>
    <r>
      <rPr>
        <sz val="10"/>
        <color rgb="FF17202A"/>
        <rFont val="Noto Sans CJK SC"/>
        <family val="2"/>
      </rPr>
      <t xml:space="preserve">｜</t>
    </r>
    <r>
      <rPr>
        <sz val="10"/>
        <color rgb="FF17202A"/>
        <rFont val="Arial"/>
        <family val="0"/>
        <charset val="1"/>
      </rPr>
      <t xml:space="preserve">Segment Adj. EBITDA</t>
    </r>
  </si>
  <si>
    <r>
      <rPr>
        <sz val="10"/>
        <color rgb="FF17202A"/>
        <rFont val="Arial"/>
        <family val="0"/>
        <charset val="1"/>
      </rPr>
      <t xml:space="preserve">Connectivity</t>
    </r>
    <r>
      <rPr>
        <sz val="10"/>
        <color rgb="FF17202A"/>
        <rFont val="Noto Sans CJK SC"/>
        <family val="2"/>
      </rPr>
      <t xml:space="preserve">｜</t>
    </r>
    <r>
      <rPr>
        <sz val="10"/>
        <color rgb="FF17202A"/>
        <rFont val="Arial"/>
        <family val="0"/>
        <charset val="1"/>
      </rPr>
      <t xml:space="preserve">Capex</t>
    </r>
  </si>
  <si>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｜收入</t>
    </r>
  </si>
  <si>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｜营收成本</t>
    </r>
  </si>
  <si>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｜毛利（计算）</t>
    </r>
  </si>
  <si>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｜经营利润</t>
    </r>
    <r>
      <rPr>
        <sz val="10"/>
        <color rgb="FF17202A"/>
        <rFont val="Arial"/>
        <family val="0"/>
        <charset val="1"/>
      </rPr>
      <t xml:space="preserve">/(</t>
    </r>
    <r>
      <rPr>
        <sz val="10"/>
        <color rgb="FF17202A"/>
        <rFont val="Noto Sans CJK SC"/>
        <family val="2"/>
      </rPr>
      <t xml:space="preserve">亏损</t>
    </r>
    <r>
      <rPr>
        <sz val="10"/>
        <color rgb="FF17202A"/>
        <rFont val="Arial"/>
        <family val="0"/>
        <charset val="1"/>
      </rPr>
      <t xml:space="preserve">)</t>
    </r>
  </si>
  <si>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｜</t>
    </r>
    <r>
      <rPr>
        <sz val="10"/>
        <color rgb="FF17202A"/>
        <rFont val="Arial"/>
        <family val="0"/>
        <charset val="1"/>
      </rPr>
      <t xml:space="preserve">Segment Adj. EBITDA</t>
    </r>
  </si>
  <si>
    <r>
      <rPr>
        <sz val="10"/>
        <color rgb="FF17202A"/>
        <rFont val="Arial"/>
        <family val="0"/>
        <charset val="1"/>
      </rPr>
      <t xml:space="preserve">SI</t>
    </r>
    <r>
      <rPr>
        <sz val="10"/>
        <color rgb="FF17202A"/>
        <rFont val="Noto Sans CJK SC"/>
        <family val="2"/>
      </rPr>
      <t xml:space="preserve">｜</t>
    </r>
    <r>
      <rPr>
        <sz val="10"/>
        <color rgb="FF17202A"/>
        <rFont val="Arial"/>
        <family val="0"/>
        <charset val="1"/>
      </rPr>
      <t xml:space="preserve">Capex</t>
    </r>
  </si>
  <si>
    <r>
      <rPr>
        <i val="true"/>
        <sz val="10"/>
        <color rgb="FF52606D"/>
        <rFont val="Noto Sans CJK SC"/>
        <family val="2"/>
      </rPr>
      <t xml:space="preserve">注：</t>
    </r>
    <r>
      <rPr>
        <i val="true"/>
        <sz val="10"/>
        <color rgb="FF52606D"/>
        <rFont val="Arial"/>
        <family val="0"/>
        <charset val="1"/>
      </rPr>
      <t xml:space="preserve">SpaceX CODM</t>
    </r>
    <r>
      <rPr>
        <i val="true"/>
        <sz val="10"/>
        <color rgb="FF52606D"/>
        <rFont val="Noto Sans CJK SC"/>
        <family val="2"/>
      </rPr>
      <t xml:space="preserve">以分部经营利润评价表现；本页毛利为跨公司可比的分析计算。未披露分部净利润、经营现金流、资产或负债。</t>
    </r>
  </si>
  <si>
    <r>
      <rPr>
        <b val="true"/>
        <sz val="16"/>
        <color rgb="FFFFFFFF"/>
        <rFont val="Arial"/>
        <family val="0"/>
        <charset val="1"/>
      </rPr>
      <t xml:space="preserve">Tesla</t>
    </r>
    <r>
      <rPr>
        <b val="true"/>
        <sz val="16"/>
        <color rgb="FFFFFFFF"/>
        <rFont val="Noto Sans CJK SC"/>
        <family val="2"/>
      </rPr>
      <t xml:space="preserve">｜历史财务与分部</t>
    </r>
  </si>
  <si>
    <r>
      <rPr>
        <i val="true"/>
        <sz val="10"/>
        <color rgb="FF52606D"/>
        <rFont val="Noto Sans CJK SC"/>
        <family val="2"/>
      </rPr>
      <t xml:space="preserve">单位：</t>
    </r>
    <r>
      <rPr>
        <i val="true"/>
        <sz val="10"/>
        <color rgb="FF52606D"/>
        <rFont val="Arial"/>
        <family val="0"/>
        <charset val="1"/>
      </rPr>
      <t xml:space="preserve">US$ million</t>
    </r>
    <r>
      <rPr>
        <i val="true"/>
        <sz val="10"/>
        <color rgb="FF52606D"/>
        <rFont val="Noto Sans CJK SC"/>
        <family val="2"/>
      </rPr>
      <t xml:space="preserve">；</t>
    </r>
    <r>
      <rPr>
        <i val="true"/>
        <sz val="10"/>
        <color rgb="FF52606D"/>
        <rFont val="Arial"/>
        <family val="0"/>
        <charset val="1"/>
      </rPr>
      <t xml:space="preserve">LTM=2025Q4–2026Q3</t>
    </r>
    <r>
      <rPr>
        <i val="true"/>
        <sz val="10"/>
        <color rgb="FF52606D"/>
        <rFont val="Noto Sans CJK SC"/>
        <family val="2"/>
      </rPr>
      <t xml:space="preserve">。季度经营数据主要来自</t>
    </r>
    <r>
      <rPr>
        <i val="true"/>
        <sz val="10"/>
        <color rgb="FF52606D"/>
        <rFont val="Arial"/>
        <family val="0"/>
        <charset val="1"/>
      </rPr>
      <t xml:space="preserve">Q3 Update</t>
    </r>
    <r>
      <rPr>
        <i val="true"/>
        <sz val="10"/>
        <color rgb="FF52606D"/>
        <rFont val="Noto Sans CJK SC"/>
        <family val="2"/>
      </rPr>
      <t xml:space="preserve">；</t>
    </r>
    <r>
      <rPr>
        <i val="true"/>
        <sz val="10"/>
        <color rgb="FF52606D"/>
        <rFont val="Arial"/>
        <family val="0"/>
        <charset val="1"/>
      </rPr>
      <t xml:space="preserve">FY2025</t>
    </r>
    <r>
      <rPr>
        <i val="true"/>
        <sz val="10"/>
        <color rgb="FF52606D"/>
        <rFont val="Noto Sans CJK SC"/>
        <family val="2"/>
      </rPr>
      <t xml:space="preserve">来自</t>
    </r>
    <r>
      <rPr>
        <i val="true"/>
        <sz val="10"/>
        <color rgb="FF52606D"/>
        <rFont val="Arial"/>
        <family val="0"/>
        <charset val="1"/>
      </rPr>
      <t xml:space="preserve">10-K</t>
    </r>
    <r>
      <rPr>
        <i val="true"/>
        <sz val="10"/>
        <color rgb="FF52606D"/>
        <rFont val="Noto Sans CJK SC"/>
        <family val="2"/>
      </rPr>
      <t xml:space="preserve">。</t>
    </r>
    <r>
      <rPr>
        <i val="true"/>
        <sz val="10"/>
        <color rgb="FF52606D"/>
        <rFont val="Arial"/>
        <family val="0"/>
        <charset val="1"/>
      </rPr>
      <t xml:space="preserve">Tesla</t>
    </r>
    <r>
      <rPr>
        <i val="true"/>
        <sz val="10"/>
        <color rgb="FF52606D"/>
        <rFont val="Noto Sans CJK SC"/>
        <family val="2"/>
      </rPr>
      <t xml:space="preserve">报告分部利润为毛利，不是经营利润。</t>
    </r>
  </si>
  <si>
    <r>
      <rPr>
        <sz val="10"/>
        <color rgb="FF17202A"/>
        <rFont val="Arial"/>
        <family val="0"/>
        <charset val="1"/>
      </rPr>
      <t xml:space="preserve">10-K Consolidated Statements of Operations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Update slide 27</t>
    </r>
  </si>
  <si>
    <t xml:space="preserve">GAAP</t>
  </si>
  <si>
    <r>
      <rPr>
        <sz val="10"/>
        <color rgb="FF17202A"/>
        <rFont val="Arial"/>
        <family val="0"/>
        <charset val="1"/>
      </rPr>
      <t xml:space="preserve">Q3 Update slide 27</t>
    </r>
    <r>
      <rPr>
        <sz val="10"/>
        <color rgb="FF17202A"/>
        <rFont val="Noto Sans CJK SC"/>
        <family val="2"/>
      </rPr>
      <t xml:space="preserve">；本模型营收−成本复核</t>
    </r>
  </si>
  <si>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；公式计算</t>
    </r>
  </si>
  <si>
    <t xml:space="preserve">经营利润</t>
  </si>
  <si>
    <t xml:space="preserve">净利润（含少数股东）</t>
  </si>
  <si>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合并口径</t>
    </r>
  </si>
  <si>
    <t xml:space="preserve">归属普通股股东净利润</t>
  </si>
  <si>
    <r>
      <rPr>
        <sz val="10"/>
        <color rgb="FF17202A"/>
        <rFont val="Arial"/>
        <family val="0"/>
        <charset val="1"/>
      </rPr>
      <t xml:space="preserve">10-K Note 3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Update slide 27</t>
    </r>
  </si>
  <si>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；用于</t>
    </r>
    <r>
      <rPr>
        <sz val="10"/>
        <color rgb="FF17202A"/>
        <rFont val="Arial"/>
        <family val="0"/>
        <charset val="1"/>
      </rPr>
      <t xml:space="preserve">EPS</t>
    </r>
    <r>
      <rPr>
        <sz val="10"/>
        <color rgb="FF17202A"/>
        <rFont val="Noto Sans CJK SC"/>
        <family val="2"/>
      </rPr>
      <t xml:space="preserve">的口径可能另有调整</t>
    </r>
  </si>
  <si>
    <r>
      <rPr>
        <sz val="10"/>
        <color rgb="FF17202A"/>
        <rFont val="Arial"/>
        <family val="0"/>
        <charset val="1"/>
      </rPr>
      <t xml:space="preserve">10-K Consolidated Statements of Cash Flows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Update slide 29</t>
    </r>
  </si>
  <si>
    <r>
      <rPr>
        <sz val="10"/>
        <color rgb="FF17202A"/>
        <rFont val="Arial"/>
        <family val="0"/>
        <charset val="1"/>
      </rPr>
      <t xml:space="preserve">10-K Consolidated Statements of Cash Flows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Update slide 29/31</t>
    </r>
  </si>
  <si>
    <t xml:space="preserve">含能源发电及储能系统购买；现金流出正数</t>
  </si>
  <si>
    <t xml:space="preserve">Q3 Update slide 29/31/32</t>
  </si>
  <si>
    <t xml:space="preserve">CFO−Capex</t>
  </si>
  <si>
    <t xml:space="preserve">Q3 Update slide 30/31</t>
  </si>
  <si>
    <r>
      <rPr>
        <sz val="10"/>
        <color rgb="FF17202A"/>
        <rFont val="Noto Sans CJK SC"/>
        <family val="2"/>
      </rPr>
      <t xml:space="preserve">非</t>
    </r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；与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定义不完全可比</t>
    </r>
  </si>
  <si>
    <r>
      <rPr>
        <b val="true"/>
        <sz val="11"/>
        <color rgb="FF102A43"/>
        <rFont val="Noto Sans CJK SC"/>
        <family val="2"/>
      </rPr>
      <t xml:space="preserve">期末资产负债表（</t>
    </r>
    <r>
      <rPr>
        <b val="true"/>
        <sz val="11"/>
        <color rgb="FF102A43"/>
        <rFont val="Arial"/>
        <family val="0"/>
        <charset val="1"/>
      </rPr>
      <t xml:space="preserve">US$ million</t>
    </r>
    <r>
      <rPr>
        <b val="true"/>
        <sz val="11"/>
        <color rgb="FF102A43"/>
        <rFont val="Noto Sans CJK SC"/>
        <family val="2"/>
      </rPr>
      <t xml:space="preserve">）</t>
    </r>
  </si>
  <si>
    <t xml:space="preserve">现金、现金等价物及短期投资合计</t>
  </si>
  <si>
    <r>
      <rPr>
        <sz val="10"/>
        <color rgb="FF17202A"/>
        <rFont val="Arial"/>
        <family val="0"/>
        <charset val="1"/>
      </rPr>
      <t xml:space="preserve">Q3 Update slide 28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10-K Consolidated Balance Sheets</t>
    </r>
  </si>
  <si>
    <t xml:space="preserve">其中：现金及现金等价物</t>
  </si>
  <si>
    <r>
      <rPr>
        <sz val="10"/>
        <color rgb="FF17202A"/>
        <rFont val="Arial"/>
        <family val="0"/>
        <charset val="1"/>
      </rPr>
      <t xml:space="preserve">10-K Consolidated Balance Sheets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10-Q Balance Sheets</t>
    </r>
  </si>
  <si>
    <r>
      <rPr>
        <sz val="10"/>
        <color rgb="FF17202A"/>
        <rFont val="Arial"/>
        <family val="0"/>
        <charset val="1"/>
      </rPr>
      <t xml:space="preserve">Q1/Q2</t>
    </r>
    <r>
      <rPr>
        <sz val="10"/>
        <color rgb="FF17202A"/>
        <rFont val="Noto Sans CJK SC"/>
        <family val="2"/>
      </rPr>
      <t xml:space="preserve">未在四份材料中拆分</t>
    </r>
  </si>
  <si>
    <t xml:space="preserve">其中：短期投资</t>
  </si>
  <si>
    <r>
      <rPr>
        <sz val="10"/>
        <color rgb="FF17202A"/>
        <rFont val="Arial"/>
        <family val="0"/>
        <charset val="1"/>
      </rPr>
      <t xml:space="preserve">Q3 Update slide 28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10-K/10-Q Balance Sheets</t>
    </r>
  </si>
  <si>
    <t xml:space="preserve">账面净额</t>
  </si>
  <si>
    <r>
      <rPr>
        <sz val="10"/>
        <color rgb="FF17202A"/>
        <rFont val="Noto Sans CJK SC"/>
        <family val="2"/>
      </rPr>
      <t xml:space="preserve">计算：流动＋非流动；</t>
    </r>
    <r>
      <rPr>
        <sz val="10"/>
        <color rgb="FF17202A"/>
        <rFont val="Arial"/>
        <family val="0"/>
        <charset val="1"/>
      </rPr>
      <t xml:space="preserve">10-Q Note 8</t>
    </r>
  </si>
  <si>
    <r>
      <rPr>
        <sz val="10"/>
        <color rgb="FF17202A"/>
        <rFont val="Noto Sans CJK SC"/>
        <family val="2"/>
      </rPr>
      <t xml:space="preserve">不含可赎回</t>
    </r>
    <r>
      <rPr>
        <sz val="10"/>
        <color rgb="FF17202A"/>
        <rFont val="Arial"/>
        <family val="0"/>
        <charset val="1"/>
      </rPr>
      <t xml:space="preserve">NCI</t>
    </r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</si>
  <si>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股东权益（不含</t>
    </r>
    <r>
      <rPr>
        <sz val="10"/>
        <color rgb="FF17202A"/>
        <rFont val="Arial"/>
        <family val="0"/>
        <charset val="1"/>
      </rPr>
      <t xml:space="preserve">NCI</t>
    </r>
    <r>
      <rPr>
        <sz val="10"/>
        <color rgb="FF17202A"/>
        <rFont val="Noto Sans CJK SC"/>
        <family val="2"/>
      </rPr>
      <t xml:space="preserve">）</t>
    </r>
  </si>
  <si>
    <t xml:space="preserve">母公司股东权益</t>
  </si>
  <si>
    <r>
      <rPr>
        <sz val="10"/>
        <color rgb="FF17202A"/>
        <rFont val="Noto Sans CJK SC"/>
        <family val="2"/>
      </rPr>
      <t xml:space="preserve">非控股权益 </t>
    </r>
    <r>
      <rPr>
        <sz val="10"/>
        <color rgb="FF17202A"/>
        <rFont val="Arial"/>
        <family val="0"/>
        <charset val="1"/>
      </rPr>
      <t xml:space="preserve">NCI</t>
    </r>
  </si>
  <si>
    <r>
      <rPr>
        <sz val="10"/>
        <color rgb="FF17202A"/>
        <rFont val="Noto Sans CJK SC"/>
        <family val="2"/>
      </rPr>
      <t xml:space="preserve">计入含</t>
    </r>
    <r>
      <rPr>
        <sz val="10"/>
        <color rgb="FF17202A"/>
        <rFont val="Arial"/>
        <family val="0"/>
        <charset val="1"/>
      </rPr>
      <t xml:space="preserve">NCI</t>
    </r>
    <r>
      <rPr>
        <sz val="10"/>
        <color rgb="FF17202A"/>
        <rFont val="Noto Sans CJK SC"/>
        <family val="2"/>
      </rPr>
      <t xml:space="preserve">总权益</t>
    </r>
  </si>
  <si>
    <r>
      <rPr>
        <sz val="10"/>
        <color rgb="FF17202A"/>
        <rFont val="Noto Sans CJK SC"/>
        <family val="2"/>
      </rPr>
      <t xml:space="preserve">含</t>
    </r>
    <r>
      <rPr>
        <sz val="10"/>
        <color rgb="FF17202A"/>
        <rFont val="Arial"/>
        <family val="0"/>
        <charset val="1"/>
      </rPr>
      <t xml:space="preserve">NCI</t>
    </r>
    <r>
      <rPr>
        <sz val="10"/>
        <color rgb="FF17202A"/>
        <rFont val="Noto Sans CJK SC"/>
        <family val="2"/>
      </rPr>
      <t xml:space="preserve">总权益</t>
    </r>
  </si>
  <si>
    <r>
      <rPr>
        <sz val="10"/>
        <color rgb="FF17202A"/>
        <rFont val="Noto Sans CJK SC"/>
        <family val="2"/>
      </rPr>
      <t xml:space="preserve">计算：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股东权益＋</t>
    </r>
    <r>
      <rPr>
        <sz val="10"/>
        <color rgb="FF17202A"/>
        <rFont val="Arial"/>
        <family val="0"/>
        <charset val="1"/>
      </rPr>
      <t xml:space="preserve">NCI</t>
    </r>
  </si>
  <si>
    <r>
      <rPr>
        <sz val="10"/>
        <color rgb="FF17202A"/>
        <rFont val="Noto Sans CJK SC"/>
        <family val="2"/>
      </rPr>
      <t xml:space="preserve">不含夹层可赎回</t>
    </r>
    <r>
      <rPr>
        <sz val="10"/>
        <color rgb="FF17202A"/>
        <rFont val="Arial"/>
        <family val="0"/>
        <charset val="1"/>
      </rPr>
      <t xml:space="preserve">NCI</t>
    </r>
  </si>
  <si>
    <r>
      <rPr>
        <sz val="10"/>
        <color rgb="FF17202A"/>
        <rFont val="Noto Sans CJK SC"/>
        <family val="2"/>
      </rPr>
      <t xml:space="preserve">可赎回</t>
    </r>
    <r>
      <rPr>
        <sz val="10"/>
        <color rgb="FF17202A"/>
        <rFont val="Arial"/>
        <family val="0"/>
        <charset val="1"/>
      </rPr>
      <t xml:space="preserve">NCI</t>
    </r>
    <r>
      <rPr>
        <sz val="10"/>
        <color rgb="FF17202A"/>
        <rFont val="Noto Sans CJK SC"/>
        <family val="2"/>
      </rPr>
      <t xml:space="preserve">（夹层）</t>
    </r>
  </si>
  <si>
    <t xml:space="preserve">不计入总权益</t>
  </si>
  <si>
    <r>
      <rPr>
        <b val="true"/>
        <sz val="11"/>
        <color rgb="FF102A43"/>
        <rFont val="Noto Sans CJK SC"/>
        <family val="2"/>
      </rPr>
      <t xml:space="preserve">报告分部：收入、成本与毛利（</t>
    </r>
    <r>
      <rPr>
        <b val="true"/>
        <sz val="11"/>
        <color rgb="FF102A43"/>
        <rFont val="Arial"/>
        <family val="0"/>
        <charset val="1"/>
      </rPr>
      <t xml:space="preserve">Tesla CODM</t>
    </r>
    <r>
      <rPr>
        <b val="true"/>
        <sz val="11"/>
        <color rgb="FF102A43"/>
        <rFont val="Noto Sans CJK SC"/>
        <family val="2"/>
      </rPr>
      <t xml:space="preserve">仅披露毛利口径）</t>
    </r>
  </si>
  <si>
    <r>
      <rPr>
        <b val="true"/>
        <sz val="10"/>
        <color rgb="FFFFFFFF"/>
        <rFont val="Noto Sans CJK SC"/>
        <family val="2"/>
      </rPr>
      <t xml:space="preserve">出处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口径</t>
    </r>
  </si>
  <si>
    <r>
      <rPr>
        <sz val="10"/>
        <color rgb="FF17202A"/>
        <rFont val="Arial"/>
        <family val="0"/>
        <charset val="1"/>
      </rPr>
      <t xml:space="preserve">Automotive</t>
    </r>
    <r>
      <rPr>
        <sz val="10"/>
        <color rgb="FF17202A"/>
        <rFont val="Noto Sans CJK SC"/>
        <family val="2"/>
      </rPr>
      <t xml:space="preserve">｜收入</t>
    </r>
  </si>
  <si>
    <r>
      <rPr>
        <sz val="10"/>
        <color rgb="FF17202A"/>
        <rFont val="Arial"/>
        <family val="0"/>
        <charset val="1"/>
      </rPr>
      <t xml:space="preserve">10-K Note 16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10-Q Note 14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Update slide 27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Q4=FY−9M2025</t>
    </r>
    <r>
      <rPr>
        <sz val="10"/>
        <color rgb="FF17202A"/>
        <rFont val="Noto Sans CJK SC"/>
        <family val="2"/>
      </rPr>
      <t xml:space="preserve">；汽车报告分部含</t>
    </r>
    <r>
      <rPr>
        <sz val="10"/>
        <color rgb="FF17202A"/>
        <rFont val="Arial"/>
        <family val="0"/>
        <charset val="1"/>
      </rPr>
      <t xml:space="preserve">Services and other</t>
    </r>
  </si>
  <si>
    <r>
      <rPr>
        <sz val="10"/>
        <color rgb="FF17202A"/>
        <rFont val="Arial"/>
        <family val="0"/>
        <charset val="1"/>
      </rPr>
      <t xml:space="preserve">Automotive</t>
    </r>
    <r>
      <rPr>
        <sz val="10"/>
        <color rgb="FF17202A"/>
        <rFont val="Noto Sans CJK SC"/>
        <family val="2"/>
      </rPr>
      <t xml:space="preserve">｜营收成本</t>
    </r>
  </si>
  <si>
    <r>
      <rPr>
        <sz val="10"/>
        <color rgb="FF17202A"/>
        <rFont val="Arial"/>
        <family val="0"/>
        <charset val="1"/>
      </rPr>
      <t xml:space="preserve">Automotive</t>
    </r>
    <r>
      <rPr>
        <sz val="10"/>
        <color rgb="FF17202A"/>
        <rFont val="Noto Sans CJK SC"/>
        <family val="2"/>
      </rPr>
      <t xml:space="preserve">｜毛利</t>
    </r>
  </si>
  <si>
    <r>
      <rPr>
        <sz val="10"/>
        <color rgb="FF17202A"/>
        <rFont val="Arial"/>
        <family val="0"/>
        <charset val="1"/>
      </rPr>
      <t xml:space="preserve">Energy</t>
    </r>
    <r>
      <rPr>
        <sz val="10"/>
        <color rgb="FF17202A"/>
        <rFont val="Noto Sans CJK SC"/>
        <family val="2"/>
      </rPr>
      <t xml:space="preserve">｜收入</t>
    </r>
  </si>
  <si>
    <r>
      <rPr>
        <sz val="10"/>
        <color rgb="FF17202A"/>
        <rFont val="Arial"/>
        <family val="0"/>
        <charset val="1"/>
      </rPr>
      <t xml:space="preserve">10-K Note 16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10-Q Note 14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Update slide 27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Q4=FY−9M2025</t>
    </r>
  </si>
  <si>
    <r>
      <rPr>
        <sz val="10"/>
        <color rgb="FF17202A"/>
        <rFont val="Arial"/>
        <family val="0"/>
        <charset val="1"/>
      </rPr>
      <t xml:space="preserve">Energy</t>
    </r>
    <r>
      <rPr>
        <sz val="10"/>
        <color rgb="FF17202A"/>
        <rFont val="Noto Sans CJK SC"/>
        <family val="2"/>
      </rPr>
      <t xml:space="preserve">｜营收成本</t>
    </r>
  </si>
  <si>
    <r>
      <rPr>
        <sz val="10"/>
        <color rgb="FF17202A"/>
        <rFont val="Arial"/>
        <family val="0"/>
        <charset val="1"/>
      </rPr>
      <t xml:space="preserve">Energy</t>
    </r>
    <r>
      <rPr>
        <sz val="10"/>
        <color rgb="FF17202A"/>
        <rFont val="Noto Sans CJK SC"/>
        <family val="2"/>
      </rPr>
      <t xml:space="preserve">｜毛利</t>
    </r>
  </si>
  <si>
    <r>
      <rPr>
        <i val="true"/>
        <sz val="10"/>
        <color rgb="FF52606D"/>
        <rFont val="Noto Sans CJK SC"/>
        <family val="2"/>
      </rPr>
      <t xml:space="preserve">注：</t>
    </r>
    <r>
      <rPr>
        <i val="true"/>
        <sz val="10"/>
        <color rgb="FF52606D"/>
        <rFont val="Arial"/>
        <family val="0"/>
        <charset val="1"/>
      </rPr>
      <t xml:space="preserve">Tesla</t>
    </r>
    <r>
      <rPr>
        <i val="true"/>
        <sz val="10"/>
        <color rgb="FF52606D"/>
        <rFont val="Noto Sans CJK SC"/>
        <family val="2"/>
      </rPr>
      <t xml:space="preserve">未披露分部经营利润、净利润、经营现金流或分部资产负债；不得将汽车收入类别直接当作汽车报告分部。</t>
    </r>
  </si>
  <si>
    <r>
      <rPr>
        <b val="true"/>
        <sz val="16"/>
        <color rgb="FFFFFFFF"/>
        <rFont val="Noto Sans CJK SC"/>
        <family val="2"/>
      </rPr>
      <t xml:space="preserve">合并备考｜</t>
    </r>
    <r>
      <rPr>
        <b val="true"/>
        <sz val="16"/>
        <color rgb="FFFFFFFF"/>
        <rFont val="Arial"/>
        <family val="0"/>
        <charset val="1"/>
      </rPr>
      <t xml:space="preserve">SpaceX + Tesla</t>
    </r>
  </si>
  <si>
    <r>
      <rPr>
        <i val="true"/>
        <sz val="10"/>
        <color rgb="FF52606D"/>
        <rFont val="Noto Sans CJK SC"/>
        <family val="2"/>
      </rPr>
      <t xml:space="preserve">单位：</t>
    </r>
    <r>
      <rPr>
        <i val="true"/>
        <sz val="10"/>
        <color rgb="FF52606D"/>
        <rFont val="Arial"/>
        <family val="0"/>
        <charset val="1"/>
      </rPr>
      <t xml:space="preserve">US$ million</t>
    </r>
    <r>
      <rPr>
        <i val="true"/>
        <sz val="10"/>
        <color rgb="FF52606D"/>
        <rFont val="Noto Sans CJK SC"/>
        <family val="2"/>
      </rPr>
      <t xml:space="preserve">；</t>
    </r>
    <r>
      <rPr>
        <i val="true"/>
        <sz val="10"/>
        <color rgb="FF52606D"/>
        <rFont val="Arial"/>
        <family val="0"/>
        <charset val="1"/>
      </rPr>
      <t xml:space="preserve">LTM</t>
    </r>
    <r>
      <rPr>
        <i val="true"/>
        <sz val="10"/>
        <color rgb="FF52606D"/>
        <rFont val="Noto Sans CJK SC"/>
        <family val="2"/>
      </rPr>
      <t xml:space="preserve">经营数据＋</t>
    </r>
    <r>
      <rPr>
        <i val="true"/>
        <sz val="10"/>
        <color rgb="FF52606D"/>
        <rFont val="Arial"/>
        <family val="0"/>
        <charset val="1"/>
      </rPr>
      <t xml:space="preserve">2026-09-30</t>
    </r>
    <r>
      <rPr>
        <i val="true"/>
        <sz val="10"/>
        <color rgb="FF52606D"/>
        <rFont val="Noto Sans CJK SC"/>
        <family val="2"/>
      </rPr>
      <t xml:space="preserve">期末资产负债。</t>
    </r>
    <r>
      <rPr>
        <i val="true"/>
        <sz val="10"/>
        <color rgb="FF52606D"/>
        <rFont val="Arial"/>
        <family val="0"/>
        <charset val="1"/>
      </rPr>
      <t xml:space="preserve">Headline</t>
    </r>
    <r>
      <rPr>
        <i val="true"/>
        <sz val="10"/>
        <color rgb="FF52606D"/>
        <rFont val="Noto Sans CJK SC"/>
        <family val="2"/>
      </rPr>
      <t xml:space="preserve">为未抵销汇总，不包含协同、购买法、融资、税务或交叉持股会计处理。</t>
    </r>
  </si>
  <si>
    <r>
      <rPr>
        <b val="true"/>
        <sz val="11"/>
        <color rgb="FF102A43"/>
        <rFont val="Arial"/>
        <family val="0"/>
        <charset val="1"/>
      </rPr>
      <t xml:space="preserve">LTM</t>
    </r>
    <r>
      <rPr>
        <b val="true"/>
        <sz val="11"/>
        <color rgb="FF102A43"/>
        <rFont val="Noto Sans CJK SC"/>
        <family val="2"/>
      </rPr>
      <t xml:space="preserve">经营汇总（未抵销）</t>
    </r>
  </si>
  <si>
    <t xml:space="preserve">SpaceX</t>
  </si>
  <si>
    <t xml:space="preserve">Tesla</t>
  </si>
  <si>
    <t xml:space="preserve">合计</t>
  </si>
  <si>
    <r>
      <rPr>
        <b val="true"/>
        <sz val="10"/>
        <color rgb="FFFFFFFF"/>
        <rFont val="Noto Sans CJK SC"/>
        <family val="2"/>
      </rPr>
      <t xml:space="preserve">合计利润率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占比</t>
    </r>
  </si>
  <si>
    <r>
      <rPr>
        <b val="true"/>
        <sz val="10"/>
        <color rgb="FFFFFFFF"/>
        <rFont val="Noto Sans CJK SC"/>
        <family val="2"/>
      </rPr>
      <t xml:space="preserve">出处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说明</t>
    </r>
  </si>
  <si>
    <t xml:space="preserve">营收</t>
  </si>
  <si>
    <t xml:space="preserve">两家各自财务页；合计为简单相加，未抵销内部交易</t>
  </si>
  <si>
    <t xml:space="preserve">毛利</t>
  </si>
  <si>
    <t xml:space="preserve">净利润（合并口径）</t>
  </si>
  <si>
    <t xml:space="preserve">经营现金流</t>
  </si>
  <si>
    <t xml:space="preserve">资本开支</t>
  </si>
  <si>
    <t xml:space="preserve">自由现金流</t>
  </si>
  <si>
    <r>
      <rPr>
        <sz val="10"/>
        <color rgb="FF17202A"/>
        <rFont val="Noto Sans CJK SC"/>
        <family val="2"/>
      </rPr>
      <t xml:space="preserve">调整后</t>
    </r>
    <r>
      <rPr>
        <sz val="10"/>
        <color rgb="FF17202A"/>
        <rFont val="Arial"/>
        <family val="0"/>
        <charset val="1"/>
      </rPr>
      <t xml:space="preserve">EBITDA</t>
    </r>
    <r>
      <rPr>
        <sz val="10"/>
        <color rgb="FF17202A"/>
        <rFont val="Noto Sans CJK SC"/>
        <family val="2"/>
      </rPr>
      <t xml:space="preserve">（非</t>
    </r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）</t>
    </r>
  </si>
  <si>
    <r>
      <rPr>
        <b val="true"/>
        <sz val="11"/>
        <color rgb="FF102A43"/>
        <rFont val="Arial"/>
        <family val="0"/>
        <charset val="1"/>
      </rPr>
      <t xml:space="preserve">2026-09-30</t>
    </r>
    <r>
      <rPr>
        <b val="true"/>
        <sz val="11"/>
        <color rgb="FF102A43"/>
        <rFont val="Noto Sans CJK SC"/>
        <family val="2"/>
      </rPr>
      <t xml:space="preserve">期末资产负债汇总（未抵销）</t>
    </r>
  </si>
  <si>
    <r>
      <rPr>
        <b val="true"/>
        <sz val="10"/>
        <color rgb="FFFFFFFF"/>
        <rFont val="Noto Sans CJK SC"/>
        <family val="2"/>
      </rPr>
      <t xml:space="preserve">占合计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补充</t>
    </r>
  </si>
  <si>
    <t xml:space="preserve">两家期末资产负债表；未抵销</t>
  </si>
  <si>
    <t xml:space="preserve">有息负债（含融资租赁）</t>
  </si>
  <si>
    <t xml:space="preserve">净现金（现金−债务）</t>
  </si>
  <si>
    <t xml:space="preserve">分析计算；不含受限现金</t>
  </si>
  <si>
    <r>
      <rPr>
        <sz val="10"/>
        <color rgb="FF17202A"/>
        <rFont val="Noto Sans CJK SC"/>
        <family val="2"/>
      </rPr>
      <t xml:space="preserve">含</t>
    </r>
    <r>
      <rPr>
        <sz val="10"/>
        <color rgb="FF17202A"/>
        <rFont val="Arial"/>
        <family val="0"/>
        <charset val="1"/>
      </rPr>
      <t xml:space="preserve">NCI</t>
    </r>
    <r>
      <rPr>
        <sz val="10"/>
        <color rgb="FF17202A"/>
        <rFont val="Noto Sans CJK SC"/>
        <family val="2"/>
      </rPr>
      <t xml:space="preserve">股东权益</t>
    </r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</si>
  <si>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持有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股权投资（不重复相加）</t>
    </r>
  </si>
  <si>
    <r>
      <rPr>
        <sz val="10"/>
        <color rgb="FF17202A"/>
        <rFont val="Arial"/>
        <family val="0"/>
        <charset val="1"/>
      </rPr>
      <t xml:space="preserve">Tesla 10-Q Note 1/2</t>
    </r>
    <r>
      <rPr>
        <sz val="10"/>
        <color rgb="FF17202A"/>
        <rFont val="Noto Sans CJK SC"/>
        <family val="2"/>
      </rPr>
      <t xml:space="preserve">；列入其他非流动资产，不在现金及短期投资中；合并层面需消除交叉投资</t>
    </r>
  </si>
  <si>
    <r>
      <rPr>
        <b val="true"/>
        <sz val="11"/>
        <color rgb="FF102A43"/>
        <rFont val="Arial"/>
        <family val="0"/>
        <charset val="1"/>
      </rPr>
      <t xml:space="preserve">LTM</t>
    </r>
    <r>
      <rPr>
        <b val="true"/>
        <sz val="11"/>
        <color rgb="FF102A43"/>
        <rFont val="Noto Sans CJK SC"/>
        <family val="2"/>
      </rPr>
      <t xml:space="preserve">收入与毛利结构（五个披露报告分部；毛利为可比分析计算）</t>
    </r>
  </si>
  <si>
    <t xml:space="preserve">业务分部</t>
  </si>
  <si>
    <t xml:space="preserve">所属公司</t>
  </si>
  <si>
    <r>
      <rPr>
        <b val="true"/>
        <sz val="10"/>
        <color rgb="FFFFFFFF"/>
        <rFont val="Arial"/>
        <family val="0"/>
        <charset val="1"/>
      </rPr>
      <t xml:space="preserve">LTM</t>
    </r>
    <r>
      <rPr>
        <b val="true"/>
        <sz val="10"/>
        <color rgb="FFFFFFFF"/>
        <rFont val="Noto Sans CJK SC"/>
        <family val="2"/>
      </rPr>
      <t xml:space="preserve">收入</t>
    </r>
  </si>
  <si>
    <t xml:space="preserve">收入占比</t>
  </si>
  <si>
    <r>
      <rPr>
        <b val="true"/>
        <sz val="10"/>
        <color rgb="FFFFFFFF"/>
        <rFont val="Arial"/>
        <family val="0"/>
        <charset val="1"/>
      </rPr>
      <t xml:space="preserve">LTM</t>
    </r>
    <r>
      <rPr>
        <b val="true"/>
        <sz val="10"/>
        <color rgb="FFFFFFFF"/>
        <rFont val="Noto Sans CJK SC"/>
        <family val="2"/>
      </rPr>
      <t xml:space="preserve">毛利</t>
    </r>
  </si>
  <si>
    <t xml:space="preserve">毛利占比</t>
  </si>
  <si>
    <r>
      <rPr>
        <b val="true"/>
        <sz val="10"/>
        <color rgb="FFFFFFFF"/>
        <rFont val="Arial"/>
        <family val="0"/>
        <charset val="1"/>
      </rPr>
      <t xml:space="preserve">SpaceX</t>
    </r>
    <r>
      <rPr>
        <b val="true"/>
        <sz val="10"/>
        <color rgb="FFFFFFFF"/>
        <rFont val="Noto Sans CJK SC"/>
        <family val="2"/>
      </rPr>
      <t xml:space="preserve">分部经营利润</t>
    </r>
  </si>
  <si>
    <t xml:space="preserve">Automotive</t>
  </si>
  <si>
    <t xml:space="preserve">未披露</t>
  </si>
  <si>
    <r>
      <rPr>
        <sz val="10"/>
        <color rgb="FF17202A"/>
        <rFont val="Arial"/>
        <family val="0"/>
        <charset val="1"/>
      </rPr>
      <t xml:space="preserve">Tesla 10-K Note 16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10-Q Note 14</t>
    </r>
    <r>
      <rPr>
        <sz val="10"/>
        <color rgb="FF17202A"/>
        <rFont val="Noto Sans CJK SC"/>
        <family val="2"/>
      </rPr>
      <t xml:space="preserve">；分部利润为毛利</t>
    </r>
  </si>
  <si>
    <t xml:space="preserve">Energy</t>
  </si>
  <si>
    <t xml:space="preserve">Connectivity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</si>
  <si>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Note 19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 Note 18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p.3–6</t>
    </r>
    <r>
      <rPr>
        <sz val="10"/>
        <color rgb="FF17202A"/>
        <rFont val="Noto Sans CJK SC"/>
        <family val="2"/>
      </rPr>
      <t xml:space="preserve">；毛利</t>
    </r>
    <r>
      <rPr>
        <sz val="10"/>
        <color rgb="FF17202A"/>
        <rFont val="Arial"/>
        <family val="0"/>
        <charset val="1"/>
      </rPr>
      <t xml:space="preserve">=</t>
    </r>
    <r>
      <rPr>
        <sz val="10"/>
        <color rgb="FF17202A"/>
        <rFont val="Noto Sans CJK SC"/>
        <family val="2"/>
      </rPr>
      <t xml:space="preserve">收入−成本</t>
    </r>
  </si>
  <si>
    <t xml:space="preserve">SI</t>
  </si>
  <si>
    <t xml:space="preserve">Space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</si>
  <si>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经营利润合计可与合并经营利润勾稽；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分部经营利润未披露，因此</t>
    </r>
    <r>
      <rPr>
        <sz val="10"/>
        <color rgb="FF17202A"/>
        <rFont val="Arial"/>
        <family val="0"/>
        <charset val="1"/>
      </rPr>
      <t xml:space="preserve">G</t>
    </r>
    <r>
      <rPr>
        <sz val="10"/>
        <color rgb="FF17202A"/>
        <rFont val="Noto Sans CJK SC"/>
        <family val="2"/>
      </rPr>
      <t xml:space="preserve">列不是合并经营利润。</t>
    </r>
  </si>
  <si>
    <r>
      <rPr>
        <b val="true"/>
        <sz val="11"/>
        <color rgb="FF102A43"/>
        <rFont val="Noto Sans CJK SC"/>
        <family val="2"/>
      </rPr>
      <t xml:space="preserve">已知内部交易抵销示例：仅</t>
    </r>
    <r>
      <rPr>
        <b val="true"/>
        <sz val="11"/>
        <color rgb="FF102A43"/>
        <rFont val="Arial"/>
        <family val="0"/>
        <charset val="1"/>
      </rPr>
      <t xml:space="preserve">2026Q3</t>
    </r>
    <r>
      <rPr>
        <b val="true"/>
        <sz val="11"/>
        <color rgb="FF102A43"/>
        <rFont val="Noto Sans CJK SC"/>
        <family val="2"/>
      </rPr>
      <t xml:space="preserve">，非完整会计分录（假设）</t>
    </r>
  </si>
  <si>
    <t xml:space="preserve">未抵销合计</t>
  </si>
  <si>
    <t xml:space="preserve">抵销调整</t>
  </si>
  <si>
    <t xml:space="preserve">示例后数值</t>
  </si>
  <si>
    <r>
      <rPr>
        <b val="true"/>
        <sz val="10"/>
        <color rgb="FFFFFFFF"/>
        <rFont val="Noto Sans CJK SC"/>
        <family val="2"/>
      </rPr>
      <t xml:space="preserve">依据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限制</t>
    </r>
  </si>
  <si>
    <r>
      <rPr>
        <sz val="10"/>
        <color rgb="FF17202A"/>
        <rFont val="Arial"/>
        <family val="0"/>
        <charset val="1"/>
      </rPr>
      <t xml:space="preserve">2026Q3</t>
    </r>
    <r>
      <rPr>
        <sz val="10"/>
        <color rgb="FF17202A"/>
        <rFont val="Noto Sans CJK SC"/>
        <family val="2"/>
      </rPr>
      <t xml:space="preserve">营收</t>
    </r>
  </si>
  <si>
    <r>
      <rPr>
        <sz val="10"/>
        <color rgb="FF17202A"/>
        <rFont val="Arial"/>
        <family val="0"/>
        <charset val="1"/>
      </rPr>
      <t xml:space="preserve">Tesla 10-Q Note 13</t>
    </r>
    <r>
      <rPr>
        <sz val="10"/>
        <color rgb="FF17202A"/>
        <rFont val="Noto Sans CJK SC"/>
        <family val="2"/>
      </rPr>
      <t xml:space="preserve">：</t>
    </r>
    <r>
      <rPr>
        <sz val="10"/>
        <color rgb="FF17202A"/>
        <rFont val="Arial"/>
        <family val="0"/>
        <charset val="1"/>
      </rPr>
      <t xml:space="preserve">SpaceX Megapack</t>
    </r>
    <r>
      <rPr>
        <sz val="10"/>
        <color rgb="FF17202A"/>
        <rFont val="Noto Sans CJK SC"/>
        <family val="2"/>
      </rPr>
      <t xml:space="preserve">收入</t>
    </r>
    <r>
      <rPr>
        <sz val="10"/>
        <color rgb="FF17202A"/>
        <rFont val="Arial"/>
        <family val="0"/>
        <charset val="1"/>
      </rPr>
      <t xml:space="preserve">221</t>
    </r>
    <r>
      <rPr>
        <sz val="10"/>
        <color rgb="FF17202A"/>
        <rFont val="Noto Sans CJK SC"/>
        <family val="2"/>
      </rPr>
      <t xml:space="preserve">；假设仅移除该内部销售，不调整其他交易。</t>
    </r>
  </si>
  <si>
    <r>
      <rPr>
        <sz val="10"/>
        <color rgb="FF17202A"/>
        <rFont val="Arial"/>
        <family val="0"/>
        <charset val="1"/>
      </rPr>
      <t xml:space="preserve">2026Q3</t>
    </r>
    <r>
      <rPr>
        <sz val="10"/>
        <color rgb="FF17202A"/>
        <rFont val="Noto Sans CJK SC"/>
        <family val="2"/>
      </rPr>
      <t xml:space="preserve">毛利</t>
    </r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</si>
  <si>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披露成本</t>
    </r>
    <r>
      <rPr>
        <sz val="10"/>
        <color rgb="FF17202A"/>
        <rFont val="Arial"/>
        <family val="0"/>
        <charset val="1"/>
      </rPr>
      <t xml:space="preserve">171</t>
    </r>
    <r>
      <rPr>
        <sz val="10"/>
        <color rgb="FF17202A"/>
        <rFont val="Noto Sans CJK SC"/>
        <family val="2"/>
      </rPr>
      <t xml:space="preserve">，示例毛利影响</t>
    </r>
    <r>
      <rPr>
        <sz val="10"/>
        <color rgb="FF17202A"/>
        <rFont val="Arial"/>
        <family val="0"/>
        <charset val="1"/>
      </rPr>
      <t xml:space="preserve">=50</t>
    </r>
    <r>
      <rPr>
        <sz val="10"/>
        <color rgb="FF17202A"/>
        <rFont val="Noto Sans CJK SC"/>
        <family val="2"/>
      </rPr>
      <t xml:space="preserve">；未调整</t>
    </r>
    <r>
      <rPr>
        <sz val="10"/>
        <color rgb="FF17202A"/>
        <rFont val="Arial"/>
        <family val="0"/>
        <charset val="1"/>
      </rPr>
      <t xml:space="preserve">SpaceX PP&amp;E</t>
    </r>
    <r>
      <rPr>
        <sz val="10"/>
        <color rgb="FF17202A"/>
        <rFont val="Noto Sans CJK SC"/>
        <family val="2"/>
      </rPr>
      <t xml:space="preserve">未实现利润及后续折旧，不能当作正式合并毛利。</t>
    </r>
  </si>
  <si>
    <r>
      <rPr>
        <sz val="10"/>
        <color rgb="FF17202A"/>
        <rFont val="Arial"/>
        <family val="0"/>
        <charset val="1"/>
      </rPr>
      <t xml:space="preserve">2026Q3</t>
    </r>
    <r>
      <rPr>
        <sz val="10"/>
        <color rgb="FF17202A"/>
        <rFont val="Noto Sans CJK SC"/>
        <family val="2"/>
      </rPr>
      <t xml:space="preserve">经营利润</t>
    </r>
  </si>
  <si>
    <t xml:space="preserve">未估算</t>
  </si>
  <si>
    <t xml:space="preserve">内部资产销售、折旧和费用对应关系未披露，避免以毛利影响替代经营利润影响。</t>
  </si>
  <si>
    <r>
      <rPr>
        <b val="true"/>
        <sz val="10"/>
        <color rgb="FFC05621"/>
        <rFont val="Noto Sans CJK SC"/>
        <family val="2"/>
      </rPr>
      <t xml:space="preserve">合并解读：收入</t>
    </r>
    <r>
      <rPr>
        <b val="true"/>
        <sz val="10"/>
        <color rgb="FFC05621"/>
        <rFont val="Arial"/>
        <family val="0"/>
        <charset val="1"/>
      </rPr>
      <t xml:space="preserve">/</t>
    </r>
    <r>
      <rPr>
        <b val="true"/>
        <sz val="10"/>
        <color rgb="FFC05621"/>
        <rFont val="Noto Sans CJK SC"/>
        <family val="2"/>
      </rPr>
      <t xml:space="preserve">毛利结构可用于业务讨论；正式会计合并仍需确定会计收购方、交易结构、内部交易全量清单、交叉投资和购买价格分配。</t>
    </r>
  </si>
  <si>
    <t xml:space="preserve">换股比例｜四种相对定价情景</t>
  </si>
  <si>
    <r>
      <rPr>
        <i val="true"/>
        <sz val="10"/>
        <color rgb="FF52606D"/>
        <rFont val="Noto Sans CJK SC"/>
        <family val="2"/>
      </rPr>
      <t xml:space="preserve">结构假设：</t>
    </r>
    <r>
      <rPr>
        <i val="true"/>
        <sz val="10"/>
        <color rgb="FF52606D"/>
        <rFont val="Arial"/>
        <family val="0"/>
        <charset val="1"/>
      </rPr>
      <t xml:space="preserve">SpaceX</t>
    </r>
    <r>
      <rPr>
        <i val="true"/>
        <sz val="10"/>
        <color rgb="FF52606D"/>
        <rFont val="Noto Sans CJK SC"/>
        <family val="2"/>
      </rPr>
      <t xml:space="preserve">发行</t>
    </r>
    <r>
      <rPr>
        <i val="true"/>
        <sz val="10"/>
        <color rgb="FF52606D"/>
        <rFont val="Arial"/>
        <family val="0"/>
        <charset val="1"/>
      </rPr>
      <t xml:space="preserve">Class A</t>
    </r>
    <r>
      <rPr>
        <i val="true"/>
        <sz val="10"/>
        <color rgb="FF52606D"/>
        <rFont val="Noto Sans CJK SC"/>
        <family val="2"/>
      </rPr>
      <t xml:space="preserve">给</t>
    </r>
    <r>
      <rPr>
        <i val="true"/>
        <sz val="10"/>
        <color rgb="FF52606D"/>
        <rFont val="Arial"/>
        <family val="0"/>
        <charset val="1"/>
      </rPr>
      <t xml:space="preserve">Tesla</t>
    </r>
    <r>
      <rPr>
        <i val="true"/>
        <sz val="10"/>
        <color rgb="FF52606D"/>
        <rFont val="Noto Sans CJK SC"/>
        <family val="2"/>
      </rPr>
      <t xml:space="preserve">股东；每</t>
    </r>
    <r>
      <rPr>
        <i val="true"/>
        <sz val="10"/>
        <color rgb="FF52606D"/>
        <rFont val="Arial"/>
        <family val="0"/>
        <charset val="1"/>
      </rPr>
      <t xml:space="preserve">1</t>
    </r>
    <r>
      <rPr>
        <i val="true"/>
        <sz val="10"/>
        <color rgb="FF52606D"/>
        <rFont val="Noto Sans CJK SC"/>
        <family val="2"/>
      </rPr>
      <t xml:space="preserve">股</t>
    </r>
    <r>
      <rPr>
        <i val="true"/>
        <sz val="10"/>
        <color rgb="FF52606D"/>
        <rFont val="Arial"/>
        <family val="0"/>
        <charset val="1"/>
      </rPr>
      <t xml:space="preserve">Tesla</t>
    </r>
    <r>
      <rPr>
        <i val="true"/>
        <sz val="10"/>
        <color rgb="FF52606D"/>
        <rFont val="Noto Sans CJK SC"/>
        <family val="2"/>
      </rPr>
      <t xml:space="preserve">换取</t>
    </r>
    <r>
      <rPr>
        <i val="true"/>
        <sz val="10"/>
        <color rgb="FF52606D"/>
        <rFont val="Arial"/>
        <family val="0"/>
        <charset val="1"/>
      </rPr>
      <t xml:space="preserve">X</t>
    </r>
    <r>
      <rPr>
        <i val="true"/>
        <sz val="10"/>
        <color rgb="FF52606D"/>
        <rFont val="Noto Sans CJK SC"/>
        <family val="2"/>
      </rPr>
      <t xml:space="preserve">股</t>
    </r>
    <r>
      <rPr>
        <i val="true"/>
        <sz val="10"/>
        <color rgb="FF52606D"/>
        <rFont val="Arial"/>
        <family val="0"/>
        <charset val="1"/>
      </rPr>
      <t xml:space="preserve">SpaceX</t>
    </r>
    <r>
      <rPr>
        <i val="true"/>
        <sz val="10"/>
        <color rgb="FF52606D"/>
        <rFont val="Noto Sans CJK SC"/>
        <family val="2"/>
      </rPr>
      <t xml:space="preserve">。溢价应用于</t>
    </r>
    <r>
      <rPr>
        <i val="true"/>
        <sz val="10"/>
        <color rgb="FF52606D"/>
        <rFont val="Arial"/>
        <family val="0"/>
        <charset val="1"/>
      </rPr>
      <t xml:space="preserve">Tesla</t>
    </r>
    <r>
      <rPr>
        <i val="true"/>
        <sz val="10"/>
        <color rgb="FF52606D"/>
        <rFont val="Noto Sans CJK SC"/>
        <family val="2"/>
      </rPr>
      <t xml:space="preserve">每股对价；结果为目标交换比例与静态经济权益，不是目标价或投资建议。</t>
    </r>
  </si>
  <si>
    <t xml:space="preserve">输入与参考数据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</si>
  <si>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现有股数（百万股）</t>
    </r>
  </si>
  <si>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p.10</t>
    </r>
    <r>
      <rPr>
        <sz val="10"/>
        <color rgb="FF17202A"/>
        <rFont val="Noto Sans CJK SC"/>
        <family val="2"/>
      </rPr>
      <t xml:space="preserve">；四舍五入</t>
    </r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</si>
  <si>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现有股数（百万股）</t>
    </r>
  </si>
  <si>
    <r>
      <rPr>
        <sz val="10"/>
        <color rgb="FF17202A"/>
        <rFont val="Arial"/>
        <family val="0"/>
        <charset val="1"/>
      </rPr>
      <t xml:space="preserve">10-Q</t>
    </r>
    <r>
      <rPr>
        <sz val="10"/>
        <color rgb="FF17202A"/>
        <rFont val="Noto Sans CJK SC"/>
        <family val="2"/>
      </rPr>
      <t xml:space="preserve">封面；</t>
    </r>
    <r>
      <rPr>
        <sz val="10"/>
        <color rgb="FF17202A"/>
        <rFont val="Arial"/>
        <family val="0"/>
        <charset val="1"/>
      </rPr>
      <t xml:space="preserve">2026-10-15</t>
    </r>
  </si>
  <si>
    <t xml:space="preserve">基准溢价率（假设）</t>
  </si>
  <si>
    <r>
      <rPr>
        <sz val="10"/>
        <color rgb="FF17202A"/>
        <rFont val="Noto Sans CJK SC"/>
        <family val="2"/>
      </rPr>
      <t xml:space="preserve">应用于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对价；基准为</t>
    </r>
    <r>
      <rPr>
        <sz val="10"/>
        <color rgb="FF17202A"/>
        <rFont val="Arial"/>
        <family val="0"/>
        <charset val="1"/>
      </rPr>
      <t xml:space="preserve">0%</t>
    </r>
  </si>
  <si>
    <r>
      <rPr>
        <sz val="10"/>
        <color rgb="FF17202A"/>
        <rFont val="Arial"/>
        <family val="0"/>
        <charset val="1"/>
      </rPr>
      <t xml:space="preserve">SpaceX EV / LTM Revenue</t>
    </r>
    <r>
      <rPr>
        <sz val="10"/>
        <color rgb="FF17202A"/>
        <rFont val="Noto Sans CJK SC"/>
        <family val="2"/>
      </rPr>
      <t xml:space="preserve">（假设）</t>
    </r>
  </si>
  <si>
    <t xml:space="preserve">仅用于收入倍数情景</t>
  </si>
  <si>
    <r>
      <rPr>
        <sz val="10"/>
        <color rgb="FF17202A"/>
        <rFont val="Arial"/>
        <family val="0"/>
        <charset val="1"/>
      </rPr>
      <t xml:space="preserve">Tesla EV / LTM Revenue</t>
    </r>
    <r>
      <rPr>
        <sz val="10"/>
        <color rgb="FF17202A"/>
        <rFont val="Noto Sans CJK SC"/>
        <family val="2"/>
      </rPr>
      <t xml:space="preserve">（假设）</t>
    </r>
  </si>
  <si>
    <r>
      <rPr>
        <sz val="10"/>
        <color rgb="FF17202A"/>
        <rFont val="Noto Sans CJK SC"/>
        <family val="2"/>
      </rPr>
      <t xml:space="preserve">共同</t>
    </r>
    <r>
      <rPr>
        <sz val="10"/>
        <color rgb="FF17202A"/>
        <rFont val="Arial"/>
        <family val="0"/>
        <charset val="1"/>
      </rPr>
      <t xml:space="preserve">EV / LTM Adj. EBITDA</t>
    </r>
    <r>
      <rPr>
        <sz val="10"/>
        <color rgb="FF17202A"/>
        <rFont val="Noto Sans CJK SC"/>
        <family val="2"/>
      </rPr>
      <t xml:space="preserve">（假设）</t>
    </r>
  </si>
  <si>
    <r>
      <rPr>
        <sz val="10"/>
        <color rgb="FF17202A"/>
        <rFont val="Noto Sans CJK SC"/>
        <family val="2"/>
      </rPr>
      <t xml:space="preserve">仅用于</t>
    </r>
    <r>
      <rPr>
        <sz val="10"/>
        <color rgb="FF17202A"/>
        <rFont val="Arial"/>
        <family val="0"/>
        <charset val="1"/>
      </rPr>
      <t xml:space="preserve">EBITDA</t>
    </r>
    <r>
      <rPr>
        <sz val="10"/>
        <color rgb="FF17202A"/>
        <rFont val="Noto Sans CJK SC"/>
        <family val="2"/>
      </rPr>
      <t xml:space="preserve">情景；非</t>
    </r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可比性有限</t>
    </r>
  </si>
  <si>
    <t xml:space="preserve">参考指标</t>
  </si>
  <si>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营收</t>
    </r>
  </si>
  <si>
    <t xml:space="preserve">来自各自财务页</t>
  </si>
  <si>
    <r>
      <rPr>
        <sz val="10"/>
        <color rgb="FF17202A"/>
        <rFont val="Noto Sans CJK SC"/>
        <family val="2"/>
      </rPr>
      <t xml:space="preserve">现金＋短期投资（</t>
    </r>
    <r>
      <rPr>
        <sz val="10"/>
        <color rgb="FF17202A"/>
        <rFont val="Arial"/>
        <family val="0"/>
        <charset val="1"/>
      </rPr>
      <t xml:space="preserve">2026-09-30</t>
    </r>
    <r>
      <rPr>
        <sz val="10"/>
        <color rgb="FF17202A"/>
        <rFont val="Noto Sans CJK SC"/>
        <family val="2"/>
      </rPr>
      <t xml:space="preserve">）</t>
    </r>
  </si>
  <si>
    <t xml:space="preserve">期末余额</t>
  </si>
  <si>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调整后</t>
    </r>
    <r>
      <rPr>
        <sz val="10"/>
        <color rgb="FF17202A"/>
        <rFont val="Arial"/>
        <family val="0"/>
        <charset val="1"/>
      </rPr>
      <t xml:space="preserve">EBITDA</t>
    </r>
  </si>
  <si>
    <r>
      <rPr>
        <sz val="10"/>
        <color rgb="FF17202A"/>
        <rFont val="Arial"/>
        <family val="0"/>
        <charset val="1"/>
      </rPr>
      <t xml:space="preserve">2026-10-21</t>
    </r>
    <r>
      <rPr>
        <sz val="10"/>
        <color rgb="FF17202A"/>
        <rFont val="Noto Sans CJK SC"/>
        <family val="2"/>
      </rPr>
      <t xml:space="preserve">收盘价</t>
    </r>
  </si>
  <si>
    <r>
      <rPr>
        <sz val="10"/>
        <color rgb="FF17202A"/>
        <rFont val="Arial"/>
        <family val="0"/>
        <charset val="1"/>
      </rPr>
      <t xml:space="preserve">Yahoo Finance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2026-10-22</t>
    </r>
    <r>
      <rPr>
        <sz val="10"/>
        <color rgb="FF17202A"/>
        <rFont val="Noto Sans CJK SC"/>
        <family val="2"/>
      </rPr>
      <t xml:space="preserve">访问</t>
    </r>
  </si>
  <si>
    <r>
      <rPr>
        <sz val="10"/>
        <color rgb="FF17202A"/>
        <rFont val="Arial"/>
        <family val="0"/>
        <charset val="1"/>
      </rPr>
      <t xml:space="preserve">20</t>
    </r>
    <r>
      <rPr>
        <sz val="10"/>
        <color rgb="FF17202A"/>
        <rFont val="Noto Sans CJK SC"/>
        <family val="2"/>
      </rPr>
      <t xml:space="preserve">日成交量加权收盘价</t>
    </r>
    <r>
      <rPr>
        <sz val="10"/>
        <color rgb="FF17202A"/>
        <rFont val="Arial"/>
        <family val="0"/>
        <charset val="1"/>
      </rPr>
      <t xml:space="preserve">*</t>
    </r>
  </si>
  <si>
    <r>
      <rPr>
        <sz val="10"/>
        <color rgb="FF17202A"/>
        <rFont val="Noto Sans CJK SC"/>
        <family val="2"/>
      </rPr>
      <t xml:space="preserve">分析计算，不是官方</t>
    </r>
    <r>
      <rPr>
        <sz val="10"/>
        <color rgb="FF17202A"/>
        <rFont val="Arial"/>
        <family val="0"/>
        <charset val="1"/>
      </rPr>
      <t xml:space="preserve">VWAP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</si>
  <si>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实际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受益持股（百万股）</t>
    </r>
  </si>
  <si>
    <r>
      <rPr>
        <sz val="10"/>
        <color rgb="FF17202A"/>
        <rFont val="Noto Sans CJK SC"/>
        <family val="2"/>
      </rPr>
      <t xml:space="preserve">招股书 </t>
    </r>
    <r>
      <rPr>
        <sz val="10"/>
        <color rgb="FF17202A"/>
        <rFont val="Arial"/>
        <family val="0"/>
        <charset val="1"/>
      </rPr>
      <t xml:space="preserve">/ Proxy</t>
    </r>
  </si>
  <si>
    <r>
      <rPr>
        <b val="true"/>
        <sz val="11"/>
        <color rgb="FF102A43"/>
        <rFont val="Noto Sans CJK SC"/>
        <family val="2"/>
      </rPr>
      <t xml:space="preserve">方法结果（基准溢价率链接至</t>
    </r>
    <r>
      <rPr>
        <b val="true"/>
        <sz val="11"/>
        <color rgb="FF102A43"/>
        <rFont val="Arial"/>
        <family val="0"/>
        <charset val="1"/>
      </rPr>
      <t xml:space="preserve">B7</t>
    </r>
    <r>
      <rPr>
        <b val="true"/>
        <sz val="11"/>
        <color rgb="FF102A43"/>
        <rFont val="Noto Sans CJK SC"/>
        <family val="2"/>
      </rPr>
      <t xml:space="preserve">；股权价值单位：</t>
    </r>
    <r>
      <rPr>
        <b val="true"/>
        <sz val="11"/>
        <color rgb="FF102A43"/>
        <rFont val="Arial"/>
        <family val="0"/>
        <charset val="1"/>
      </rPr>
      <t xml:space="preserve">US$ million</t>
    </r>
    <r>
      <rPr>
        <b val="true"/>
        <sz val="11"/>
        <color rgb="FF102A43"/>
        <rFont val="Noto Sans CJK SC"/>
        <family val="2"/>
      </rPr>
      <t xml:space="preserve">）</t>
    </r>
  </si>
  <si>
    <t xml:space="preserve">定价方法</t>
  </si>
  <si>
    <r>
      <rPr>
        <b val="true"/>
        <sz val="10"/>
        <color rgb="FFFFFFFF"/>
        <rFont val="Arial"/>
        <family val="0"/>
        <charset val="1"/>
      </rPr>
      <t xml:space="preserve">SpaceX</t>
    </r>
    <r>
      <rPr>
        <b val="true"/>
        <sz val="10"/>
        <color rgb="FFFFFFFF"/>
        <rFont val="Noto Sans CJK SC"/>
        <family val="2"/>
      </rPr>
      <t xml:space="preserve">股权价值</t>
    </r>
  </si>
  <si>
    <r>
      <rPr>
        <b val="true"/>
        <sz val="10"/>
        <color rgb="FFFFFFFF"/>
        <rFont val="Arial"/>
        <family val="0"/>
        <charset val="1"/>
      </rPr>
      <t xml:space="preserve">Tesla</t>
    </r>
    <r>
      <rPr>
        <b val="true"/>
        <sz val="10"/>
        <color rgb="FFFFFFFF"/>
        <rFont val="Noto Sans CJK SC"/>
        <family val="2"/>
      </rPr>
      <t xml:space="preserve">股权价值</t>
    </r>
  </si>
  <si>
    <r>
      <rPr>
        <b val="true"/>
        <sz val="10"/>
        <color rgb="FFFFFFFF"/>
        <rFont val="Arial"/>
        <family val="0"/>
        <charset val="1"/>
      </rPr>
      <t xml:space="preserve">SpaceX</t>
    </r>
    <r>
      <rPr>
        <b val="true"/>
        <sz val="10"/>
        <color rgb="FFFFFFFF"/>
        <rFont val="Noto Sans CJK SC"/>
        <family val="2"/>
      </rPr>
      <t xml:space="preserve">每股价值</t>
    </r>
  </si>
  <si>
    <r>
      <rPr>
        <b val="true"/>
        <sz val="10"/>
        <color rgb="FFFFFFFF"/>
        <rFont val="Arial"/>
        <family val="0"/>
        <charset val="1"/>
      </rPr>
      <t xml:space="preserve">Tesla</t>
    </r>
    <r>
      <rPr>
        <b val="true"/>
        <sz val="10"/>
        <color rgb="FFFFFFFF"/>
        <rFont val="Noto Sans CJK SC"/>
        <family val="2"/>
      </rPr>
      <t xml:space="preserve">每股价值</t>
    </r>
  </si>
  <si>
    <r>
      <rPr>
        <b val="true"/>
        <sz val="10"/>
        <color rgb="FFFFFFFF"/>
        <rFont val="Noto Sans CJK SC"/>
        <family val="2"/>
      </rPr>
      <t xml:space="preserve">换股比例</t>
    </r>
    <r>
      <rPr>
        <b val="true"/>
        <sz val="10"/>
        <color rgb="FFFFFFFF"/>
        <rFont val="Arial"/>
        <family val="0"/>
        <charset val="1"/>
      </rPr>
      <t xml:space="preserve">X</t>
    </r>
  </si>
  <si>
    <r>
      <rPr>
        <b val="true"/>
        <sz val="10"/>
        <color rgb="FFFFFFFF"/>
        <rFont val="Noto Sans CJK SC"/>
        <family val="2"/>
      </rPr>
      <t xml:space="preserve">新发行</t>
    </r>
    <r>
      <rPr>
        <b val="true"/>
        <sz val="10"/>
        <color rgb="FFFFFFFF"/>
        <rFont val="Arial"/>
        <family val="0"/>
        <charset val="1"/>
      </rPr>
      <t xml:space="preserve">SpaceX</t>
    </r>
    <r>
      <rPr>
        <b val="true"/>
        <sz val="10"/>
        <color rgb="FFFFFFFF"/>
        <rFont val="Noto Sans CJK SC"/>
        <family val="2"/>
      </rPr>
      <t xml:space="preserve">股数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</si>
  <si>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Noto Sans CJK SC"/>
        <family val="2"/>
      </rPr>
      <t xml:space="preserve">合并后总股数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</si>
  <si>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Arial"/>
        <family val="0"/>
        <charset val="1"/>
      </rPr>
      <t xml:space="preserve">SpaceX</t>
    </r>
    <r>
      <rPr>
        <b val="true"/>
        <sz val="10"/>
        <color rgb="FFFFFFFF"/>
        <rFont val="Noto Sans CJK SC"/>
        <family val="2"/>
      </rPr>
      <t xml:space="preserve">原股东</t>
    </r>
  </si>
  <si>
    <r>
      <rPr>
        <b val="true"/>
        <sz val="10"/>
        <color rgb="FFFFFFFF"/>
        <rFont val="Arial"/>
        <family val="0"/>
        <charset val="1"/>
      </rPr>
      <t xml:space="preserve">Tesla</t>
    </r>
    <r>
      <rPr>
        <b val="true"/>
        <sz val="10"/>
        <color rgb="FFFFFFFF"/>
        <rFont val="Noto Sans CJK SC"/>
        <family val="2"/>
      </rPr>
      <t xml:space="preserve">原股东</t>
    </r>
  </si>
  <si>
    <r>
      <rPr>
        <b val="true"/>
        <sz val="10"/>
        <color rgb="FFFFFFFF"/>
        <rFont val="Arial"/>
        <family val="0"/>
        <charset val="1"/>
      </rPr>
      <t xml:space="preserve">Musk</t>
    </r>
    <r>
      <rPr>
        <b val="true"/>
        <sz val="10"/>
        <color rgb="FFFFFFFF"/>
        <rFont val="Noto Sans CJK SC"/>
        <family val="2"/>
      </rPr>
      <t xml:space="preserve">合并后经济持股</t>
    </r>
  </si>
  <si>
    <t xml:space="preserve">收盘市值法</t>
  </si>
  <si>
    <r>
      <rPr>
        <sz val="10"/>
        <color rgb="FF17202A"/>
        <rFont val="Arial"/>
        <family val="0"/>
        <charset val="1"/>
      </rPr>
      <t xml:space="preserve">2026-10-21</t>
    </r>
    <r>
      <rPr>
        <sz val="10"/>
        <color rgb="FF17202A"/>
        <rFont val="Noto Sans CJK SC"/>
        <family val="2"/>
      </rPr>
      <t xml:space="preserve">已完成交易日收盘价；股数见持股页</t>
    </r>
  </si>
  <si>
    <r>
      <rPr>
        <sz val="10"/>
        <color rgb="FF17202A"/>
        <rFont val="Arial"/>
        <family val="0"/>
        <charset val="1"/>
      </rPr>
      <t xml:space="preserve">20</t>
    </r>
    <r>
      <rPr>
        <sz val="10"/>
        <color rgb="FF17202A"/>
        <rFont val="Noto Sans CJK SC"/>
        <family val="2"/>
      </rPr>
      <t xml:space="preserve">日成交量加权收盘价法</t>
    </r>
  </si>
  <si>
    <r>
      <rPr>
        <sz val="10"/>
        <color rgb="FF17202A"/>
        <rFont val="Noto Sans CJK SC"/>
        <family val="2"/>
      </rPr>
      <t xml:space="preserve">截至</t>
    </r>
    <r>
      <rPr>
        <sz val="10"/>
        <color rgb="FF17202A"/>
        <rFont val="Arial"/>
        <family val="0"/>
        <charset val="1"/>
      </rPr>
      <t xml:space="preserve">2026-10-21</t>
    </r>
    <r>
      <rPr>
        <sz val="10"/>
        <color rgb="FF17202A"/>
        <rFont val="Noto Sans CJK SC"/>
        <family val="2"/>
      </rPr>
      <t xml:space="preserve">的</t>
    </r>
    <r>
      <rPr>
        <sz val="10"/>
        <color rgb="FF17202A"/>
        <rFont val="Arial"/>
        <family val="0"/>
        <charset val="1"/>
      </rPr>
      <t xml:space="preserve">20</t>
    </r>
    <r>
      <rPr>
        <sz val="10"/>
        <color rgb="FF17202A"/>
        <rFont val="Noto Sans CJK SC"/>
        <family val="2"/>
      </rPr>
      <t xml:space="preserve">个交易日；收盘价</t>
    </r>
    <r>
      <rPr>
        <sz val="10"/>
        <color rgb="FF17202A"/>
        <rFont val="Arial"/>
        <family val="0"/>
        <charset val="1"/>
      </rPr>
      <t xml:space="preserve">×</t>
    </r>
    <r>
      <rPr>
        <sz val="10"/>
        <color rgb="FF17202A"/>
        <rFont val="Noto Sans CJK SC"/>
        <family val="2"/>
      </rPr>
      <t xml:space="preserve">成交量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成交量，分析计算，非官方</t>
    </r>
    <r>
      <rPr>
        <sz val="10"/>
        <color rgb="FF17202A"/>
        <rFont val="Arial"/>
        <family val="0"/>
        <charset val="1"/>
      </rPr>
      <t xml:space="preserve">VWAP</t>
    </r>
  </si>
  <si>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收入倍数法（假设）</t>
    </r>
  </si>
  <si>
    <r>
      <rPr>
        <sz val="10"/>
        <color rgb="FF17202A"/>
        <rFont val="Arial"/>
        <family val="0"/>
        <charset val="1"/>
      </rPr>
      <t xml:space="preserve">EV/LTM Revenue</t>
    </r>
    <r>
      <rPr>
        <sz val="10"/>
        <color rgb="FF17202A"/>
        <rFont val="Noto Sans CJK SC"/>
        <family val="2"/>
      </rPr>
      <t xml:space="preserve">：</t>
    </r>
    <r>
      <rPr>
        <sz val="10"/>
        <color rgb="FF17202A"/>
        <rFont val="Arial"/>
        <family val="0"/>
        <charset val="1"/>
      </rPr>
      <t xml:space="preserve">SpaceX 6.0x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Tesla 2.0x</t>
    </r>
    <r>
      <rPr>
        <sz val="10"/>
        <color rgb="FF17202A"/>
        <rFont val="Noto Sans CJK SC"/>
        <family val="2"/>
      </rPr>
      <t xml:space="preserve">；假设，非市场一致预期</t>
    </r>
  </si>
  <si>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调整后</t>
    </r>
    <r>
      <rPr>
        <sz val="10"/>
        <color rgb="FF17202A"/>
        <rFont val="Arial"/>
        <family val="0"/>
        <charset val="1"/>
      </rPr>
      <t xml:space="preserve">EBITDA</t>
    </r>
    <r>
      <rPr>
        <sz val="10"/>
        <color rgb="FF17202A"/>
        <rFont val="Noto Sans CJK SC"/>
        <family val="2"/>
      </rPr>
      <t xml:space="preserve">倍数法（假设）</t>
    </r>
  </si>
  <si>
    <r>
      <rPr>
        <sz val="10"/>
        <color rgb="FF17202A"/>
        <rFont val="Noto Sans CJK SC"/>
        <family val="2"/>
      </rPr>
      <t xml:space="preserve">共同</t>
    </r>
    <r>
      <rPr>
        <sz val="10"/>
        <color rgb="FF17202A"/>
        <rFont val="Arial"/>
        <family val="0"/>
        <charset val="1"/>
      </rPr>
      <t xml:space="preserve">EV/LTM Adj. EBITDA 20.0x</t>
    </r>
    <r>
      <rPr>
        <sz val="10"/>
        <color rgb="FF17202A"/>
        <rFont val="Noto Sans CJK SC"/>
        <family val="2"/>
      </rPr>
      <t xml:space="preserve">；假设；两家公司非</t>
    </r>
    <r>
      <rPr>
        <sz val="10"/>
        <color rgb="FF17202A"/>
        <rFont val="Arial"/>
        <family val="0"/>
        <charset val="1"/>
      </rPr>
      <t xml:space="preserve">GAAP</t>
    </r>
    <r>
      <rPr>
        <sz val="10"/>
        <color rgb="FF17202A"/>
        <rFont val="Noto Sans CJK SC"/>
        <family val="2"/>
      </rPr>
      <t xml:space="preserve">定义不完全可比</t>
    </r>
  </si>
  <si>
    <r>
      <rPr>
        <b val="true"/>
        <sz val="10"/>
        <color rgb="FFC05621"/>
        <rFont val="Noto Sans CJK SC"/>
        <family val="2"/>
      </rPr>
      <t xml:space="preserve">股权价值桥：市场法</t>
    </r>
    <r>
      <rPr>
        <b val="true"/>
        <sz val="10"/>
        <color rgb="FFC05621"/>
        <rFont val="Arial"/>
        <family val="0"/>
        <charset val="1"/>
      </rPr>
      <t xml:space="preserve">=</t>
    </r>
    <r>
      <rPr>
        <b val="true"/>
        <sz val="10"/>
        <color rgb="FFC05621"/>
        <rFont val="Noto Sans CJK SC"/>
        <family val="2"/>
      </rPr>
      <t xml:space="preserve">每股价格</t>
    </r>
    <r>
      <rPr>
        <b val="true"/>
        <sz val="10"/>
        <color rgb="FFC05621"/>
        <rFont val="Arial"/>
        <family val="0"/>
        <charset val="1"/>
      </rPr>
      <t xml:space="preserve">×</t>
    </r>
    <r>
      <rPr>
        <b val="true"/>
        <sz val="10"/>
        <color rgb="FFC05621"/>
        <rFont val="Noto Sans CJK SC"/>
        <family val="2"/>
      </rPr>
      <t xml:space="preserve">已发行股数；倍数法</t>
    </r>
    <r>
      <rPr>
        <b val="true"/>
        <sz val="10"/>
        <color rgb="FFC05621"/>
        <rFont val="Arial"/>
        <family val="0"/>
        <charset val="1"/>
      </rPr>
      <t xml:space="preserve">=EV×</t>
    </r>
    <r>
      <rPr>
        <b val="true"/>
        <sz val="10"/>
        <color rgb="FFC05621"/>
        <rFont val="Noto Sans CJK SC"/>
        <family val="2"/>
      </rPr>
      <t xml:space="preserve">假设倍数＋现金及短期投资−有息负债。未扣交叉持股、协同、交易成本、税务、购买价格分配或奖励股稀释；收入</t>
    </r>
    <r>
      <rPr>
        <b val="true"/>
        <sz val="10"/>
        <color rgb="FFC05621"/>
        <rFont val="Arial"/>
        <family val="0"/>
        <charset val="1"/>
      </rPr>
      <t xml:space="preserve">/EBITDA</t>
    </r>
    <r>
      <rPr>
        <b val="true"/>
        <sz val="10"/>
        <color rgb="FFC05621"/>
        <rFont val="Noto Sans CJK SC"/>
        <family val="2"/>
      </rPr>
      <t xml:space="preserve">倍数为可编辑假设。</t>
    </r>
  </si>
  <si>
    <r>
      <rPr>
        <b val="true"/>
        <sz val="16"/>
        <color rgb="FFFFFFFF"/>
        <rFont val="Noto Sans CJK SC"/>
        <family val="2"/>
      </rPr>
      <t xml:space="preserve">敏感性｜溢价率 </t>
    </r>
    <r>
      <rPr>
        <b val="true"/>
        <sz val="16"/>
        <color rgb="FFFFFFFF"/>
        <rFont val="Arial"/>
        <family val="0"/>
        <charset val="1"/>
      </rPr>
      <t xml:space="preserve">× </t>
    </r>
    <r>
      <rPr>
        <b val="true"/>
        <sz val="16"/>
        <color rgb="FFFFFFFF"/>
        <rFont val="Noto Sans CJK SC"/>
        <family val="2"/>
      </rPr>
      <t xml:space="preserve">定价方法</t>
    </r>
  </si>
  <si>
    <r>
      <rPr>
        <i val="true"/>
        <sz val="10"/>
        <color rgb="FF52606D"/>
        <rFont val="Noto Sans CJK SC"/>
        <family val="2"/>
      </rPr>
      <t xml:space="preserve">行</t>
    </r>
    <r>
      <rPr>
        <i val="true"/>
        <sz val="10"/>
        <color rgb="FF52606D"/>
        <rFont val="Arial"/>
        <family val="0"/>
        <charset val="1"/>
      </rPr>
      <t xml:space="preserve">=Tesla</t>
    </r>
    <r>
      <rPr>
        <i val="true"/>
        <sz val="10"/>
        <color rgb="FF52606D"/>
        <rFont val="Noto Sans CJK SC"/>
        <family val="2"/>
      </rPr>
      <t xml:space="preserve">对价溢价率（假设）；列</t>
    </r>
    <r>
      <rPr>
        <i val="true"/>
        <sz val="10"/>
        <color rgb="FF52606D"/>
        <rFont val="Arial"/>
        <family val="0"/>
        <charset val="1"/>
      </rPr>
      <t xml:space="preserve">=</t>
    </r>
    <r>
      <rPr>
        <i val="true"/>
        <sz val="10"/>
        <color rgb="FF52606D"/>
        <rFont val="Noto Sans CJK SC"/>
        <family val="2"/>
      </rPr>
      <t xml:space="preserve">定价方法。每格为每</t>
    </r>
    <r>
      <rPr>
        <i val="true"/>
        <sz val="10"/>
        <color rgb="FF52606D"/>
        <rFont val="Arial"/>
        <family val="0"/>
        <charset val="1"/>
      </rPr>
      <t xml:space="preserve">1</t>
    </r>
    <r>
      <rPr>
        <i val="true"/>
        <sz val="10"/>
        <color rgb="FF52606D"/>
        <rFont val="Noto Sans CJK SC"/>
        <family val="2"/>
      </rPr>
      <t xml:space="preserve">股</t>
    </r>
    <r>
      <rPr>
        <i val="true"/>
        <sz val="10"/>
        <color rgb="FF52606D"/>
        <rFont val="Arial"/>
        <family val="0"/>
        <charset val="1"/>
      </rPr>
      <t xml:space="preserve">Tesla</t>
    </r>
    <r>
      <rPr>
        <i val="true"/>
        <sz val="10"/>
        <color rgb="FF52606D"/>
        <rFont val="Noto Sans CJK SC"/>
        <family val="2"/>
      </rPr>
      <t xml:space="preserve">换取的</t>
    </r>
    <r>
      <rPr>
        <i val="true"/>
        <sz val="10"/>
        <color rgb="FF52606D"/>
        <rFont val="Arial"/>
        <family val="0"/>
        <charset val="1"/>
      </rPr>
      <t xml:space="preserve">SpaceX</t>
    </r>
    <r>
      <rPr>
        <i val="true"/>
        <sz val="10"/>
        <color rgb="FF52606D"/>
        <rFont val="Noto Sans CJK SC"/>
        <family val="2"/>
      </rPr>
      <t xml:space="preserve">股数；下表进一步给出</t>
    </r>
    <r>
      <rPr>
        <i val="true"/>
        <sz val="10"/>
        <color rgb="FF52606D"/>
        <rFont val="Arial"/>
        <family val="0"/>
        <charset val="1"/>
      </rPr>
      <t xml:space="preserve">Tesla</t>
    </r>
    <r>
      <rPr>
        <i val="true"/>
        <sz val="10"/>
        <color rgb="FF52606D"/>
        <rFont val="Noto Sans CJK SC"/>
        <family val="2"/>
      </rPr>
      <t xml:space="preserve">原股东和</t>
    </r>
    <r>
      <rPr>
        <i val="true"/>
        <sz val="10"/>
        <color rgb="FF52606D"/>
        <rFont val="Arial"/>
        <family val="0"/>
        <charset val="1"/>
      </rPr>
      <t xml:space="preserve">Musk</t>
    </r>
    <r>
      <rPr>
        <i val="true"/>
        <sz val="10"/>
        <color rgb="FF52606D"/>
        <rFont val="Noto Sans CJK SC"/>
        <family val="2"/>
      </rPr>
      <t xml:space="preserve">静态经济持股。</t>
    </r>
  </si>
  <si>
    <r>
      <rPr>
        <b val="true"/>
        <sz val="11"/>
        <color rgb="FF102A43"/>
        <rFont val="Noto Sans CJK SC"/>
        <family val="2"/>
      </rPr>
      <t xml:space="preserve">换股比例（</t>
    </r>
    <r>
      <rPr>
        <b val="true"/>
        <sz val="11"/>
        <color rgb="FF102A43"/>
        <rFont val="Arial"/>
        <family val="0"/>
        <charset val="1"/>
      </rPr>
      <t xml:space="preserve">SpaceX</t>
    </r>
    <r>
      <rPr>
        <b val="true"/>
        <sz val="11"/>
        <color rgb="FF102A43"/>
        <rFont val="Noto Sans CJK SC"/>
        <family val="2"/>
      </rPr>
      <t xml:space="preserve">股 </t>
    </r>
    <r>
      <rPr>
        <b val="true"/>
        <sz val="11"/>
        <color rgb="FF102A43"/>
        <rFont val="Arial"/>
        <family val="0"/>
        <charset val="1"/>
      </rPr>
      <t xml:space="preserve">/ Tesla</t>
    </r>
    <r>
      <rPr>
        <b val="true"/>
        <sz val="11"/>
        <color rgb="FF102A43"/>
        <rFont val="Noto Sans CJK SC"/>
        <family val="2"/>
      </rPr>
      <t xml:space="preserve">股）</t>
    </r>
  </si>
  <si>
    <r>
      <rPr>
        <b val="true"/>
        <sz val="10"/>
        <color rgb="FFFFFFFF"/>
        <rFont val="Arial"/>
        <family val="0"/>
        <charset val="1"/>
      </rPr>
      <t xml:space="preserve">Tesla</t>
    </r>
    <r>
      <rPr>
        <b val="true"/>
        <sz val="10"/>
        <color rgb="FFFFFFFF"/>
        <rFont val="Noto Sans CJK SC"/>
        <family val="2"/>
      </rPr>
      <t xml:space="preserve">对价溢价率</t>
    </r>
  </si>
  <si>
    <t xml:space="preserve">收盘市值</t>
  </si>
  <si>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日</t>
    </r>
    <r>
      <rPr>
        <b val="true"/>
        <sz val="10"/>
        <color rgb="FFFFFFFF"/>
        <rFont val="Arial"/>
        <family val="0"/>
        <charset val="1"/>
      </rPr>
      <t xml:space="preserve">VWAP*</t>
    </r>
  </si>
  <si>
    <t xml:space="preserve">收入倍数</t>
  </si>
  <si>
    <r>
      <rPr>
        <b val="true"/>
        <sz val="10"/>
        <color rgb="FFFFFFFF"/>
        <rFont val="Arial"/>
        <family val="0"/>
        <charset val="1"/>
      </rPr>
      <t xml:space="preserve">EBITDA</t>
    </r>
    <r>
      <rPr>
        <b val="true"/>
        <sz val="10"/>
        <color rgb="FFFFFFFF"/>
        <rFont val="Noto Sans CJK SC"/>
        <family val="2"/>
      </rPr>
      <t xml:space="preserve">倍数</t>
    </r>
  </si>
  <si>
    <r>
      <rPr>
        <b val="true"/>
        <sz val="11"/>
        <color rgb="FF102A43"/>
        <rFont val="Arial"/>
        <family val="0"/>
        <charset val="1"/>
      </rPr>
      <t xml:space="preserve">Tesla</t>
    </r>
    <r>
      <rPr>
        <b val="true"/>
        <sz val="11"/>
        <color rgb="FF102A43"/>
        <rFont val="Noto Sans CJK SC"/>
        <family val="2"/>
      </rPr>
      <t xml:space="preserve">原股东合并后经济持股</t>
    </r>
  </si>
  <si>
    <r>
      <rPr>
        <b val="true"/>
        <sz val="11"/>
        <color rgb="FF102A43"/>
        <rFont val="Arial"/>
        <family val="0"/>
        <charset val="1"/>
      </rPr>
      <t xml:space="preserve">Musk</t>
    </r>
    <r>
      <rPr>
        <b val="true"/>
        <sz val="11"/>
        <color rgb="FF102A43"/>
        <rFont val="Noto Sans CJK SC"/>
        <family val="2"/>
      </rPr>
      <t xml:space="preserve">合并后静态经济持股</t>
    </r>
  </si>
  <si>
    <r>
      <rPr>
        <b val="true"/>
        <sz val="10"/>
        <color rgb="FFC05621"/>
        <rFont val="Noto Sans CJK SC"/>
        <family val="2"/>
      </rPr>
      <t xml:space="preserve">说明：溢价率只改变</t>
    </r>
    <r>
      <rPr>
        <b val="true"/>
        <sz val="10"/>
        <color rgb="FFC05621"/>
        <rFont val="Arial"/>
        <family val="0"/>
        <charset val="1"/>
      </rPr>
      <t xml:space="preserve">Tesla</t>
    </r>
    <r>
      <rPr>
        <b val="true"/>
        <sz val="10"/>
        <color rgb="FFC05621"/>
        <rFont val="Noto Sans CJK SC"/>
        <family val="2"/>
      </rPr>
      <t xml:space="preserve">新发行对价，不改变两家经营数据；持股比例未处理交叉持股、投票权、奖励股和购买法。</t>
    </r>
  </si>
  <si>
    <r>
      <rPr>
        <b val="true"/>
        <sz val="16"/>
        <color rgb="FFFFFFFF"/>
        <rFont val="Noto Sans CJK SC"/>
        <family val="2"/>
      </rPr>
      <t xml:space="preserve">市场数据｜</t>
    </r>
    <r>
      <rPr>
        <b val="true"/>
        <sz val="16"/>
        <color rgb="FFFFFFFF"/>
        <rFont val="Arial"/>
        <family val="0"/>
        <charset val="1"/>
      </rPr>
      <t xml:space="preserve">SPCX </t>
    </r>
    <r>
      <rPr>
        <b val="true"/>
        <sz val="16"/>
        <color rgb="FFFFFFFF"/>
        <rFont val="Noto Sans CJK SC"/>
        <family val="2"/>
      </rPr>
      <t xml:space="preserve">与 </t>
    </r>
    <r>
      <rPr>
        <b val="true"/>
        <sz val="16"/>
        <color rgb="FFFFFFFF"/>
        <rFont val="Arial"/>
        <family val="0"/>
        <charset val="1"/>
      </rPr>
      <t xml:space="preserve">TSLA</t>
    </r>
  </si>
  <si>
    <r>
      <rPr>
        <i val="true"/>
        <sz val="10"/>
        <color rgb="FF52606D"/>
        <rFont val="Noto Sans CJK SC"/>
        <family val="2"/>
      </rPr>
      <t xml:space="preserve">来源：</t>
    </r>
    <r>
      <rPr>
        <i val="true"/>
        <sz val="10"/>
        <color rgb="FF52606D"/>
        <rFont val="Arial"/>
        <family val="0"/>
        <charset val="1"/>
      </rPr>
      <t xml:space="preserve">Yahoo Finance Chart API</t>
    </r>
    <r>
      <rPr>
        <i val="true"/>
        <sz val="10"/>
        <color rgb="FF52606D"/>
        <rFont val="Noto Sans CJK SC"/>
        <family val="2"/>
      </rPr>
      <t xml:space="preserve">（公开行情接口），访问日期：</t>
    </r>
    <r>
      <rPr>
        <i val="true"/>
        <sz val="10"/>
        <color rgb="FF52606D"/>
        <rFont val="Arial"/>
        <family val="0"/>
        <charset val="1"/>
      </rPr>
      <t xml:space="preserve">2026-10-22</t>
    </r>
    <r>
      <rPr>
        <i val="true"/>
        <sz val="10"/>
        <color rgb="FF52606D"/>
        <rFont val="Noto Sans CJK SC"/>
        <family val="2"/>
      </rPr>
      <t xml:space="preserve">；仅使用截至</t>
    </r>
    <r>
      <rPr>
        <i val="true"/>
        <sz val="10"/>
        <color rgb="FF52606D"/>
        <rFont val="Arial"/>
        <family val="0"/>
        <charset val="1"/>
      </rPr>
      <t xml:space="preserve">2026-10-21</t>
    </r>
    <r>
      <rPr>
        <i val="true"/>
        <sz val="10"/>
        <color rgb="FF52606D"/>
        <rFont val="Noto Sans CJK SC"/>
        <family val="2"/>
      </rPr>
      <t xml:space="preserve">已完成交易日，排除</t>
    </r>
    <r>
      <rPr>
        <i val="true"/>
        <sz val="10"/>
        <color rgb="FF52606D"/>
        <rFont val="Arial"/>
        <family val="0"/>
        <charset val="1"/>
      </rPr>
      <t xml:space="preserve">10</t>
    </r>
    <r>
      <rPr>
        <i val="true"/>
        <sz val="10"/>
        <color rgb="FF52606D"/>
        <rFont val="Noto Sans CJK SC"/>
        <family val="2"/>
      </rPr>
      <t xml:space="preserve">月</t>
    </r>
    <r>
      <rPr>
        <i val="true"/>
        <sz val="10"/>
        <color rgb="FF52606D"/>
        <rFont val="Arial"/>
        <family val="0"/>
        <charset val="1"/>
      </rPr>
      <t xml:space="preserve">22</t>
    </r>
    <r>
      <rPr>
        <i val="true"/>
        <sz val="10"/>
        <color rgb="FF52606D"/>
        <rFont val="Noto Sans CJK SC"/>
        <family val="2"/>
      </rPr>
      <t xml:space="preserve">日盘中数据。价格为</t>
    </r>
    <r>
      <rPr>
        <i val="true"/>
        <sz val="10"/>
        <color rgb="FF52606D"/>
        <rFont val="Arial"/>
        <family val="0"/>
        <charset val="1"/>
      </rPr>
      <t xml:space="preserve">USD/</t>
    </r>
    <r>
      <rPr>
        <i val="true"/>
        <sz val="10"/>
        <color rgb="FF52606D"/>
        <rFont val="Noto Sans CJK SC"/>
        <family val="2"/>
      </rPr>
      <t xml:space="preserve">股，成交量为股。</t>
    </r>
  </si>
  <si>
    <r>
      <rPr>
        <sz val="9"/>
        <color rgb="FF52606D"/>
        <rFont val="Arial"/>
        <family val="0"/>
        <charset val="1"/>
      </rPr>
      <t xml:space="preserve">SPCX</t>
    </r>
    <r>
      <rPr>
        <sz val="9"/>
        <color rgb="FF52606D"/>
        <rFont val="Noto Sans CJK SC"/>
        <family val="2"/>
      </rPr>
      <t xml:space="preserve">接口：</t>
    </r>
    <r>
      <rPr>
        <sz val="9"/>
        <color rgb="FF52606D"/>
        <rFont val="Arial"/>
        <family val="0"/>
        <charset val="1"/>
      </rPr>
      <t xml:space="preserve">https://query1.finance.yahoo.com/v8/finance/chart/SPCX?period1=1789000000&amp;period2=1792800000&amp;interval=1d&amp;events=div%2Csplits</t>
    </r>
  </si>
  <si>
    <r>
      <rPr>
        <sz val="9"/>
        <color rgb="FF52606D"/>
        <rFont val="Arial"/>
        <family val="0"/>
        <charset val="1"/>
      </rPr>
      <t xml:space="preserve">TSLA</t>
    </r>
    <r>
      <rPr>
        <sz val="9"/>
        <color rgb="FF52606D"/>
        <rFont val="Noto Sans CJK SC"/>
        <family val="2"/>
      </rPr>
      <t xml:space="preserve">接口：</t>
    </r>
    <r>
      <rPr>
        <sz val="9"/>
        <color rgb="FF52606D"/>
        <rFont val="Arial"/>
        <family val="0"/>
        <charset val="1"/>
      </rPr>
      <t xml:space="preserve">https://query1.finance.yahoo.com/v8/finance/chart/TSLA?period1=1789000000&amp;period2=1792800000&amp;interval=1d&amp;events=div%2Csplits</t>
    </r>
  </si>
  <si>
    <t xml:space="preserve">日期</t>
  </si>
  <si>
    <r>
      <rPr>
        <b val="true"/>
        <sz val="10"/>
        <color rgb="FFFFFFFF"/>
        <rFont val="Arial"/>
        <family val="0"/>
        <charset val="1"/>
      </rPr>
      <t xml:space="preserve">SPCX</t>
    </r>
    <r>
      <rPr>
        <b val="true"/>
        <sz val="10"/>
        <color rgb="FFFFFFFF"/>
        <rFont val="Noto Sans CJK SC"/>
        <family val="2"/>
      </rPr>
      <t xml:space="preserve">收盘</t>
    </r>
  </si>
  <si>
    <r>
      <rPr>
        <b val="true"/>
        <sz val="10"/>
        <color rgb="FFFFFFFF"/>
        <rFont val="Arial"/>
        <family val="0"/>
        <charset val="1"/>
      </rPr>
      <t xml:space="preserve">SPCX</t>
    </r>
    <r>
      <rPr>
        <b val="true"/>
        <sz val="10"/>
        <color rgb="FFFFFFFF"/>
        <rFont val="Noto Sans CJK SC"/>
        <family val="2"/>
      </rPr>
      <t xml:space="preserve">成交量</t>
    </r>
  </si>
  <si>
    <r>
      <rPr>
        <b val="true"/>
        <sz val="10"/>
        <color rgb="FFFFFFFF"/>
        <rFont val="Arial"/>
        <family val="0"/>
        <charset val="1"/>
      </rPr>
      <t xml:space="preserve">TSLA</t>
    </r>
    <r>
      <rPr>
        <b val="true"/>
        <sz val="10"/>
        <color rgb="FFFFFFFF"/>
        <rFont val="Noto Sans CJK SC"/>
        <family val="2"/>
      </rPr>
      <t xml:space="preserve">收盘</t>
    </r>
  </si>
  <si>
    <r>
      <rPr>
        <b val="true"/>
        <sz val="10"/>
        <color rgb="FFFFFFFF"/>
        <rFont val="Arial"/>
        <family val="0"/>
        <charset val="1"/>
      </rPr>
      <t xml:space="preserve">TSLA</t>
    </r>
    <r>
      <rPr>
        <b val="true"/>
        <sz val="10"/>
        <color rgb="FFFFFFFF"/>
        <rFont val="Noto Sans CJK SC"/>
        <family val="2"/>
      </rPr>
      <t xml:space="preserve">成交量</t>
    </r>
  </si>
  <si>
    <t xml:space="preserve">2026-09-24</t>
  </si>
  <si>
    <r>
      <rPr>
        <sz val="10"/>
        <color rgb="FF17202A"/>
        <rFont val="Arial"/>
        <family val="0"/>
        <charset val="1"/>
      </rPr>
      <t xml:space="preserve">Yahoo Finance Chart API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2026-10-22</t>
    </r>
    <r>
      <rPr>
        <sz val="10"/>
        <color rgb="FF17202A"/>
        <rFont val="Noto Sans CJK SC"/>
        <family val="2"/>
      </rPr>
      <t xml:space="preserve">访问</t>
    </r>
  </si>
  <si>
    <t xml:space="preserve">2026-09-25</t>
  </si>
  <si>
    <t xml:space="preserve">2026-09-28</t>
  </si>
  <si>
    <t xml:space="preserve">2026-09-29</t>
  </si>
  <si>
    <t xml:space="preserve">2026-10-01</t>
  </si>
  <si>
    <t xml:space="preserve">2026-10-02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</si>
  <si>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</si>
  <si>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</si>
  <si>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</si>
  <si>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</si>
  <si>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</si>
  <si>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</si>
  <si>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</si>
  <si>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</si>
  <si>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</si>
  <si>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</si>
  <si>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</si>
  <si>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</si>
  <si>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</si>
  <si>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定价参考（公式）</t>
  </si>
  <si>
    <t xml:space="preserve">最近完成交易日</t>
  </si>
  <si>
    <r>
      <rPr>
        <sz val="10"/>
        <color rgb="FF17202A"/>
        <rFont val="Noto Sans CJK SC"/>
        <family val="2"/>
      </rPr>
      <t xml:space="preserve">收盘价为接口原始值；</t>
    </r>
    <r>
      <rPr>
        <sz val="10"/>
        <color rgb="FF17202A"/>
        <rFont val="Arial"/>
        <family val="0"/>
        <charset val="1"/>
      </rPr>
      <t xml:space="preserve">VWAP*</t>
    </r>
    <r>
      <rPr>
        <sz val="10"/>
        <color rgb="FF17202A"/>
        <rFont val="Noto Sans CJK SC"/>
        <family val="2"/>
      </rPr>
      <t xml:space="preserve">为分析计算，不是交易所官方</t>
    </r>
    <r>
      <rPr>
        <sz val="10"/>
        <color rgb="FF17202A"/>
        <rFont val="Arial"/>
        <family val="0"/>
        <charset val="1"/>
      </rPr>
      <t xml:space="preserve">VWAP</t>
    </r>
  </si>
  <si>
    <r>
      <rPr>
        <sz val="10"/>
        <color rgb="FF17202A"/>
        <rFont val="Arial"/>
        <family val="0"/>
        <charset val="1"/>
      </rPr>
      <t xml:space="preserve">SPCX</t>
    </r>
    <r>
      <rPr>
        <sz val="10"/>
        <color rgb="FF17202A"/>
        <rFont val="Noto Sans CJK SC"/>
        <family val="2"/>
      </rPr>
      <t xml:space="preserve">收盘价</t>
    </r>
  </si>
  <si>
    <r>
      <rPr>
        <sz val="10"/>
        <color rgb="FF17202A"/>
        <rFont val="Arial"/>
        <family val="0"/>
        <charset val="1"/>
      </rPr>
      <t xml:space="preserve">TSLA</t>
    </r>
    <r>
      <rPr>
        <sz val="10"/>
        <color rgb="FF17202A"/>
        <rFont val="Noto Sans CJK SC"/>
        <family val="2"/>
      </rPr>
      <t xml:space="preserve">收盘价</t>
    </r>
  </si>
  <si>
    <r>
      <rPr>
        <sz val="10"/>
        <color rgb="FF17202A"/>
        <rFont val="Arial"/>
        <family val="0"/>
        <charset val="1"/>
      </rPr>
      <t xml:space="preserve">SPCX 20</t>
    </r>
    <r>
      <rPr>
        <sz val="10"/>
        <color rgb="FF17202A"/>
        <rFont val="Noto Sans CJK SC"/>
        <family val="2"/>
      </rPr>
      <t xml:space="preserve">日算术平均收盘价</t>
    </r>
  </si>
  <si>
    <r>
      <rPr>
        <sz val="10"/>
        <color rgb="FF17202A"/>
        <rFont val="Arial"/>
        <family val="0"/>
        <charset val="1"/>
      </rPr>
      <t xml:space="preserve">TSLA 20</t>
    </r>
    <r>
      <rPr>
        <sz val="10"/>
        <color rgb="FF17202A"/>
        <rFont val="Noto Sans CJK SC"/>
        <family val="2"/>
      </rPr>
      <t xml:space="preserve">日算术平均收盘价</t>
    </r>
  </si>
  <si>
    <r>
      <rPr>
        <sz val="10"/>
        <color rgb="FF17202A"/>
        <rFont val="Arial"/>
        <family val="0"/>
        <charset val="1"/>
      </rPr>
      <t xml:space="preserve">SPCX 20</t>
    </r>
    <r>
      <rPr>
        <sz val="10"/>
        <color rgb="FF17202A"/>
        <rFont val="Noto Sans CJK SC"/>
        <family val="2"/>
      </rPr>
      <t xml:space="preserve">日成交量加权收盘价</t>
    </r>
  </si>
  <si>
    <r>
      <rPr>
        <sz val="10"/>
        <color rgb="FF17202A"/>
        <rFont val="Arial"/>
        <family val="0"/>
        <charset val="1"/>
      </rPr>
      <t xml:space="preserve">TSLA 20</t>
    </r>
    <r>
      <rPr>
        <sz val="10"/>
        <color rgb="FF17202A"/>
        <rFont val="Noto Sans CJK SC"/>
        <family val="2"/>
      </rPr>
      <t xml:space="preserve">日成交量加权收盘价</t>
    </r>
  </si>
  <si>
    <r>
      <rPr>
        <i val="true"/>
        <sz val="10"/>
        <color rgb="FF52606D"/>
        <rFont val="Arial"/>
        <family val="0"/>
        <charset val="1"/>
      </rPr>
      <t xml:space="preserve">* 20</t>
    </r>
    <r>
      <rPr>
        <i val="true"/>
        <sz val="10"/>
        <color rgb="FF52606D"/>
        <rFont val="Noto Sans CJK SC"/>
        <family val="2"/>
      </rPr>
      <t xml:space="preserve">日窗口：</t>
    </r>
    <r>
      <rPr>
        <i val="true"/>
        <sz val="10"/>
        <color rgb="FF52606D"/>
        <rFont val="Arial"/>
        <family val="0"/>
        <charset val="1"/>
      </rPr>
      <t xml:space="preserve">2026-09-24</t>
    </r>
    <r>
      <rPr>
        <i val="true"/>
        <sz val="10"/>
        <color rgb="FF52606D"/>
        <rFont val="Noto Sans CJK SC"/>
        <family val="2"/>
      </rPr>
      <t xml:space="preserve">至</t>
    </r>
    <r>
      <rPr>
        <i val="true"/>
        <sz val="10"/>
        <color rgb="FF52606D"/>
        <rFont val="Arial"/>
        <family val="0"/>
        <charset val="1"/>
      </rPr>
      <t xml:space="preserve">2026-10-21</t>
    </r>
    <r>
      <rPr>
        <i val="true"/>
        <sz val="10"/>
        <color rgb="FF52606D"/>
        <rFont val="Noto Sans CJK SC"/>
        <family val="2"/>
      </rPr>
      <t xml:space="preserve">，共</t>
    </r>
    <r>
      <rPr>
        <i val="true"/>
        <sz val="10"/>
        <color rgb="FF52606D"/>
        <rFont val="Arial"/>
        <family val="0"/>
        <charset val="1"/>
      </rPr>
      <t xml:space="preserve">20</t>
    </r>
    <r>
      <rPr>
        <i val="true"/>
        <sz val="10"/>
        <color rgb="FF52606D"/>
        <rFont val="Noto Sans CJK SC"/>
        <family val="2"/>
      </rPr>
      <t xml:space="preserve">个交易日。行情仅用于相对换股，不评价股价贵不贵。</t>
    </r>
  </si>
  <si>
    <t xml:space="preserve">关联交易与合并抵销检查表</t>
  </si>
  <si>
    <r>
      <rPr>
        <i val="true"/>
        <sz val="10"/>
        <color rgb="FF52606D"/>
        <rFont val="Noto Sans CJK SC"/>
        <family val="2"/>
      </rPr>
      <t xml:space="preserve">单位：</t>
    </r>
    <r>
      <rPr>
        <i val="true"/>
        <sz val="10"/>
        <color rgb="FF52606D"/>
        <rFont val="Arial"/>
        <family val="0"/>
        <charset val="1"/>
      </rPr>
      <t xml:space="preserve">US$ million</t>
    </r>
    <r>
      <rPr>
        <i val="true"/>
        <sz val="10"/>
        <color rgb="FF52606D"/>
        <rFont val="Noto Sans CJK SC"/>
        <family val="2"/>
      </rPr>
      <t xml:space="preserve">，除非另有说明。法律交易对手、会计主体和期间可能不同；不得将不同披露视角简单相加。</t>
    </r>
  </si>
  <si>
    <t xml:space="preserve">类别</t>
  </si>
  <si>
    <r>
      <rPr>
        <b val="true"/>
        <sz val="10"/>
        <color rgb="FFFFFFFF"/>
        <rFont val="Noto Sans CJK SC"/>
        <family val="2"/>
      </rPr>
      <t xml:space="preserve">交易对手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方向</t>
    </r>
  </si>
  <si>
    <t xml:space="preserve">期间</t>
  </si>
  <si>
    <r>
      <rPr>
        <b val="true"/>
        <sz val="10"/>
        <color rgb="FFFFFFFF"/>
        <rFont val="Noto Sans CJK SC"/>
        <family val="2"/>
      </rPr>
      <t xml:space="preserve">收入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交易额</t>
    </r>
  </si>
  <si>
    <r>
      <rPr>
        <b val="true"/>
        <sz val="10"/>
        <color rgb="FFFFFFFF"/>
        <rFont val="Noto Sans CJK SC"/>
        <family val="2"/>
      </rPr>
      <t xml:space="preserve">成本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费用</t>
    </r>
  </si>
  <si>
    <r>
      <rPr>
        <b val="true"/>
        <sz val="10"/>
        <color rgb="FFFFFFFF"/>
        <rFont val="Noto Sans CJK SC"/>
        <family val="2"/>
      </rPr>
      <t xml:space="preserve">期末余额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其他</t>
    </r>
  </si>
  <si>
    <t xml:space="preserve">合并时处理与限制</t>
  </si>
  <si>
    <t xml:space="preserve">Megapack</t>
  </si>
  <si>
    <r>
      <rPr>
        <sz val="10"/>
        <color rgb="FF17202A"/>
        <rFont val="Arial"/>
        <family val="0"/>
        <charset val="1"/>
      </rPr>
      <t xml:space="preserve">Tesla → SpaceX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SpaceX PP&amp;E</t>
    </r>
    <r>
      <rPr>
        <sz val="10"/>
        <color rgb="FF17202A"/>
        <rFont val="Noto Sans CJK SC"/>
        <family val="2"/>
      </rPr>
      <t xml:space="preserve">采购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</si>
  <si>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Note 18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Tesla 10-K Note 15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</si>
  <si>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一侧计入</t>
    </r>
    <r>
      <rPr>
        <sz val="10"/>
        <color rgb="FF17202A"/>
        <rFont val="Arial"/>
        <family val="0"/>
        <charset val="1"/>
      </rPr>
      <t xml:space="preserve">PP&amp;E</t>
    </r>
    <r>
      <rPr>
        <sz val="10"/>
        <color rgb="FF17202A"/>
        <rFont val="Noto Sans CJK SC"/>
        <family val="2"/>
      </rPr>
      <t xml:space="preserve">的采购；与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收入披露存在视角差异，不能相加。</t>
    </r>
  </si>
  <si>
    <t xml:space="preserve">2026Q1 / Q2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</si>
  <si>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Q1 Note 17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Note 17</t>
    </r>
  </si>
  <si>
    <r>
      <rPr>
        <sz val="10"/>
        <color rgb="FF17202A"/>
        <rFont val="Arial"/>
        <family val="0"/>
        <charset val="1"/>
      </rPr>
      <t xml:space="preserve">Q1=34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Q2=295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Tesla</t>
    </r>
    <r>
      <rPr>
        <sz val="10"/>
        <color rgb="FF17202A"/>
        <rFont val="Noto Sans CJK SC"/>
        <family val="2"/>
      </rPr>
      <t xml:space="preserve">专属采购未单独披露。</t>
    </r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</si>
  <si>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确认对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销售</t>
    </r>
  </si>
  <si>
    <t xml:space="preserve">Tesla 10-Q Note 13</t>
  </si>
  <si>
    <r>
      <rPr>
        <sz val="10"/>
        <color rgb="FF17202A"/>
        <rFont val="Noto Sans CJK SC"/>
        <family val="2"/>
      </rPr>
      <t xml:space="preserve">合并时应抵销内部收入与对应成本，并核对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资产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折旧；本模型仅做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示例。</t>
    </r>
  </si>
  <si>
    <r>
      <rPr>
        <sz val="10"/>
        <color rgb="FF17202A"/>
        <rFont val="Arial"/>
        <family val="0"/>
        <charset val="1"/>
      </rPr>
      <t xml:space="preserve">H1=405/307</t>
    </r>
    <r>
      <rPr>
        <sz val="10"/>
        <color rgb="FF17202A"/>
        <rFont val="Noto Sans CJK SC"/>
        <family val="2"/>
      </rPr>
      <t xml:space="preserve">为</t>
    </r>
    <r>
      <rPr>
        <sz val="10"/>
        <color rgb="FF17202A"/>
        <rFont val="Arial"/>
        <family val="0"/>
        <charset val="1"/>
      </rPr>
      <t xml:space="preserve">9M−Q3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Q1/Q2</t>
    </r>
    <r>
      <rPr>
        <sz val="10"/>
        <color rgb="FF17202A"/>
        <rFont val="Noto Sans CJK SC"/>
        <family val="2"/>
      </rPr>
      <t xml:space="preserve">各自金额未披露，不能构造完整</t>
    </r>
    <r>
      <rPr>
        <sz val="10"/>
        <color rgb="FF17202A"/>
        <rFont val="Arial"/>
        <family val="0"/>
        <charset val="1"/>
      </rPr>
      <t xml:space="preserve">LTM</t>
    </r>
    <r>
      <rPr>
        <sz val="10"/>
        <color rgb="FF17202A"/>
        <rFont val="Noto Sans CJK SC"/>
        <family val="2"/>
      </rPr>
      <t xml:space="preserve">抵销。</t>
    </r>
  </si>
  <si>
    <t xml:space="preserve">内部销售毛利</t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</si>
  <si>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对</t>
    </r>
    <r>
      <rPr>
        <sz val="10"/>
        <color rgb="FF17202A"/>
        <rFont val="Arial"/>
        <family val="0"/>
        <charset val="1"/>
      </rPr>
      <t xml:space="preserve">SpaceX Megapack</t>
    </r>
  </si>
  <si>
    <r>
      <rPr>
        <sz val="10"/>
        <color rgb="FF17202A"/>
        <rFont val="Noto Sans CJK SC"/>
        <family val="2"/>
      </rPr>
      <t xml:space="preserve">计算：</t>
    </r>
    <r>
      <rPr>
        <sz val="10"/>
        <color rgb="FF17202A"/>
        <rFont val="Arial"/>
        <family val="0"/>
        <charset val="1"/>
      </rPr>
      <t xml:space="preserve">221−171=50</t>
    </r>
  </si>
  <si>
    <r>
      <rPr>
        <sz val="10"/>
        <color rgb="FF17202A"/>
        <rFont val="Noto Sans CJK SC"/>
        <family val="2"/>
      </rPr>
      <t xml:space="preserve">见合并备考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示例；不是完整购买法分录。</t>
    </r>
  </si>
  <si>
    <r>
      <rPr>
        <sz val="10"/>
        <color rgb="FF17202A"/>
        <rFont val="Noto Sans CJK SC"/>
        <family val="2"/>
      </rPr>
      <t xml:space="preserve">应收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递延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</si>
  <si>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相关应收与递延收入</t>
    </r>
  </si>
  <si>
    <r>
      <rPr>
        <sz val="10"/>
        <color rgb="FF17202A"/>
        <rFont val="Noto Sans CJK SC"/>
        <family val="2"/>
      </rPr>
      <t xml:space="preserve">应收</t>
    </r>
    <r>
      <rPr>
        <sz val="10"/>
        <color rgb="FF17202A"/>
        <rFont val="Arial"/>
        <family val="0"/>
        <charset val="1"/>
      </rPr>
      <t xml:space="preserve">729</t>
    </r>
    <r>
      <rPr>
        <sz val="10"/>
        <color rgb="FF17202A"/>
        <rFont val="Noto Sans CJK SC"/>
        <family val="2"/>
      </rPr>
      <t xml:space="preserve">、递延收入</t>
    </r>
    <r>
      <rPr>
        <sz val="10"/>
        <color rgb="FF17202A"/>
        <rFont val="Arial"/>
        <family val="0"/>
        <charset val="1"/>
      </rPr>
      <t xml:space="preserve">648</t>
    </r>
    <r>
      <rPr>
        <sz val="10"/>
        <color rgb="FF17202A"/>
        <rFont val="Noto Sans CJK SC"/>
        <family val="2"/>
      </rPr>
      <t xml:space="preserve">（流动</t>
    </r>
    <r>
      <rPr>
        <sz val="10"/>
        <color rgb="FF17202A"/>
        <rFont val="Arial"/>
        <family val="0"/>
        <charset val="1"/>
      </rPr>
      <t xml:space="preserve">516</t>
    </r>
    <r>
      <rPr>
        <sz val="10"/>
        <color rgb="FF17202A"/>
        <rFont val="Noto Sans CJK SC"/>
        <family val="2"/>
      </rPr>
      <t xml:space="preserve">、长期</t>
    </r>
    <r>
      <rPr>
        <sz val="10"/>
        <color rgb="FF17202A"/>
        <rFont val="Arial"/>
        <family val="0"/>
        <charset val="1"/>
      </rPr>
      <t xml:space="preserve">132</t>
    </r>
    <r>
      <rPr>
        <sz val="10"/>
        <color rgb="FF17202A"/>
        <rFont val="Noto Sans CJK SC"/>
        <family val="2"/>
      </rPr>
      <t xml:space="preserve">）；需与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对应科目核对后抵销。</t>
    </r>
  </si>
  <si>
    <r>
      <rPr>
        <sz val="10"/>
        <color rgb="FF17202A"/>
        <rFont val="Noto Sans CJK SC"/>
        <family val="2"/>
      </rPr>
      <t xml:space="preserve">商业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许可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支持</t>
    </r>
  </si>
  <si>
    <t xml:space="preserve">SpaceX ↔ Tesla</t>
  </si>
  <si>
    <r>
      <rPr>
        <sz val="10"/>
        <color rgb="FF17202A"/>
        <rFont val="Arial"/>
        <family val="0"/>
        <charset val="1"/>
      </rPr>
      <t xml:space="preserve">FY2025 / </t>
    </r>
    <r>
      <rPr>
        <sz val="10"/>
        <color rgb="FF17202A"/>
        <rFont val="Noto Sans CJK SC"/>
        <family val="2"/>
      </rPr>
      <t xml:space="preserve">截至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2</t>
    </r>
    <r>
      <rPr>
        <sz val="10"/>
        <color rgb="FF17202A"/>
        <rFont val="Noto Sans CJK SC"/>
        <family val="2"/>
      </rPr>
      <t xml:space="preserve">月</t>
    </r>
  </si>
  <si>
    <t xml:space="preserve">Tesla 2026 Proxy Related Person Transactions</t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</si>
  <si>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收入</t>
    </r>
    <r>
      <rPr>
        <sz val="10"/>
        <color rgb="FF17202A"/>
        <rFont val="Arial"/>
        <family val="0"/>
        <charset val="1"/>
      </rPr>
      <t xml:space="preserve">143.3</t>
    </r>
    <r>
      <rPr>
        <sz val="10"/>
        <color rgb="FF17202A"/>
        <rFont val="Noto Sans CJK SC"/>
        <family val="2"/>
      </rPr>
      <t xml:space="preserve">、费用</t>
    </r>
    <r>
      <rPr>
        <sz val="10"/>
        <color rgb="FF17202A"/>
        <rFont val="Arial"/>
        <family val="0"/>
        <charset val="1"/>
      </rPr>
      <t xml:space="preserve">11.4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2</t>
    </r>
    <r>
      <rPr>
        <sz val="10"/>
        <color rgb="FF17202A"/>
        <rFont val="Noto Sans CJK SC"/>
        <family val="2"/>
      </rPr>
      <t xml:space="preserve">月分别</t>
    </r>
    <r>
      <rPr>
        <sz val="10"/>
        <color rgb="FF17202A"/>
        <rFont val="Arial"/>
        <family val="0"/>
        <charset val="1"/>
      </rPr>
      <t xml:space="preserve">0.1/1.5</t>
    </r>
    <r>
      <rPr>
        <sz val="10"/>
        <color rgb="FF17202A"/>
        <rFont val="Noto Sans CJK SC"/>
        <family val="2"/>
      </rPr>
      <t xml:space="preserve">；合并后内部抵销。</t>
    </r>
  </si>
  <si>
    <t xml:space="preserve">飞机使用</t>
  </si>
  <si>
    <r>
      <rPr>
        <sz val="10"/>
        <color rgb="FF17202A"/>
        <rFont val="Arial"/>
        <family val="0"/>
        <charset val="1"/>
      </rPr>
      <t xml:space="preserve">Tesla 2026 Proxy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Transactions with Tesla</t>
    </r>
  </si>
  <si>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2</t>
    </r>
    <r>
      <rPr>
        <sz val="10"/>
        <color rgb="FF17202A"/>
        <rFont val="Noto Sans CJK SC"/>
        <family val="2"/>
      </rPr>
      <t xml:space="preserve">月</t>
    </r>
    <r>
      <rPr>
        <sz val="10"/>
        <color rgb="FF17202A"/>
        <rFont val="Arial"/>
        <family val="0"/>
        <charset val="1"/>
      </rPr>
      <t xml:space="preserve">0.02</t>
    </r>
    <r>
      <rPr>
        <sz val="10"/>
        <color rgb="FF17202A"/>
        <rFont val="Noto Sans CJK SC"/>
        <family val="2"/>
      </rPr>
      <t xml:space="preserve">；合并后内部费用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收入抵销。</t>
    </r>
  </si>
  <si>
    <r>
      <rPr>
        <sz val="10"/>
        <color rgb="FF17202A"/>
        <rFont val="Arial"/>
        <family val="0"/>
        <charset val="1"/>
      </rPr>
      <t xml:space="preserve">X</t>
    </r>
    <r>
      <rPr>
        <sz val="10"/>
        <color rgb="FF17202A"/>
        <rFont val="Noto Sans CJK SC"/>
        <family val="2"/>
      </rPr>
      <t xml:space="preserve">广告</t>
    </r>
  </si>
  <si>
    <r>
      <rPr>
        <sz val="10"/>
        <color rgb="FF17202A"/>
        <rFont val="Arial"/>
        <family val="0"/>
        <charset val="1"/>
      </rPr>
      <t xml:space="preserve">Tesla → X</t>
    </r>
    <r>
      <rPr>
        <sz val="10"/>
        <color rgb="FF17202A"/>
        <rFont val="Noto Sans CJK SC"/>
        <family val="2"/>
      </rPr>
      <t xml:space="preserve">（现属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）</t>
    </r>
  </si>
  <si>
    <r>
      <rPr>
        <sz val="10"/>
        <color rgb="FF17202A"/>
        <rFont val="Arial"/>
        <family val="0"/>
        <charset val="1"/>
      </rPr>
      <t xml:space="preserve">X</t>
    </r>
    <r>
      <rPr>
        <sz val="10"/>
        <color rgb="FF17202A"/>
        <rFont val="Noto Sans CJK SC"/>
        <family val="2"/>
      </rPr>
      <t xml:space="preserve">已纳入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历史报表；合并后属于内部广告，抵销收入与费用。</t>
    </r>
  </si>
  <si>
    <r>
      <rPr>
        <sz val="10"/>
        <color rgb="FF17202A"/>
        <rFont val="Arial"/>
        <family val="0"/>
        <charset val="1"/>
      </rPr>
      <t xml:space="preserve">xAI</t>
    </r>
    <r>
      <rPr>
        <sz val="10"/>
        <color rgb="FF17202A"/>
        <rFont val="Noto Sans CJK SC"/>
        <family val="2"/>
      </rPr>
      <t xml:space="preserve">商业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咨询</t>
    </r>
  </si>
  <si>
    <r>
      <rPr>
        <sz val="10"/>
        <color rgb="FF17202A"/>
        <rFont val="Arial"/>
        <family val="0"/>
        <charset val="1"/>
      </rPr>
      <t xml:space="preserve">Tesla ↔ xAI</t>
    </r>
    <r>
      <rPr>
        <sz val="10"/>
        <color rgb="FF17202A"/>
        <rFont val="Noto Sans CJK SC"/>
        <family val="2"/>
      </rPr>
      <t xml:space="preserve">（</t>
    </r>
    <r>
      <rPr>
        <sz val="10"/>
        <color rgb="FF17202A"/>
        <rFont val="Arial"/>
        <family val="0"/>
        <charset val="1"/>
      </rPr>
      <t xml:space="preserve">2026-02-02</t>
    </r>
    <r>
      <rPr>
        <sz val="10"/>
        <color rgb="FF17202A"/>
        <rFont val="Noto Sans CJK SC"/>
        <family val="2"/>
      </rPr>
      <t xml:space="preserve">后属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）</t>
    </r>
  </si>
  <si>
    <r>
      <rPr>
        <sz val="10"/>
        <color rgb="FF17202A"/>
        <rFont val="Arial"/>
        <family val="0"/>
        <charset val="1"/>
      </rPr>
      <t xml:space="preserve">Tesla 2026 Proxy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10-K Note 15</t>
    </r>
  </si>
  <si>
    <r>
      <rPr>
        <sz val="10"/>
        <color rgb="FF17202A"/>
        <rFont val="Arial"/>
        <family val="0"/>
        <charset val="1"/>
      </rPr>
      <t xml:space="preserve">2025</t>
    </r>
    <r>
      <rPr>
        <sz val="10"/>
        <color rgb="FF17202A"/>
        <rFont val="Noto Sans CJK SC"/>
        <family val="2"/>
      </rPr>
      <t xml:space="preserve">收入成本对应毛利</t>
    </r>
    <r>
      <rPr>
        <sz val="10"/>
        <color rgb="FF17202A"/>
        <rFont val="Arial"/>
        <family val="0"/>
        <charset val="1"/>
      </rPr>
      <t xml:space="preserve">145</t>
    </r>
    <r>
      <rPr>
        <sz val="10"/>
        <color rgb="FF17202A"/>
        <rFont val="Noto Sans CJK SC"/>
        <family val="2"/>
      </rPr>
      <t xml:space="preserve">；与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采购披露口径不同，不能与上行简单相加。</t>
    </r>
  </si>
  <si>
    <t xml:space="preserve">股权投资</t>
  </si>
  <si>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持有</t>
    </r>
    <r>
      <rPr>
        <sz val="10"/>
        <color rgb="FF17202A"/>
        <rFont val="Arial"/>
        <family val="0"/>
        <charset val="1"/>
      </rPr>
      <t xml:space="preserve">SpaceX Class A</t>
    </r>
  </si>
  <si>
    <t xml:space="preserve">2026Q1 / 2026-09-30</t>
  </si>
  <si>
    <r>
      <rPr>
        <sz val="10"/>
        <color rgb="FF17202A"/>
        <rFont val="Arial"/>
        <family val="0"/>
        <charset val="1"/>
      </rPr>
      <t xml:space="preserve">Tesla 10-Q Note 1/2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 Update slide 29</t>
    </r>
  </si>
  <si>
    <r>
      <rPr>
        <sz val="10"/>
        <color rgb="FF17202A"/>
        <rFont val="Noto Sans CJK SC"/>
        <family val="2"/>
      </rPr>
      <t xml:space="preserve">成本</t>
    </r>
    <r>
      <rPr>
        <sz val="10"/>
        <color rgb="FF17202A"/>
        <rFont val="Arial"/>
        <family val="0"/>
        <charset val="1"/>
      </rPr>
      <t xml:space="preserve">2,002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9M</t>
    </r>
    <r>
      <rPr>
        <sz val="10"/>
        <color rgb="FF17202A"/>
        <rFont val="Noto Sans CJK SC"/>
        <family val="2"/>
      </rPr>
      <t xml:space="preserve">公允价值净收益</t>
    </r>
    <r>
      <rPr>
        <sz val="10"/>
        <color rgb="FF17202A"/>
        <rFont val="Arial"/>
        <family val="0"/>
        <charset val="1"/>
      </rPr>
      <t xml:space="preserve">863</t>
    </r>
    <r>
      <rPr>
        <sz val="10"/>
        <color rgb="FF17202A"/>
        <rFont val="Noto Sans CJK SC"/>
        <family val="2"/>
      </rPr>
      <t xml:space="preserve">；合并层面消除交叉投资，具体处理取决于收购方与购买法。</t>
    </r>
  </si>
  <si>
    <r>
      <rPr>
        <sz val="10"/>
        <color rgb="FF17202A"/>
        <rFont val="Arial"/>
        <family val="0"/>
        <charset val="1"/>
      </rPr>
      <t xml:space="preserve">Valor</t>
    </r>
    <r>
      <rPr>
        <sz val="10"/>
        <color rgb="FF17202A"/>
        <rFont val="Noto Sans CJK SC"/>
        <family val="2"/>
      </rPr>
      <t xml:space="preserve">融资</t>
    </r>
  </si>
  <si>
    <r>
      <rPr>
        <sz val="10"/>
        <color rgb="FF17202A"/>
        <rFont val="Arial"/>
        <family val="0"/>
        <charset val="1"/>
      </rPr>
      <t xml:space="preserve">Valor</t>
    </r>
    <r>
      <rPr>
        <sz val="10"/>
        <color rgb="FF17202A"/>
        <rFont val="Noto Sans CJK SC"/>
        <family val="2"/>
      </rPr>
      <t xml:space="preserve">（董事关联，非</t>
    </r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旗下）</t>
    </r>
  </si>
  <si>
    <t xml:space="preserve">2026Q2 / Q3</t>
  </si>
  <si>
    <r>
      <rPr>
        <sz val="10"/>
        <color rgb="FF17202A"/>
        <rFont val="Arial"/>
        <family val="0"/>
        <charset val="1"/>
      </rPr>
      <t xml:space="preserve">SpaceX Q2</t>
    </r>
    <r>
      <rPr>
        <sz val="10"/>
        <color rgb="FF17202A"/>
        <rFont val="Noto Sans CJK SC"/>
        <family val="2"/>
      </rPr>
      <t xml:space="preserve">季报</t>
    </r>
    <r>
      <rPr>
        <sz val="10"/>
        <color rgb="FF17202A"/>
        <rFont val="Arial"/>
        <family val="0"/>
        <charset val="1"/>
      </rPr>
      <t xml:space="preserve">Note 9/17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p.10</t>
    </r>
  </si>
  <si>
    <r>
      <rPr>
        <sz val="10"/>
        <color rgb="FF17202A"/>
        <rFont val="Arial"/>
        <family val="0"/>
        <charset val="1"/>
      </rPr>
      <t xml:space="preserve">failed sale-leaseback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Q2</t>
    </r>
    <r>
      <rPr>
        <sz val="10"/>
        <color rgb="FF17202A"/>
        <rFont val="Noto Sans CJK SC"/>
        <family val="2"/>
      </rPr>
      <t xml:space="preserve">利息</t>
    </r>
    <r>
      <rPr>
        <sz val="10"/>
        <color rgb="FF17202A"/>
        <rFont val="Arial"/>
        <family val="0"/>
        <charset val="1"/>
      </rPr>
      <t xml:space="preserve">327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H1</t>
    </r>
    <r>
      <rPr>
        <sz val="10"/>
        <color rgb="FF17202A"/>
        <rFont val="Noto Sans CJK SC"/>
        <family val="2"/>
      </rPr>
      <t xml:space="preserve">利息</t>
    </r>
    <r>
      <rPr>
        <sz val="10"/>
        <color rgb="FF17202A"/>
        <rFont val="Arial"/>
        <family val="0"/>
        <charset val="1"/>
      </rPr>
      <t xml:space="preserve">513</t>
    </r>
    <r>
      <rPr>
        <sz val="10"/>
        <color rgb="FF17202A"/>
        <rFont val="Noto Sans CJK SC"/>
        <family val="2"/>
      </rPr>
      <t xml:space="preserve">；不会因本次合并自动抵销。</t>
    </r>
  </si>
  <si>
    <r>
      <rPr>
        <sz val="10"/>
        <color rgb="FF17202A"/>
        <rFont val="Noto Sans CJK SC"/>
        <family val="2"/>
      </rPr>
      <t xml:space="preserve">其他</t>
    </r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实体</t>
    </r>
  </si>
  <si>
    <r>
      <rPr>
        <sz val="10"/>
        <color rgb="FF17202A"/>
        <rFont val="Arial"/>
        <family val="0"/>
        <charset val="1"/>
      </rPr>
      <t xml:space="preserve">The Boring Company</t>
    </r>
    <r>
      <rPr>
        <sz val="10"/>
        <color rgb="FF17202A"/>
        <rFont val="Noto Sans CJK SC"/>
        <family val="2"/>
      </rPr>
      <t xml:space="preserve">：</t>
    </r>
    <r>
      <rPr>
        <sz val="10"/>
        <color rgb="FF17202A"/>
        <rFont val="Arial"/>
        <family val="0"/>
        <charset val="1"/>
      </rPr>
      <t xml:space="preserve">X</t>
    </r>
    <r>
      <rPr>
        <sz val="10"/>
        <color rgb="FF17202A"/>
        <rFont val="Noto Sans CJK SC"/>
        <family val="2"/>
      </rPr>
      <t xml:space="preserve">办公室租金 </t>
    </r>
    <r>
      <rPr>
        <sz val="10"/>
        <color rgb="FF17202A"/>
        <rFont val="Arial"/>
        <family val="0"/>
        <charset val="1"/>
      </rPr>
      <t xml:space="preserve">/ SpaceX</t>
    </r>
    <r>
      <rPr>
        <sz val="10"/>
        <color rgb="FF17202A"/>
        <rFont val="Noto Sans CJK SC"/>
        <family val="2"/>
      </rPr>
      <t xml:space="preserve">隧道</t>
    </r>
  </si>
  <si>
    <t xml:space="preserve">2025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</si>
  <si>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pp.244–246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Tesla Proxy</t>
    </r>
  </si>
  <si>
    <r>
      <rPr>
        <sz val="10"/>
        <color rgb="FF17202A"/>
        <rFont val="Arial"/>
        <family val="0"/>
        <charset val="1"/>
      </rPr>
      <t xml:space="preserve">2024</t>
    </r>
    <r>
      <rPr>
        <sz val="10"/>
        <color rgb="FF17202A"/>
        <rFont val="Noto Sans CJK SC"/>
        <family val="2"/>
      </rPr>
      <t xml:space="preserve">租金</t>
    </r>
    <r>
      <rPr>
        <sz val="10"/>
        <color rgb="FF17202A"/>
        <rFont val="Arial"/>
        <family val="0"/>
        <charset val="1"/>
      </rPr>
      <t xml:space="preserve">0.1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1–4</t>
    </r>
    <r>
      <rPr>
        <sz val="10"/>
        <color rgb="FF17202A"/>
        <rFont val="Noto Sans CJK SC"/>
        <family val="2"/>
      </rPr>
      <t xml:space="preserve">月</t>
    </r>
    <r>
      <rPr>
        <sz val="10"/>
        <color rgb="FF17202A"/>
        <rFont val="Arial"/>
        <family val="0"/>
        <charset val="1"/>
      </rPr>
      <t xml:space="preserve">0.3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SpaceX 2025</t>
    </r>
    <r>
      <rPr>
        <sz val="10"/>
        <color rgb="FF17202A"/>
        <rFont val="Noto Sans CJK SC"/>
        <family val="2"/>
      </rPr>
      <t xml:space="preserve">隧道费用</t>
    </r>
    <r>
      <rPr>
        <sz val="10"/>
        <color rgb="FF17202A"/>
        <rFont val="Arial"/>
        <family val="0"/>
        <charset val="1"/>
      </rPr>
      <t xml:space="preserve">1</t>
    </r>
    <r>
      <rPr>
        <sz val="10"/>
        <color rgb="FF17202A"/>
        <rFont val="Noto Sans CJK SC"/>
        <family val="2"/>
      </rPr>
      <t xml:space="preserve">。除非该实体纳入合并集团，否则不自动抵销。</t>
    </r>
  </si>
  <si>
    <r>
      <rPr>
        <sz val="10"/>
        <color rgb="FF17202A"/>
        <rFont val="Arial"/>
        <family val="0"/>
        <charset val="1"/>
      </rPr>
      <t xml:space="preserve">Musk Industries</t>
    </r>
    <r>
      <rPr>
        <sz val="10"/>
        <color rgb="FF17202A"/>
        <rFont val="Noto Sans CJK SC"/>
        <family val="2"/>
      </rPr>
      <t xml:space="preserve">：</t>
    </r>
    <r>
      <rPr>
        <sz val="10"/>
        <color rgb="FF17202A"/>
        <rFont val="Arial"/>
        <family val="0"/>
        <charset val="1"/>
      </rPr>
      <t xml:space="preserve">xAI</t>
    </r>
    <r>
      <rPr>
        <sz val="10"/>
        <color rgb="FF17202A"/>
        <rFont val="Noto Sans CJK SC"/>
        <family val="2"/>
      </rPr>
      <t xml:space="preserve">物业租赁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</si>
  <si>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pp.244–246</t>
    </r>
  </si>
  <si>
    <r>
      <rPr>
        <sz val="10"/>
        <color rgb="FF17202A"/>
        <rFont val="Arial"/>
        <family val="0"/>
        <charset val="1"/>
      </rPr>
      <t xml:space="preserve">2024</t>
    </r>
    <r>
      <rPr>
        <sz val="10"/>
        <color rgb="FF17202A"/>
        <rFont val="Noto Sans CJK SC"/>
        <family val="2"/>
      </rPr>
      <t xml:space="preserve">为</t>
    </r>
    <r>
      <rPr>
        <sz val="10"/>
        <color rgb="FF17202A"/>
        <rFont val="Arial"/>
        <family val="0"/>
        <charset val="1"/>
      </rPr>
      <t xml:space="preserve">0.5</t>
    </r>
    <r>
      <rPr>
        <sz val="10"/>
        <color rgb="FF17202A"/>
        <rFont val="Noto Sans CJK SC"/>
        <family val="2"/>
      </rPr>
      <t xml:space="preserve">、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1–4</t>
    </r>
    <r>
      <rPr>
        <sz val="10"/>
        <color rgb="FF17202A"/>
        <rFont val="Noto Sans CJK SC"/>
        <family val="2"/>
      </rPr>
      <t xml:space="preserve">月为</t>
    </r>
    <r>
      <rPr>
        <sz val="10"/>
        <color rgb="FF17202A"/>
        <rFont val="Arial"/>
        <family val="0"/>
        <charset val="1"/>
      </rPr>
      <t xml:space="preserve">1</t>
    </r>
    <r>
      <rPr>
        <sz val="10"/>
        <color rgb="FF17202A"/>
        <rFont val="Noto Sans CJK SC"/>
        <family val="2"/>
      </rPr>
      <t xml:space="preserve">；属于关联方租赁，不随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合并自动抵销。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</si>
  <si>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所有安保公司：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安保</t>
    </r>
  </si>
  <si>
    <r>
      <rPr>
        <sz val="10"/>
        <color rgb="FF17202A"/>
        <rFont val="Arial"/>
        <family val="0"/>
        <charset val="1"/>
      </rPr>
      <t xml:space="preserve">2023/2024</t>
    </r>
    <r>
      <rPr>
        <sz val="10"/>
        <color rgb="FF17202A"/>
        <rFont val="Noto Sans CJK SC"/>
        <family val="2"/>
      </rPr>
      <t xml:space="preserve">为</t>
    </r>
    <r>
      <rPr>
        <sz val="10"/>
        <color rgb="FF17202A"/>
        <rFont val="Arial"/>
        <family val="0"/>
        <charset val="1"/>
      </rPr>
      <t xml:space="preserve">2/3</t>
    </r>
    <r>
      <rPr>
        <sz val="10"/>
        <color rgb="FF17202A"/>
        <rFont val="Noto Sans CJK SC"/>
        <family val="2"/>
      </rPr>
      <t xml:space="preserve">，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1–4</t>
    </r>
    <r>
      <rPr>
        <sz val="10"/>
        <color rgb="FF17202A"/>
        <rFont val="Noto Sans CJK SC"/>
        <family val="2"/>
      </rPr>
      <t xml:space="preserve">月为</t>
    </r>
    <r>
      <rPr>
        <sz val="10"/>
        <color rgb="FF17202A"/>
        <rFont val="Arial"/>
        <family val="0"/>
        <charset val="1"/>
      </rPr>
      <t xml:space="preserve">2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Tesla 2025</t>
    </r>
    <r>
      <rPr>
        <sz val="10"/>
        <color rgb="FF17202A"/>
        <rFont val="Noto Sans CJK SC"/>
        <family val="2"/>
      </rPr>
      <t xml:space="preserve">承担</t>
    </r>
    <r>
      <rPr>
        <sz val="10"/>
        <color rgb="FF17202A"/>
        <rFont val="Arial"/>
        <family val="0"/>
        <charset val="1"/>
      </rPr>
      <t xml:space="preserve">4.8</t>
    </r>
    <r>
      <rPr>
        <sz val="10"/>
        <color rgb="FF17202A"/>
        <rFont val="Noto Sans CJK SC"/>
        <family val="2"/>
      </rPr>
      <t xml:space="preserve">、截至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2</t>
    </r>
    <r>
      <rPr>
        <sz val="10"/>
        <color rgb="FF17202A"/>
        <rFont val="Noto Sans CJK SC"/>
        <family val="2"/>
      </rPr>
      <t xml:space="preserve">月</t>
    </r>
    <r>
      <rPr>
        <sz val="10"/>
        <color rgb="FF17202A"/>
        <rFont val="Arial"/>
        <family val="0"/>
        <charset val="1"/>
      </rPr>
      <t xml:space="preserve">1.3</t>
    </r>
    <r>
      <rPr>
        <sz val="10"/>
        <color rgb="FF17202A"/>
        <rFont val="Noto Sans CJK SC"/>
        <family val="2"/>
      </rPr>
      <t xml:space="preserve">；仍属外部或关联方费用。</t>
    </r>
  </si>
  <si>
    <r>
      <rPr>
        <sz val="10"/>
        <color rgb="FF17202A"/>
        <rFont val="Arial"/>
        <family val="0"/>
        <charset val="1"/>
      </rPr>
      <t xml:space="preserve">Craft Aviation</t>
    </r>
    <r>
      <rPr>
        <sz val="10"/>
        <color rgb="FF17202A"/>
        <rFont val="Noto Sans CJK SC"/>
        <family val="2"/>
      </rPr>
      <t xml:space="preserve">：飞机维护</t>
    </r>
  </si>
  <si>
    <r>
      <rPr>
        <sz val="10"/>
        <color rgb="FF17202A"/>
        <rFont val="Arial"/>
        <family val="0"/>
        <charset val="1"/>
      </rPr>
      <t xml:space="preserve">2023/2024</t>
    </r>
    <r>
      <rPr>
        <sz val="10"/>
        <color rgb="FF17202A"/>
        <rFont val="Noto Sans CJK SC"/>
        <family val="2"/>
      </rPr>
      <t xml:space="preserve">为</t>
    </r>
    <r>
      <rPr>
        <sz val="10"/>
        <color rgb="FF17202A"/>
        <rFont val="Arial"/>
        <family val="0"/>
        <charset val="1"/>
      </rPr>
      <t xml:space="preserve">1/1</t>
    </r>
    <r>
      <rPr>
        <sz val="10"/>
        <color rgb="FF17202A"/>
        <rFont val="Noto Sans CJK SC"/>
        <family val="2"/>
      </rPr>
      <t xml:space="preserve">，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1–4</t>
    </r>
    <r>
      <rPr>
        <sz val="10"/>
        <color rgb="FF17202A"/>
        <rFont val="Noto Sans CJK SC"/>
        <family val="2"/>
      </rPr>
      <t xml:space="preserve">月为</t>
    </r>
    <r>
      <rPr>
        <sz val="10"/>
        <color rgb="FF17202A"/>
        <rFont val="Arial"/>
        <family val="0"/>
        <charset val="1"/>
      </rPr>
      <t xml:space="preserve">3</t>
    </r>
    <r>
      <rPr>
        <sz val="10"/>
        <color rgb="FF17202A"/>
        <rFont val="Noto Sans CJK SC"/>
        <family val="2"/>
      </rPr>
      <t xml:space="preserve">；不随本次合并自动抵销。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</si>
  <si>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私人飞机公务报销</t>
    </r>
  </si>
  <si>
    <r>
      <rPr>
        <sz val="10"/>
        <color rgb="FF17202A"/>
        <rFont val="Arial"/>
        <family val="0"/>
        <charset val="1"/>
      </rPr>
      <t xml:space="preserve">2023/2024</t>
    </r>
    <r>
      <rPr>
        <sz val="10"/>
        <color rgb="FF17202A"/>
        <rFont val="Noto Sans CJK SC"/>
        <family val="2"/>
      </rPr>
      <t xml:space="preserve">为</t>
    </r>
    <r>
      <rPr>
        <sz val="10"/>
        <color rgb="FF17202A"/>
        <rFont val="Arial"/>
        <family val="0"/>
        <charset val="1"/>
      </rPr>
      <t xml:space="preserve">0.1/3</t>
    </r>
    <r>
      <rPr>
        <sz val="10"/>
        <color rgb="FF17202A"/>
        <rFont val="Noto Sans CJK SC"/>
        <family val="2"/>
      </rPr>
      <t xml:space="preserve">，</t>
    </r>
    <r>
      <rPr>
        <sz val="10"/>
        <color rgb="FF17202A"/>
        <rFont val="Arial"/>
        <family val="0"/>
        <charset val="1"/>
      </rPr>
      <t xml:space="preserve">2026</t>
    </r>
    <r>
      <rPr>
        <sz val="10"/>
        <color rgb="FF17202A"/>
        <rFont val="Noto Sans CJK SC"/>
        <family val="2"/>
      </rPr>
      <t xml:space="preserve">年</t>
    </r>
    <r>
      <rPr>
        <sz val="10"/>
        <color rgb="FF17202A"/>
        <rFont val="Arial"/>
        <family val="0"/>
        <charset val="1"/>
      </rPr>
      <t xml:space="preserve">1–4</t>
    </r>
    <r>
      <rPr>
        <sz val="10"/>
        <color rgb="FF17202A"/>
        <rFont val="Noto Sans CJK SC"/>
        <family val="2"/>
      </rPr>
      <t xml:space="preserve">月为</t>
    </r>
    <r>
      <rPr>
        <sz val="10"/>
        <color rgb="FF17202A"/>
        <rFont val="Arial"/>
        <family val="0"/>
        <charset val="1"/>
      </rPr>
      <t xml:space="preserve">0.2</t>
    </r>
    <r>
      <rPr>
        <sz val="10"/>
        <color rgb="FF17202A"/>
        <rFont val="Noto Sans CJK SC"/>
        <family val="2"/>
      </rPr>
      <t xml:space="preserve">；不随本次合并自动抵销。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</si>
  <si>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信托从员工购买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二级股份</t>
    </r>
  </si>
  <si>
    <r>
      <rPr>
        <sz val="10"/>
        <color rgb="FF17202A"/>
        <rFont val="Noto Sans CJK SC"/>
        <family val="2"/>
      </rPr>
      <t xml:space="preserve">股东间二级交易，不是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融资收入；合并估值不得把它当作经营现金流。</t>
    </r>
  </si>
  <si>
    <t xml:space="preserve">Neuralink</t>
  </si>
  <si>
    <t xml:space="preserve">披露期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</si>
  <si>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招股书及</t>
    </r>
    <r>
      <rPr>
        <sz val="10"/>
        <color rgb="FF17202A"/>
        <rFont val="Arial"/>
        <family val="0"/>
        <charset val="1"/>
      </rPr>
      <t xml:space="preserve">Tesla Proxy Related Person Transactions</t>
    </r>
  </si>
  <si>
    <t xml:space="preserve">文件提及但未披露具体交易金额；不能据此断言不存在交易，也不作估算。</t>
  </si>
  <si>
    <t xml:space="preserve">合作框架</t>
  </si>
  <si>
    <r>
      <rPr>
        <sz val="10"/>
        <color rgb="FF17202A"/>
        <rFont val="Arial"/>
        <family val="0"/>
        <charset val="1"/>
      </rPr>
      <t xml:space="preserve">Tesla ↔ SpaceX</t>
    </r>
    <r>
      <rPr>
        <sz val="10"/>
        <color rgb="FF17202A"/>
        <rFont val="Noto Sans CJK SC"/>
        <family val="2"/>
      </rPr>
      <t xml:space="preserve">：</t>
    </r>
    <r>
      <rPr>
        <sz val="10"/>
        <color rgb="FF17202A"/>
        <rFont val="Arial"/>
        <family val="0"/>
        <charset val="1"/>
      </rPr>
      <t xml:space="preserve">Terafab / Macrohard</t>
    </r>
  </si>
  <si>
    <r>
      <rPr>
        <sz val="10"/>
        <color rgb="FF17202A"/>
        <rFont val="Noto Sans CJK SC"/>
        <family val="2"/>
      </rPr>
      <t xml:space="preserve">截至</t>
    </r>
    <r>
      <rPr>
        <sz val="10"/>
        <color rgb="FF17202A"/>
        <rFont val="Arial"/>
        <family val="0"/>
        <charset val="1"/>
      </rPr>
      <t xml:space="preserve">2026Q3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</si>
  <si>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Business—Collaboration with Tesla</t>
    </r>
  </si>
  <si>
    <r>
      <rPr>
        <sz val="10"/>
        <color rgb="FF17202A"/>
        <rFont val="Noto Sans CJK SC"/>
        <family val="2"/>
      </rPr>
      <t xml:space="preserve">仅一般框架，时间表、里程碑和</t>
    </r>
    <r>
      <rPr>
        <sz val="10"/>
        <color rgb="FF17202A"/>
        <rFont val="Arial"/>
        <family val="0"/>
        <charset val="1"/>
      </rPr>
      <t xml:space="preserve">Capex</t>
    </r>
    <r>
      <rPr>
        <sz val="10"/>
        <color rgb="FF17202A"/>
        <rFont val="Noto Sans CJK SC"/>
        <family val="2"/>
      </rPr>
      <t xml:space="preserve">未确定；不纳入承诺资本开支或协同收益。</t>
    </r>
  </si>
  <si>
    <r>
      <rPr>
        <b val="true"/>
        <sz val="10"/>
        <color rgb="FFC05621"/>
        <rFont val="Noto Sans CJK SC"/>
        <family val="2"/>
      </rPr>
      <t xml:space="preserve">重要：合并备考 </t>
    </r>
    <r>
      <rPr>
        <b val="true"/>
        <sz val="10"/>
        <color rgb="FFC05621"/>
        <rFont val="Arial"/>
        <family val="0"/>
        <charset val="1"/>
      </rPr>
      <t xml:space="preserve">headline </t>
    </r>
    <r>
      <rPr>
        <b val="true"/>
        <sz val="10"/>
        <color rgb="FFC05621"/>
        <rFont val="Noto Sans CJK SC"/>
        <family val="2"/>
      </rPr>
      <t xml:space="preserve">采用未抵销汇总；由于完整</t>
    </r>
    <r>
      <rPr>
        <b val="true"/>
        <sz val="10"/>
        <color rgb="FFC05621"/>
        <rFont val="Arial"/>
        <family val="0"/>
        <charset val="1"/>
      </rPr>
      <t xml:space="preserve">LTM</t>
    </r>
    <r>
      <rPr>
        <b val="true"/>
        <sz val="10"/>
        <color rgb="FFC05621"/>
        <rFont val="Noto Sans CJK SC"/>
        <family val="2"/>
      </rPr>
      <t xml:space="preserve">内部交易、对应资产与折旧、交叉持股购买法均未明确，本页只提供可核对的抵销起点，不构造完整会计合并报表。</t>
    </r>
  </si>
  <si>
    <t xml:space="preserve">马斯克持股与换股后的静态经济权益</t>
  </si>
  <si>
    <r>
      <rPr>
        <i val="true"/>
        <sz val="10"/>
        <color rgb="FF52606D"/>
        <rFont val="Noto Sans CJK SC"/>
        <family val="2"/>
      </rPr>
      <t xml:space="preserve">股数单位：百万股；比例均为经济持股，除非特别注明。</t>
    </r>
    <r>
      <rPr>
        <i val="true"/>
        <sz val="10"/>
        <color rgb="FF52606D"/>
        <rFont val="Arial"/>
        <family val="0"/>
        <charset val="1"/>
      </rPr>
      <t xml:space="preserve">SpaceX</t>
    </r>
    <r>
      <rPr>
        <i val="true"/>
        <sz val="10"/>
        <color rgb="FF52606D"/>
        <rFont val="Noto Sans CJK SC"/>
        <family val="2"/>
      </rPr>
      <t xml:space="preserve">招股书持股截至</t>
    </r>
    <r>
      <rPr>
        <i val="true"/>
        <sz val="10"/>
        <color rgb="FF52606D"/>
        <rFont val="Arial"/>
        <family val="0"/>
        <charset val="1"/>
      </rPr>
      <t xml:space="preserve">2026-05-01/IPO</t>
    </r>
    <r>
      <rPr>
        <i val="true"/>
        <sz val="10"/>
        <color rgb="FF52606D"/>
        <rFont val="Noto Sans CJK SC"/>
        <family val="2"/>
      </rPr>
      <t xml:space="preserve">口径，</t>
    </r>
    <r>
      <rPr>
        <i val="true"/>
        <sz val="10"/>
        <color rgb="FF52606D"/>
        <rFont val="Arial"/>
        <family val="0"/>
        <charset val="1"/>
      </rPr>
      <t xml:space="preserve">Tesla Proxy</t>
    </r>
    <r>
      <rPr>
        <i val="true"/>
        <sz val="10"/>
        <color rgb="FF52606D"/>
        <rFont val="Noto Sans CJK SC"/>
        <family val="2"/>
      </rPr>
      <t xml:space="preserve">截至</t>
    </r>
    <r>
      <rPr>
        <i val="true"/>
        <sz val="10"/>
        <color rgb="FF52606D"/>
        <rFont val="Arial"/>
        <family val="0"/>
        <charset val="1"/>
      </rPr>
      <t xml:space="preserve">2026-09-30</t>
    </r>
    <r>
      <rPr>
        <i val="true"/>
        <sz val="10"/>
        <color rgb="FF52606D"/>
        <rFont val="Noto Sans CJK SC"/>
        <family val="2"/>
      </rPr>
      <t xml:space="preserve">；并非同一日期的更新持股。</t>
    </r>
  </si>
  <si>
    <r>
      <rPr>
        <b val="true"/>
        <sz val="11"/>
        <color rgb="FF102A43"/>
        <rFont val="Arial"/>
        <family val="0"/>
        <charset val="1"/>
      </rPr>
      <t xml:space="preserve">SpaceX</t>
    </r>
    <r>
      <rPr>
        <b val="true"/>
        <sz val="11"/>
        <color rgb="FF102A43"/>
        <rFont val="Noto Sans CJK SC"/>
        <family val="2"/>
      </rPr>
      <t xml:space="preserve">：招股书披露与模型静态口径</t>
    </r>
  </si>
  <si>
    <t xml:space="preserve">单位</t>
  </si>
  <si>
    <r>
      <rPr>
        <sz val="10"/>
        <color rgb="FF17202A"/>
        <rFont val="Arial"/>
        <family val="0"/>
        <charset val="1"/>
      </rPr>
      <t xml:space="preserve">Musk Class A</t>
    </r>
    <r>
      <rPr>
        <sz val="10"/>
        <color rgb="FF17202A"/>
        <rFont val="Noto Sans CJK SC"/>
        <family val="2"/>
      </rPr>
      <t xml:space="preserve">实际持股</t>
    </r>
  </si>
  <si>
    <t xml:space="preserve">百万股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</si>
  <si>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Security Ownership / IPO</t>
    </r>
    <r>
      <rPr>
        <sz val="10"/>
        <color rgb="FF17202A"/>
        <rFont val="Noto Sans CJK SC"/>
        <family val="2"/>
      </rPr>
      <t xml:space="preserve">后实际持股；不含期权</t>
    </r>
  </si>
  <si>
    <r>
      <rPr>
        <sz val="10"/>
        <color rgb="FF17202A"/>
        <rFont val="Arial"/>
        <family val="0"/>
        <charset val="1"/>
      </rPr>
      <t xml:space="preserve">Musk Class B</t>
    </r>
    <r>
      <rPr>
        <sz val="10"/>
        <color rgb="FF17202A"/>
        <rFont val="Noto Sans CJK SC"/>
        <family val="2"/>
      </rPr>
      <t xml:space="preserve">实际持股（不含</t>
    </r>
    <r>
      <rPr>
        <sz val="10"/>
        <color rgb="FF17202A"/>
        <rFont val="Arial"/>
        <family val="0"/>
        <charset val="1"/>
      </rPr>
      <t xml:space="preserve">350m</t>
    </r>
    <r>
      <rPr>
        <sz val="10"/>
        <color rgb="FF17202A"/>
        <rFont val="Noto Sans CJK SC"/>
        <family val="2"/>
      </rPr>
      <t xml:space="preserve">期权）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</si>
  <si>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招股书封面</t>
    </r>
    <r>
      <rPr>
        <sz val="10"/>
        <color rgb="FF17202A"/>
        <rFont val="Arial"/>
        <family val="0"/>
        <charset val="1"/>
      </rPr>
      <t xml:space="preserve">/Prospectus Summary</t>
    </r>
    <r>
      <rPr>
        <sz val="10"/>
        <color rgb="FF17202A"/>
        <rFont val="Noto Sans CJK SC"/>
        <family val="2"/>
      </rPr>
      <t xml:space="preserve">；含受限</t>
    </r>
    <r>
      <rPr>
        <sz val="10"/>
        <color rgb="FF17202A"/>
        <rFont val="Arial"/>
        <family val="0"/>
        <charset val="1"/>
      </rPr>
      <t xml:space="preserve">Class B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</si>
  <si>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合计实际持股</t>
    </r>
  </si>
  <si>
    <r>
      <rPr>
        <sz val="10"/>
        <color rgb="FF17202A"/>
        <rFont val="Noto Sans CJK SC"/>
        <family val="2"/>
      </rPr>
      <t xml:space="preserve">计算：</t>
    </r>
    <r>
      <rPr>
        <sz val="10"/>
        <color rgb="FF17202A"/>
        <rFont val="Arial"/>
        <family val="0"/>
        <charset val="1"/>
      </rPr>
      <t xml:space="preserve">Class A</t>
    </r>
    <r>
      <rPr>
        <sz val="10"/>
        <color rgb="FF17202A"/>
        <rFont val="Noto Sans CJK SC"/>
        <family val="2"/>
      </rPr>
      <t xml:space="preserve">＋</t>
    </r>
    <r>
      <rPr>
        <sz val="10"/>
        <color rgb="FF17202A"/>
        <rFont val="Arial"/>
        <family val="0"/>
        <charset val="1"/>
      </rPr>
      <t xml:space="preserve">Class B</t>
    </r>
  </si>
  <si>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后总股数（全额超额配售）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</si>
  <si>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后股数；用于复核</t>
    </r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经济比例</t>
    </r>
  </si>
  <si>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后经济持股（不含期权）</t>
    </r>
  </si>
  <si>
    <t xml:space="preserve">%</t>
  </si>
  <si>
    <r>
      <rPr>
        <sz val="10"/>
        <color rgb="FF17202A"/>
        <rFont val="Noto Sans CJK SC"/>
        <family val="2"/>
      </rPr>
      <t xml:space="preserve">分析计算：合计实际持股</t>
    </r>
    <r>
      <rPr>
        <sz val="10"/>
        <color rgb="FF17202A"/>
        <rFont val="Arial"/>
        <family val="0"/>
        <charset val="1"/>
      </rPr>
      <t xml:space="preserve">/IPO</t>
    </r>
    <r>
      <rPr>
        <sz val="10"/>
        <color rgb="FF17202A"/>
        <rFont val="Noto Sans CJK SC"/>
        <family val="2"/>
      </rPr>
      <t xml:space="preserve">后总股数；约</t>
    </r>
    <r>
      <rPr>
        <sz val="10"/>
        <color rgb="FF17202A"/>
        <rFont val="Arial"/>
        <family val="0"/>
        <charset val="1"/>
      </rPr>
      <t xml:space="preserve">46.1%</t>
    </r>
  </si>
  <si>
    <r>
      <rPr>
        <sz val="10"/>
        <color rgb="FF17202A"/>
        <rFont val="Noto Sans CJK SC"/>
        <family val="2"/>
      </rPr>
      <t xml:space="preserve">最新模型股数（</t>
    </r>
    <r>
      <rPr>
        <sz val="10"/>
        <color rgb="FF17202A"/>
        <rFont val="Arial"/>
        <family val="0"/>
        <charset val="1"/>
      </rPr>
      <t xml:space="preserve">2026-09-30</t>
    </r>
    <r>
      <rPr>
        <sz val="10"/>
        <color rgb="FF17202A"/>
        <rFont val="Noto Sans CJK SC"/>
        <family val="2"/>
      </rPr>
      <t xml:space="preserve">）</t>
    </r>
  </si>
  <si>
    <r>
      <rPr>
        <sz val="10"/>
        <color rgb="FF17202A"/>
        <rFont val="Arial"/>
        <family val="0"/>
        <charset val="1"/>
      </rPr>
      <t xml:space="preserve">SpaceX Q3</t>
    </r>
    <r>
      <rPr>
        <sz val="10"/>
        <color rgb="FF17202A"/>
        <rFont val="Noto Sans CJK SC"/>
        <family val="2"/>
      </rPr>
      <t xml:space="preserve">公告</t>
    </r>
    <r>
      <rPr>
        <sz val="10"/>
        <color rgb="FF17202A"/>
        <rFont val="Arial"/>
        <family val="0"/>
        <charset val="1"/>
      </rPr>
      <t xml:space="preserve">p.10</t>
    </r>
    <r>
      <rPr>
        <sz val="10"/>
        <color rgb="FF17202A"/>
        <rFont val="Noto Sans CJK SC"/>
        <family val="2"/>
      </rPr>
      <t xml:space="preserve">；按百万股四舍五入</t>
    </r>
  </si>
  <si>
    <t xml:space="preserve">按最新股数的静态经济持股</t>
  </si>
  <si>
    <r>
      <rPr>
        <sz val="10"/>
        <color rgb="FF17202A"/>
        <rFont val="Noto Sans CJK SC"/>
        <family val="2"/>
      </rPr>
      <t xml:space="preserve">分析计算：合计实际持股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最新模型股数；与</t>
    </r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口径不同</t>
    </r>
  </si>
  <si>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后综合投票权（不行使超额配售）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</si>
  <si>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Prospectus Summary</t>
    </r>
    <r>
      <rPr>
        <sz val="10"/>
        <color rgb="FF17202A"/>
        <rFont val="Noto Sans CJK SC"/>
        <family val="2"/>
      </rPr>
      <t xml:space="preserve">；</t>
    </r>
    <r>
      <rPr>
        <sz val="10"/>
        <color rgb="FF17202A"/>
        <rFont val="Arial"/>
        <family val="0"/>
        <charset val="1"/>
      </rPr>
      <t xml:space="preserve">Class B</t>
    </r>
    <r>
      <rPr>
        <sz val="10"/>
        <color rgb="FF17202A"/>
        <rFont val="Noto Sans CJK SC"/>
        <family val="2"/>
      </rPr>
      <t xml:space="preserve">每股</t>
    </r>
    <r>
      <rPr>
        <sz val="10"/>
        <color rgb="FF17202A"/>
        <rFont val="Arial"/>
        <family val="0"/>
        <charset val="1"/>
      </rPr>
      <t xml:space="preserve">10</t>
    </r>
    <r>
      <rPr>
        <sz val="10"/>
        <color rgb="FF17202A"/>
        <rFont val="Noto Sans CJK SC"/>
        <family val="2"/>
      </rPr>
      <t xml:space="preserve">票</t>
    </r>
  </si>
  <si>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后综合投票权（全额超额配售）</t>
    </r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</si>
  <si>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招股书</t>
    </r>
    <r>
      <rPr>
        <sz val="10"/>
        <color rgb="FF17202A"/>
        <rFont val="Arial"/>
        <family val="0"/>
        <charset val="1"/>
      </rPr>
      <t xml:space="preserve">Prospectus Summary</t>
    </r>
    <r>
      <rPr>
        <sz val="10"/>
        <color rgb="FF17202A"/>
        <rFont val="Noto Sans CJK SC"/>
        <family val="2"/>
      </rPr>
      <t xml:space="preserve">；不是经济持股比例</t>
    </r>
  </si>
  <si>
    <r>
      <rPr>
        <b val="true"/>
        <sz val="11"/>
        <color rgb="FF102A43"/>
        <rFont val="Arial"/>
        <family val="0"/>
        <charset val="1"/>
      </rPr>
      <t xml:space="preserve">Tesla</t>
    </r>
    <r>
      <rPr>
        <b val="true"/>
        <sz val="11"/>
        <color rgb="FF102A43"/>
        <rFont val="Noto Sans CJK SC"/>
        <family val="2"/>
      </rPr>
      <t xml:space="preserve">：</t>
    </r>
    <r>
      <rPr>
        <b val="true"/>
        <sz val="11"/>
        <color rgb="FF102A43"/>
        <rFont val="Arial"/>
        <family val="0"/>
        <charset val="1"/>
      </rPr>
      <t xml:space="preserve">Proxy</t>
    </r>
    <r>
      <rPr>
        <b val="true"/>
        <sz val="11"/>
        <color rgb="FF102A43"/>
        <rFont val="Noto Sans CJK SC"/>
        <family val="2"/>
      </rPr>
      <t xml:space="preserve">披露与模型静态口径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</si>
  <si>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受益拥有股数</t>
    </r>
  </si>
  <si>
    <r>
      <rPr>
        <sz val="10"/>
        <color rgb="FF17202A"/>
        <rFont val="Arial"/>
        <family val="0"/>
        <charset val="1"/>
      </rPr>
      <t xml:space="preserve">Tesla 2026 Proxy Ownership of Securities</t>
    </r>
    <r>
      <rPr>
        <sz val="10"/>
        <color rgb="FF17202A"/>
        <rFont val="Noto Sans CJK SC"/>
        <family val="2"/>
      </rPr>
      <t xml:space="preserve">；截至</t>
    </r>
    <r>
      <rPr>
        <sz val="10"/>
        <color rgb="FF17202A"/>
        <rFont val="Arial"/>
        <family val="0"/>
        <charset val="1"/>
      </rPr>
      <t xml:space="preserve">2026-09-30</t>
    </r>
  </si>
  <si>
    <r>
      <rPr>
        <sz val="10"/>
        <color rgb="FF17202A"/>
        <rFont val="Arial"/>
        <family val="0"/>
        <charset val="1"/>
      </rPr>
      <t xml:space="preserve">Proxy</t>
    </r>
    <r>
      <rPr>
        <sz val="10"/>
        <color rgb="FF17202A"/>
        <rFont val="Noto Sans CJK SC"/>
        <family val="2"/>
      </rPr>
      <t xml:space="preserve">调整后分母</t>
    </r>
  </si>
  <si>
    <r>
      <rPr>
        <sz val="10"/>
        <color rgb="FF17202A"/>
        <rFont val="Noto Sans CJK SC"/>
        <family val="2"/>
      </rPr>
      <t xml:space="preserve">实际已发行股数剔除</t>
    </r>
    <r>
      <rPr>
        <sz val="10"/>
        <color rgb="FF17202A"/>
        <rFont val="Arial"/>
        <family val="0"/>
        <charset val="1"/>
      </rPr>
      <t xml:space="preserve">2025 CEO Performance Award 423.743904m</t>
    </r>
  </si>
  <si>
    <r>
      <rPr>
        <sz val="10"/>
        <color rgb="FF17202A"/>
        <rFont val="Arial"/>
        <family val="0"/>
        <charset val="1"/>
      </rPr>
      <t xml:space="preserve">Proxy</t>
    </r>
    <r>
      <rPr>
        <sz val="10"/>
        <color rgb="FF17202A"/>
        <rFont val="Noto Sans CJK SC"/>
        <family val="2"/>
      </rPr>
      <t xml:space="preserve">披露比例（公式复核）</t>
    </r>
  </si>
  <si>
    <r>
      <rPr>
        <sz val="10"/>
        <color rgb="FF17202A"/>
        <rFont val="Noto Sans CJK SC"/>
        <family val="2"/>
      </rPr>
      <t xml:space="preserve">计算：受益拥有股数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调整后分母；约</t>
    </r>
    <r>
      <rPr>
        <sz val="10"/>
        <color rgb="FF17202A"/>
        <rFont val="Arial"/>
        <family val="0"/>
        <charset val="1"/>
      </rPr>
      <t xml:space="preserve">19.8%</t>
    </r>
  </si>
  <si>
    <r>
      <rPr>
        <sz val="10"/>
        <color rgb="FF17202A"/>
        <rFont val="Noto Sans CJK SC"/>
        <family val="2"/>
      </rPr>
      <t xml:space="preserve">最新模型股数（</t>
    </r>
    <r>
      <rPr>
        <sz val="10"/>
        <color rgb="FF17202A"/>
        <rFont val="Arial"/>
        <family val="0"/>
        <charset val="1"/>
      </rPr>
      <t xml:space="preserve">2026-10-15</t>
    </r>
    <r>
      <rPr>
        <sz val="10"/>
        <color rgb="FF17202A"/>
        <rFont val="Noto Sans CJK SC"/>
        <family val="2"/>
      </rPr>
      <t xml:space="preserve">）</t>
    </r>
  </si>
  <si>
    <r>
      <rPr>
        <sz val="10"/>
        <color rgb="FF17202A"/>
        <rFont val="Arial"/>
        <family val="0"/>
        <charset val="1"/>
      </rPr>
      <t xml:space="preserve">Tesla 10-Q</t>
    </r>
    <r>
      <rPr>
        <sz val="10"/>
        <color rgb="FF17202A"/>
        <rFont val="Noto Sans CJK SC"/>
        <family val="2"/>
      </rPr>
      <t xml:space="preserve">封面；用于换股桥</t>
    </r>
  </si>
  <si>
    <t xml:space="preserve">按全部已发行股数的简单经济持股</t>
  </si>
  <si>
    <r>
      <rPr>
        <sz val="10"/>
        <color rgb="FF17202A"/>
        <rFont val="Noto Sans CJK SC"/>
        <family val="2"/>
      </rPr>
      <t xml:space="preserve">分析计算：受益拥有股数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全部已发行股数；约</t>
    </r>
    <r>
      <rPr>
        <sz val="10"/>
        <color rgb="FF17202A"/>
        <rFont val="Arial"/>
        <family val="0"/>
        <charset val="1"/>
      </rPr>
      <t xml:space="preserve">17.7%</t>
    </r>
  </si>
  <si>
    <t xml:space="preserve">其中已质押股数</t>
  </si>
  <si>
    <t xml:space="preserve">Tesla 2026 Proxy Ownership of Securities</t>
  </si>
  <si>
    <r>
      <rPr>
        <sz val="10"/>
        <color rgb="FF17202A"/>
        <rFont val="Arial"/>
        <family val="0"/>
        <charset val="1"/>
      </rPr>
      <t xml:space="preserve">2025 CEO Performance Award</t>
    </r>
    <r>
      <rPr>
        <sz val="10"/>
        <color rgb="FF17202A"/>
        <rFont val="Noto Sans CJK SC"/>
        <family val="2"/>
      </rPr>
      <t xml:space="preserve">已发行未</t>
    </r>
    <r>
      <rPr>
        <sz val="10"/>
        <color rgb="FF17202A"/>
        <rFont val="Arial"/>
        <family val="0"/>
        <charset val="1"/>
      </rPr>
      <t xml:space="preserve">Earned</t>
    </r>
    <r>
      <rPr>
        <sz val="10"/>
        <color rgb="FF17202A"/>
        <rFont val="Noto Sans CJK SC"/>
        <family val="2"/>
      </rPr>
      <t xml:space="preserve">股</t>
    </r>
  </si>
  <si>
    <r>
      <rPr>
        <sz val="10"/>
        <color rgb="FF17202A"/>
        <rFont val="Arial"/>
        <family val="0"/>
        <charset val="1"/>
      </rPr>
      <t xml:space="preserve">Tesla Proxy Voting Agreement</t>
    </r>
    <r>
      <rPr>
        <sz val="10"/>
        <color rgb="FF17202A"/>
        <rFont val="Noto Sans CJK SC"/>
        <family val="2"/>
      </rPr>
      <t xml:space="preserve">；截至</t>
    </r>
    <r>
      <rPr>
        <sz val="10"/>
        <color rgb="FF17202A"/>
        <rFont val="Arial"/>
        <family val="0"/>
        <charset val="1"/>
      </rPr>
      <t xml:space="preserve">2026-10-19</t>
    </r>
    <r>
      <rPr>
        <sz val="10"/>
        <color rgb="FF17202A"/>
        <rFont val="Noto Sans CJK SC"/>
        <family val="2"/>
      </rPr>
      <t xml:space="preserve">仍未</t>
    </r>
    <r>
      <rPr>
        <sz val="10"/>
        <color rgb="FF17202A"/>
        <rFont val="Arial"/>
        <family val="0"/>
        <charset val="1"/>
      </rPr>
      <t xml:space="preserve">Earned</t>
    </r>
  </si>
  <si>
    <r>
      <rPr>
        <b val="true"/>
        <sz val="11"/>
        <color rgb="FF102A43"/>
        <rFont val="Noto Sans CJK SC"/>
        <family val="2"/>
      </rPr>
      <t xml:space="preserve">收盘市值法、</t>
    </r>
    <r>
      <rPr>
        <b val="true"/>
        <sz val="11"/>
        <color rgb="FF102A43"/>
        <rFont val="Arial"/>
        <family val="0"/>
        <charset val="1"/>
      </rPr>
      <t xml:space="preserve">0%</t>
    </r>
    <r>
      <rPr>
        <b val="true"/>
        <sz val="11"/>
        <color rgb="FF102A43"/>
        <rFont val="Noto Sans CJK SC"/>
        <family val="2"/>
      </rPr>
      <t xml:space="preserve">溢价下的静态换股桥（公式）</t>
    </r>
  </si>
  <si>
    <t xml:space="preserve">选定情景</t>
  </si>
  <si>
    <r>
      <rPr>
        <sz val="10"/>
        <color rgb="FF17202A"/>
        <rFont val="Noto Sans CJK SC"/>
        <family val="2"/>
      </rPr>
      <t xml:space="preserve">收盘市值法；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股东获得</t>
    </r>
    <r>
      <rPr>
        <sz val="10"/>
        <color rgb="FF17202A"/>
        <rFont val="Arial"/>
        <family val="0"/>
        <charset val="1"/>
      </rPr>
      <t xml:space="preserve">SpaceX Class A</t>
    </r>
  </si>
  <si>
    <t xml:space="preserve">仅为结构假设，未披露正式合并协议</t>
  </si>
  <si>
    <r>
      <rPr>
        <sz val="10"/>
        <color rgb="FF17202A"/>
        <rFont val="Noto Sans CJK SC"/>
        <family val="2"/>
      </rPr>
      <t xml:space="preserve">每</t>
    </r>
    <r>
      <rPr>
        <sz val="10"/>
        <color rgb="FF17202A"/>
        <rFont val="Arial"/>
        <family val="0"/>
        <charset val="1"/>
      </rPr>
      <t xml:space="preserve">1</t>
    </r>
    <r>
      <rPr>
        <sz val="10"/>
        <color rgb="FF17202A"/>
        <rFont val="Noto Sans CJK SC"/>
        <family val="2"/>
      </rPr>
      <t xml:space="preserve">股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换取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股数</t>
    </r>
  </si>
  <si>
    <r>
      <rPr>
        <sz val="10"/>
        <color rgb="FF17202A"/>
        <rFont val="Noto Sans CJK SC"/>
        <family val="2"/>
      </rPr>
      <t xml:space="preserve">换股比例页；溢价应用于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对价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</si>
  <si>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合并后股数</t>
    </r>
  </si>
  <si>
    <r>
      <rPr>
        <sz val="10"/>
        <color rgb="FF17202A"/>
        <rFont val="Noto Sans CJK SC"/>
        <family val="2"/>
      </rPr>
      <t xml:space="preserve">实际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股数＋</t>
    </r>
    <r>
      <rPr>
        <sz val="10"/>
        <color rgb="FF17202A"/>
        <rFont val="Arial"/>
        <family val="0"/>
        <charset val="1"/>
      </rPr>
      <t xml:space="preserve">Tesla</t>
    </r>
    <r>
      <rPr>
        <sz val="10"/>
        <color rgb="FF17202A"/>
        <rFont val="Noto Sans CJK SC"/>
        <family val="2"/>
      </rPr>
      <t xml:space="preserve">受益股数</t>
    </r>
    <r>
      <rPr>
        <sz val="10"/>
        <color rgb="FF17202A"/>
        <rFont val="Arial"/>
        <family val="0"/>
        <charset val="1"/>
      </rPr>
      <t xml:space="preserve">×</t>
    </r>
    <r>
      <rPr>
        <sz val="10"/>
        <color rgb="FF17202A"/>
        <rFont val="Noto Sans CJK SC"/>
        <family val="2"/>
      </rPr>
      <t xml:space="preserve">换股比例</t>
    </r>
  </si>
  <si>
    <t xml:space="preserve">合并后总股数</t>
  </si>
  <si>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现有股数＋新发行股数</t>
    </r>
  </si>
  <si>
    <r>
      <rPr>
        <sz val="10"/>
        <color rgb="FF17202A"/>
        <rFont val="Arial"/>
        <family val="0"/>
        <charset val="1"/>
      </rPr>
      <t xml:space="preserve">Musk</t>
    </r>
    <r>
      <rPr>
        <sz val="10"/>
        <color rgb="FF17202A"/>
        <rFont val="Noto Sans CJK SC"/>
        <family val="2"/>
      </rPr>
      <t xml:space="preserve">合并后经济持股</t>
    </r>
  </si>
  <si>
    <t xml:space="preserve">静态经济权益桥，不是交割后受益权或投票权</t>
  </si>
  <si>
    <r>
      <rPr>
        <sz val="10"/>
        <color rgb="FF17202A"/>
        <rFont val="Noto Sans CJK SC"/>
        <family val="2"/>
      </rPr>
      <t xml:space="preserve">较</t>
    </r>
    <r>
      <rPr>
        <sz val="10"/>
        <color rgb="FF17202A"/>
        <rFont val="Arial"/>
        <family val="0"/>
        <charset val="1"/>
      </rPr>
      <t xml:space="preserve">SpaceX</t>
    </r>
    <r>
      <rPr>
        <sz val="10"/>
        <color rgb="FF17202A"/>
        <rFont val="Noto Sans CJK SC"/>
        <family val="2"/>
      </rPr>
      <t xml:space="preserve">最新股数口径变化</t>
    </r>
  </si>
  <si>
    <r>
      <rPr>
        <sz val="10"/>
        <color rgb="FF17202A"/>
        <rFont val="Noto Sans CJK SC"/>
        <family val="2"/>
      </rPr>
      <t xml:space="preserve">百分点变化；不同日期</t>
    </r>
    <r>
      <rPr>
        <sz val="10"/>
        <color rgb="FF17202A"/>
        <rFont val="Arial"/>
        <family val="0"/>
        <charset val="1"/>
      </rPr>
      <t xml:space="preserve">/</t>
    </r>
    <r>
      <rPr>
        <sz val="10"/>
        <color rgb="FF17202A"/>
        <rFont val="Noto Sans CJK SC"/>
        <family val="2"/>
      </rPr>
      <t xml:space="preserve">分母仅供参考</t>
    </r>
  </si>
  <si>
    <r>
      <rPr>
        <sz val="10"/>
        <color rgb="FF17202A"/>
        <rFont val="Noto Sans CJK SC"/>
        <family val="2"/>
      </rPr>
      <t xml:space="preserve">较</t>
    </r>
    <r>
      <rPr>
        <sz val="10"/>
        <color rgb="FF17202A"/>
        <rFont val="Arial"/>
        <family val="0"/>
        <charset val="1"/>
      </rPr>
      <t xml:space="preserve">SpaceX IPO</t>
    </r>
    <r>
      <rPr>
        <sz val="10"/>
        <color rgb="FF17202A"/>
        <rFont val="Noto Sans CJK SC"/>
        <family val="2"/>
      </rPr>
      <t xml:space="preserve">经济持股口径变化</t>
    </r>
  </si>
  <si>
    <r>
      <rPr>
        <sz val="10"/>
        <color rgb="FF17202A"/>
        <rFont val="Noto Sans CJK SC"/>
        <family val="2"/>
      </rPr>
      <t xml:space="preserve">百分点变化；</t>
    </r>
    <r>
      <rPr>
        <sz val="10"/>
        <color rgb="FF17202A"/>
        <rFont val="Arial"/>
        <family val="0"/>
        <charset val="1"/>
      </rPr>
      <t xml:space="preserve">IPO</t>
    </r>
    <r>
      <rPr>
        <sz val="10"/>
        <color rgb="FF17202A"/>
        <rFont val="Noto Sans CJK SC"/>
        <family val="2"/>
      </rPr>
      <t xml:space="preserve">口径不含</t>
    </r>
    <r>
      <rPr>
        <sz val="10"/>
        <color rgb="FF17202A"/>
        <rFont val="Arial"/>
        <family val="0"/>
        <charset val="1"/>
      </rPr>
      <t xml:space="preserve">350m</t>
    </r>
    <r>
      <rPr>
        <sz val="10"/>
        <color rgb="FF17202A"/>
        <rFont val="Noto Sans CJK SC"/>
        <family val="2"/>
      </rPr>
      <t xml:space="preserve">期权</t>
    </r>
  </si>
  <si>
    <r>
      <rPr>
        <b val="true"/>
        <sz val="10"/>
        <color rgb="FFC05621"/>
        <rFont val="Noto Sans CJK SC"/>
        <family val="2"/>
      </rPr>
      <t xml:space="preserve">控制权提示：</t>
    </r>
    <r>
      <rPr>
        <b val="true"/>
        <sz val="10"/>
        <color rgb="FFC05621"/>
        <rFont val="Arial"/>
        <family val="0"/>
        <charset val="1"/>
      </rPr>
      <t xml:space="preserve">SpaceX Class B</t>
    </r>
    <r>
      <rPr>
        <b val="true"/>
        <sz val="10"/>
        <color rgb="FFC05621"/>
        <rFont val="Noto Sans CJK SC"/>
        <family val="2"/>
      </rPr>
      <t xml:space="preserve">每股</t>
    </r>
    <r>
      <rPr>
        <b val="true"/>
        <sz val="10"/>
        <color rgb="FFC05621"/>
        <rFont val="Arial"/>
        <family val="0"/>
        <charset val="1"/>
      </rPr>
      <t xml:space="preserve">10</t>
    </r>
    <r>
      <rPr>
        <b val="true"/>
        <sz val="10"/>
        <color rgb="FFC05621"/>
        <rFont val="Noto Sans CJK SC"/>
        <family val="2"/>
      </rPr>
      <t xml:space="preserve">票且</t>
    </r>
    <r>
      <rPr>
        <b val="true"/>
        <sz val="10"/>
        <color rgb="FFC05621"/>
        <rFont val="Arial"/>
        <family val="0"/>
        <charset val="1"/>
      </rPr>
      <t xml:space="preserve">Class B</t>
    </r>
    <r>
      <rPr>
        <b val="true"/>
        <sz val="10"/>
        <color rgb="FFC05621"/>
        <rFont val="Noto Sans CJK SC"/>
        <family val="2"/>
      </rPr>
      <t xml:space="preserve">单独选举</t>
    </r>
    <r>
      <rPr>
        <b val="true"/>
        <sz val="10"/>
        <color rgb="FFC05621"/>
        <rFont val="Arial"/>
        <family val="0"/>
        <charset val="1"/>
      </rPr>
      <t xml:space="preserve">51%</t>
    </r>
    <r>
      <rPr>
        <b val="true"/>
        <sz val="10"/>
        <color rgb="FFC05621"/>
        <rFont val="Noto Sans CJK SC"/>
        <family val="2"/>
      </rPr>
      <t xml:space="preserve">董事；</t>
    </r>
    <r>
      <rPr>
        <b val="true"/>
        <sz val="10"/>
        <color rgb="FFC05621"/>
        <rFont val="Arial"/>
        <family val="0"/>
        <charset val="1"/>
      </rPr>
      <t xml:space="preserve">Tesla 2025 CEO</t>
    </r>
    <r>
      <rPr>
        <b val="true"/>
        <sz val="10"/>
        <color rgb="FFC05621"/>
        <rFont val="Noto Sans CJK SC"/>
        <family val="2"/>
      </rPr>
      <t xml:space="preserve">奖励股存在特殊投票代理。合并后投票权、稀释、奖励股归属和交叉持股须由法律文件确认，不能用上述经济比例替代。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</si>
</sst>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0\x"/>
    <numFmt numFmtId="167" formatCode="0.0%"/>
    <numFmt numFmtId="168" formatCode="#,##0.000"/>
    <numFmt numFmtId="169" formatCode="0.00"/>
    <numFmt numFmtId="170" formatCode="#,##0"/>
    <numFmt numFmtId="171" formatCode="\te&quot;xt&quot;"/>
    <numFmt numFmtId="172" formatCode="#,##0.0;\(#,##0.0\);\-"/>
    <numFmt numFmtId="173" formatCode="0.0%;\(0.0%\)"/>
  </numFmts>
  <fonts count="23">
    <font>
      <sz val="11"/>
      <color theme="1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i val="true"/>
      <sz val="10"/>
      <color rgb="FF52606D"/>
      <name val="Noto Sans CJK SC"/>
      <family val="2"/>
    </font>
    <font>
      <i val="true"/>
      <sz val="10"/>
      <color rgb="FF52606D"/>
      <name val="Arial"/>
      <family val="0"/>
      <charset val="1"/>
    </font>
    <font>
      <b val="true"/>
      <sz val="11"/>
      <color rgb="FF102A43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17202A"/>
      <name val="Arial"/>
      <family val="0"/>
      <charset val="1"/>
    </font>
    <font>
      <sz val="10"/>
      <color rgb="FF17202A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02A43"/>
      <name val="Arial"/>
      <family val="0"/>
      <charset val="1"/>
    </font>
    <font>
      <b val="true"/>
      <sz val="10"/>
      <color rgb="FF17202A"/>
      <name val="Arial"/>
      <family val="0"/>
      <charset val="1"/>
    </font>
    <font>
      <b val="true"/>
      <sz val="10"/>
      <color rgb="FFC05621"/>
      <name val="Noto Sans CJK SC"/>
      <family val="2"/>
    </font>
    <font>
      <b val="true"/>
      <sz val="10"/>
      <color rgb="FFC0562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sz val="9"/>
      <color rgb="FF52606D"/>
      <name val="Arial"/>
      <family val="0"/>
      <charset val="1"/>
    </font>
    <font>
      <sz val="9"/>
      <color rgb="FF52606D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02A43"/>
        <bgColor rgb="FF17202A"/>
      </patternFill>
    </fill>
    <fill>
      <patternFill patternType="solid">
        <fgColor rgb="FFD9EAF7"/>
        <bgColor rgb="FFD9E2EC"/>
      </patternFill>
    </fill>
    <fill>
      <patternFill patternType="solid">
        <fgColor rgb="FF1F6FEB"/>
        <bgColor rgb="FF0066CC"/>
      </patternFill>
    </fill>
    <fill>
      <patternFill patternType="solid">
        <fgColor rgb="FFE8F1FB"/>
        <bgColor rgb="FFE6F4EA"/>
      </patternFill>
    </fill>
    <fill>
      <patternFill patternType="solid">
        <fgColor rgb="FFF8FAFC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E6F4EA"/>
        <bgColor rgb="FFE8F1FB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 diagonalUp="false" diagonalDown="false">
      <left style="thin">
        <color rgb="FFD9E2EC"/>
      </left>
      <right/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2"/>
      <rgbColor rgb="FFD9E2EC"/>
      <rgbColor rgb="FF878787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E8F1FB"/>
      <rgbColor rgb="FFF9F9F9"/>
      <rgbColor rgb="FFF8FAFC"/>
      <rgbColor rgb="FFFF99CC"/>
      <rgbColor rgb="FFCC99FF"/>
      <rgbColor rgb="FFFCE4D6"/>
      <rgbColor rgb="FF1F6FEB"/>
      <rgbColor rgb="FF33CCCC"/>
      <rgbColor rgb="FF99CC00"/>
      <rgbColor rgb="FFFFCC00"/>
      <rgbColor rgb="FFFF9900"/>
      <rgbColor rgb="FFFF6600"/>
      <rgbColor rgb="FF52606D"/>
      <rgbColor rgb="FF969696"/>
      <rgbColor rgb="FF102A43"/>
      <rgbColor rgb="FF4F81BD"/>
      <rgbColor rgb="FF003300"/>
      <rgbColor rgb="FF333300"/>
      <rgbColor rgb="FFC05621"/>
      <rgbColor rgb="FF993366"/>
      <rgbColor rgb="FF333399"/>
      <rgbColor rgb="FF172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LTM收入结构（US$ million）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合并备考!C26</c:f>
              <c:strCache>
                <c:ptCount val="1"/>
                <c:pt idx="0">
                  <c:v>LTM收入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合并备考!$A$27:$A$31</c:f>
              <c:strCache>
                <c:ptCount val="5"/>
                <c:pt idx="0">
                  <c:v>Automotive</c:v>
                </c:pt>
                <c:pt idx="1">
                  <c:v>Energy</c:v>
                </c:pt>
                <c:pt idx="2">
                  <c:v>Connectivity</c:v>
                </c:pt>
                <c:pt idx="3">
                  <c:v>SI</c:v>
                </c:pt>
                <c:pt idx="4">
                  <c:v>Space</c:v>
                </c:pt>
              </c:strCache>
            </c:strRef>
          </c:cat>
          <c:val>
            <c:numRef>
              <c:f>合并备考!$C$27:$C$31</c:f>
              <c:numCache>
                <c:formatCode>#,##0;\(#,##0\);\-</c:formatCode>
                <c:ptCount val="5"/>
                <c:pt idx="0">
                  <c:v>91305</c:v>
                </c:pt>
                <c:pt idx="1">
                  <c:v>12265</c:v>
                </c:pt>
                <c:pt idx="2">
                  <c:v>16024</c:v>
                </c:pt>
                <c:pt idx="3">
                  <c:v>11862</c:v>
                </c:pt>
                <c:pt idx="4">
                  <c:v>4157</c:v>
                </c:pt>
              </c:numCache>
            </c:numRef>
          </c:val>
        </c:ser>
        <c:gapWidth val="150"/>
        <c:overlap val="0"/>
        <c:axId val="46273637"/>
        <c:axId val="54318775"/>
      </c:barChart>
      <c:catAx>
        <c:axId val="4627363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收入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318775"/>
        <c:crosses val="autoZero"/>
        <c:auto val="1"/>
        <c:lblAlgn val="ctr"/>
        <c:lblOffset val="100"/>
        <c:noMultiLvlLbl val="0"/>
      </c:catAx>
      <c:valAx>
        <c:axId val="54318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业务分部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273637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17</xdr:col>
      <xdr:colOff>290520</xdr:colOff>
      <xdr:row>10</xdr:row>
      <xdr:rowOff>118440</xdr:rowOff>
    </xdr:to>
    <xdr:graphicFrame>
      <xdr:nvGraphicFramePr>
        <xdr:cNvPr id="1" name="Chart 1"/>
        <xdr:cNvGraphicFramePr/>
      </xdr:nvGraphicFramePr>
      <xdr:xfrm>
        <a:off x="15647760" y="9525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2A43"/>
    <pageSetUpPr fitToPage="true"/>
  </sheetPr>
  <dimension ref="A1:L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29.11"/>
    <col collapsed="false" customWidth="true" hidden="false" outlineLevel="0" max="3" min="3" style="0" width="25.47"/>
    <col collapsed="false" customWidth="true" hidden="false" outlineLevel="0" max="4" min="4" style="0" width="65.51"/>
    <col collapsed="false" customWidth="true" hidden="false" outlineLevel="0" max="8" min="5" style="0" width="21.84"/>
    <col collapsed="false" customWidth="true" hidden="false" outlineLevel="0" max="10" min="9" style="0" width="16.38"/>
    <col collapsed="false" customWidth="true" hidden="false" outlineLevel="0" max="12" min="11" style="0" width="2.7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3</v>
      </c>
      <c r="D5" s="4" t="s">
        <v>4</v>
      </c>
      <c r="E5" s="4" t="s">
        <v>5</v>
      </c>
      <c r="F5" s="4"/>
      <c r="G5" s="4"/>
      <c r="H5" s="4"/>
    </row>
    <row r="6" customFormat="false" ht="31.5" hidden="false" customHeight="true" outlineLevel="0" collapsed="false">
      <c r="A6" s="5" t="s">
        <v>6</v>
      </c>
      <c r="B6" s="6" t="n">
        <f aca="false">合并备考!D6</f>
        <v>135613</v>
      </c>
      <c r="D6" s="6" t="n">
        <f aca="false">合并备考!D8</f>
        <v>2798</v>
      </c>
      <c r="E6" s="7" t="s">
        <v>7</v>
      </c>
    </row>
    <row r="7" customFormat="false" ht="31.5" hidden="false" customHeight="true" outlineLevel="0" collapsed="false">
      <c r="A7" s="8" t="s">
        <v>8</v>
      </c>
      <c r="B7" s="6" t="n">
        <f aca="false">合并备考!D12</f>
        <v>-35895</v>
      </c>
      <c r="D7" s="6" t="n">
        <f aca="false">合并备考!D18</f>
        <v>135302</v>
      </c>
      <c r="E7" s="7" t="s">
        <v>9</v>
      </c>
    </row>
    <row r="8" customFormat="false" ht="31.5" hidden="false" customHeight="true" outlineLevel="0" collapsed="false">
      <c r="A8" s="8" t="s">
        <v>10</v>
      </c>
      <c r="B8" s="6" t="n">
        <f aca="false">合并备考!D19</f>
        <v>48367</v>
      </c>
      <c r="D8" s="6" t="n">
        <f aca="false">合并备考!D20</f>
        <v>86935</v>
      </c>
      <c r="E8" s="7" t="s">
        <v>11</v>
      </c>
    </row>
    <row r="9" customFormat="false" ht="31.5" hidden="false" customHeight="true" outlineLevel="0" collapsed="false">
      <c r="A9" s="5" t="s">
        <v>12</v>
      </c>
      <c r="B9" s="9" t="n">
        <f aca="false">换股比例!F28</f>
        <v>2.42589919025799</v>
      </c>
      <c r="D9" s="10" t="n">
        <f aca="false">换股比例!K28</f>
        <v>0.335189174333438</v>
      </c>
      <c r="E9" s="7" t="s">
        <v>13</v>
      </c>
    </row>
    <row r="12" customFormat="false" ht="21.75" hidden="false" customHeight="true" outlineLevel="0" collapsed="false">
      <c r="A12" s="3" t="s">
        <v>14</v>
      </c>
      <c r="B12" s="3"/>
      <c r="C12" s="3"/>
      <c r="D12" s="3"/>
      <c r="E12" s="3"/>
      <c r="F12" s="3"/>
      <c r="G12" s="3"/>
      <c r="H12" s="3"/>
    </row>
    <row r="13" customFormat="false" ht="33.75" hidden="false" customHeight="true" outlineLevel="0" collapsed="false">
      <c r="A13" s="11" t="s">
        <v>15</v>
      </c>
      <c r="B13" s="11"/>
      <c r="C13" s="11"/>
      <c r="D13" s="11"/>
      <c r="E13" s="11"/>
      <c r="F13" s="11"/>
      <c r="G13" s="11"/>
      <c r="H13" s="11"/>
    </row>
    <row r="14" customFormat="false" ht="33.75" hidden="false" customHeight="true" outlineLevel="0" collapsed="false">
      <c r="A14" s="11" t="s">
        <v>16</v>
      </c>
      <c r="B14" s="11"/>
      <c r="C14" s="11"/>
      <c r="D14" s="11"/>
      <c r="E14" s="11"/>
      <c r="F14" s="11"/>
      <c r="G14" s="11"/>
      <c r="H14" s="11"/>
    </row>
    <row r="15" customFormat="false" ht="33.75" hidden="false" customHeight="true" outlineLevel="0" collapsed="false">
      <c r="A15" s="11" t="s">
        <v>17</v>
      </c>
      <c r="B15" s="11"/>
      <c r="C15" s="11"/>
      <c r="D15" s="11"/>
      <c r="E15" s="11"/>
      <c r="F15" s="11"/>
      <c r="G15" s="11"/>
      <c r="H15" s="11"/>
    </row>
    <row r="16" customFormat="false" ht="33.75" hidden="false" customHeight="true" outlineLevel="0" collapsed="false">
      <c r="A16" s="11" t="s">
        <v>18</v>
      </c>
      <c r="B16" s="11"/>
      <c r="C16" s="11"/>
      <c r="D16" s="11"/>
      <c r="E16" s="11"/>
      <c r="F16" s="11"/>
      <c r="G16" s="11"/>
      <c r="H16" s="11"/>
    </row>
    <row r="17" customFormat="false" ht="33.75" hidden="false" customHeight="true" outlineLevel="0" collapsed="false">
      <c r="A17" s="11" t="s">
        <v>19</v>
      </c>
      <c r="B17" s="11"/>
      <c r="C17" s="11"/>
      <c r="D17" s="11"/>
      <c r="E17" s="11"/>
      <c r="F17" s="11"/>
      <c r="G17" s="11"/>
      <c r="H17" s="11"/>
    </row>
    <row r="18" customFormat="false" ht="33.75" hidden="false" customHeight="true" outlineLevel="0" collapsed="false">
      <c r="A18" s="11" t="s">
        <v>20</v>
      </c>
      <c r="B18" s="11"/>
      <c r="C18" s="11"/>
      <c r="D18" s="11"/>
      <c r="E18" s="11"/>
      <c r="F18" s="11"/>
      <c r="G18" s="11"/>
      <c r="H18" s="11"/>
    </row>
    <row r="19" customFormat="false" ht="33.75" hidden="false" customHeight="true" outlineLevel="0" collapsed="false">
      <c r="A19" s="11" t="s">
        <v>21</v>
      </c>
      <c r="B19" s="11"/>
      <c r="C19" s="11"/>
      <c r="D19" s="11"/>
      <c r="E19" s="11"/>
      <c r="F19" s="11"/>
      <c r="G19" s="11"/>
      <c r="H19" s="11"/>
    </row>
    <row r="22" customFormat="false" ht="21.75" hidden="false" customHeight="true" outlineLevel="0" collapsed="false">
      <c r="A22" s="3" t="s">
        <v>22</v>
      </c>
      <c r="B22" s="3"/>
      <c r="C22" s="3"/>
      <c r="D22" s="3"/>
      <c r="E22" s="3"/>
      <c r="F22" s="3"/>
      <c r="G22" s="3"/>
      <c r="H22" s="3"/>
    </row>
    <row r="23" customFormat="false" ht="31.5" hidden="false" customHeight="true" outlineLevel="0" collapsed="false">
      <c r="A23" s="4" t="s">
        <v>23</v>
      </c>
      <c r="B23" s="4" t="s">
        <v>24</v>
      </c>
      <c r="C23" s="4" t="s">
        <v>25</v>
      </c>
      <c r="D23" s="4" t="s">
        <v>26</v>
      </c>
      <c r="E23" s="4" t="s">
        <v>27</v>
      </c>
      <c r="F23" s="4"/>
      <c r="G23" s="4"/>
      <c r="H23" s="4"/>
    </row>
    <row r="24" customFormat="false" ht="45.75" hidden="false" customHeight="true" outlineLevel="0" collapsed="false">
      <c r="A24" s="5" t="s">
        <v>28</v>
      </c>
      <c r="B24" s="8" t="s">
        <v>29</v>
      </c>
      <c r="C24" s="5" t="s">
        <v>30</v>
      </c>
      <c r="D24" s="5" t="s">
        <v>31</v>
      </c>
      <c r="E24" s="5" t="s">
        <v>32</v>
      </c>
    </row>
    <row r="25" customFormat="false" ht="45.75" hidden="false" customHeight="true" outlineLevel="0" collapsed="false">
      <c r="A25" s="5" t="s">
        <v>33</v>
      </c>
      <c r="B25" s="8" t="s">
        <v>34</v>
      </c>
      <c r="C25" s="5" t="s">
        <v>35</v>
      </c>
      <c r="D25" s="5" t="s">
        <v>31</v>
      </c>
      <c r="E25" s="5" t="s">
        <v>36</v>
      </c>
    </row>
    <row r="26" customFormat="false" ht="45.75" hidden="false" customHeight="true" outlineLevel="0" collapsed="false">
      <c r="A26" s="5" t="s">
        <v>37</v>
      </c>
      <c r="B26" s="8" t="s">
        <v>38</v>
      </c>
      <c r="C26" s="5" t="s">
        <v>39</v>
      </c>
      <c r="D26" s="5" t="s">
        <v>31</v>
      </c>
      <c r="E26" s="5" t="s">
        <v>40</v>
      </c>
    </row>
    <row r="27" customFormat="false" ht="45.75" hidden="false" customHeight="true" outlineLevel="0" collapsed="false">
      <c r="A27" s="5" t="s">
        <v>41</v>
      </c>
      <c r="B27" s="8" t="s">
        <v>42</v>
      </c>
      <c r="C27" s="5" t="s">
        <v>43</v>
      </c>
      <c r="D27" s="5" t="s">
        <v>31</v>
      </c>
      <c r="E27" s="5" t="s">
        <v>44</v>
      </c>
    </row>
    <row r="28" customFormat="false" ht="45.75" hidden="false" customHeight="true" outlineLevel="0" collapsed="false">
      <c r="A28" s="5" t="s">
        <v>45</v>
      </c>
      <c r="B28" s="8" t="s">
        <v>46</v>
      </c>
      <c r="C28" s="5" t="s">
        <v>47</v>
      </c>
      <c r="D28" s="5" t="s">
        <v>31</v>
      </c>
      <c r="E28" s="5" t="s">
        <v>48</v>
      </c>
    </row>
    <row r="29" customFormat="false" ht="45.75" hidden="false" customHeight="true" outlineLevel="0" collapsed="false">
      <c r="A29" s="5" t="s">
        <v>49</v>
      </c>
      <c r="B29" s="8" t="s">
        <v>50</v>
      </c>
      <c r="C29" s="8" t="s">
        <v>51</v>
      </c>
      <c r="D29" s="5" t="s">
        <v>31</v>
      </c>
      <c r="E29" s="5" t="s">
        <v>52</v>
      </c>
    </row>
    <row r="30" customFormat="false" ht="45.75" hidden="false" customHeight="true" outlineLevel="0" collapsed="false">
      <c r="A30" s="5" t="s">
        <v>53</v>
      </c>
      <c r="B30" s="8" t="s">
        <v>54</v>
      </c>
      <c r="C30" s="5" t="s">
        <v>55</v>
      </c>
      <c r="D30" s="5" t="s">
        <v>31</v>
      </c>
      <c r="E30" s="5" t="s">
        <v>56</v>
      </c>
    </row>
    <row r="31" customFormat="false" ht="45.75" hidden="false" customHeight="true" outlineLevel="0" collapsed="false">
      <c r="A31" s="5" t="s">
        <v>57</v>
      </c>
      <c r="B31" s="5" t="s">
        <v>58</v>
      </c>
      <c r="C31" s="8" t="s">
        <v>59</v>
      </c>
      <c r="D31" s="5" t="s">
        <v>31</v>
      </c>
      <c r="E31" s="8" t="s">
        <v>60</v>
      </c>
    </row>
    <row r="34" customFormat="false" ht="21.75" hidden="false" customHeight="true" outlineLevel="0" collapsed="false">
      <c r="A34" s="3" t="s">
        <v>61</v>
      </c>
      <c r="B34" s="3"/>
      <c r="C34" s="3"/>
      <c r="D34" s="3"/>
      <c r="E34" s="3"/>
      <c r="F34" s="3"/>
      <c r="G34" s="3"/>
      <c r="H34" s="3"/>
    </row>
    <row r="35" customFormat="false" ht="36" hidden="false" customHeight="true" outlineLevel="0" collapsed="false">
      <c r="A35" s="12" t="s">
        <v>62</v>
      </c>
      <c r="B35" s="12"/>
      <c r="C35" s="12"/>
      <c r="D35" s="12"/>
      <c r="E35" s="12"/>
      <c r="F35" s="12"/>
      <c r="G35" s="12"/>
      <c r="H35" s="12"/>
    </row>
    <row r="36" customFormat="false" ht="36" hidden="false" customHeight="true" outlineLevel="0" collapsed="false">
      <c r="A36" s="12" t="s">
        <v>63</v>
      </c>
      <c r="B36" s="12"/>
      <c r="C36" s="12"/>
      <c r="D36" s="12"/>
      <c r="E36" s="12"/>
      <c r="F36" s="12"/>
      <c r="G36" s="12"/>
      <c r="H36" s="12"/>
    </row>
    <row r="37" customFormat="false" ht="36" hidden="false" customHeight="true" outlineLevel="0" collapsed="false">
      <c r="A37" s="12" t="s">
        <v>64</v>
      </c>
      <c r="B37" s="12"/>
      <c r="C37" s="12"/>
      <c r="D37" s="12"/>
      <c r="E37" s="12"/>
      <c r="F37" s="12"/>
      <c r="G37" s="12"/>
      <c r="H37" s="12"/>
    </row>
    <row r="38" customFormat="false" ht="36" hidden="false" customHeight="true" outlineLevel="0" collapsed="false">
      <c r="A38" s="12" t="s">
        <v>65</v>
      </c>
      <c r="B38" s="12"/>
      <c r="C38" s="12"/>
      <c r="D38" s="12"/>
      <c r="E38" s="12"/>
      <c r="F38" s="12"/>
      <c r="G38" s="12"/>
      <c r="H38" s="12"/>
    </row>
    <row r="41" customFormat="false" ht="21.75" hidden="false" customHeight="true" outlineLevel="0" collapsed="false">
      <c r="A41" s="3" t="s">
        <v>66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5" t="s">
        <v>67</v>
      </c>
      <c r="B42" s="6" t="n">
        <f aca="false">SpaceX!G5-SUM(合并备考!C29:C31)</f>
        <v>0</v>
      </c>
    </row>
    <row r="43" customFormat="false" ht="15" hidden="false" customHeight="false" outlineLevel="0" collapsed="false">
      <c r="A43" s="5" t="s">
        <v>68</v>
      </c>
      <c r="B43" s="6" t="n">
        <f aca="false">Tesla!G5-SUM(合并备考!C27:C28)</f>
        <v>0</v>
      </c>
    </row>
    <row r="44" customFormat="false" ht="15" hidden="false" customHeight="false" outlineLevel="0" collapsed="false">
      <c r="A44" s="8" t="s">
        <v>69</v>
      </c>
      <c r="B44" s="6" t="n">
        <f aca="false">合并备考!D6-合并备考!B6-合并备考!C6</f>
        <v>0</v>
      </c>
    </row>
    <row r="45" customFormat="false" ht="15" hidden="false" customHeight="false" outlineLevel="0" collapsed="false">
      <c r="A45" s="8" t="s">
        <v>70</v>
      </c>
      <c r="B45" s="6" t="n">
        <f aca="false">合并备考!D18-合并备考!B18-合并备考!C18</f>
        <v>0</v>
      </c>
    </row>
  </sheetData>
  <mergeCells count="18">
    <mergeCell ref="A1:L1"/>
    <mergeCell ref="A2:L2"/>
    <mergeCell ref="A4:H4"/>
    <mergeCell ref="A12:H12"/>
    <mergeCell ref="A13:H13"/>
    <mergeCell ref="A14:H14"/>
    <mergeCell ref="A15:H15"/>
    <mergeCell ref="A16:H16"/>
    <mergeCell ref="A17:H17"/>
    <mergeCell ref="A18:H18"/>
    <mergeCell ref="A19:H19"/>
    <mergeCell ref="A22:H22"/>
    <mergeCell ref="A34:H34"/>
    <mergeCell ref="A35:H35"/>
    <mergeCell ref="A36:H36"/>
    <mergeCell ref="A37:H37"/>
    <mergeCell ref="A38:H38"/>
    <mergeCell ref="A41:H41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EB"/>
    <pageSetUpPr fitToPage="true"/>
  </sheetPr>
  <dimension ref="A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7.3"/>
    <col collapsed="false" customWidth="true" hidden="false" outlineLevel="0" max="7" min="2" style="0" width="12.74"/>
    <col collapsed="false" customWidth="true" hidden="false" outlineLevel="0" max="8" min="8" style="0" width="14.56"/>
    <col collapsed="false" customWidth="true" hidden="false" outlineLevel="0" max="9" min="9" style="0" width="52.77"/>
    <col collapsed="false" customWidth="true" hidden="false" outlineLevel="0" max="10" min="10" style="0" width="38.21"/>
    <col collapsed="false" customWidth="true" hidden="false" outlineLevel="0" max="12" min="11" style="0" width="2.73"/>
  </cols>
  <sheetData>
    <row r="1" customFormat="false" ht="30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4" t="s">
        <v>3</v>
      </c>
      <c r="B4" s="13" t="s">
        <v>73</v>
      </c>
      <c r="C4" s="13" t="s">
        <v>74</v>
      </c>
      <c r="D4" s="13" t="s">
        <v>75</v>
      </c>
      <c r="E4" s="13" t="s">
        <v>76</v>
      </c>
      <c r="F4" s="13" t="s">
        <v>77</v>
      </c>
      <c r="G4" s="13" t="s">
        <v>78</v>
      </c>
      <c r="H4" s="13" t="s">
        <v>79</v>
      </c>
      <c r="I4" s="4" t="s">
        <v>80</v>
      </c>
      <c r="J4" s="4" t="s">
        <v>81</v>
      </c>
    </row>
    <row r="5" customFormat="false" ht="31.5" hidden="false" customHeight="true" outlineLevel="0" collapsed="false">
      <c r="A5" s="8" t="s">
        <v>82</v>
      </c>
      <c r="B5" s="6" t="n">
        <f aca="false">F5-H5</f>
        <v>4960</v>
      </c>
      <c r="C5" s="14" t="n">
        <v>4694</v>
      </c>
      <c r="D5" s="14" t="n">
        <v>7814</v>
      </c>
      <c r="E5" s="14" t="n">
        <v>14575</v>
      </c>
      <c r="F5" s="14" t="n">
        <v>18674</v>
      </c>
      <c r="G5" s="6" t="n">
        <f aca="false">SUM(B5:E5)</f>
        <v>32043</v>
      </c>
      <c r="H5" s="14" t="n">
        <v>13714</v>
      </c>
      <c r="I5" s="8" t="s">
        <v>83</v>
      </c>
      <c r="J5" s="15" t="s">
        <v>84</v>
      </c>
    </row>
    <row r="6" customFormat="false" ht="31.5" hidden="false" customHeight="true" outlineLevel="0" collapsed="false">
      <c r="A6" s="8" t="s">
        <v>85</v>
      </c>
      <c r="B6" s="6" t="n">
        <f aca="false">F6-H6</f>
        <v>2502</v>
      </c>
      <c r="C6" s="14" t="n">
        <v>2388</v>
      </c>
      <c r="D6" s="14" t="n">
        <v>3495</v>
      </c>
      <c r="E6" s="14" t="n">
        <v>5478</v>
      </c>
      <c r="F6" s="14" t="n">
        <v>9451</v>
      </c>
      <c r="G6" s="6" t="n">
        <f aca="false">SUM(B6:E6)</f>
        <v>13863</v>
      </c>
      <c r="H6" s="14" t="n">
        <v>6949</v>
      </c>
      <c r="I6" s="8" t="s">
        <v>83</v>
      </c>
      <c r="J6" s="15" t="s">
        <v>84</v>
      </c>
    </row>
    <row r="7" customFormat="false" ht="31.5" hidden="false" customHeight="true" outlineLevel="0" collapsed="false">
      <c r="A7" s="8" t="s">
        <v>86</v>
      </c>
      <c r="B7" s="6" t="n">
        <f aca="false">B5-B6</f>
        <v>2458</v>
      </c>
      <c r="C7" s="6" t="n">
        <f aca="false">C5-C6</f>
        <v>2306</v>
      </c>
      <c r="D7" s="6" t="n">
        <f aca="false">D5-D6</f>
        <v>4319</v>
      </c>
      <c r="E7" s="6" t="n">
        <f aca="false">E5-E6</f>
        <v>9097</v>
      </c>
      <c r="F7" s="6" t="n">
        <f aca="false">F5-F6</f>
        <v>9223</v>
      </c>
      <c r="G7" s="6" t="n">
        <f aca="false">SUM(B7:E7)</f>
        <v>18180</v>
      </c>
      <c r="H7" s="6" t="n">
        <f aca="false">H5-H6</f>
        <v>6765</v>
      </c>
      <c r="I7" s="8" t="s">
        <v>87</v>
      </c>
      <c r="J7" s="7" t="s">
        <v>88</v>
      </c>
    </row>
    <row r="8" customFormat="false" ht="31.5" hidden="false" customHeight="true" outlineLevel="0" collapsed="false">
      <c r="A8" s="8" t="s">
        <v>89</v>
      </c>
      <c r="B8" s="6" t="n">
        <f aca="false">F8-H8</f>
        <v>-1373</v>
      </c>
      <c r="C8" s="14" t="n">
        <v>-1943</v>
      </c>
      <c r="D8" s="14" t="n">
        <v>-143</v>
      </c>
      <c r="E8" s="14" t="n">
        <v>2791</v>
      </c>
      <c r="F8" s="14" t="n">
        <v>-2589</v>
      </c>
      <c r="G8" s="6" t="n">
        <f aca="false">SUM(B8:E8)</f>
        <v>-668</v>
      </c>
      <c r="H8" s="14" t="n">
        <v>-1216</v>
      </c>
      <c r="I8" s="8" t="s">
        <v>83</v>
      </c>
      <c r="J8" s="15" t="s">
        <v>84</v>
      </c>
    </row>
    <row r="9" customFormat="false" ht="31.5" hidden="false" customHeight="true" outlineLevel="0" collapsed="false">
      <c r="A9" s="8" t="s">
        <v>90</v>
      </c>
      <c r="B9" s="6" t="n">
        <f aca="false">F9-H9</f>
        <v>-2347</v>
      </c>
      <c r="C9" s="14" t="n">
        <v>-4276</v>
      </c>
      <c r="D9" s="14" t="n">
        <v>-541</v>
      </c>
      <c r="E9" s="14" t="n">
        <v>4404</v>
      </c>
      <c r="F9" s="14" t="n">
        <v>-4937</v>
      </c>
      <c r="G9" s="6" t="n">
        <f aca="false">SUM(B9:E9)</f>
        <v>-2760</v>
      </c>
      <c r="H9" s="14" t="n">
        <v>-2590</v>
      </c>
      <c r="I9" s="8" t="s">
        <v>91</v>
      </c>
      <c r="J9" s="15" t="s">
        <v>92</v>
      </c>
    </row>
    <row r="10" customFormat="false" ht="31.5" hidden="false" customHeight="true" outlineLevel="0" collapsed="false">
      <c r="A10" s="8" t="s">
        <v>93</v>
      </c>
      <c r="B10" s="6" t="n">
        <f aca="false">F10-H10</f>
        <v>-2347</v>
      </c>
      <c r="C10" s="14" t="n">
        <v>-4947</v>
      </c>
      <c r="D10" s="14" t="n">
        <v>-541</v>
      </c>
      <c r="E10" s="14" t="n">
        <v>4404</v>
      </c>
      <c r="F10" s="14" t="n">
        <v>-4937</v>
      </c>
      <c r="G10" s="6" t="n">
        <f aca="false">SUM(B10:E10)</f>
        <v>-3431</v>
      </c>
      <c r="H10" s="14" t="n">
        <v>-2590</v>
      </c>
      <c r="I10" s="8" t="s">
        <v>94</v>
      </c>
      <c r="J10" s="15" t="s">
        <v>95</v>
      </c>
    </row>
    <row r="11" customFormat="false" ht="31.5" hidden="false" customHeight="true" outlineLevel="0" collapsed="false">
      <c r="A11" s="8" t="s">
        <v>96</v>
      </c>
      <c r="B11" s="6" t="n">
        <f aca="false">F11-H11</f>
        <v>2665</v>
      </c>
      <c r="C11" s="6" t="n">
        <f aca="false">B32</f>
        <v>1047</v>
      </c>
      <c r="D11" s="6" t="n">
        <f aca="false">C32-B32</f>
        <v>2419</v>
      </c>
      <c r="E11" s="6" t="n">
        <f aca="false">D32-C32</f>
        <v>9631</v>
      </c>
      <c r="F11" s="14" t="n">
        <v>6785</v>
      </c>
      <c r="G11" s="6" t="n">
        <f aca="false">SUM(B11:E11)</f>
        <v>15762</v>
      </c>
      <c r="H11" s="14" t="n">
        <v>4120</v>
      </c>
      <c r="I11" s="8" t="s">
        <v>97</v>
      </c>
      <c r="J11" s="15" t="s">
        <v>98</v>
      </c>
    </row>
    <row r="12" customFormat="false" ht="31.5" hidden="false" customHeight="true" outlineLevel="0" collapsed="false">
      <c r="A12" s="8" t="s">
        <v>99</v>
      </c>
      <c r="B12" s="6" t="n">
        <f aca="false">F12-H12</f>
        <v>6891</v>
      </c>
      <c r="C12" s="6" t="n">
        <f aca="false">B33</f>
        <v>10107</v>
      </c>
      <c r="D12" s="6" t="n">
        <f aca="false">C33-B33</f>
        <v>18369</v>
      </c>
      <c r="E12" s="6" t="n">
        <f aca="false">D33-C33</f>
        <v>19593</v>
      </c>
      <c r="F12" s="14" t="n">
        <v>20737</v>
      </c>
      <c r="G12" s="6" t="n">
        <f aca="false">SUM(B12:E12)</f>
        <v>54960</v>
      </c>
      <c r="H12" s="14" t="n">
        <v>13846</v>
      </c>
      <c r="I12" s="8" t="s">
        <v>100</v>
      </c>
      <c r="J12" s="7" t="s">
        <v>101</v>
      </c>
    </row>
    <row r="13" customFormat="false" ht="31.5" hidden="false" customHeight="true" outlineLevel="0" collapsed="false">
      <c r="A13" s="8" t="s">
        <v>102</v>
      </c>
      <c r="B13" s="6" t="n">
        <f aca="false">B11-B12</f>
        <v>-4226</v>
      </c>
      <c r="C13" s="6" t="n">
        <f aca="false">C11-C12</f>
        <v>-9060</v>
      </c>
      <c r="D13" s="6" t="n">
        <f aca="false">D11-D12</f>
        <v>-15950</v>
      </c>
      <c r="E13" s="6" t="n">
        <f aca="false">E11-E12</f>
        <v>-9962</v>
      </c>
      <c r="F13" s="6" t="n">
        <f aca="false">F11-F12</f>
        <v>-13952</v>
      </c>
      <c r="G13" s="6" t="n">
        <f aca="false">SUM(B13:E13)</f>
        <v>-39198</v>
      </c>
      <c r="H13" s="6" t="n">
        <f aca="false">H11-H12</f>
        <v>-9726</v>
      </c>
      <c r="I13" s="8" t="s">
        <v>103</v>
      </c>
      <c r="J13" s="7" t="s">
        <v>104</v>
      </c>
    </row>
    <row r="14" customFormat="false" ht="31.5" hidden="false" customHeight="true" outlineLevel="0" collapsed="false">
      <c r="A14" s="8" t="s">
        <v>105</v>
      </c>
      <c r="B14" s="6" t="n">
        <f aca="false">F14-H14</f>
        <v>1471</v>
      </c>
      <c r="C14" s="14" t="n">
        <v>1127</v>
      </c>
      <c r="D14" s="14" t="n">
        <v>3538</v>
      </c>
      <c r="E14" s="14" t="n">
        <v>8809</v>
      </c>
      <c r="F14" s="14" t="n">
        <v>6584</v>
      </c>
      <c r="G14" s="6" t="n">
        <f aca="false">SUM(B14:E14)</f>
        <v>14945</v>
      </c>
      <c r="H14" s="14" t="n">
        <v>5113</v>
      </c>
      <c r="I14" s="8" t="s">
        <v>106</v>
      </c>
      <c r="J14" s="7" t="s">
        <v>107</v>
      </c>
    </row>
    <row r="17" customFormat="false" ht="21.75" hidden="false" customHeight="true" outlineLevel="0" collapsed="false">
      <c r="A17" s="3" t="s">
        <v>108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31.5" hidden="false" customHeight="true" outlineLevel="0" collapsed="false">
      <c r="A18" s="4" t="s">
        <v>3</v>
      </c>
      <c r="B18" s="13" t="s">
        <v>109</v>
      </c>
      <c r="C18" s="13" t="s">
        <v>110</v>
      </c>
      <c r="D18" s="13" t="s">
        <v>111</v>
      </c>
      <c r="E18" s="13" t="s">
        <v>112</v>
      </c>
      <c r="F18" s="4" t="s">
        <v>80</v>
      </c>
      <c r="G18" s="4" t="s">
        <v>81</v>
      </c>
      <c r="H18" s="4"/>
      <c r="I18" s="4"/>
      <c r="J18" s="4"/>
    </row>
    <row r="19" customFormat="false" ht="30.75" hidden="false" customHeight="true" outlineLevel="0" collapsed="false">
      <c r="A19" s="8" t="s">
        <v>113</v>
      </c>
      <c r="B19" s="14" t="n">
        <v>24747</v>
      </c>
      <c r="C19" s="14" t="n">
        <v>15852</v>
      </c>
      <c r="D19" s="14" t="n">
        <v>93522</v>
      </c>
      <c r="E19" s="14" t="n">
        <v>51294</v>
      </c>
      <c r="F19" s="8" t="s">
        <v>114</v>
      </c>
      <c r="G19" s="7" t="s">
        <v>115</v>
      </c>
    </row>
    <row r="20" customFormat="false" ht="30.75" hidden="false" customHeight="true" outlineLevel="0" collapsed="false">
      <c r="A20" s="8" t="s">
        <v>116</v>
      </c>
      <c r="B20" s="14" t="n">
        <v>0</v>
      </c>
      <c r="C20" s="14" t="n">
        <v>7823</v>
      </c>
      <c r="D20" s="14" t="n">
        <v>6487</v>
      </c>
      <c r="E20" s="14" t="n">
        <v>38561</v>
      </c>
      <c r="F20" s="8" t="s">
        <v>114</v>
      </c>
      <c r="G20" s="7" t="s">
        <v>117</v>
      </c>
    </row>
    <row r="21" customFormat="false" ht="30.75" hidden="false" customHeight="true" outlineLevel="0" collapsed="false">
      <c r="A21" s="8" t="s">
        <v>118</v>
      </c>
      <c r="B21" s="6" t="n">
        <f aca="false">B19+B20</f>
        <v>24747</v>
      </c>
      <c r="C21" s="6" t="n">
        <f aca="false">C19+C20</f>
        <v>23675</v>
      </c>
      <c r="D21" s="6" t="n">
        <f aca="false">D19+D20</f>
        <v>100009</v>
      </c>
      <c r="E21" s="6" t="n">
        <f aca="false">E19+E20</f>
        <v>89855</v>
      </c>
      <c r="F21" s="8" t="s">
        <v>119</v>
      </c>
      <c r="G21" s="7" t="s">
        <v>120</v>
      </c>
    </row>
    <row r="22" customFormat="false" ht="30.75" hidden="false" customHeight="true" outlineLevel="0" collapsed="false">
      <c r="A22" s="8" t="s">
        <v>121</v>
      </c>
      <c r="B22" s="14" t="n">
        <v>928</v>
      </c>
      <c r="C22" s="14" t="n">
        <v>1538</v>
      </c>
      <c r="D22" s="14" t="n">
        <v>2525</v>
      </c>
      <c r="E22" s="14" t="n">
        <v>2698</v>
      </c>
      <c r="F22" s="8" t="s">
        <v>114</v>
      </c>
      <c r="G22" s="7" t="s">
        <v>122</v>
      </c>
    </row>
    <row r="23" customFormat="false" ht="30.75" hidden="false" customHeight="true" outlineLevel="0" collapsed="false">
      <c r="A23" s="8" t="s">
        <v>123</v>
      </c>
      <c r="B23" s="14" t="n">
        <v>21968</v>
      </c>
      <c r="C23" s="14" t="n">
        <v>28727</v>
      </c>
      <c r="D23" s="14" t="n">
        <v>36839</v>
      </c>
      <c r="E23" s="14" t="n">
        <v>36146</v>
      </c>
      <c r="F23" s="8" t="s">
        <v>114</v>
      </c>
      <c r="G23" s="7" t="s">
        <v>122</v>
      </c>
    </row>
    <row r="24" customFormat="false" ht="30.75" hidden="false" customHeight="true" outlineLevel="0" collapsed="false">
      <c r="A24" s="8" t="s">
        <v>124</v>
      </c>
      <c r="B24" s="6" t="n">
        <f aca="false">B22+B23</f>
        <v>22896</v>
      </c>
      <c r="C24" s="6" t="n">
        <f aca="false">C22+C23</f>
        <v>30265</v>
      </c>
      <c r="D24" s="6" t="n">
        <f aca="false">D22+D23</f>
        <v>39364</v>
      </c>
      <c r="E24" s="6" t="n">
        <f aca="false">E22+E23</f>
        <v>38844</v>
      </c>
      <c r="F24" s="8" t="s">
        <v>125</v>
      </c>
      <c r="G24" s="7" t="s">
        <v>126</v>
      </c>
    </row>
    <row r="25" customFormat="false" ht="30.75" hidden="false" customHeight="true" outlineLevel="0" collapsed="false">
      <c r="A25" s="8" t="s">
        <v>127</v>
      </c>
      <c r="B25" s="14" t="n">
        <v>2573</v>
      </c>
      <c r="C25" s="14" t="n">
        <v>34533</v>
      </c>
      <c r="D25" s="14" t="n">
        <v>127224</v>
      </c>
      <c r="E25" s="14" t="n">
        <v>176768</v>
      </c>
      <c r="F25" s="8" t="s">
        <v>114</v>
      </c>
      <c r="G25" s="7" t="s">
        <v>128</v>
      </c>
    </row>
    <row r="26" customFormat="false" ht="30.75" hidden="false" customHeight="true" outlineLevel="0" collapsed="false">
      <c r="A26" s="8" t="s">
        <v>129</v>
      </c>
      <c r="B26" s="14" t="n">
        <v>38752</v>
      </c>
      <c r="C26" s="14" t="n">
        <v>7049</v>
      </c>
      <c r="D26" s="14" t="n">
        <v>0</v>
      </c>
      <c r="E26" s="14" t="n">
        <v>0</v>
      </c>
      <c r="F26" s="8" t="s">
        <v>114</v>
      </c>
      <c r="G26" s="7" t="s">
        <v>130</v>
      </c>
    </row>
    <row r="27" customFormat="false" ht="30.75" hidden="false" customHeight="true" outlineLevel="0" collapsed="false">
      <c r="A27" s="8" t="s">
        <v>131</v>
      </c>
      <c r="B27" s="14" t="n">
        <v>4507</v>
      </c>
      <c r="C27" s="14" t="n">
        <v>9041</v>
      </c>
      <c r="D27" s="14" t="n">
        <v>13329</v>
      </c>
      <c r="E27" s="14" t="n">
        <v>12897</v>
      </c>
      <c r="F27" s="8" t="s">
        <v>132</v>
      </c>
      <c r="G27" s="7" t="s">
        <v>133</v>
      </c>
    </row>
    <row r="30" customFormat="false" ht="21.75" hidden="false" customHeight="true" outlineLevel="0" collapsed="false">
      <c r="A30" s="16" t="s">
        <v>134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31.5" hidden="false" customHeight="true" outlineLevel="0" collapsed="false">
      <c r="A31" s="4" t="s">
        <v>135</v>
      </c>
      <c r="B31" s="13" t="s">
        <v>74</v>
      </c>
      <c r="C31" s="13" t="s">
        <v>136</v>
      </c>
      <c r="D31" s="13" t="s">
        <v>137</v>
      </c>
      <c r="E31" s="4" t="s">
        <v>80</v>
      </c>
      <c r="F31" s="4" t="s">
        <v>81</v>
      </c>
      <c r="G31" s="4"/>
      <c r="H31" s="4"/>
      <c r="I31" s="4"/>
      <c r="J31" s="4"/>
    </row>
    <row r="32" customFormat="false" ht="29.85" hidden="false" customHeight="false" outlineLevel="0" collapsed="false">
      <c r="A32" s="5" t="s">
        <v>138</v>
      </c>
      <c r="B32" s="14" t="n">
        <v>1047</v>
      </c>
      <c r="C32" s="14" t="n">
        <v>3466</v>
      </c>
      <c r="D32" s="14" t="n">
        <v>13097</v>
      </c>
      <c r="E32" s="5" t="s">
        <v>139</v>
      </c>
      <c r="F32" s="7" t="s">
        <v>140</v>
      </c>
    </row>
    <row r="33" customFormat="false" ht="29.85" hidden="false" customHeight="false" outlineLevel="0" collapsed="false">
      <c r="A33" s="5" t="s">
        <v>141</v>
      </c>
      <c r="B33" s="14" t="n">
        <v>10107</v>
      </c>
      <c r="C33" s="14" t="n">
        <v>28476</v>
      </c>
      <c r="D33" s="14" t="n">
        <v>48069</v>
      </c>
      <c r="E33" s="5" t="s">
        <v>139</v>
      </c>
      <c r="F33" s="7" t="s">
        <v>140</v>
      </c>
    </row>
    <row r="35" customFormat="false" ht="21.75" hidden="false" customHeight="true" outlineLevel="0" collapsed="false">
      <c r="A35" s="3" t="s">
        <v>142</v>
      </c>
      <c r="B35" s="3"/>
      <c r="C35" s="3"/>
      <c r="D35" s="3"/>
      <c r="E35" s="3"/>
      <c r="F35" s="3"/>
      <c r="G35" s="3"/>
      <c r="H35" s="3"/>
      <c r="I35" s="3"/>
      <c r="J35" s="3"/>
    </row>
    <row r="36" customFormat="false" ht="31.5" hidden="false" customHeight="true" outlineLevel="0" collapsed="false">
      <c r="A36" s="4" t="s">
        <v>143</v>
      </c>
      <c r="B36" s="13" t="s">
        <v>73</v>
      </c>
      <c r="C36" s="13" t="s">
        <v>74</v>
      </c>
      <c r="D36" s="13" t="s">
        <v>75</v>
      </c>
      <c r="E36" s="13" t="s">
        <v>76</v>
      </c>
      <c r="F36" s="13" t="s">
        <v>77</v>
      </c>
      <c r="G36" s="13" t="s">
        <v>78</v>
      </c>
      <c r="H36" s="13" t="s">
        <v>79</v>
      </c>
      <c r="I36" s="4" t="s">
        <v>80</v>
      </c>
      <c r="J36" s="4" t="s">
        <v>81</v>
      </c>
    </row>
    <row r="37" customFormat="false" ht="27.75" hidden="false" customHeight="true" outlineLevel="0" collapsed="false">
      <c r="A37" s="5" t="s">
        <v>144</v>
      </c>
      <c r="B37" s="6" t="n">
        <f aca="false">F37-H37</f>
        <v>809</v>
      </c>
      <c r="C37" s="14" t="n">
        <v>619</v>
      </c>
      <c r="D37" s="14" t="n">
        <v>962</v>
      </c>
      <c r="E37" s="14" t="n">
        <v>1767</v>
      </c>
      <c r="F37" s="14" t="n">
        <v>4086</v>
      </c>
      <c r="G37" s="6" t="n">
        <f aca="false">SUM(B37:E37)</f>
        <v>4157</v>
      </c>
      <c r="H37" s="14" t="n">
        <v>3277</v>
      </c>
      <c r="I37" s="8" t="s">
        <v>145</v>
      </c>
      <c r="J37" s="15" t="s">
        <v>146</v>
      </c>
    </row>
    <row r="38" customFormat="false" ht="27.75" hidden="false" customHeight="true" outlineLevel="0" collapsed="false">
      <c r="A38" s="5" t="s">
        <v>147</v>
      </c>
      <c r="B38" s="6" t="n">
        <f aca="false">F38-H38</f>
        <v>248</v>
      </c>
      <c r="C38" s="14" t="n">
        <v>281</v>
      </c>
      <c r="D38" s="14" t="n">
        <v>329</v>
      </c>
      <c r="E38" s="14" t="n">
        <v>435</v>
      </c>
      <c r="F38" s="14" t="n">
        <v>1352</v>
      </c>
      <c r="G38" s="6" t="n">
        <f aca="false">SUM(B38:E38)</f>
        <v>1293</v>
      </c>
      <c r="H38" s="14" t="n">
        <v>1104</v>
      </c>
      <c r="I38" s="8" t="s">
        <v>145</v>
      </c>
      <c r="J38" s="7" t="s">
        <v>148</v>
      </c>
    </row>
    <row r="39" customFormat="false" ht="27.75" hidden="false" customHeight="true" outlineLevel="0" collapsed="false">
      <c r="A39" s="5" t="s">
        <v>149</v>
      </c>
      <c r="B39" s="6" t="n">
        <f aca="false">B37-B38</f>
        <v>561</v>
      </c>
      <c r="C39" s="6" t="n">
        <f aca="false">C37-C38</f>
        <v>338</v>
      </c>
      <c r="D39" s="6" t="n">
        <f aca="false">D37-D38</f>
        <v>633</v>
      </c>
      <c r="E39" s="6" t="n">
        <f aca="false">E37-E38</f>
        <v>1332</v>
      </c>
      <c r="F39" s="6" t="n">
        <f aca="false">F37-F38</f>
        <v>2734</v>
      </c>
      <c r="G39" s="6" t="n">
        <f aca="false">SUM(B39:E39)</f>
        <v>2864</v>
      </c>
      <c r="H39" s="6" t="n">
        <f aca="false">H37-H38</f>
        <v>2173</v>
      </c>
      <c r="I39" s="8" t="s">
        <v>145</v>
      </c>
      <c r="J39" s="7" t="s">
        <v>150</v>
      </c>
    </row>
    <row r="40" customFormat="false" ht="27.75" hidden="false" customHeight="true" outlineLevel="0" collapsed="false">
      <c r="A40" s="5" t="s">
        <v>151</v>
      </c>
      <c r="B40" s="6" t="n">
        <f aca="false">F40-H40</f>
        <v>-476</v>
      </c>
      <c r="C40" s="14" t="n">
        <v>-662</v>
      </c>
      <c r="D40" s="14" t="n">
        <v>-542</v>
      </c>
      <c r="E40" s="14" t="n">
        <v>-7</v>
      </c>
      <c r="F40" s="14" t="n">
        <v>-657</v>
      </c>
      <c r="G40" s="6" t="n">
        <f aca="false">SUM(B40:E40)</f>
        <v>-1687</v>
      </c>
      <c r="H40" s="14" t="n">
        <v>-181</v>
      </c>
      <c r="I40" s="8" t="s">
        <v>145</v>
      </c>
      <c r="J40" s="7" t="s">
        <v>148</v>
      </c>
    </row>
    <row r="41" customFormat="false" ht="27.75" hidden="false" customHeight="true" outlineLevel="0" collapsed="false">
      <c r="A41" s="5" t="s">
        <v>152</v>
      </c>
      <c r="B41" s="6" t="n">
        <f aca="false">F41-H41</f>
        <v>-150</v>
      </c>
      <c r="C41" s="14" t="n">
        <v>-351</v>
      </c>
      <c r="D41" s="14" t="n">
        <v>-205</v>
      </c>
      <c r="E41" s="14" t="n">
        <v>357</v>
      </c>
      <c r="F41" s="14" t="n">
        <v>653</v>
      </c>
      <c r="G41" s="6" t="n">
        <f aca="false">SUM(B41:E41)</f>
        <v>-349</v>
      </c>
      <c r="H41" s="14" t="n">
        <v>803</v>
      </c>
      <c r="I41" s="8" t="s">
        <v>145</v>
      </c>
      <c r="J41" s="7" t="s">
        <v>153</v>
      </c>
    </row>
    <row r="42" customFormat="false" ht="27.75" hidden="false" customHeight="true" outlineLevel="0" collapsed="false">
      <c r="A42" s="5" t="s">
        <v>154</v>
      </c>
      <c r="B42" s="6" t="n">
        <f aca="false">F42-H42</f>
        <v>1014</v>
      </c>
      <c r="C42" s="14" t="n">
        <v>1052</v>
      </c>
      <c r="D42" s="14" t="n">
        <v>1174</v>
      </c>
      <c r="E42" s="14" t="n">
        <v>1606</v>
      </c>
      <c r="F42" s="14" t="n">
        <v>3832</v>
      </c>
      <c r="G42" s="6" t="n">
        <f aca="false">SUM(B42:E42)</f>
        <v>4846</v>
      </c>
      <c r="H42" s="14" t="n">
        <v>2818</v>
      </c>
      <c r="I42" s="8" t="s">
        <v>145</v>
      </c>
      <c r="J42" s="7" t="s">
        <v>148</v>
      </c>
    </row>
    <row r="43" customFormat="false" ht="27.75" hidden="false" customHeight="true" outlineLevel="0" collapsed="false">
      <c r="A43" s="5" t="s">
        <v>155</v>
      </c>
      <c r="B43" s="6" t="n">
        <f aca="false">F43-H43</f>
        <v>3228</v>
      </c>
      <c r="C43" s="14" t="n">
        <v>3257</v>
      </c>
      <c r="D43" s="14" t="n">
        <v>4291</v>
      </c>
      <c r="E43" s="14" t="n">
        <v>5248</v>
      </c>
      <c r="F43" s="14" t="n">
        <v>11387</v>
      </c>
      <c r="G43" s="6" t="n">
        <f aca="false">SUM(B43:E43)</f>
        <v>16024</v>
      </c>
      <c r="H43" s="14" t="n">
        <v>8159</v>
      </c>
      <c r="I43" s="8" t="s">
        <v>145</v>
      </c>
      <c r="J43" s="15" t="s">
        <v>146</v>
      </c>
    </row>
    <row r="44" customFormat="false" ht="27.75" hidden="false" customHeight="true" outlineLevel="0" collapsed="false">
      <c r="A44" s="5" t="s">
        <v>156</v>
      </c>
      <c r="B44" s="6" t="n">
        <f aca="false">F44-H44</f>
        <v>1650</v>
      </c>
      <c r="C44" s="14" t="n">
        <v>1651</v>
      </c>
      <c r="D44" s="14" t="n">
        <v>2060</v>
      </c>
      <c r="E44" s="14" t="n">
        <v>2368</v>
      </c>
      <c r="F44" s="14" t="n">
        <v>5921</v>
      </c>
      <c r="G44" s="6" t="n">
        <f aca="false">SUM(B44:E44)</f>
        <v>7729</v>
      </c>
      <c r="H44" s="14" t="n">
        <v>4271</v>
      </c>
      <c r="I44" s="8" t="s">
        <v>145</v>
      </c>
      <c r="J44" s="7" t="s">
        <v>148</v>
      </c>
    </row>
    <row r="45" customFormat="false" ht="27.75" hidden="false" customHeight="true" outlineLevel="0" collapsed="false">
      <c r="A45" s="5" t="s">
        <v>157</v>
      </c>
      <c r="B45" s="6" t="n">
        <f aca="false">B43-B44</f>
        <v>1578</v>
      </c>
      <c r="C45" s="6" t="n">
        <f aca="false">C43-C44</f>
        <v>1606</v>
      </c>
      <c r="D45" s="6" t="n">
        <f aca="false">D43-D44</f>
        <v>2231</v>
      </c>
      <c r="E45" s="6" t="n">
        <f aca="false">E43-E44</f>
        <v>2880</v>
      </c>
      <c r="F45" s="6" t="n">
        <f aca="false">F43-F44</f>
        <v>5466</v>
      </c>
      <c r="G45" s="6" t="n">
        <f aca="false">SUM(B45:E45)</f>
        <v>8295</v>
      </c>
      <c r="H45" s="6" t="n">
        <f aca="false">H43-H44</f>
        <v>3888</v>
      </c>
      <c r="I45" s="8" t="s">
        <v>145</v>
      </c>
      <c r="J45" s="7" t="s">
        <v>150</v>
      </c>
    </row>
    <row r="46" customFormat="false" ht="27.75" hidden="false" customHeight="true" outlineLevel="0" collapsed="false">
      <c r="A46" s="5" t="s">
        <v>158</v>
      </c>
      <c r="B46" s="6" t="n">
        <f aca="false">F46-H46</f>
        <v>1276</v>
      </c>
      <c r="C46" s="14" t="n">
        <v>1188</v>
      </c>
      <c r="D46" s="14" t="n">
        <v>1656</v>
      </c>
      <c r="E46" s="14" t="n">
        <v>2367</v>
      </c>
      <c r="F46" s="14" t="n">
        <v>4423</v>
      </c>
      <c r="G46" s="6" t="n">
        <f aca="false">SUM(B46:E46)</f>
        <v>6487</v>
      </c>
      <c r="H46" s="14" t="n">
        <v>3147</v>
      </c>
      <c r="I46" s="8" t="s">
        <v>145</v>
      </c>
      <c r="J46" s="7" t="s">
        <v>148</v>
      </c>
    </row>
    <row r="47" customFormat="false" ht="27.75" hidden="false" customHeight="true" outlineLevel="0" collapsed="false">
      <c r="A47" s="5" t="s">
        <v>159</v>
      </c>
      <c r="B47" s="6" t="n">
        <f aca="false">F47-H47</f>
        <v>2045</v>
      </c>
      <c r="C47" s="14" t="n">
        <v>2087</v>
      </c>
      <c r="D47" s="14" t="n">
        <v>2597</v>
      </c>
      <c r="E47" s="14" t="n">
        <v>3499</v>
      </c>
      <c r="F47" s="14" t="n">
        <v>7168</v>
      </c>
      <c r="G47" s="6" t="n">
        <f aca="false">SUM(B47:E47)</f>
        <v>10228</v>
      </c>
      <c r="H47" s="14" t="n">
        <v>5123</v>
      </c>
      <c r="I47" s="8" t="s">
        <v>145</v>
      </c>
      <c r="J47" s="7" t="s">
        <v>153</v>
      </c>
    </row>
    <row r="48" customFormat="false" ht="27.75" hidden="false" customHeight="true" outlineLevel="0" collapsed="false">
      <c r="A48" s="5" t="s">
        <v>160</v>
      </c>
      <c r="B48" s="6" t="n">
        <f aca="false">F48-H48</f>
        <v>1227</v>
      </c>
      <c r="C48" s="14" t="n">
        <v>1332</v>
      </c>
      <c r="D48" s="14" t="n">
        <v>1367</v>
      </c>
      <c r="E48" s="14" t="n">
        <v>1543</v>
      </c>
      <c r="F48" s="14" t="n">
        <v>4178</v>
      </c>
      <c r="G48" s="6" t="n">
        <f aca="false">SUM(B48:E48)</f>
        <v>5469</v>
      </c>
      <c r="H48" s="14" t="n">
        <v>2951</v>
      </c>
      <c r="I48" s="8" t="s">
        <v>145</v>
      </c>
      <c r="J48" s="7" t="s">
        <v>148</v>
      </c>
    </row>
    <row r="49" customFormat="false" ht="27.75" hidden="false" customHeight="true" outlineLevel="0" collapsed="false">
      <c r="A49" s="5" t="s">
        <v>161</v>
      </c>
      <c r="B49" s="6" t="n">
        <f aca="false">F49-H49</f>
        <v>923</v>
      </c>
      <c r="C49" s="14" t="n">
        <v>818</v>
      </c>
      <c r="D49" s="14" t="n">
        <v>2561</v>
      </c>
      <c r="E49" s="14" t="n">
        <v>7560</v>
      </c>
      <c r="F49" s="14" t="n">
        <v>3201</v>
      </c>
      <c r="G49" s="6" t="n">
        <f aca="false">SUM(B49:E49)</f>
        <v>11862</v>
      </c>
      <c r="H49" s="14" t="n">
        <v>2278</v>
      </c>
      <c r="I49" s="8" t="s">
        <v>145</v>
      </c>
      <c r="J49" s="15" t="s">
        <v>146</v>
      </c>
    </row>
    <row r="50" customFormat="false" ht="27.75" hidden="false" customHeight="true" outlineLevel="0" collapsed="false">
      <c r="A50" s="5" t="s">
        <v>162</v>
      </c>
      <c r="B50" s="6" t="n">
        <f aca="false">F50-H50</f>
        <v>604</v>
      </c>
      <c r="C50" s="14" t="n">
        <v>456</v>
      </c>
      <c r="D50" s="14" t="n">
        <v>1106</v>
      </c>
      <c r="E50" s="14" t="n">
        <v>2675</v>
      </c>
      <c r="F50" s="14" t="n">
        <v>2178</v>
      </c>
      <c r="G50" s="6" t="n">
        <f aca="false">SUM(B50:E50)</f>
        <v>4841</v>
      </c>
      <c r="H50" s="14" t="n">
        <v>1574</v>
      </c>
      <c r="I50" s="8" t="s">
        <v>145</v>
      </c>
      <c r="J50" s="7" t="s">
        <v>148</v>
      </c>
    </row>
    <row r="51" customFormat="false" ht="27.75" hidden="false" customHeight="true" outlineLevel="0" collapsed="false">
      <c r="A51" s="5" t="s">
        <v>163</v>
      </c>
      <c r="B51" s="6" t="n">
        <f aca="false">B49-B50</f>
        <v>319</v>
      </c>
      <c r="C51" s="6" t="n">
        <f aca="false">C49-C50</f>
        <v>362</v>
      </c>
      <c r="D51" s="6" t="n">
        <f aca="false">D49-D50</f>
        <v>1455</v>
      </c>
      <c r="E51" s="6" t="n">
        <f aca="false">E49-E50</f>
        <v>4885</v>
      </c>
      <c r="F51" s="6" t="n">
        <f aca="false">F49-F50</f>
        <v>1023</v>
      </c>
      <c r="G51" s="6" t="n">
        <f aca="false">SUM(B51:E51)</f>
        <v>7021</v>
      </c>
      <c r="H51" s="6" t="n">
        <f aca="false">H49-H50</f>
        <v>704</v>
      </c>
      <c r="I51" s="8" t="s">
        <v>145</v>
      </c>
      <c r="J51" s="7" t="s">
        <v>150</v>
      </c>
    </row>
    <row r="52" customFormat="false" ht="27.75" hidden="false" customHeight="true" outlineLevel="0" collapsed="false">
      <c r="A52" s="5" t="s">
        <v>164</v>
      </c>
      <c r="B52" s="6" t="n">
        <f aca="false">F52-H52</f>
        <v>-2173</v>
      </c>
      <c r="C52" s="14" t="n">
        <v>-2469</v>
      </c>
      <c r="D52" s="14" t="n">
        <v>-1257</v>
      </c>
      <c r="E52" s="14" t="n">
        <v>431</v>
      </c>
      <c r="F52" s="14" t="n">
        <v>-6355</v>
      </c>
      <c r="G52" s="6" t="n">
        <f aca="false">SUM(B52:E52)</f>
        <v>-5468</v>
      </c>
      <c r="H52" s="14" t="n">
        <v>-4182</v>
      </c>
      <c r="I52" s="8" t="s">
        <v>145</v>
      </c>
      <c r="J52" s="7" t="s">
        <v>148</v>
      </c>
    </row>
    <row r="53" customFormat="false" ht="27.75" hidden="false" customHeight="true" outlineLevel="0" collapsed="false">
      <c r="A53" s="5" t="s">
        <v>165</v>
      </c>
      <c r="B53" s="6" t="n">
        <f aca="false">F53-H53</f>
        <v>-424</v>
      </c>
      <c r="C53" s="14" t="n">
        <v>-609</v>
      </c>
      <c r="D53" s="14" t="n">
        <v>1146</v>
      </c>
      <c r="E53" s="14" t="n">
        <v>4953</v>
      </c>
      <c r="F53" s="14" t="n">
        <v>-1237</v>
      </c>
      <c r="G53" s="6" t="n">
        <f aca="false">SUM(B53:E53)</f>
        <v>5066</v>
      </c>
      <c r="H53" s="14" t="n">
        <v>-813</v>
      </c>
      <c r="I53" s="8" t="s">
        <v>145</v>
      </c>
      <c r="J53" s="7" t="s">
        <v>153</v>
      </c>
    </row>
    <row r="54" customFormat="false" ht="27.75" hidden="false" customHeight="true" outlineLevel="0" collapsed="false">
      <c r="A54" s="5" t="s">
        <v>166</v>
      </c>
      <c r="B54" s="6" t="n">
        <f aca="false">F54-H54</f>
        <v>4650</v>
      </c>
      <c r="C54" s="14" t="n">
        <v>7723</v>
      </c>
      <c r="D54" s="14" t="n">
        <v>15828</v>
      </c>
      <c r="E54" s="14" t="n">
        <v>16444</v>
      </c>
      <c r="F54" s="14" t="n">
        <v>12727</v>
      </c>
      <c r="G54" s="6" t="n">
        <f aca="false">SUM(B54:E54)</f>
        <v>44645</v>
      </c>
      <c r="H54" s="14" t="n">
        <v>8077</v>
      </c>
      <c r="I54" s="8" t="s">
        <v>145</v>
      </c>
      <c r="J54" s="7" t="s">
        <v>148</v>
      </c>
    </row>
    <row r="56" customFormat="false" ht="15" hidden="false" customHeight="false" outlineLevel="0" collapsed="false">
      <c r="A56" s="17" t="s">
        <v>167</v>
      </c>
    </row>
  </sheetData>
  <mergeCells count="5">
    <mergeCell ref="A1:L1"/>
    <mergeCell ref="A2:L2"/>
    <mergeCell ref="A17:J17"/>
    <mergeCell ref="A30:J30"/>
    <mergeCell ref="A35:J35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EB"/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9.11"/>
    <col collapsed="false" customWidth="true" hidden="false" outlineLevel="0" max="7" min="2" style="0" width="12.74"/>
    <col collapsed="false" customWidth="true" hidden="false" outlineLevel="0" max="8" min="8" style="0" width="54.59"/>
    <col collapsed="false" customWidth="true" hidden="false" outlineLevel="0" max="9" min="9" style="0" width="38.21"/>
    <col collapsed="false" customWidth="true" hidden="false" outlineLevel="0" max="12" min="10" style="0" width="2.73"/>
  </cols>
  <sheetData>
    <row r="1" customFormat="false" ht="30" hidden="false" customHeight="true" outlineLevel="0" collapsed="false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4" t="s">
        <v>3</v>
      </c>
      <c r="B4" s="13" t="s">
        <v>73</v>
      </c>
      <c r="C4" s="13" t="s">
        <v>74</v>
      </c>
      <c r="D4" s="13" t="s">
        <v>75</v>
      </c>
      <c r="E4" s="13" t="s">
        <v>76</v>
      </c>
      <c r="F4" s="13" t="s">
        <v>77</v>
      </c>
      <c r="G4" s="13" t="s">
        <v>78</v>
      </c>
      <c r="H4" s="4" t="s">
        <v>80</v>
      </c>
      <c r="I4" s="4" t="s">
        <v>81</v>
      </c>
    </row>
    <row r="5" customFormat="false" ht="30.75" hidden="false" customHeight="true" outlineLevel="0" collapsed="false">
      <c r="A5" s="8" t="s">
        <v>82</v>
      </c>
      <c r="B5" s="14" t="n">
        <v>24901</v>
      </c>
      <c r="C5" s="14" t="n">
        <v>22387</v>
      </c>
      <c r="D5" s="14" t="n">
        <v>28236</v>
      </c>
      <c r="E5" s="14" t="n">
        <v>28046</v>
      </c>
      <c r="F5" s="14" t="n">
        <v>94827</v>
      </c>
      <c r="G5" s="6" t="n">
        <f aca="false">SUM(B5:E5)</f>
        <v>103570</v>
      </c>
      <c r="H5" s="5" t="s">
        <v>170</v>
      </c>
      <c r="I5" s="15" t="s">
        <v>171</v>
      </c>
    </row>
    <row r="6" customFormat="false" ht="30.75" hidden="false" customHeight="true" outlineLevel="0" collapsed="false">
      <c r="A6" s="8" t="s">
        <v>85</v>
      </c>
      <c r="B6" s="14" t="n">
        <v>19892</v>
      </c>
      <c r="C6" s="14" t="n">
        <v>17667</v>
      </c>
      <c r="D6" s="14" t="n">
        <v>23485</v>
      </c>
      <c r="E6" s="14" t="n">
        <v>22552</v>
      </c>
      <c r="F6" s="14" t="n">
        <v>77733</v>
      </c>
      <c r="G6" s="6" t="n">
        <f aca="false">SUM(B6:E6)</f>
        <v>83596</v>
      </c>
      <c r="H6" s="5" t="s">
        <v>170</v>
      </c>
      <c r="I6" s="15" t="s">
        <v>171</v>
      </c>
    </row>
    <row r="7" customFormat="false" ht="30.75" hidden="false" customHeight="true" outlineLevel="0" collapsed="false">
      <c r="A7" s="8" t="s">
        <v>86</v>
      </c>
      <c r="B7" s="6" t="n">
        <f aca="false">B5-B6</f>
        <v>5009</v>
      </c>
      <c r="C7" s="6" t="n">
        <f aca="false">C5-C6</f>
        <v>4720</v>
      </c>
      <c r="D7" s="6" t="n">
        <f aca="false">D5-D6</f>
        <v>4751</v>
      </c>
      <c r="E7" s="6" t="n">
        <f aca="false">E5-E6</f>
        <v>5494</v>
      </c>
      <c r="F7" s="6" t="n">
        <f aca="false">F5-F6</f>
        <v>17094</v>
      </c>
      <c r="G7" s="6" t="n">
        <f aca="false">SUM(B7:E7)</f>
        <v>19974</v>
      </c>
      <c r="H7" s="5" t="s">
        <v>172</v>
      </c>
      <c r="I7" s="15" t="s">
        <v>173</v>
      </c>
    </row>
    <row r="8" customFormat="false" ht="30.75" hidden="false" customHeight="true" outlineLevel="0" collapsed="false">
      <c r="A8" s="8" t="s">
        <v>174</v>
      </c>
      <c r="B8" s="14" t="n">
        <v>1409</v>
      </c>
      <c r="C8" s="14" t="n">
        <v>941</v>
      </c>
      <c r="D8" s="14" t="n">
        <v>398</v>
      </c>
      <c r="E8" s="14" t="n">
        <v>718</v>
      </c>
      <c r="F8" s="14" t="n">
        <v>4355</v>
      </c>
      <c r="G8" s="6" t="n">
        <f aca="false">SUM(B8:E8)</f>
        <v>3466</v>
      </c>
      <c r="H8" s="5" t="s">
        <v>170</v>
      </c>
      <c r="I8" s="15" t="s">
        <v>171</v>
      </c>
    </row>
    <row r="9" customFormat="false" ht="30.75" hidden="false" customHeight="true" outlineLevel="0" collapsed="false">
      <c r="A9" s="8" t="s">
        <v>175</v>
      </c>
      <c r="B9" s="14" t="n">
        <v>856</v>
      </c>
      <c r="C9" s="14" t="n">
        <v>491</v>
      </c>
      <c r="D9" s="14" t="n">
        <v>1128</v>
      </c>
      <c r="E9" s="14" t="n">
        <v>804</v>
      </c>
      <c r="F9" s="14" t="n">
        <v>3855</v>
      </c>
      <c r="G9" s="6" t="n">
        <f aca="false">SUM(B9:E9)</f>
        <v>3279</v>
      </c>
      <c r="H9" s="5" t="s">
        <v>170</v>
      </c>
      <c r="I9" s="15" t="s">
        <v>176</v>
      </c>
    </row>
    <row r="10" customFormat="false" ht="30.75" hidden="false" customHeight="true" outlineLevel="0" collapsed="false">
      <c r="A10" s="8" t="s">
        <v>177</v>
      </c>
      <c r="B10" s="14" t="n">
        <v>840</v>
      </c>
      <c r="C10" s="14" t="n">
        <v>477</v>
      </c>
      <c r="D10" s="14" t="n">
        <v>1114</v>
      </c>
      <c r="E10" s="14" t="n">
        <v>787</v>
      </c>
      <c r="F10" s="14" t="n">
        <v>3794</v>
      </c>
      <c r="G10" s="6" t="n">
        <f aca="false">SUM(B10:E10)</f>
        <v>3218</v>
      </c>
      <c r="H10" s="5" t="s">
        <v>178</v>
      </c>
      <c r="I10" s="15" t="s">
        <v>179</v>
      </c>
    </row>
    <row r="11" customFormat="false" ht="30.75" hidden="false" customHeight="true" outlineLevel="0" collapsed="false">
      <c r="A11" s="8" t="s">
        <v>96</v>
      </c>
      <c r="B11" s="14" t="n">
        <v>3813</v>
      </c>
      <c r="C11" s="14" t="n">
        <v>3937</v>
      </c>
      <c r="D11" s="14" t="n">
        <v>4697</v>
      </c>
      <c r="E11" s="14" t="n">
        <v>6263</v>
      </c>
      <c r="F11" s="14" t="n">
        <v>14747</v>
      </c>
      <c r="G11" s="6" t="n">
        <f aca="false">SUM(B11:E11)</f>
        <v>18710</v>
      </c>
      <c r="H11" s="5" t="s">
        <v>180</v>
      </c>
      <c r="I11" s="15" t="s">
        <v>171</v>
      </c>
    </row>
    <row r="12" customFormat="false" ht="30.75" hidden="false" customHeight="true" outlineLevel="0" collapsed="false">
      <c r="A12" s="8" t="s">
        <v>99</v>
      </c>
      <c r="B12" s="14" t="n">
        <v>2393</v>
      </c>
      <c r="C12" s="14" t="n">
        <v>2493</v>
      </c>
      <c r="D12" s="14" t="n">
        <v>5789</v>
      </c>
      <c r="E12" s="14" t="n">
        <v>4732</v>
      </c>
      <c r="F12" s="14" t="n">
        <v>8527</v>
      </c>
      <c r="G12" s="6" t="n">
        <f aca="false">SUM(B12:E12)</f>
        <v>15407</v>
      </c>
      <c r="H12" s="5" t="s">
        <v>181</v>
      </c>
      <c r="I12" s="7" t="s">
        <v>182</v>
      </c>
    </row>
    <row r="13" customFormat="false" ht="30.75" hidden="false" customHeight="true" outlineLevel="0" collapsed="false">
      <c r="A13" s="8" t="s">
        <v>102</v>
      </c>
      <c r="B13" s="6" t="n">
        <f aca="false">B11-B12</f>
        <v>1420</v>
      </c>
      <c r="C13" s="6" t="n">
        <f aca="false">C11-C12</f>
        <v>1444</v>
      </c>
      <c r="D13" s="6" t="n">
        <f aca="false">D11-D12</f>
        <v>-1092</v>
      </c>
      <c r="E13" s="6" t="n">
        <f aca="false">E11-E12</f>
        <v>1531</v>
      </c>
      <c r="F13" s="6" t="n">
        <f aca="false">F11-F12</f>
        <v>6220</v>
      </c>
      <c r="G13" s="6" t="n">
        <f aca="false">SUM(B13:E13)</f>
        <v>3303</v>
      </c>
      <c r="H13" s="5" t="s">
        <v>183</v>
      </c>
      <c r="I13" s="15" t="s">
        <v>184</v>
      </c>
    </row>
    <row r="14" customFormat="false" ht="30.75" hidden="false" customHeight="true" outlineLevel="0" collapsed="false">
      <c r="A14" s="8" t="s">
        <v>105</v>
      </c>
      <c r="B14" s="14" t="n">
        <v>4154</v>
      </c>
      <c r="C14" s="14" t="n">
        <v>3668</v>
      </c>
      <c r="D14" s="14" t="n">
        <v>3273</v>
      </c>
      <c r="E14" s="14" t="n">
        <v>3900</v>
      </c>
      <c r="F14" s="14" t="n">
        <v>14596</v>
      </c>
      <c r="G14" s="6" t="n">
        <f aca="false">SUM(B14:E14)</f>
        <v>14995</v>
      </c>
      <c r="H14" s="5" t="s">
        <v>185</v>
      </c>
      <c r="I14" s="7" t="s">
        <v>186</v>
      </c>
    </row>
    <row r="17" customFormat="false" ht="21.75" hidden="false" customHeight="true" outlineLevel="0" collapsed="false">
      <c r="A17" s="3" t="s">
        <v>187</v>
      </c>
      <c r="B17" s="3"/>
      <c r="C17" s="3"/>
      <c r="D17" s="3"/>
      <c r="E17" s="3"/>
      <c r="F17" s="3"/>
      <c r="G17" s="3"/>
      <c r="H17" s="3"/>
      <c r="I17" s="3"/>
    </row>
    <row r="18" customFormat="false" ht="31.5" hidden="false" customHeight="true" outlineLevel="0" collapsed="false">
      <c r="A18" s="4" t="s">
        <v>3</v>
      </c>
      <c r="B18" s="13" t="s">
        <v>109</v>
      </c>
      <c r="C18" s="13" t="s">
        <v>110</v>
      </c>
      <c r="D18" s="13" t="s">
        <v>111</v>
      </c>
      <c r="E18" s="13" t="s">
        <v>112</v>
      </c>
      <c r="F18" s="4" t="s">
        <v>80</v>
      </c>
      <c r="G18" s="4" t="s">
        <v>81</v>
      </c>
      <c r="H18" s="4"/>
      <c r="I18" s="4"/>
    </row>
    <row r="19" customFormat="false" ht="30" hidden="false" customHeight="true" outlineLevel="0" collapsed="false">
      <c r="A19" s="8" t="s">
        <v>188</v>
      </c>
      <c r="B19" s="14" t="n">
        <v>44059</v>
      </c>
      <c r="C19" s="14" t="n">
        <v>44743</v>
      </c>
      <c r="D19" s="14" t="n">
        <v>43524</v>
      </c>
      <c r="E19" s="14" t="n">
        <v>45447</v>
      </c>
      <c r="F19" s="5" t="s">
        <v>189</v>
      </c>
      <c r="G19" s="7" t="s">
        <v>117</v>
      </c>
    </row>
    <row r="20" customFormat="false" ht="30" hidden="false" customHeight="true" outlineLevel="0" collapsed="false">
      <c r="A20" s="8" t="s">
        <v>190</v>
      </c>
      <c r="B20" s="14" t="n">
        <v>16513</v>
      </c>
      <c r="C20" s="14"/>
      <c r="D20" s="14"/>
      <c r="E20" s="14" t="n">
        <v>17853</v>
      </c>
      <c r="F20" s="5" t="s">
        <v>191</v>
      </c>
      <c r="G20" s="15" t="s">
        <v>192</v>
      </c>
    </row>
    <row r="21" customFormat="false" ht="30" hidden="false" customHeight="true" outlineLevel="0" collapsed="false">
      <c r="A21" s="8" t="s">
        <v>193</v>
      </c>
      <c r="B21" s="14" t="n">
        <v>27546</v>
      </c>
      <c r="C21" s="14"/>
      <c r="D21" s="14"/>
      <c r="E21" s="14" t="n">
        <v>27594</v>
      </c>
      <c r="F21" s="5" t="s">
        <v>191</v>
      </c>
      <c r="G21" s="15" t="s">
        <v>192</v>
      </c>
    </row>
    <row r="22" customFormat="false" ht="30" hidden="false" customHeight="true" outlineLevel="0" collapsed="false">
      <c r="A22" s="8" t="s">
        <v>121</v>
      </c>
      <c r="B22" s="14" t="n">
        <v>1640</v>
      </c>
      <c r="C22" s="14" t="n">
        <v>1447</v>
      </c>
      <c r="D22" s="14" t="n">
        <v>1418</v>
      </c>
      <c r="E22" s="14" t="n">
        <v>1387</v>
      </c>
      <c r="F22" s="5" t="s">
        <v>194</v>
      </c>
      <c r="G22" s="7" t="s">
        <v>195</v>
      </c>
    </row>
    <row r="23" customFormat="false" ht="30" hidden="false" customHeight="true" outlineLevel="0" collapsed="false">
      <c r="A23" s="8" t="s">
        <v>123</v>
      </c>
      <c r="B23" s="14" t="n">
        <v>6736</v>
      </c>
      <c r="C23" s="14" t="n">
        <v>7782</v>
      </c>
      <c r="D23" s="14" t="n">
        <v>7924</v>
      </c>
      <c r="E23" s="14" t="n">
        <v>8136</v>
      </c>
      <c r="F23" s="5" t="s">
        <v>194</v>
      </c>
      <c r="G23" s="7" t="s">
        <v>195</v>
      </c>
    </row>
    <row r="24" customFormat="false" ht="30" hidden="false" customHeight="true" outlineLevel="0" collapsed="false">
      <c r="A24" s="8" t="s">
        <v>124</v>
      </c>
      <c r="B24" s="6" t="n">
        <f aca="false">B22+B23</f>
        <v>8376</v>
      </c>
      <c r="C24" s="6" t="n">
        <f aca="false">C22+C23</f>
        <v>9229</v>
      </c>
      <c r="D24" s="6" t="n">
        <f aca="false">D22+D23</f>
        <v>9342</v>
      </c>
      <c r="E24" s="6" t="n">
        <f aca="false">E22+E23</f>
        <v>9523</v>
      </c>
      <c r="F24" s="8" t="s">
        <v>196</v>
      </c>
      <c r="G24" s="7" t="s">
        <v>197</v>
      </c>
    </row>
    <row r="25" customFormat="false" ht="30" hidden="false" customHeight="true" outlineLevel="0" collapsed="false">
      <c r="A25" s="5" t="s">
        <v>198</v>
      </c>
      <c r="B25" s="14" t="n">
        <v>82137</v>
      </c>
      <c r="C25" s="14" t="n">
        <v>84116</v>
      </c>
      <c r="D25" s="14" t="n">
        <v>86858</v>
      </c>
      <c r="E25" s="14" t="n">
        <v>89289</v>
      </c>
      <c r="F25" s="5" t="s">
        <v>194</v>
      </c>
      <c r="G25" s="7" t="s">
        <v>199</v>
      </c>
    </row>
    <row r="26" customFormat="false" ht="30" hidden="false" customHeight="true" outlineLevel="0" collapsed="false">
      <c r="A26" s="8" t="s">
        <v>200</v>
      </c>
      <c r="B26" s="14" t="n">
        <v>670</v>
      </c>
      <c r="C26" s="14" t="n">
        <v>629</v>
      </c>
      <c r="D26" s="14" t="n">
        <v>607</v>
      </c>
      <c r="E26" s="14" t="n">
        <v>546</v>
      </c>
      <c r="F26" s="5" t="s">
        <v>194</v>
      </c>
      <c r="G26" s="7" t="s">
        <v>201</v>
      </c>
    </row>
    <row r="27" customFormat="false" ht="30" hidden="false" customHeight="true" outlineLevel="0" collapsed="false">
      <c r="A27" s="8" t="s">
        <v>202</v>
      </c>
      <c r="B27" s="6" t="n">
        <f aca="false">B25+B26</f>
        <v>82807</v>
      </c>
      <c r="C27" s="6" t="n">
        <f aca="false">C25+C26</f>
        <v>84745</v>
      </c>
      <c r="D27" s="6" t="n">
        <f aca="false">D25+D26</f>
        <v>87465</v>
      </c>
      <c r="E27" s="6" t="n">
        <f aca="false">E25+E26</f>
        <v>89835</v>
      </c>
      <c r="F27" s="8" t="s">
        <v>203</v>
      </c>
      <c r="G27" s="7" t="s">
        <v>204</v>
      </c>
    </row>
    <row r="28" customFormat="false" ht="30" hidden="false" customHeight="true" outlineLevel="0" collapsed="false">
      <c r="A28" s="8" t="s">
        <v>205</v>
      </c>
      <c r="B28" s="14" t="n">
        <v>58</v>
      </c>
      <c r="C28" s="14" t="n">
        <v>57</v>
      </c>
      <c r="D28" s="14" t="n">
        <v>54</v>
      </c>
      <c r="E28" s="14" t="n">
        <v>54</v>
      </c>
      <c r="F28" s="5" t="s">
        <v>194</v>
      </c>
      <c r="G28" s="7" t="s">
        <v>206</v>
      </c>
    </row>
    <row r="31" customFormat="false" ht="21.75" hidden="false" customHeight="true" outlineLevel="0" collapsed="false">
      <c r="A31" s="3" t="s">
        <v>207</v>
      </c>
      <c r="B31" s="3"/>
      <c r="C31" s="3"/>
      <c r="D31" s="3"/>
      <c r="E31" s="3"/>
      <c r="F31" s="3"/>
      <c r="G31" s="3"/>
      <c r="H31" s="3"/>
      <c r="I31" s="3"/>
    </row>
    <row r="32" customFormat="false" ht="31.5" hidden="false" customHeight="true" outlineLevel="0" collapsed="false">
      <c r="A32" s="4" t="s">
        <v>143</v>
      </c>
      <c r="B32" s="13" t="s">
        <v>73</v>
      </c>
      <c r="C32" s="13" t="s">
        <v>74</v>
      </c>
      <c r="D32" s="13" t="s">
        <v>75</v>
      </c>
      <c r="E32" s="13" t="s">
        <v>76</v>
      </c>
      <c r="F32" s="13" t="s">
        <v>77</v>
      </c>
      <c r="G32" s="13" t="s">
        <v>78</v>
      </c>
      <c r="H32" s="13" t="s">
        <v>79</v>
      </c>
      <c r="I32" s="4" t="s">
        <v>208</v>
      </c>
    </row>
    <row r="33" customFormat="false" ht="30.75" hidden="false" customHeight="true" outlineLevel="0" collapsed="false">
      <c r="A33" s="5" t="s">
        <v>209</v>
      </c>
      <c r="B33" s="6" t="n">
        <f aca="false">F33-H33</f>
        <v>21064</v>
      </c>
      <c r="C33" s="14" t="n">
        <v>19979</v>
      </c>
      <c r="D33" s="14" t="n">
        <v>25097</v>
      </c>
      <c r="E33" s="14" t="n">
        <v>25165</v>
      </c>
      <c r="F33" s="14" t="n">
        <v>82056</v>
      </c>
      <c r="G33" s="6" t="n">
        <f aca="false">SUM(B33:E33)</f>
        <v>91305</v>
      </c>
      <c r="H33" s="14" t="n">
        <v>60992</v>
      </c>
      <c r="I33" s="5" t="s">
        <v>210</v>
      </c>
    </row>
    <row r="34" customFormat="false" ht="30.75" hidden="false" customHeight="true" outlineLevel="0" collapsed="false">
      <c r="A34" s="5" t="s">
        <v>211</v>
      </c>
      <c r="B34" s="6" t="n">
        <f aca="false">F34-H34</f>
        <v>17153</v>
      </c>
      <c r="C34" s="14" t="n">
        <v>16211</v>
      </c>
      <c r="D34" s="14" t="n">
        <v>20986</v>
      </c>
      <c r="E34" s="14" t="n">
        <v>20625</v>
      </c>
      <c r="F34" s="14" t="n">
        <v>68764</v>
      </c>
      <c r="G34" s="6" t="n">
        <f aca="false">SUM(B34:E34)</f>
        <v>74975</v>
      </c>
      <c r="H34" s="14" t="n">
        <v>51611</v>
      </c>
      <c r="I34" s="5" t="s">
        <v>210</v>
      </c>
    </row>
    <row r="35" customFormat="false" ht="30.75" hidden="false" customHeight="true" outlineLevel="0" collapsed="false">
      <c r="A35" s="5" t="s">
        <v>212</v>
      </c>
      <c r="B35" s="6" t="n">
        <f aca="false">B33-B34</f>
        <v>3911</v>
      </c>
      <c r="C35" s="6" t="n">
        <f aca="false">C33-C34</f>
        <v>3768</v>
      </c>
      <c r="D35" s="6" t="n">
        <f aca="false">D33-D34</f>
        <v>4111</v>
      </c>
      <c r="E35" s="6" t="n">
        <f aca="false">E33-E34</f>
        <v>4540</v>
      </c>
      <c r="F35" s="6" t="n">
        <f aca="false">F33-F34</f>
        <v>13292</v>
      </c>
      <c r="G35" s="6" t="n">
        <f aca="false">SUM(B35:E35)</f>
        <v>16330</v>
      </c>
      <c r="H35" s="6" t="n">
        <f aca="false">H33-H34</f>
        <v>9381</v>
      </c>
      <c r="I35" s="5" t="s">
        <v>210</v>
      </c>
    </row>
    <row r="36" customFormat="false" ht="30.75" hidden="false" customHeight="true" outlineLevel="0" collapsed="false">
      <c r="A36" s="5" t="s">
        <v>213</v>
      </c>
      <c r="B36" s="6" t="n">
        <f aca="false">F36-H36</f>
        <v>3837</v>
      </c>
      <c r="C36" s="14" t="n">
        <v>2408</v>
      </c>
      <c r="D36" s="14" t="n">
        <v>3139</v>
      </c>
      <c r="E36" s="14" t="n">
        <v>2881</v>
      </c>
      <c r="F36" s="14" t="n">
        <v>12771</v>
      </c>
      <c r="G36" s="6" t="n">
        <f aca="false">SUM(B36:E36)</f>
        <v>12265</v>
      </c>
      <c r="H36" s="14" t="n">
        <v>8934</v>
      </c>
      <c r="I36" s="5" t="s">
        <v>214</v>
      </c>
    </row>
    <row r="37" customFormat="false" ht="30.75" hidden="false" customHeight="true" outlineLevel="0" collapsed="false">
      <c r="A37" s="5" t="s">
        <v>215</v>
      </c>
      <c r="B37" s="6" t="n">
        <f aca="false">F37-H37</f>
        <v>2739</v>
      </c>
      <c r="C37" s="14" t="n">
        <v>1456</v>
      </c>
      <c r="D37" s="14" t="n">
        <v>2499</v>
      </c>
      <c r="E37" s="14" t="n">
        <v>1927</v>
      </c>
      <c r="F37" s="14" t="n">
        <v>8969</v>
      </c>
      <c r="G37" s="6" t="n">
        <f aca="false">SUM(B37:E37)</f>
        <v>8621</v>
      </c>
      <c r="H37" s="14" t="n">
        <v>6230</v>
      </c>
      <c r="I37" s="5" t="s">
        <v>214</v>
      </c>
    </row>
    <row r="38" customFormat="false" ht="30.75" hidden="false" customHeight="true" outlineLevel="0" collapsed="false">
      <c r="A38" s="5" t="s">
        <v>216</v>
      </c>
      <c r="B38" s="6" t="n">
        <f aca="false">B36-B37</f>
        <v>1098</v>
      </c>
      <c r="C38" s="6" t="n">
        <f aca="false">C36-C37</f>
        <v>952</v>
      </c>
      <c r="D38" s="6" t="n">
        <f aca="false">D36-D37</f>
        <v>640</v>
      </c>
      <c r="E38" s="6" t="n">
        <f aca="false">E36-E37</f>
        <v>954</v>
      </c>
      <c r="F38" s="6" t="n">
        <f aca="false">F36-F37</f>
        <v>3802</v>
      </c>
      <c r="G38" s="6" t="n">
        <f aca="false">SUM(B38:E38)</f>
        <v>3644</v>
      </c>
      <c r="H38" s="6" t="n">
        <f aca="false">H36-H37</f>
        <v>2704</v>
      </c>
      <c r="I38" s="5" t="s">
        <v>214</v>
      </c>
    </row>
    <row r="40" customFormat="false" ht="15" hidden="false" customHeight="false" outlineLevel="0" collapsed="false">
      <c r="A40" s="17" t="s">
        <v>217</v>
      </c>
    </row>
  </sheetData>
  <mergeCells count="4">
    <mergeCell ref="A1:L1"/>
    <mergeCell ref="A2:L2"/>
    <mergeCell ref="A17:I17"/>
    <mergeCell ref="A31:I31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2"/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7" min="2" style="0" width="16.38"/>
    <col collapsed="false" customWidth="true" hidden="false" outlineLevel="0" max="8" min="8" style="0" width="56.41"/>
    <col collapsed="false" customWidth="true" hidden="false" outlineLevel="0" max="10" min="9" style="0" width="16.38"/>
    <col collapsed="false" customWidth="true" hidden="false" outlineLevel="0" max="12" min="11" style="0" width="2.73"/>
  </cols>
  <sheetData>
    <row r="1" customFormat="false" ht="30" hidden="false" customHeight="true" outlineLevel="0" collapsed="false">
      <c r="A1" s="18" t="s">
        <v>218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16" t="s">
        <v>220</v>
      </c>
      <c r="B4" s="16"/>
      <c r="C4" s="16"/>
      <c r="D4" s="16"/>
      <c r="E4" s="16"/>
      <c r="F4" s="16"/>
      <c r="G4" s="16"/>
      <c r="H4" s="16"/>
    </row>
    <row r="5" customFormat="false" ht="31.5" hidden="false" customHeight="true" outlineLevel="0" collapsed="false">
      <c r="A5" s="4" t="s">
        <v>3</v>
      </c>
      <c r="B5" s="13" t="s">
        <v>221</v>
      </c>
      <c r="C5" s="13" t="s">
        <v>222</v>
      </c>
      <c r="D5" s="4" t="s">
        <v>223</v>
      </c>
      <c r="E5" s="4" t="s">
        <v>224</v>
      </c>
      <c r="F5" s="4" t="s">
        <v>225</v>
      </c>
      <c r="G5" s="4"/>
      <c r="H5" s="4"/>
    </row>
    <row r="6" customFormat="false" ht="30" hidden="false" customHeight="true" outlineLevel="0" collapsed="false">
      <c r="A6" s="8" t="s">
        <v>226</v>
      </c>
      <c r="B6" s="6" t="n">
        <f aca="false">SpaceX!G5</f>
        <v>32043</v>
      </c>
      <c r="C6" s="6" t="n">
        <f aca="false">Tesla!G5</f>
        <v>103570</v>
      </c>
      <c r="D6" s="19" t="n">
        <f aca="false">B6+C6</f>
        <v>135613</v>
      </c>
      <c r="E6" s="10"/>
      <c r="F6" s="7" t="s">
        <v>227</v>
      </c>
    </row>
    <row r="7" customFormat="false" ht="30" hidden="false" customHeight="true" outlineLevel="0" collapsed="false">
      <c r="A7" s="8" t="s">
        <v>228</v>
      </c>
      <c r="B7" s="6" t="n">
        <f aca="false">SpaceX!G7</f>
        <v>18180</v>
      </c>
      <c r="C7" s="6" t="n">
        <f aca="false">Tesla!G7</f>
        <v>19974</v>
      </c>
      <c r="D7" s="19" t="n">
        <f aca="false">B7+C7</f>
        <v>38154</v>
      </c>
      <c r="E7" s="10" t="n">
        <f aca="false">D7/D6</f>
        <v>0.281344708840598</v>
      </c>
      <c r="F7" s="7" t="s">
        <v>227</v>
      </c>
    </row>
    <row r="8" customFormat="false" ht="30" hidden="false" customHeight="true" outlineLevel="0" collapsed="false">
      <c r="A8" s="8" t="s">
        <v>174</v>
      </c>
      <c r="B8" s="6" t="n">
        <f aca="false">SpaceX!G8</f>
        <v>-668</v>
      </c>
      <c r="C8" s="6" t="n">
        <f aca="false">Tesla!G8</f>
        <v>3466</v>
      </c>
      <c r="D8" s="19" t="n">
        <f aca="false">B8+C8</f>
        <v>2798</v>
      </c>
      <c r="E8" s="10" t="n">
        <f aca="false">D8/D6</f>
        <v>0.0206322402719503</v>
      </c>
      <c r="F8" s="7" t="s">
        <v>227</v>
      </c>
    </row>
    <row r="9" customFormat="false" ht="30" hidden="false" customHeight="true" outlineLevel="0" collapsed="false">
      <c r="A9" s="8" t="s">
        <v>229</v>
      </c>
      <c r="B9" s="6" t="n">
        <f aca="false">SpaceX!G9</f>
        <v>-2760</v>
      </c>
      <c r="C9" s="6" t="n">
        <f aca="false">Tesla!G9</f>
        <v>3279</v>
      </c>
      <c r="D9" s="19" t="n">
        <f aca="false">B9+C9</f>
        <v>519</v>
      </c>
      <c r="E9" s="10" t="n">
        <f aca="false">D9/D6</f>
        <v>0.00382706672664125</v>
      </c>
      <c r="F9" s="7" t="s">
        <v>227</v>
      </c>
    </row>
    <row r="10" customFormat="false" ht="30" hidden="false" customHeight="true" outlineLevel="0" collapsed="false">
      <c r="A10" s="8" t="s">
        <v>230</v>
      </c>
      <c r="B10" s="6" t="n">
        <f aca="false">SpaceX!G11</f>
        <v>15762</v>
      </c>
      <c r="C10" s="6" t="n">
        <f aca="false">Tesla!G11</f>
        <v>18710</v>
      </c>
      <c r="D10" s="19" t="n">
        <f aca="false">B10+C10</f>
        <v>34472</v>
      </c>
      <c r="E10" s="10"/>
      <c r="F10" s="7" t="s">
        <v>227</v>
      </c>
    </row>
    <row r="11" customFormat="false" ht="30" hidden="false" customHeight="true" outlineLevel="0" collapsed="false">
      <c r="A11" s="8" t="s">
        <v>231</v>
      </c>
      <c r="B11" s="6" t="n">
        <f aca="false">SpaceX!G12</f>
        <v>54960</v>
      </c>
      <c r="C11" s="6" t="n">
        <f aca="false">Tesla!G12</f>
        <v>15407</v>
      </c>
      <c r="D11" s="19" t="n">
        <f aca="false">B11+C11</f>
        <v>70367</v>
      </c>
      <c r="E11" s="10"/>
      <c r="F11" s="7" t="s">
        <v>227</v>
      </c>
    </row>
    <row r="12" customFormat="false" ht="30" hidden="false" customHeight="true" outlineLevel="0" collapsed="false">
      <c r="A12" s="8" t="s">
        <v>232</v>
      </c>
      <c r="B12" s="6" t="n">
        <f aca="false">SpaceX!G13</f>
        <v>-39198</v>
      </c>
      <c r="C12" s="6" t="n">
        <f aca="false">Tesla!G13</f>
        <v>3303</v>
      </c>
      <c r="D12" s="19" t="n">
        <f aca="false">B12+C12</f>
        <v>-35895</v>
      </c>
      <c r="E12" s="10" t="n">
        <f aca="false">D12/D6</f>
        <v>-0.264687013781865</v>
      </c>
      <c r="F12" s="7" t="s">
        <v>227</v>
      </c>
    </row>
    <row r="13" customFormat="false" ht="30" hidden="false" customHeight="true" outlineLevel="0" collapsed="false">
      <c r="A13" s="8" t="s">
        <v>233</v>
      </c>
      <c r="B13" s="6" t="n">
        <f aca="false">SpaceX!G14</f>
        <v>14945</v>
      </c>
      <c r="C13" s="6" t="n">
        <f aca="false">Tesla!G14</f>
        <v>14995</v>
      </c>
      <c r="D13" s="19" t="n">
        <f aca="false">B13+C13</f>
        <v>29940</v>
      </c>
      <c r="E13" s="10" t="n">
        <f aca="false">D13/D6</f>
        <v>0.220775294403929</v>
      </c>
      <c r="F13" s="7" t="s">
        <v>227</v>
      </c>
    </row>
    <row r="16" customFormat="false" ht="21.75" hidden="false" customHeight="true" outlineLevel="0" collapsed="false">
      <c r="A16" s="16" t="s">
        <v>234</v>
      </c>
      <c r="B16" s="16"/>
      <c r="C16" s="16"/>
      <c r="D16" s="16"/>
      <c r="E16" s="16"/>
      <c r="F16" s="16"/>
      <c r="G16" s="16"/>
      <c r="H16" s="16"/>
    </row>
    <row r="17" customFormat="false" ht="31.5" hidden="false" customHeight="true" outlineLevel="0" collapsed="false">
      <c r="A17" s="4" t="s">
        <v>3</v>
      </c>
      <c r="B17" s="13" t="s">
        <v>221</v>
      </c>
      <c r="C17" s="13" t="s">
        <v>222</v>
      </c>
      <c r="D17" s="4" t="s">
        <v>223</v>
      </c>
      <c r="E17" s="4" t="s">
        <v>235</v>
      </c>
      <c r="F17" s="4" t="s">
        <v>225</v>
      </c>
      <c r="G17" s="4"/>
      <c r="H17" s="4"/>
    </row>
    <row r="18" customFormat="false" ht="34.5" hidden="false" customHeight="true" outlineLevel="0" collapsed="false">
      <c r="A18" s="8" t="s">
        <v>118</v>
      </c>
      <c r="B18" s="6" t="n">
        <f aca="false">SpaceX!E21</f>
        <v>89855</v>
      </c>
      <c r="C18" s="6" t="n">
        <f aca="false">Tesla!E19</f>
        <v>45447</v>
      </c>
      <c r="D18" s="19" t="n">
        <f aca="false">B18+C18</f>
        <v>135302</v>
      </c>
      <c r="F18" s="7" t="s">
        <v>236</v>
      </c>
    </row>
    <row r="19" customFormat="false" ht="34.5" hidden="false" customHeight="true" outlineLevel="0" collapsed="false">
      <c r="A19" s="8" t="s">
        <v>237</v>
      </c>
      <c r="B19" s="6" t="n">
        <f aca="false">SpaceX!E24</f>
        <v>38844</v>
      </c>
      <c r="C19" s="6" t="n">
        <f aca="false">Tesla!E24</f>
        <v>9523</v>
      </c>
      <c r="D19" s="19" t="n">
        <f aca="false">B19+C19</f>
        <v>48367</v>
      </c>
      <c r="F19" s="7" t="s">
        <v>236</v>
      </c>
    </row>
    <row r="20" customFormat="false" ht="34.5" hidden="false" customHeight="true" outlineLevel="0" collapsed="false">
      <c r="A20" s="8" t="s">
        <v>238</v>
      </c>
      <c r="B20" s="6" t="n">
        <f aca="false">B18-B19</f>
        <v>51011</v>
      </c>
      <c r="C20" s="6" t="n">
        <f aca="false">C18-C19</f>
        <v>35924</v>
      </c>
      <c r="D20" s="19" t="n">
        <f aca="false">B20+C20</f>
        <v>86935</v>
      </c>
      <c r="F20" s="7" t="s">
        <v>239</v>
      </c>
    </row>
    <row r="21" customFormat="false" ht="34.5" hidden="false" customHeight="true" outlineLevel="0" collapsed="false">
      <c r="A21" s="8" t="s">
        <v>240</v>
      </c>
      <c r="B21" s="6" t="n">
        <f aca="false">SpaceX!E25</f>
        <v>176768</v>
      </c>
      <c r="C21" s="6" t="n">
        <f aca="false">Tesla!E27</f>
        <v>89835</v>
      </c>
      <c r="D21" s="19" t="n">
        <f aca="false">B21+C21</f>
        <v>266603</v>
      </c>
      <c r="F21" s="7" t="s">
        <v>236</v>
      </c>
    </row>
    <row r="22" customFormat="false" ht="34.5" hidden="false" customHeight="true" outlineLevel="0" collapsed="false">
      <c r="A22" s="5" t="s">
        <v>241</v>
      </c>
      <c r="B22" s="14" t="n">
        <v>0</v>
      </c>
      <c r="C22" s="14" t="n">
        <v>2865</v>
      </c>
      <c r="D22" s="19" t="n">
        <f aca="false">C22</f>
        <v>2865</v>
      </c>
      <c r="F22" s="15" t="s">
        <v>242</v>
      </c>
    </row>
    <row r="25" customFormat="false" ht="21.75" hidden="false" customHeight="true" outlineLevel="0" collapsed="false">
      <c r="A25" s="16" t="s">
        <v>243</v>
      </c>
      <c r="B25" s="16"/>
      <c r="C25" s="16"/>
      <c r="D25" s="16"/>
      <c r="E25" s="16"/>
      <c r="F25" s="16"/>
      <c r="G25" s="16"/>
      <c r="H25" s="16"/>
    </row>
    <row r="26" customFormat="false" ht="31.5" hidden="false" customHeight="true" outlineLevel="0" collapsed="false">
      <c r="A26" s="4" t="s">
        <v>244</v>
      </c>
      <c r="B26" s="4" t="s">
        <v>245</v>
      </c>
      <c r="C26" s="13" t="s">
        <v>246</v>
      </c>
      <c r="D26" s="4" t="s">
        <v>247</v>
      </c>
      <c r="E26" s="13" t="s">
        <v>248</v>
      </c>
      <c r="F26" s="4" t="s">
        <v>249</v>
      </c>
      <c r="G26" s="13" t="s">
        <v>250</v>
      </c>
      <c r="H26" s="4" t="s">
        <v>225</v>
      </c>
    </row>
    <row r="27" customFormat="false" ht="37.5" hidden="false" customHeight="true" outlineLevel="0" collapsed="false">
      <c r="A27" s="5" t="s">
        <v>251</v>
      </c>
      <c r="B27" s="20" t="s">
        <v>222</v>
      </c>
      <c r="C27" s="6" t="n">
        <f aca="false">Tesla!G33</f>
        <v>91305</v>
      </c>
      <c r="D27" s="10" t="n">
        <f aca="false">C27/$C$32</f>
        <v>0.673276160840038</v>
      </c>
      <c r="E27" s="6" t="n">
        <f aca="false">Tesla!G35</f>
        <v>16330</v>
      </c>
      <c r="F27" s="10" t="n">
        <f aca="false">E27/$E$32</f>
        <v>0.428002306442313</v>
      </c>
      <c r="G27" s="21" t="s">
        <v>252</v>
      </c>
      <c r="H27" s="15" t="s">
        <v>253</v>
      </c>
    </row>
    <row r="28" customFormat="false" ht="37.5" hidden="false" customHeight="true" outlineLevel="0" collapsed="false">
      <c r="A28" s="5" t="s">
        <v>254</v>
      </c>
      <c r="B28" s="20" t="s">
        <v>222</v>
      </c>
      <c r="C28" s="6" t="n">
        <f aca="false">Tesla!G36</f>
        <v>12265</v>
      </c>
      <c r="D28" s="10" t="n">
        <f aca="false">C28/$C$32</f>
        <v>0.0904411818925914</v>
      </c>
      <c r="E28" s="6" t="n">
        <f aca="false">Tesla!G38</f>
        <v>3644</v>
      </c>
      <c r="F28" s="10" t="n">
        <f aca="false">E28/$E$32</f>
        <v>0.0955076794045185</v>
      </c>
      <c r="G28" s="21" t="s">
        <v>252</v>
      </c>
      <c r="H28" s="15" t="s">
        <v>253</v>
      </c>
    </row>
    <row r="29" customFormat="false" ht="37.5" hidden="false" customHeight="true" outlineLevel="0" collapsed="false">
      <c r="A29" s="5" t="s">
        <v>255</v>
      </c>
      <c r="B29" s="20" t="s">
        <v>221</v>
      </c>
      <c r="C29" s="6" t="n">
        <f aca="false">SpaceX!G43</f>
        <v>16024</v>
      </c>
      <c r="D29" s="10" t="n">
        <f aca="false">C29/$C$32</f>
        <v>0.118159763444508</v>
      </c>
      <c r="E29" s="6" t="n">
        <f aca="false">SpaceX!G45</f>
        <v>8295</v>
      </c>
      <c r="F29" s="10" t="n">
        <f aca="false">E29/$E$32</f>
        <v>0.217408397546784</v>
      </c>
      <c r="G29" s="6" t="n">
        <f aca="false">SpaceX!G46</f>
        <v>6487</v>
      </c>
      <c r="H29" s="15" t="s">
        <v>256</v>
      </c>
    </row>
    <row r="30" customFormat="false" ht="37.5" hidden="false" customHeight="true" outlineLevel="0" collapsed="false">
      <c r="A30" s="5" t="s">
        <v>257</v>
      </c>
      <c r="B30" s="20" t="s">
        <v>221</v>
      </c>
      <c r="C30" s="6" t="n">
        <f aca="false">SpaceX!G49</f>
        <v>11862</v>
      </c>
      <c r="D30" s="10" t="n">
        <f aca="false">C30/$C$32</f>
        <v>0.0874694903880896</v>
      </c>
      <c r="E30" s="6" t="n">
        <f aca="false">SpaceX!G51</f>
        <v>7021</v>
      </c>
      <c r="F30" s="10" t="n">
        <f aca="false">E30/$E$32</f>
        <v>0.184017403155632</v>
      </c>
      <c r="G30" s="6" t="n">
        <f aca="false">SpaceX!G52</f>
        <v>-5468</v>
      </c>
      <c r="H30" s="15" t="s">
        <v>256</v>
      </c>
    </row>
    <row r="31" customFormat="false" ht="37.5" hidden="false" customHeight="true" outlineLevel="0" collapsed="false">
      <c r="A31" s="5" t="s">
        <v>258</v>
      </c>
      <c r="B31" s="20" t="s">
        <v>221</v>
      </c>
      <c r="C31" s="6" t="n">
        <f aca="false">SpaceX!G37</f>
        <v>4157</v>
      </c>
      <c r="D31" s="10" t="n">
        <f aca="false">C31/$C$32</f>
        <v>0.030653403434774</v>
      </c>
      <c r="E31" s="6" t="n">
        <f aca="false">SpaceX!G39</f>
        <v>2864</v>
      </c>
      <c r="F31" s="10" t="n">
        <f aca="false">E31/$E$32</f>
        <v>0.0750642134507522</v>
      </c>
      <c r="G31" s="6" t="n">
        <f aca="false">SpaceX!G40</f>
        <v>-1687</v>
      </c>
      <c r="H31" s="15" t="s">
        <v>256</v>
      </c>
    </row>
    <row r="32" customFormat="false" ht="29.85" hidden="false" customHeight="false" outlineLevel="0" collapsed="false">
      <c r="A32" s="8" t="s">
        <v>223</v>
      </c>
      <c r="C32" s="19" t="n">
        <f aca="false">SUM(C27:C31)</f>
        <v>135613</v>
      </c>
      <c r="D32" s="22" t="n">
        <f aca="false">SUM(D27:D31)</f>
        <v>1</v>
      </c>
      <c r="E32" s="19" t="n">
        <f aca="false">SUM(E27:E31)</f>
        <v>38154</v>
      </c>
      <c r="F32" s="22" t="n">
        <f aca="false">SUM(F27:F31)</f>
        <v>1</v>
      </c>
      <c r="G32" s="19" t="n">
        <f aca="false">SUM(G27:G31)</f>
        <v>-668</v>
      </c>
      <c r="H32" s="15" t="s">
        <v>259</v>
      </c>
    </row>
    <row r="35" customFormat="false" ht="21.75" hidden="false" customHeight="true" outlineLevel="0" collapsed="false">
      <c r="A35" s="3" t="s">
        <v>260</v>
      </c>
      <c r="B35" s="3"/>
      <c r="C35" s="3"/>
      <c r="D35" s="3"/>
      <c r="E35" s="3"/>
      <c r="F35" s="3"/>
      <c r="G35" s="3"/>
      <c r="H35" s="3"/>
    </row>
    <row r="36" customFormat="false" ht="31.5" hidden="false" customHeight="true" outlineLevel="0" collapsed="false">
      <c r="A36" s="4" t="s">
        <v>135</v>
      </c>
      <c r="B36" s="4" t="s">
        <v>261</v>
      </c>
      <c r="C36" s="4" t="s">
        <v>262</v>
      </c>
      <c r="D36" s="4" t="s">
        <v>263</v>
      </c>
      <c r="E36" s="4" t="s">
        <v>264</v>
      </c>
      <c r="F36" s="4"/>
      <c r="G36" s="4"/>
      <c r="H36" s="4"/>
    </row>
    <row r="37" customFormat="false" ht="83.55" hidden="false" customHeight="false" outlineLevel="0" collapsed="false">
      <c r="A37" s="5" t="s">
        <v>265</v>
      </c>
      <c r="B37" s="6" t="n">
        <f aca="false">SpaceX!E5+Tesla!E5</f>
        <v>42621</v>
      </c>
      <c r="C37" s="14" t="n">
        <f aca="false">关联交易!D7</f>
        <v>221</v>
      </c>
      <c r="D37" s="19" t="n">
        <f aca="false">B37-C37</f>
        <v>42400</v>
      </c>
      <c r="E37" s="15" t="s">
        <v>266</v>
      </c>
    </row>
    <row r="38" customFormat="false" ht="86.55" hidden="false" customHeight="false" outlineLevel="0" collapsed="false">
      <c r="A38" s="5" t="s">
        <v>267</v>
      </c>
      <c r="B38" s="6" t="n">
        <f aca="false">SpaceX!E7+Tesla!E7</f>
        <v>14591</v>
      </c>
      <c r="C38" s="6" t="n">
        <f aca="false">关联交易!F9</f>
        <v>50</v>
      </c>
      <c r="D38" s="19" t="n">
        <f aca="false">B38-C38</f>
        <v>14541</v>
      </c>
      <c r="E38" s="15" t="s">
        <v>268</v>
      </c>
    </row>
    <row r="39" customFormat="false" ht="58.2" hidden="false" customHeight="false" outlineLevel="0" collapsed="false">
      <c r="A39" s="5" t="s">
        <v>269</v>
      </c>
      <c r="B39" s="6" t="n">
        <f aca="false">SpaceX!E8+Tesla!E8</f>
        <v>3509</v>
      </c>
      <c r="C39" s="21" t="s">
        <v>270</v>
      </c>
      <c r="D39" s="21" t="s">
        <v>270</v>
      </c>
      <c r="E39" s="7" t="s">
        <v>271</v>
      </c>
    </row>
    <row r="41" customFormat="false" ht="15" hidden="false" customHeight="false" outlineLevel="0" collapsed="false">
      <c r="A41" s="23" t="s">
        <v>272</v>
      </c>
    </row>
  </sheetData>
  <mergeCells count="6">
    <mergeCell ref="A1:L1"/>
    <mergeCell ref="A2:L2"/>
    <mergeCell ref="A4:H4"/>
    <mergeCell ref="A16:H16"/>
    <mergeCell ref="A25:H25"/>
    <mergeCell ref="A35:H35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2"/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9.11"/>
    <col collapsed="false" customWidth="true" hidden="false" outlineLevel="0" max="10" min="2" style="0" width="16.38"/>
    <col collapsed="false" customWidth="true" hidden="false" outlineLevel="0" max="11" min="11" style="0" width="18.2"/>
    <col collapsed="false" customWidth="true" hidden="false" outlineLevel="0" max="12" min="12" style="0" width="52.77"/>
  </cols>
  <sheetData>
    <row r="1" customFormat="false" ht="30" hidden="false" customHeight="true" outlineLevel="0" collapsed="false">
      <c r="A1" s="18" t="s">
        <v>273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2" t="s">
        <v>274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9.85" hidden="false" customHeight="false" outlineLevel="0" collapsed="false">
      <c r="A5" s="5" t="s">
        <v>276</v>
      </c>
      <c r="B5" s="24" t="n">
        <f aca="false">持股!B11</f>
        <v>13579</v>
      </c>
      <c r="D5" s="15" t="s">
        <v>277</v>
      </c>
    </row>
    <row r="6" customFormat="false" ht="26.85" hidden="false" customHeight="false" outlineLevel="0" collapsed="false">
      <c r="A6" s="5" t="s">
        <v>278</v>
      </c>
      <c r="B6" s="24" t="n">
        <f aca="false">持股!B22</f>
        <v>3952.757946</v>
      </c>
      <c r="D6" s="15" t="s">
        <v>279</v>
      </c>
    </row>
    <row r="7" customFormat="false" ht="29.85" hidden="false" customHeight="false" outlineLevel="0" collapsed="false">
      <c r="A7" s="8" t="s">
        <v>280</v>
      </c>
      <c r="B7" s="25" t="n">
        <v>0</v>
      </c>
      <c r="D7" s="7" t="s">
        <v>281</v>
      </c>
    </row>
    <row r="8" customFormat="false" ht="15" hidden="false" customHeight="false" outlineLevel="0" collapsed="false">
      <c r="A8" s="5" t="s">
        <v>282</v>
      </c>
      <c r="B8" s="26" t="n">
        <v>6</v>
      </c>
      <c r="D8" s="7" t="s">
        <v>283</v>
      </c>
    </row>
    <row r="9" customFormat="false" ht="15" hidden="false" customHeight="false" outlineLevel="0" collapsed="false">
      <c r="A9" s="5" t="s">
        <v>284</v>
      </c>
      <c r="B9" s="26" t="n">
        <v>2</v>
      </c>
      <c r="D9" s="7" t="s">
        <v>283</v>
      </c>
    </row>
    <row r="10" customFormat="false" ht="29.85" hidden="false" customHeight="false" outlineLevel="0" collapsed="false">
      <c r="A10" s="8" t="s">
        <v>285</v>
      </c>
      <c r="B10" s="26" t="n">
        <v>20</v>
      </c>
      <c r="D10" s="7" t="s">
        <v>286</v>
      </c>
    </row>
    <row r="14" customFormat="false" ht="31.5" hidden="false" customHeight="true" outlineLevel="0" collapsed="false">
      <c r="A14" s="4" t="s">
        <v>287</v>
      </c>
      <c r="B14" s="13" t="s">
        <v>221</v>
      </c>
      <c r="C14" s="13" t="s">
        <v>222</v>
      </c>
      <c r="D14" s="4" t="s">
        <v>225</v>
      </c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5" t="s">
        <v>288</v>
      </c>
      <c r="B15" s="6" t="n">
        <f aca="false">SpaceX!G5</f>
        <v>32043</v>
      </c>
      <c r="C15" s="6" t="n">
        <f aca="false">Tesla!G5</f>
        <v>103570</v>
      </c>
      <c r="D15" s="7" t="s">
        <v>289</v>
      </c>
    </row>
    <row r="16" customFormat="false" ht="15" hidden="false" customHeight="false" outlineLevel="0" collapsed="false">
      <c r="A16" s="8" t="s">
        <v>290</v>
      </c>
      <c r="B16" s="6" t="n">
        <f aca="false">SpaceX!E21</f>
        <v>89855</v>
      </c>
      <c r="C16" s="6" t="n">
        <f aca="false">Tesla!E19</f>
        <v>45447</v>
      </c>
      <c r="D16" s="7" t="s">
        <v>291</v>
      </c>
    </row>
    <row r="17" customFormat="false" ht="15" hidden="false" customHeight="false" outlineLevel="0" collapsed="false">
      <c r="A17" s="8" t="s">
        <v>237</v>
      </c>
      <c r="B17" s="6" t="n">
        <f aca="false">SpaceX!E24</f>
        <v>38844</v>
      </c>
      <c r="C17" s="6" t="n">
        <f aca="false">Tesla!E24</f>
        <v>9523</v>
      </c>
      <c r="D17" s="7" t="s">
        <v>195</v>
      </c>
    </row>
    <row r="18" customFormat="false" ht="15" hidden="false" customHeight="false" outlineLevel="0" collapsed="false">
      <c r="A18" s="5" t="s">
        <v>292</v>
      </c>
      <c r="B18" s="6" t="n">
        <f aca="false">SpaceX!G14</f>
        <v>14945</v>
      </c>
      <c r="C18" s="6" t="n">
        <f aca="false">Tesla!G14</f>
        <v>14995</v>
      </c>
      <c r="D18" s="7" t="s">
        <v>153</v>
      </c>
    </row>
    <row r="19" customFormat="false" ht="29.85" hidden="false" customHeight="false" outlineLevel="0" collapsed="false">
      <c r="A19" s="5" t="s">
        <v>293</v>
      </c>
      <c r="B19" s="27" t="n">
        <f aca="false">市场数据!B30</f>
        <v>159.31</v>
      </c>
      <c r="C19" s="27" t="n">
        <f aca="false">市场数据!B31</f>
        <v>386.47</v>
      </c>
      <c r="D19" s="15" t="s">
        <v>294</v>
      </c>
    </row>
    <row r="20" customFormat="false" ht="26.85" hidden="false" customHeight="false" outlineLevel="0" collapsed="false">
      <c r="A20" s="5" t="s">
        <v>295</v>
      </c>
      <c r="B20" s="27" t="n">
        <f aca="false">市场数据!B34</f>
        <v>156.218114155587</v>
      </c>
      <c r="C20" s="27" t="n">
        <f aca="false">市场数据!B35</f>
        <v>369.388781572009</v>
      </c>
      <c r="D20" s="7" t="s">
        <v>296</v>
      </c>
    </row>
    <row r="21" customFormat="false" ht="15" hidden="false" customHeight="false" outlineLevel="0" collapsed="false">
      <c r="A21" s="5" t="s">
        <v>297</v>
      </c>
      <c r="B21" s="24" t="n">
        <f aca="false">持股!B8</f>
        <v>6068.547515</v>
      </c>
      <c r="C21" s="24" t="n">
        <f aca="false">持股!B19</f>
        <v>699.580882</v>
      </c>
      <c r="D21" s="7" t="s">
        <v>298</v>
      </c>
    </row>
    <row r="23" customFormat="false" ht="21.75" hidden="false" customHeight="true" outlineLevel="0" collapsed="false">
      <c r="A23" s="3" t="s">
        <v>299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7" customFormat="false" ht="31.5" hidden="false" customHeight="true" outlineLevel="0" collapsed="false">
      <c r="A27" s="4" t="s">
        <v>300</v>
      </c>
      <c r="B27" s="13" t="s">
        <v>301</v>
      </c>
      <c r="C27" s="13" t="s">
        <v>302</v>
      </c>
      <c r="D27" s="13" t="s">
        <v>303</v>
      </c>
      <c r="E27" s="13" t="s">
        <v>304</v>
      </c>
      <c r="F27" s="4" t="s">
        <v>305</v>
      </c>
      <c r="G27" s="4" t="s">
        <v>306</v>
      </c>
      <c r="H27" s="4" t="s">
        <v>307</v>
      </c>
      <c r="I27" s="13" t="s">
        <v>308</v>
      </c>
      <c r="J27" s="13" t="s">
        <v>309</v>
      </c>
      <c r="K27" s="13" t="s">
        <v>310</v>
      </c>
      <c r="L27" s="4" t="s">
        <v>5</v>
      </c>
    </row>
    <row r="28" customFormat="false" ht="48" hidden="false" customHeight="true" outlineLevel="0" collapsed="false">
      <c r="A28" s="8" t="s">
        <v>311</v>
      </c>
      <c r="B28" s="6" t="n">
        <f aca="false">B19*$B$5</f>
        <v>2163270.49</v>
      </c>
      <c r="C28" s="6" t="n">
        <f aca="false">C19*$B$6</f>
        <v>1527622.36339062</v>
      </c>
      <c r="D28" s="27" t="n">
        <f aca="false">B19</f>
        <v>159.31</v>
      </c>
      <c r="E28" s="27" t="n">
        <f aca="false">C19</f>
        <v>386.47</v>
      </c>
      <c r="F28" s="9" t="n">
        <f aca="false">E28*(1+$B$7)/D28</f>
        <v>2.42589919025799</v>
      </c>
      <c r="G28" s="24" t="n">
        <f aca="false">$B$6*F28</f>
        <v>9588.99230048723</v>
      </c>
      <c r="H28" s="24" t="n">
        <f aca="false">$B$5+G28</f>
        <v>23167.9923004872</v>
      </c>
      <c r="I28" s="10" t="n">
        <f aca="false">$B$5/H28</f>
        <v>0.586110346718064</v>
      </c>
      <c r="J28" s="10" t="n">
        <f aca="false">G28/H28</f>
        <v>0.413889653281936</v>
      </c>
      <c r="K28" s="10" t="n">
        <f aca="false">($B$21+$C$21*F28)/H28</f>
        <v>0.335189174333438</v>
      </c>
      <c r="L28" s="15" t="s">
        <v>312</v>
      </c>
    </row>
    <row r="29" customFormat="false" ht="48" hidden="false" customHeight="true" outlineLevel="0" collapsed="false">
      <c r="A29" s="5" t="s">
        <v>313</v>
      </c>
      <c r="B29" s="6" t="n">
        <f aca="false">B20*$B$5</f>
        <v>2121285.77211872</v>
      </c>
      <c r="C29" s="6" t="n">
        <f aca="false">C20*$B$6</f>
        <v>1460104.44152202</v>
      </c>
      <c r="D29" s="27" t="n">
        <f aca="false">B20</f>
        <v>156.218114155587</v>
      </c>
      <c r="E29" s="27" t="n">
        <f aca="false">C20</f>
        <v>369.388781572009</v>
      </c>
      <c r="F29" s="9" t="n">
        <f aca="false">E29*(1+$B$7)/D29</f>
        <v>2.36457073860277</v>
      </c>
      <c r="G29" s="24" t="n">
        <f aca="false">$B$6*F29</f>
        <v>9346.5757758912</v>
      </c>
      <c r="H29" s="24" t="n">
        <f aca="false">$B$5+G29</f>
        <v>22925.5757758912</v>
      </c>
      <c r="I29" s="10" t="n">
        <f aca="false">$B$5/H29</f>
        <v>0.592307915523755</v>
      </c>
      <c r="J29" s="10" t="n">
        <f aca="false">G29/H29</f>
        <v>0.407692084476245</v>
      </c>
      <c r="K29" s="10" t="n">
        <f aca="false">($B$21+$C$21*F29)/H29</f>
        <v>0.336862030134242</v>
      </c>
      <c r="L29" s="7" t="s">
        <v>314</v>
      </c>
    </row>
    <row r="30" customFormat="false" ht="48" hidden="false" customHeight="true" outlineLevel="0" collapsed="false">
      <c r="A30" s="5" t="s">
        <v>315</v>
      </c>
      <c r="B30" s="6" t="n">
        <f aca="false">B15*$B$8+B16-B17</f>
        <v>243269</v>
      </c>
      <c r="C30" s="6" t="n">
        <f aca="false">C15*$B$9+C16-C17</f>
        <v>243064</v>
      </c>
      <c r="D30" s="27" t="n">
        <f aca="false">B30/$B$5</f>
        <v>17.9150894763974</v>
      </c>
      <c r="E30" s="27" t="n">
        <f aca="false">C30/$B$6</f>
        <v>61.4922551091116</v>
      </c>
      <c r="F30" s="9" t="n">
        <f aca="false">E30*(1+$B$7)/D30</f>
        <v>3.43242802053129</v>
      </c>
      <c r="G30" s="24" t="n">
        <f aca="false">$B$6*F30</f>
        <v>13567.5571322281</v>
      </c>
      <c r="H30" s="24" t="n">
        <f aca="false">$B$5+G30</f>
        <v>27146.5571322281</v>
      </c>
      <c r="I30" s="10" t="n">
        <f aca="false">$B$5/H30</f>
        <v>0.500210760939521</v>
      </c>
      <c r="J30" s="10" t="n">
        <f aca="false">G30/H30</f>
        <v>0.499789239060479</v>
      </c>
      <c r="K30" s="10" t="n">
        <f aca="false">($B$21+$C$21*F30)/H30</f>
        <v>0.312003046859652</v>
      </c>
      <c r="L30" s="15" t="s">
        <v>316</v>
      </c>
    </row>
    <row r="31" customFormat="false" ht="48" hidden="false" customHeight="true" outlineLevel="0" collapsed="false">
      <c r="A31" s="5" t="s">
        <v>317</v>
      </c>
      <c r="B31" s="6" t="n">
        <f aca="false">B18*$B$10+B16-B17</f>
        <v>349911</v>
      </c>
      <c r="C31" s="6" t="n">
        <f aca="false">C18*$B$10+C16-C17</f>
        <v>335824</v>
      </c>
      <c r="D31" s="27" t="n">
        <f aca="false">B31/$B$5</f>
        <v>25.768539656823</v>
      </c>
      <c r="E31" s="27" t="n">
        <f aca="false">C31/$B$6</f>
        <v>84.9594143096563</v>
      </c>
      <c r="F31" s="9" t="n">
        <f aca="false">E31*(1+$B$7)/D31</f>
        <v>3.29702091935041</v>
      </c>
      <c r="G31" s="24" t="n">
        <f aca="false">$B$6*F31</f>
        <v>13032.3256370906</v>
      </c>
      <c r="H31" s="24" t="n">
        <f aca="false">$B$5+G31</f>
        <v>26611.3256370906</v>
      </c>
      <c r="I31" s="10" t="n">
        <f aca="false">$B$5/H31</f>
        <v>0.510271460549629</v>
      </c>
      <c r="J31" s="10" t="n">
        <f aca="false">G31/H31</f>
        <v>0.489728539450371</v>
      </c>
      <c r="K31" s="10" t="n">
        <f aca="false">($B$21+$C$21*F31)/H31</f>
        <v>0.31471864393176</v>
      </c>
      <c r="L31" s="7" t="s">
        <v>318</v>
      </c>
    </row>
    <row r="33" customFormat="false" ht="15" hidden="false" customHeight="false" outlineLevel="0" collapsed="false">
      <c r="A33" s="23" t="s">
        <v>319</v>
      </c>
    </row>
  </sheetData>
  <mergeCells count="4">
    <mergeCell ref="A1:L1"/>
    <mergeCell ref="A2:L2"/>
    <mergeCell ref="A4:L4"/>
    <mergeCell ref="A23:L23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F82"/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3" min="1" style="0" width="20.01"/>
    <col collapsed="false" customWidth="true" hidden="false" outlineLevel="0" max="5" min="4" style="0" width="21.84"/>
    <col collapsed="false" customWidth="true" hidden="false" outlineLevel="0" max="9" min="6" style="0" width="16.38"/>
    <col collapsed="false" customWidth="true" hidden="false" outlineLevel="0" max="12" min="10" style="0" width="2.73"/>
  </cols>
  <sheetData>
    <row r="1" customFormat="false" ht="30" hidden="false" customHeight="true" outlineLevel="0" collapsed="false">
      <c r="A1" s="18" t="s">
        <v>320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2" t="s">
        <v>321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322</v>
      </c>
      <c r="B4" s="3"/>
      <c r="C4" s="3"/>
      <c r="D4" s="3"/>
      <c r="E4" s="3"/>
    </row>
    <row r="5" customFormat="false" ht="31.5" hidden="false" customHeight="true" outlineLevel="0" collapsed="false">
      <c r="A5" s="13" t="s">
        <v>323</v>
      </c>
      <c r="B5" s="4" t="s">
        <v>324</v>
      </c>
      <c r="C5" s="13" t="s">
        <v>325</v>
      </c>
      <c r="D5" s="4" t="s">
        <v>326</v>
      </c>
      <c r="E5" s="13" t="s">
        <v>327</v>
      </c>
    </row>
    <row r="6" customFormat="false" ht="24.75" hidden="false" customHeight="true" outlineLevel="0" collapsed="false">
      <c r="A6" s="25" t="n">
        <v>-0.2</v>
      </c>
      <c r="B6" s="9" t="n">
        <f aca="false">换股比例!$E$28*(1+$A6)/换股比例!$D$28</f>
        <v>1.94071935220639</v>
      </c>
      <c r="C6" s="9" t="n">
        <f aca="false">换股比例!$E$29*(1+$A6)/换股比例!$D$29</f>
        <v>1.89165659088222</v>
      </c>
      <c r="D6" s="9" t="n">
        <f aca="false">换股比例!$E$30*(1+$A6)/换股比例!$D$30</f>
        <v>2.74594241642503</v>
      </c>
      <c r="E6" s="9" t="n">
        <f aca="false">换股比例!$E$31*(1+$A6)/换股比例!$D$31</f>
        <v>2.63761673548033</v>
      </c>
    </row>
    <row r="7" customFormat="false" ht="24.75" hidden="false" customHeight="true" outlineLevel="0" collapsed="false">
      <c r="A7" s="25" t="n">
        <v>-0.1</v>
      </c>
      <c r="B7" s="9" t="n">
        <f aca="false">换股比例!$E$28*(1+$A7)/换股比例!$D$28</f>
        <v>2.18330927123219</v>
      </c>
      <c r="C7" s="9" t="n">
        <f aca="false">换股比例!$E$29*(1+$A7)/换股比例!$D$29</f>
        <v>2.12811366474249</v>
      </c>
      <c r="D7" s="9" t="n">
        <f aca="false">换股比例!$E$30*(1+$A7)/换股比例!$D$30</f>
        <v>3.08918521847816</v>
      </c>
      <c r="E7" s="9" t="n">
        <f aca="false">换股比例!$E$31*(1+$A7)/换股比例!$D$31</f>
        <v>2.96731882741537</v>
      </c>
    </row>
    <row r="8" customFormat="false" ht="24.75" hidden="false" customHeight="true" outlineLevel="0" collapsed="false">
      <c r="A8" s="25" t="n">
        <v>0</v>
      </c>
      <c r="B8" s="9" t="n">
        <f aca="false">换股比例!$E$28*(1+$A8)/换股比例!$D$28</f>
        <v>2.42589919025799</v>
      </c>
      <c r="C8" s="9" t="n">
        <f aca="false">换股比例!$E$29*(1+$A8)/换股比例!$D$29</f>
        <v>2.36457073860277</v>
      </c>
      <c r="D8" s="9" t="n">
        <f aca="false">换股比例!$E$30*(1+$A8)/换股比例!$D$30</f>
        <v>3.43242802053129</v>
      </c>
      <c r="E8" s="9" t="n">
        <f aca="false">换股比例!$E$31*(1+$A8)/换股比例!$D$31</f>
        <v>3.29702091935041</v>
      </c>
    </row>
    <row r="9" customFormat="false" ht="24.75" hidden="false" customHeight="true" outlineLevel="0" collapsed="false">
      <c r="A9" s="25" t="n">
        <v>0.1</v>
      </c>
      <c r="B9" s="9" t="n">
        <f aca="false">换股比例!$E$28*(1+$A9)/换股比例!$D$28</f>
        <v>2.66848910928379</v>
      </c>
      <c r="C9" s="9" t="n">
        <f aca="false">换股比例!$E$29*(1+$A9)/换股比例!$D$29</f>
        <v>2.60102781246305</v>
      </c>
      <c r="D9" s="9" t="n">
        <f aca="false">换股比例!$E$30*(1+$A9)/换股比例!$D$30</f>
        <v>3.77567082258442</v>
      </c>
      <c r="E9" s="9" t="n">
        <f aca="false">换股比例!$E$31*(1+$A9)/换股比例!$D$31</f>
        <v>3.62672301128546</v>
      </c>
    </row>
    <row r="10" customFormat="false" ht="24.75" hidden="false" customHeight="true" outlineLevel="0" collapsed="false">
      <c r="A10" s="25" t="n">
        <v>0.2</v>
      </c>
      <c r="B10" s="9" t="n">
        <f aca="false">换股比例!$E$28*(1+$A10)/换股比例!$D$28</f>
        <v>2.91107902830959</v>
      </c>
      <c r="C10" s="9" t="n">
        <f aca="false">换股比例!$E$29*(1+$A10)/换股比例!$D$29</f>
        <v>2.83748488632333</v>
      </c>
      <c r="D10" s="9" t="n">
        <f aca="false">换股比例!$E$30*(1+$A10)/换股比例!$D$30</f>
        <v>4.11891362463755</v>
      </c>
      <c r="E10" s="9" t="n">
        <f aca="false">换股比例!$E$31*(1+$A10)/换股比例!$D$31</f>
        <v>3.9564251032205</v>
      </c>
    </row>
    <row r="11" customFormat="false" ht="24.75" hidden="false" customHeight="true" outlineLevel="0" collapsed="false">
      <c r="A11" s="25" t="n">
        <v>0.3</v>
      </c>
      <c r="B11" s="9" t="n">
        <f aca="false">换股比例!$E$28*(1+$A11)/换股比例!$D$28</f>
        <v>3.15366894733538</v>
      </c>
      <c r="C11" s="9" t="n">
        <f aca="false">换股比例!$E$29*(1+$A11)/换股比例!$D$29</f>
        <v>3.0739419601836</v>
      </c>
      <c r="D11" s="9" t="n">
        <f aca="false">换股比例!$E$30*(1+$A11)/换股比例!$D$30</f>
        <v>4.46215642669068</v>
      </c>
      <c r="E11" s="9" t="n">
        <f aca="false">换股比例!$E$31*(1+$A11)/换股比例!$D$31</f>
        <v>4.28612719515554</v>
      </c>
    </row>
    <row r="14" customFormat="false" ht="21.75" hidden="false" customHeight="true" outlineLevel="0" collapsed="false">
      <c r="A14" s="16" t="s">
        <v>328</v>
      </c>
      <c r="B14" s="16"/>
      <c r="C14" s="16"/>
      <c r="D14" s="16"/>
      <c r="E14" s="16"/>
    </row>
    <row r="15" customFormat="false" ht="31.5" hidden="false" customHeight="true" outlineLevel="0" collapsed="false">
      <c r="A15" s="13" t="s">
        <v>323</v>
      </c>
      <c r="B15" s="4" t="s">
        <v>324</v>
      </c>
      <c r="C15" s="13" t="s">
        <v>325</v>
      </c>
      <c r="D15" s="4" t="s">
        <v>326</v>
      </c>
      <c r="E15" s="13" t="s">
        <v>327</v>
      </c>
    </row>
    <row r="16" customFormat="false" ht="15" hidden="false" customHeight="false" outlineLevel="0" collapsed="false">
      <c r="A16" s="25" t="n">
        <v>-0.2</v>
      </c>
      <c r="B16" s="10" t="n">
        <f aca="false">(换股比例!$B$6*B6)/(换股比例!$B$5+换股比例!$B$6*B6)</f>
        <v>0.360994064242808</v>
      </c>
      <c r="C16" s="10" t="n">
        <f aca="false">(换股比例!$B$6*C6)/(换股比例!$B$5+换股比例!$B$6*C6)</f>
        <v>0.355108666035298</v>
      </c>
      <c r="D16" s="10" t="n">
        <f aca="false">(换股比例!$B$6*D6)/(换股比例!$B$5+换股比例!$B$6*D6)</f>
        <v>0.444236295240658</v>
      </c>
      <c r="E16" s="10" t="n">
        <f aca="false">(换股比例!$B$6*E6)/(换股比例!$B$5+换股比例!$B$6*E6)</f>
        <v>0.434322894960022</v>
      </c>
    </row>
    <row r="17" customFormat="false" ht="15" hidden="false" customHeight="false" outlineLevel="0" collapsed="false">
      <c r="A17" s="25" t="n">
        <v>-0.1</v>
      </c>
      <c r="B17" s="10" t="n">
        <f aca="false">(换股比例!$B$6*B7)/(换股比例!$B$5+换股比例!$B$6*B7)</f>
        <v>0.388583768056951</v>
      </c>
      <c r="C17" s="10" t="n">
        <f aca="false">(换股比例!$B$6*C7)/(换股比例!$B$5+换股比例!$B$6*C7)</f>
        <v>0.382517824969744</v>
      </c>
      <c r="D17" s="10" t="n">
        <f aca="false">(换股比例!$B$6*D7)/(换股比例!$B$5+换股比例!$B$6*D7)</f>
        <v>0.473474038074864</v>
      </c>
      <c r="E17" s="10" t="n">
        <f aca="false">(换股比例!$B$6*E7)/(换股比例!$B$5+换股比例!$B$6*E7)</f>
        <v>0.463452265620041</v>
      </c>
    </row>
    <row r="18" customFormat="false" ht="15" hidden="false" customHeight="false" outlineLevel="0" collapsed="false">
      <c r="A18" s="25" t="n">
        <v>0</v>
      </c>
      <c r="B18" s="10" t="n">
        <f aca="false">(换股比例!$B$6*B8)/(换股比例!$B$5+换股比例!$B$6*B8)</f>
        <v>0.413889653281936</v>
      </c>
      <c r="C18" s="10" t="n">
        <f aca="false">(换股比例!$B$6*C8)/(换股比例!$B$5+换股比例!$B$6*C8)</f>
        <v>0.407692084476245</v>
      </c>
      <c r="D18" s="10" t="n">
        <f aca="false">(换股比例!$B$6*D8)/(换股比例!$B$5+换股比例!$B$6*D8)</f>
        <v>0.499789239060479</v>
      </c>
      <c r="E18" s="10" t="n">
        <f aca="false">(换股比例!$B$6*E8)/(换股比例!$B$5+换股比例!$B$6*E8)</f>
        <v>0.489728539450371</v>
      </c>
    </row>
    <row r="19" customFormat="false" ht="15" hidden="false" customHeight="false" outlineLevel="0" collapsed="false">
      <c r="A19" s="25" t="n">
        <v>0.1</v>
      </c>
      <c r="B19" s="10" t="n">
        <f aca="false">(换股比例!$B$6*B9)/(换股比例!$B$5+换股比例!$B$6*B9)</f>
        <v>0.437184024190854</v>
      </c>
      <c r="C19" s="10" t="n">
        <f aca="false">(换股比例!$B$6*C9)/(换股比例!$B$5+换股比例!$B$6*C9)</f>
        <v>0.430894082265154</v>
      </c>
      <c r="D19" s="10" t="n">
        <f aca="false">(换股比例!$B$6*D9)/(换股比例!$B$5+换股比例!$B$6*D9)</f>
        <v>0.523599236564981</v>
      </c>
      <c r="E19" s="10" t="n">
        <f aca="false">(换股比例!$B$6*E9)/(换股比例!$B$5+换股比例!$B$6*E9)</f>
        <v>0.513551319626079</v>
      </c>
    </row>
    <row r="20" customFormat="false" ht="15" hidden="false" customHeight="false" outlineLevel="0" collapsed="false">
      <c r="A20" s="25" t="n">
        <v>0.2</v>
      </c>
      <c r="B20" s="10" t="n">
        <f aca="false">(换股比例!$B$6*B10)/(换股比例!$B$5+换股比例!$B$6*B10)</f>
        <v>0.458697549955825</v>
      </c>
      <c r="C20" s="10" t="n">
        <f aca="false">(换股比例!$B$6*C10)/(换股比例!$B$5+换股比例!$B$6*C10)</f>
        <v>0.452346854932734</v>
      </c>
      <c r="D20" s="10" t="n">
        <f aca="false">(换股比例!$B$6*D10)/(换股比例!$B$5+换股比例!$B$6*D10)</f>
        <v>0.545245518331016</v>
      </c>
      <c r="E20" s="10" t="n">
        <f aca="false">(换股比例!$B$6*E10)/(换股比例!$B$5+换股比例!$B$6*E10)</f>
        <v>0.535248913600455</v>
      </c>
    </row>
    <row r="21" customFormat="false" ht="15" hidden="false" customHeight="false" outlineLevel="0" collapsed="false">
      <c r="A21" s="25" t="n">
        <v>0.3</v>
      </c>
      <c r="B21" s="10" t="n">
        <f aca="false">(换股比例!$B$6*B11)/(换股比例!$B$5+换股比例!$B$6*B11)</f>
        <v>0.478626929140508</v>
      </c>
      <c r="C21" s="10" t="n">
        <f aca="false">(换股比例!$B$6*C11)/(换股比例!$B$5+换股比例!$B$6*C11)</f>
        <v>0.472241030757677</v>
      </c>
      <c r="D21" s="10" t="n">
        <f aca="false">(换股比例!$B$6*D11)/(换股比例!$B$5+换股比例!$B$6*D11)</f>
        <v>0.565010204698346</v>
      </c>
      <c r="E21" s="10" t="n">
        <f aca="false">(换股比例!$B$6*E11)/(换股比例!$B$5+换股比例!$B$6*E11)</f>
        <v>0.555093554564871</v>
      </c>
    </row>
    <row r="24" customFormat="false" ht="21.75" hidden="false" customHeight="true" outlineLevel="0" collapsed="false">
      <c r="A24" s="16" t="s">
        <v>329</v>
      </c>
      <c r="B24" s="16"/>
      <c r="C24" s="16"/>
      <c r="D24" s="16"/>
      <c r="E24" s="16"/>
    </row>
    <row r="25" customFormat="false" ht="31.5" hidden="false" customHeight="true" outlineLevel="0" collapsed="false">
      <c r="A25" s="13" t="s">
        <v>323</v>
      </c>
      <c r="B25" s="4" t="s">
        <v>324</v>
      </c>
      <c r="C25" s="13" t="s">
        <v>325</v>
      </c>
      <c r="D25" s="4" t="s">
        <v>326</v>
      </c>
      <c r="E25" s="13" t="s">
        <v>327</v>
      </c>
    </row>
    <row r="26" customFormat="false" ht="15" hidden="false" customHeight="false" outlineLevel="0" collapsed="false">
      <c r="A26" s="25" t="n">
        <v>-0.2</v>
      </c>
      <c r="B26" s="10" t="n">
        <f aca="false">(持股!$B$8+持股!$B$19*B6)/(换股比例!$B$5+换股比例!$B$6*B6)</f>
        <v>0.349466820251594</v>
      </c>
      <c r="C26" s="10" t="n">
        <f aca="false">(持股!$B$8+持股!$B$19*C6)/(换股比例!$B$5+换股比例!$B$6*C6)</f>
        <v>0.351055414560128</v>
      </c>
      <c r="D26" s="10" t="n">
        <f aca="false">(持股!$B$8+持股!$B$19*D6)/(换股比例!$B$5+换股比例!$B$6*D6)</f>
        <v>0.326997969422739</v>
      </c>
      <c r="E26" s="10" t="n">
        <f aca="false">(持股!$B$8+持股!$B$19*E6)/(换股比例!$B$5+换股比例!$B$6*E6)</f>
        <v>0.329673807269013</v>
      </c>
    </row>
    <row r="27" customFormat="false" ht="15" hidden="false" customHeight="false" outlineLevel="0" collapsed="false">
      <c r="A27" s="25" t="n">
        <v>-0.1</v>
      </c>
      <c r="B27" s="10" t="n">
        <f aca="false">(持股!$B$8+持股!$B$19*B7)/(换股比例!$B$5+换股比例!$B$6*B7)</f>
        <v>0.342019771656413</v>
      </c>
      <c r="C27" s="10" t="n">
        <f aca="false">(持股!$B$8+持股!$B$19*C7)/(换股比例!$B$5+换股比例!$B$6*C7)</f>
        <v>0.343657098872766</v>
      </c>
      <c r="D27" s="10" t="n">
        <f aca="false">(持股!$B$8+持股!$B$19*D7)/(换股比例!$B$5+换股比例!$B$6*D7)</f>
        <v>0.319106080000275</v>
      </c>
      <c r="E27" s="10" t="n">
        <f aca="false">(持股!$B$8+持股!$B$19*E7)/(换股比例!$B$5+换股比例!$B$6*E7)</f>
        <v>0.321811169804199</v>
      </c>
    </row>
    <row r="28" customFormat="false" ht="15" hidden="false" customHeight="false" outlineLevel="0" collapsed="false">
      <c r="A28" s="25" t="n">
        <v>0</v>
      </c>
      <c r="B28" s="10" t="n">
        <f aca="false">(持股!$B$8+持股!$B$19*B8)/(换股比例!$B$5+换股比例!$B$6*B8)</f>
        <v>0.335189174333438</v>
      </c>
      <c r="C28" s="10" t="n">
        <f aca="false">(持股!$B$8+持股!$B$19*C8)/(换股比例!$B$5+换股比例!$B$6*C8)</f>
        <v>0.336862030134242</v>
      </c>
      <c r="D28" s="10" t="n">
        <f aca="false">(持股!$B$8+持股!$B$19*D8)/(换股比例!$B$5+换股比例!$B$6*D8)</f>
        <v>0.312003046859652</v>
      </c>
      <c r="E28" s="10" t="n">
        <f aca="false">(持股!$B$8+持股!$B$19*E8)/(换股比例!$B$5+换股比例!$B$6*E8)</f>
        <v>0.31471864393176</v>
      </c>
    </row>
    <row r="29" customFormat="false" ht="15" hidden="false" customHeight="false" outlineLevel="0" collapsed="false">
      <c r="A29" s="25" t="n">
        <v>0.1</v>
      </c>
      <c r="B29" s="10" t="n">
        <f aca="false">(持股!$B$8+持股!$B$19*B9)/(换股比例!$B$5+换股比例!$B$6*B9)</f>
        <v>0.328901527560516</v>
      </c>
      <c r="C29" s="10" t="n">
        <f aca="false">(持股!$B$8+持股!$B$19*C9)/(换股比例!$B$5+换股比例!$B$6*C9)</f>
        <v>0.33059931683354</v>
      </c>
      <c r="D29" s="10" t="n">
        <f aca="false">(持股!$B$8+持股!$B$19*D9)/(换股比例!$B$5+换股比例!$B$6*D9)</f>
        <v>0.30557622148807</v>
      </c>
      <c r="E29" s="10" t="n">
        <f aca="false">(持股!$B$8+持股!$B$19*E9)/(换股比例!$B$5+换股比例!$B$6*E9)</f>
        <v>0.308288368245006</v>
      </c>
    </row>
    <row r="30" customFormat="false" ht="15" hidden="false" customHeight="false" outlineLevel="0" collapsed="false">
      <c r="A30" s="25" t="n">
        <v>0.2</v>
      </c>
      <c r="B30" s="10" t="n">
        <f aca="false">(持股!$B$8+持股!$B$19*B10)/(换股比例!$B$5+换股比例!$B$6*B10)</f>
        <v>0.323094568815881</v>
      </c>
      <c r="C30" s="10" t="n">
        <f aca="false">(持股!$B$8+持股!$B$19*C10)/(换股比例!$B$5+换股比例!$B$6*C10)</f>
        <v>0.324808756643657</v>
      </c>
      <c r="D30" s="10" t="n">
        <f aca="false">(持股!$B$8+持股!$B$19*D10)/(换股比例!$B$5+换股比例!$B$6*D10)</f>
        <v>0.299733429071647</v>
      </c>
      <c r="E30" s="10" t="n">
        <f aca="false">(持股!$B$8+持股!$B$19*E10)/(换股比例!$B$5+换股比例!$B$6*E10)</f>
        <v>0.302431725570834</v>
      </c>
    </row>
    <row r="31" customFormat="false" ht="15" hidden="false" customHeight="false" outlineLevel="0" collapsed="false">
      <c r="A31" s="25" t="n">
        <v>0.3</v>
      </c>
      <c r="B31" s="10" t="n">
        <f aca="false">(持股!$B$8+持股!$B$19*B11)/(换股比例!$B$5+换股比例!$B$6*B11)</f>
        <v>0.317715204968414</v>
      </c>
      <c r="C31" s="10" t="n">
        <f aca="false">(持股!$B$8+持股!$B$19*C11)/(换股比例!$B$5+换股比例!$B$6*C11)</f>
        <v>0.319438894932656</v>
      </c>
      <c r="D31" s="10" t="n">
        <f aca="false">(持股!$B$8+持股!$B$19*D11)/(换股比例!$B$5+换股比例!$B$6*D11)</f>
        <v>0.294398519322795</v>
      </c>
      <c r="E31" s="10" t="n">
        <f aca="false">(持股!$B$8+持股!$B$19*E11)/(换股比例!$B$5+换股比例!$B$6*E11)</f>
        <v>0.297075234373557</v>
      </c>
    </row>
    <row r="33" customFormat="false" ht="15" hidden="false" customHeight="false" outlineLevel="0" collapsed="false">
      <c r="A33" s="23" t="s">
        <v>330</v>
      </c>
    </row>
  </sheetData>
  <mergeCells count="5">
    <mergeCell ref="A1:L1"/>
    <mergeCell ref="A2:L2"/>
    <mergeCell ref="A4:E4"/>
    <mergeCell ref="A14:E14"/>
    <mergeCell ref="A24:E24"/>
  </mergeCells>
  <conditionalFormatting sqref="B6:E11">
    <cfRule type="colorScale" priority="2">
      <colorScale>
        <cfvo type="min" val="0"/>
        <cfvo type="percentile" val="50"/>
        <cfvo type="max" val="0"/>
        <color rgb="FFE8F1FB"/>
        <color rgb="FFFFFFFF"/>
        <color rgb="FFFCE4D6"/>
      </colorScale>
    </cfRule>
  </conditionalFormatting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2A43"/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14.56"/>
    <col collapsed="false" customWidth="true" hidden="false" outlineLevel="0" max="3" min="3" style="0" width="16.38"/>
    <col collapsed="false" customWidth="true" hidden="false" outlineLevel="0" max="4" min="4" style="0" width="14.56"/>
    <col collapsed="false" customWidth="true" hidden="false" outlineLevel="0" max="5" min="5" style="0" width="16.38"/>
    <col collapsed="false" customWidth="true" hidden="false" outlineLevel="0" max="6" min="6" style="0" width="63.69"/>
    <col collapsed="false" customWidth="true" hidden="false" outlineLevel="0" max="10" min="7" style="0" width="14.56"/>
    <col collapsed="false" customWidth="true" hidden="false" outlineLevel="0" max="12" min="11" style="0" width="2.73"/>
  </cols>
  <sheetData>
    <row r="1" customFormat="false" ht="30" hidden="false" customHeight="true" outlineLevel="0" collapsed="false">
      <c r="A1" s="18" t="s">
        <v>331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2" t="s">
        <v>332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8" t="s">
        <v>333</v>
      </c>
    </row>
    <row r="5" customFormat="false" ht="15" hidden="false" customHeight="false" outlineLevel="0" collapsed="false">
      <c r="A5" s="28" t="s">
        <v>334</v>
      </c>
    </row>
    <row r="6" customFormat="false" ht="31.5" hidden="false" customHeight="true" outlineLevel="0" collapsed="false">
      <c r="A6" s="4" t="s">
        <v>335</v>
      </c>
      <c r="B6" s="13" t="s">
        <v>336</v>
      </c>
      <c r="C6" s="13" t="s">
        <v>337</v>
      </c>
      <c r="D6" s="13" t="s">
        <v>338</v>
      </c>
      <c r="E6" s="13" t="s">
        <v>339</v>
      </c>
      <c r="F6" s="4" t="s">
        <v>80</v>
      </c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29" t="s">
        <v>340</v>
      </c>
      <c r="B7" s="30" t="n">
        <v>148.03</v>
      </c>
      <c r="C7" s="31" t="n">
        <v>72721400</v>
      </c>
      <c r="D7" s="30" t="n">
        <v>377.94</v>
      </c>
      <c r="E7" s="31" t="n">
        <v>26165700</v>
      </c>
      <c r="F7" s="5" t="s">
        <v>341</v>
      </c>
    </row>
    <row r="8" customFormat="false" ht="15" hidden="false" customHeight="false" outlineLevel="0" collapsed="false">
      <c r="A8" s="29" t="s">
        <v>342</v>
      </c>
      <c r="B8" s="30" t="n">
        <v>148.68</v>
      </c>
      <c r="C8" s="31" t="n">
        <v>54595200</v>
      </c>
      <c r="D8" s="30" t="n">
        <v>372.11</v>
      </c>
      <c r="E8" s="31" t="n">
        <v>45999500</v>
      </c>
      <c r="F8" s="5" t="s">
        <v>341</v>
      </c>
    </row>
    <row r="9" customFormat="false" ht="15" hidden="false" customHeight="false" outlineLevel="0" collapsed="false">
      <c r="A9" s="29" t="s">
        <v>343</v>
      </c>
      <c r="B9" s="30" t="n">
        <v>145.47</v>
      </c>
      <c r="C9" s="31" t="n">
        <v>83516700</v>
      </c>
      <c r="D9" s="30" t="n">
        <v>357.45</v>
      </c>
      <c r="E9" s="31" t="n">
        <v>39452900</v>
      </c>
      <c r="F9" s="5" t="s">
        <v>341</v>
      </c>
    </row>
    <row r="10" customFormat="false" ht="15" hidden="false" customHeight="false" outlineLevel="0" collapsed="false">
      <c r="A10" s="29" t="s">
        <v>344</v>
      </c>
      <c r="B10" s="30" t="n">
        <v>149.24</v>
      </c>
      <c r="C10" s="31" t="n">
        <v>80056700</v>
      </c>
      <c r="D10" s="30" t="n">
        <v>352.84</v>
      </c>
      <c r="E10" s="31" t="n">
        <v>32492400</v>
      </c>
      <c r="F10" s="5" t="s">
        <v>341</v>
      </c>
    </row>
    <row r="11" customFormat="false" ht="15" hidden="false" customHeight="false" outlineLevel="0" collapsed="false">
      <c r="A11" s="29" t="s">
        <v>112</v>
      </c>
      <c r="B11" s="30" t="n">
        <v>150.86</v>
      </c>
      <c r="C11" s="31" t="n">
        <v>79614200</v>
      </c>
      <c r="D11" s="30" t="n">
        <v>354.81</v>
      </c>
      <c r="E11" s="31" t="n">
        <v>39235800</v>
      </c>
      <c r="F11" s="5" t="s">
        <v>341</v>
      </c>
    </row>
    <row r="12" customFormat="false" ht="15" hidden="false" customHeight="false" outlineLevel="0" collapsed="false">
      <c r="A12" s="29" t="s">
        <v>345</v>
      </c>
      <c r="B12" s="30" t="n">
        <v>148.07</v>
      </c>
      <c r="C12" s="31" t="n">
        <v>69092500</v>
      </c>
      <c r="D12" s="30" t="n">
        <v>354.11</v>
      </c>
      <c r="E12" s="31" t="n">
        <v>31080800</v>
      </c>
      <c r="F12" s="5" t="s">
        <v>341</v>
      </c>
    </row>
    <row r="13" customFormat="false" ht="15" hidden="false" customHeight="false" outlineLevel="0" collapsed="false">
      <c r="A13" s="29" t="s">
        <v>346</v>
      </c>
      <c r="B13" s="30" t="n">
        <v>158.96</v>
      </c>
      <c r="C13" s="31" t="n">
        <v>119859100</v>
      </c>
      <c r="D13" s="30" t="n">
        <v>370.59</v>
      </c>
      <c r="E13" s="31" t="n">
        <v>55330100</v>
      </c>
      <c r="F13" s="5" t="s">
        <v>341</v>
      </c>
    </row>
    <row r="14" customFormat="false" ht="15" hidden="false" customHeight="false" outlineLevel="0" collapsed="false">
      <c r="A14" s="29" t="s">
        <v>347</v>
      </c>
      <c r="B14" s="30" t="n">
        <v>171.09</v>
      </c>
      <c r="C14" s="31" t="n">
        <v>135688900</v>
      </c>
      <c r="D14" s="30" t="n">
        <v>378.73</v>
      </c>
      <c r="E14" s="31" t="n">
        <v>42232700</v>
      </c>
      <c r="F14" s="5" t="s">
        <v>341</v>
      </c>
    </row>
    <row r="15" customFormat="false" ht="15" hidden="false" customHeight="false" outlineLevel="0" collapsed="false">
      <c r="A15" s="29" t="s">
        <v>348</v>
      </c>
      <c r="B15" s="30" t="n">
        <v>171.92</v>
      </c>
      <c r="C15" s="31" t="n">
        <v>106952400</v>
      </c>
      <c r="D15" s="30" t="n">
        <v>380.68</v>
      </c>
      <c r="E15" s="31" t="n">
        <v>27735400</v>
      </c>
      <c r="F15" s="5" t="s">
        <v>341</v>
      </c>
    </row>
    <row r="16" customFormat="false" ht="15" hidden="false" customHeight="false" outlineLevel="0" collapsed="false">
      <c r="A16" s="29" t="s">
        <v>349</v>
      </c>
      <c r="B16" s="30" t="n">
        <v>167.6</v>
      </c>
      <c r="C16" s="31" t="n">
        <v>77473000</v>
      </c>
      <c r="D16" s="30" t="n">
        <v>377.81</v>
      </c>
      <c r="E16" s="31" t="n">
        <v>25594600</v>
      </c>
      <c r="F16" s="5" t="s">
        <v>341</v>
      </c>
    </row>
    <row r="17" customFormat="false" ht="15" hidden="false" customHeight="false" outlineLevel="0" collapsed="false">
      <c r="A17" s="29" t="s">
        <v>350</v>
      </c>
      <c r="B17" s="30" t="n">
        <v>160.57</v>
      </c>
      <c r="C17" s="31" t="n">
        <v>71897800</v>
      </c>
      <c r="D17" s="30" t="n">
        <v>375</v>
      </c>
      <c r="E17" s="31" t="n">
        <v>28394900</v>
      </c>
      <c r="F17" s="5" t="s">
        <v>341</v>
      </c>
    </row>
    <row r="18" customFormat="false" ht="15" hidden="false" customHeight="false" outlineLevel="0" collapsed="false">
      <c r="A18" s="29" t="s">
        <v>351</v>
      </c>
      <c r="B18" s="30" t="n">
        <v>162.57</v>
      </c>
      <c r="C18" s="31" t="n">
        <v>93042600</v>
      </c>
      <c r="D18" s="30" t="n">
        <v>382.7</v>
      </c>
      <c r="E18" s="31" t="n">
        <v>38952400</v>
      </c>
      <c r="F18" s="5" t="s">
        <v>341</v>
      </c>
    </row>
    <row r="19" customFormat="false" ht="15" hidden="false" customHeight="false" outlineLevel="0" collapsed="false">
      <c r="A19" s="29" t="s">
        <v>352</v>
      </c>
      <c r="B19" s="30" t="n">
        <v>163.42</v>
      </c>
      <c r="C19" s="31" t="n">
        <v>67434500</v>
      </c>
      <c r="D19" s="30" t="n">
        <v>378.03</v>
      </c>
      <c r="E19" s="31" t="n">
        <v>20244300</v>
      </c>
      <c r="F19" s="5" t="s">
        <v>341</v>
      </c>
    </row>
    <row r="20" customFormat="false" ht="15" hidden="false" customHeight="false" outlineLevel="0" collapsed="false">
      <c r="A20" s="29" t="s">
        <v>353</v>
      </c>
      <c r="B20" s="30" t="n">
        <v>156.54</v>
      </c>
      <c r="C20" s="31" t="n">
        <v>69022500</v>
      </c>
      <c r="D20" s="30" t="n">
        <v>375.23</v>
      </c>
      <c r="E20" s="31" t="n">
        <v>18393000</v>
      </c>
      <c r="F20" s="5" t="s">
        <v>341</v>
      </c>
    </row>
    <row r="21" customFormat="false" ht="15" hidden="false" customHeight="false" outlineLevel="0" collapsed="false">
      <c r="A21" s="29" t="s">
        <v>354</v>
      </c>
      <c r="B21" s="30" t="n">
        <v>152.16</v>
      </c>
      <c r="C21" s="31" t="n">
        <v>68781000</v>
      </c>
      <c r="D21" s="30" t="n">
        <v>367.16</v>
      </c>
      <c r="E21" s="31" t="n">
        <v>31001400</v>
      </c>
      <c r="F21" s="5" t="s">
        <v>341</v>
      </c>
    </row>
    <row r="22" customFormat="false" ht="15" hidden="false" customHeight="false" outlineLevel="0" collapsed="false">
      <c r="A22" s="29" t="s">
        <v>355</v>
      </c>
      <c r="B22" s="30" t="n">
        <v>148.62</v>
      </c>
      <c r="C22" s="31" t="n">
        <v>101177100</v>
      </c>
      <c r="D22" s="30" t="n">
        <v>362.44</v>
      </c>
      <c r="E22" s="31" t="n">
        <v>26728300</v>
      </c>
      <c r="F22" s="5" t="s">
        <v>341</v>
      </c>
    </row>
    <row r="23" customFormat="false" ht="15" hidden="false" customHeight="false" outlineLevel="0" collapsed="false">
      <c r="A23" s="29" t="s">
        <v>356</v>
      </c>
      <c r="B23" s="30" t="n">
        <v>146.03</v>
      </c>
      <c r="C23" s="31" t="n">
        <v>88552900</v>
      </c>
      <c r="D23" s="30" t="n">
        <v>354.72</v>
      </c>
      <c r="E23" s="31" t="n">
        <v>62067300</v>
      </c>
      <c r="F23" s="5" t="s">
        <v>341</v>
      </c>
    </row>
    <row r="24" customFormat="false" ht="15" hidden="false" customHeight="false" outlineLevel="0" collapsed="false">
      <c r="A24" s="29" t="s">
        <v>357</v>
      </c>
      <c r="B24" s="30" t="n">
        <v>147.96</v>
      </c>
      <c r="C24" s="31" t="n">
        <v>74037800</v>
      </c>
      <c r="D24" s="30" t="n">
        <v>368.06</v>
      </c>
      <c r="E24" s="31" t="n">
        <v>38817900</v>
      </c>
      <c r="F24" s="5" t="s">
        <v>341</v>
      </c>
    </row>
    <row r="25" customFormat="false" ht="15" hidden="false" customHeight="false" outlineLevel="0" collapsed="false">
      <c r="A25" s="29" t="s">
        <v>358</v>
      </c>
      <c r="B25" s="30" t="n">
        <v>147.79</v>
      </c>
      <c r="C25" s="31" t="n">
        <v>117204900</v>
      </c>
      <c r="D25" s="30" t="n">
        <v>373.71</v>
      </c>
      <c r="E25" s="31" t="n">
        <v>32123300</v>
      </c>
      <c r="F25" s="5" t="s">
        <v>341</v>
      </c>
    </row>
    <row r="26" customFormat="false" ht="15" hidden="false" customHeight="false" outlineLevel="0" collapsed="false">
      <c r="A26" s="29" t="s">
        <v>359</v>
      </c>
      <c r="B26" s="30" t="n">
        <v>159.31</v>
      </c>
      <c r="C26" s="31" t="n">
        <v>220785200</v>
      </c>
      <c r="D26" s="30" t="n">
        <v>386.47</v>
      </c>
      <c r="E26" s="31" t="n">
        <v>48875800</v>
      </c>
      <c r="F26" s="5" t="s">
        <v>341</v>
      </c>
    </row>
    <row r="28" customFormat="false" ht="21.75" hidden="false" customHeight="true" outlineLevel="0" collapsed="false">
      <c r="A28" s="3" t="s">
        <v>360</v>
      </c>
      <c r="B28" s="3"/>
      <c r="C28" s="3"/>
      <c r="D28" s="3"/>
      <c r="E28" s="3"/>
      <c r="F28" s="3"/>
    </row>
    <row r="29" customFormat="false" ht="55.2" hidden="false" customHeight="false" outlineLevel="0" collapsed="false">
      <c r="A29" s="8" t="s">
        <v>361</v>
      </c>
      <c r="B29" s="32" t="str">
        <f aca="false">A26</f>
        <v>2026-10-21</v>
      </c>
      <c r="C29" s="7" t="s">
        <v>362</v>
      </c>
    </row>
    <row r="30" customFormat="false" ht="55.2" hidden="false" customHeight="false" outlineLevel="0" collapsed="false">
      <c r="A30" s="5" t="s">
        <v>363</v>
      </c>
      <c r="B30" s="27" t="n">
        <f aca="false">B26</f>
        <v>159.31</v>
      </c>
      <c r="C30" s="7" t="s">
        <v>362</v>
      </c>
    </row>
    <row r="31" customFormat="false" ht="55.2" hidden="false" customHeight="false" outlineLevel="0" collapsed="false">
      <c r="A31" s="5" t="s">
        <v>364</v>
      </c>
      <c r="B31" s="27" t="n">
        <f aca="false">D26</f>
        <v>386.47</v>
      </c>
      <c r="C31" s="7" t="s">
        <v>362</v>
      </c>
    </row>
    <row r="32" customFormat="false" ht="55.2" hidden="false" customHeight="false" outlineLevel="0" collapsed="false">
      <c r="A32" s="5" t="s">
        <v>365</v>
      </c>
      <c r="B32" s="27" t="n">
        <f aca="false">AVERAGE(B7:B26)</f>
        <v>155.2445</v>
      </c>
      <c r="C32" s="7" t="s">
        <v>362</v>
      </c>
    </row>
    <row r="33" customFormat="false" ht="55.2" hidden="false" customHeight="false" outlineLevel="0" collapsed="false">
      <c r="A33" s="5" t="s">
        <v>366</v>
      </c>
      <c r="B33" s="27" t="n">
        <f aca="false">AVERAGE(D7:D26)</f>
        <v>370.0295</v>
      </c>
      <c r="C33" s="7" t="s">
        <v>362</v>
      </c>
    </row>
    <row r="34" customFormat="false" ht="55.2" hidden="false" customHeight="false" outlineLevel="0" collapsed="false">
      <c r="A34" s="5" t="s">
        <v>367</v>
      </c>
      <c r="B34" s="27" t="n">
        <f aca="false">SUMPRODUCT(B7:B26,C7:C26)/SUM(C7:C26)</f>
        <v>156.218114155587</v>
      </c>
      <c r="C34" s="7" t="s">
        <v>362</v>
      </c>
    </row>
    <row r="35" customFormat="false" ht="55.2" hidden="false" customHeight="false" outlineLevel="0" collapsed="false">
      <c r="A35" s="5" t="s">
        <v>368</v>
      </c>
      <c r="B35" s="27" t="n">
        <f aca="false">SUMPRODUCT(D7:D26,E7:E26)/SUM(E7:E26)</f>
        <v>369.388781572009</v>
      </c>
      <c r="C35" s="7" t="s">
        <v>362</v>
      </c>
    </row>
    <row r="37" customFormat="false" ht="15" hidden="false" customHeight="false" outlineLevel="0" collapsed="false">
      <c r="A37" s="33" t="s">
        <v>369</v>
      </c>
    </row>
  </sheetData>
  <mergeCells count="3">
    <mergeCell ref="A1:L1"/>
    <mergeCell ref="A2:L2"/>
    <mergeCell ref="A28:F28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2A43"/>
    <pageSetUpPr fitToPage="tru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21.84"/>
    <col collapsed="false" customWidth="true" hidden="false" outlineLevel="0" max="3" min="3" style="0" width="18.2"/>
    <col collapsed="false" customWidth="true" hidden="false" outlineLevel="0" max="5" min="4" style="0" width="14.56"/>
    <col collapsed="false" customWidth="true" hidden="false" outlineLevel="0" max="6" min="6" style="0" width="16.38"/>
    <col collapsed="false" customWidth="true" hidden="false" outlineLevel="0" max="7" min="7" style="0" width="49.13"/>
    <col collapsed="false" customWidth="true" hidden="false" outlineLevel="0" max="8" min="8" style="0" width="56.41"/>
    <col collapsed="false" customWidth="true" hidden="false" outlineLevel="0" max="12" min="9" style="0" width="2.73"/>
  </cols>
  <sheetData>
    <row r="1" customFormat="false" ht="30" hidden="false" customHeight="true" outlineLevel="0" collapsed="false">
      <c r="A1" s="18" t="s">
        <v>370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2" t="s">
        <v>371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4" t="s">
        <v>372</v>
      </c>
      <c r="B4" s="4" t="s">
        <v>373</v>
      </c>
      <c r="C4" s="4" t="s">
        <v>374</v>
      </c>
      <c r="D4" s="4" t="s">
        <v>375</v>
      </c>
      <c r="E4" s="4" t="s">
        <v>376</v>
      </c>
      <c r="F4" s="4" t="s">
        <v>377</v>
      </c>
      <c r="G4" s="4" t="s">
        <v>80</v>
      </c>
      <c r="H4" s="4" t="s">
        <v>378</v>
      </c>
      <c r="I4" s="4"/>
      <c r="J4" s="4"/>
      <c r="K4" s="4"/>
      <c r="L4" s="4"/>
    </row>
    <row r="5" customFormat="false" ht="51.75" hidden="false" customHeight="true" outlineLevel="0" collapsed="false">
      <c r="A5" s="5" t="s">
        <v>379</v>
      </c>
      <c r="B5" s="5" t="s">
        <v>380</v>
      </c>
      <c r="C5" s="5" t="s">
        <v>77</v>
      </c>
      <c r="D5" s="5"/>
      <c r="E5" s="5"/>
      <c r="F5" s="34" t="n">
        <v>506</v>
      </c>
      <c r="G5" s="5" t="s">
        <v>381</v>
      </c>
      <c r="H5" s="5" t="s">
        <v>382</v>
      </c>
    </row>
    <row r="6" customFormat="false" ht="51.75" hidden="false" customHeight="true" outlineLevel="0" collapsed="false">
      <c r="A6" s="5" t="s">
        <v>379</v>
      </c>
      <c r="B6" s="5" t="s">
        <v>380</v>
      </c>
      <c r="C6" s="5" t="s">
        <v>383</v>
      </c>
      <c r="D6" s="5"/>
      <c r="E6" s="5"/>
      <c r="F6" s="34" t="n">
        <v>329</v>
      </c>
      <c r="G6" s="5" t="s">
        <v>384</v>
      </c>
      <c r="H6" s="5" t="s">
        <v>385</v>
      </c>
    </row>
    <row r="7" customFormat="false" ht="51.75" hidden="false" customHeight="true" outlineLevel="0" collapsed="false">
      <c r="A7" s="5" t="s">
        <v>379</v>
      </c>
      <c r="B7" s="5" t="s">
        <v>386</v>
      </c>
      <c r="C7" s="5" t="s">
        <v>76</v>
      </c>
      <c r="D7" s="34" t="n">
        <v>221</v>
      </c>
      <c r="E7" s="34" t="n">
        <v>171</v>
      </c>
      <c r="F7" s="5"/>
      <c r="G7" s="5" t="s">
        <v>387</v>
      </c>
      <c r="H7" s="8" t="s">
        <v>388</v>
      </c>
    </row>
    <row r="8" customFormat="false" ht="51.75" hidden="false" customHeight="true" outlineLevel="0" collapsed="false">
      <c r="A8" s="5" t="s">
        <v>379</v>
      </c>
      <c r="B8" s="5" t="s">
        <v>386</v>
      </c>
      <c r="C8" s="5" t="s">
        <v>137</v>
      </c>
      <c r="D8" s="34" t="n">
        <v>626</v>
      </c>
      <c r="E8" s="34" t="n">
        <v>478</v>
      </c>
      <c r="F8" s="5"/>
      <c r="G8" s="5" t="s">
        <v>387</v>
      </c>
      <c r="H8" s="5" t="s">
        <v>389</v>
      </c>
    </row>
    <row r="9" customFormat="false" ht="51.75" hidden="false" customHeight="true" outlineLevel="0" collapsed="false">
      <c r="A9" s="8" t="s">
        <v>390</v>
      </c>
      <c r="B9" s="5" t="s">
        <v>391</v>
      </c>
      <c r="C9" s="5" t="s">
        <v>76</v>
      </c>
      <c r="D9" s="35" t="n">
        <f aca="false">D7</f>
        <v>221</v>
      </c>
      <c r="E9" s="35" t="n">
        <f aca="false">E7</f>
        <v>171</v>
      </c>
      <c r="F9" s="35" t="n">
        <f aca="false">D7-E7</f>
        <v>50</v>
      </c>
      <c r="G9" s="8" t="s">
        <v>392</v>
      </c>
      <c r="H9" s="8" t="s">
        <v>393</v>
      </c>
    </row>
    <row r="10" customFormat="false" ht="51.75" hidden="false" customHeight="true" outlineLevel="0" collapsed="false">
      <c r="A10" s="8" t="s">
        <v>394</v>
      </c>
      <c r="B10" s="5" t="s">
        <v>395</v>
      </c>
      <c r="C10" s="5" t="s">
        <v>112</v>
      </c>
      <c r="D10" s="5"/>
      <c r="E10" s="5"/>
      <c r="F10" s="34" t="n">
        <v>729</v>
      </c>
      <c r="G10" s="5" t="s">
        <v>387</v>
      </c>
      <c r="H10" s="8" t="s">
        <v>396</v>
      </c>
    </row>
    <row r="11" customFormat="false" ht="51.75" hidden="false" customHeight="true" outlineLevel="0" collapsed="false">
      <c r="A11" s="8" t="s">
        <v>397</v>
      </c>
      <c r="B11" s="5" t="s">
        <v>398</v>
      </c>
      <c r="C11" s="5" t="s">
        <v>399</v>
      </c>
      <c r="D11" s="34" t="n">
        <v>143.3</v>
      </c>
      <c r="E11" s="34" t="n">
        <v>11.4</v>
      </c>
      <c r="F11" s="5"/>
      <c r="G11" s="5" t="s">
        <v>400</v>
      </c>
      <c r="H11" s="5" t="s">
        <v>401</v>
      </c>
    </row>
    <row r="12" customFormat="false" ht="51.75" hidden="false" customHeight="true" outlineLevel="0" collapsed="false">
      <c r="A12" s="8" t="s">
        <v>402</v>
      </c>
      <c r="B12" s="5" t="s">
        <v>398</v>
      </c>
      <c r="C12" s="5" t="s">
        <v>399</v>
      </c>
      <c r="D12" s="5"/>
      <c r="E12" s="34" t="n">
        <v>0.4</v>
      </c>
      <c r="F12" s="5"/>
      <c r="G12" s="5" t="s">
        <v>403</v>
      </c>
      <c r="H12" s="5" t="s">
        <v>404</v>
      </c>
    </row>
    <row r="13" customFormat="false" ht="51.75" hidden="false" customHeight="true" outlineLevel="0" collapsed="false">
      <c r="A13" s="5" t="s">
        <v>405</v>
      </c>
      <c r="B13" s="5" t="s">
        <v>406</v>
      </c>
      <c r="C13" s="5" t="s">
        <v>77</v>
      </c>
      <c r="D13" s="5"/>
      <c r="E13" s="34" t="n">
        <v>3.3</v>
      </c>
      <c r="F13" s="5"/>
      <c r="G13" s="5" t="s">
        <v>400</v>
      </c>
      <c r="H13" s="5" t="s">
        <v>407</v>
      </c>
    </row>
    <row r="14" customFormat="false" ht="51.75" hidden="false" customHeight="true" outlineLevel="0" collapsed="false">
      <c r="A14" s="5" t="s">
        <v>408</v>
      </c>
      <c r="B14" s="5" t="s">
        <v>409</v>
      </c>
      <c r="C14" s="5" t="s">
        <v>399</v>
      </c>
      <c r="D14" s="34" t="n">
        <v>430.1</v>
      </c>
      <c r="E14" s="34" t="n">
        <v>4</v>
      </c>
      <c r="F14" s="34" t="n">
        <v>285</v>
      </c>
      <c r="G14" s="5" t="s">
        <v>410</v>
      </c>
      <c r="H14" s="5" t="s">
        <v>411</v>
      </c>
    </row>
    <row r="15" customFormat="false" ht="51.75" hidden="false" customHeight="true" outlineLevel="0" collapsed="false">
      <c r="A15" s="8" t="s">
        <v>412</v>
      </c>
      <c r="B15" s="5" t="s">
        <v>413</v>
      </c>
      <c r="C15" s="5" t="s">
        <v>414</v>
      </c>
      <c r="D15" s="5"/>
      <c r="E15" s="5"/>
      <c r="F15" s="34" t="n">
        <v>2865</v>
      </c>
      <c r="G15" s="5" t="s">
        <v>415</v>
      </c>
      <c r="H15" s="8" t="s">
        <v>416</v>
      </c>
    </row>
    <row r="16" customFormat="false" ht="51.75" hidden="false" customHeight="true" outlineLevel="0" collapsed="false">
      <c r="A16" s="5" t="s">
        <v>417</v>
      </c>
      <c r="B16" s="5" t="s">
        <v>418</v>
      </c>
      <c r="C16" s="5" t="s">
        <v>419</v>
      </c>
      <c r="D16" s="5"/>
      <c r="E16" s="34" t="n">
        <v>513</v>
      </c>
      <c r="F16" s="34" t="n">
        <v>12897</v>
      </c>
      <c r="G16" s="5" t="s">
        <v>420</v>
      </c>
      <c r="H16" s="5" t="s">
        <v>421</v>
      </c>
    </row>
    <row r="17" customFormat="false" ht="51.75" hidden="false" customHeight="true" outlineLevel="0" collapsed="false">
      <c r="A17" s="8" t="s">
        <v>422</v>
      </c>
      <c r="B17" s="5" t="s">
        <v>423</v>
      </c>
      <c r="C17" s="5" t="s">
        <v>424</v>
      </c>
      <c r="D17" s="5"/>
      <c r="E17" s="34" t="n">
        <v>1</v>
      </c>
      <c r="F17" s="5"/>
      <c r="G17" s="5" t="s">
        <v>425</v>
      </c>
      <c r="H17" s="5" t="s">
        <v>426</v>
      </c>
    </row>
    <row r="18" customFormat="false" ht="51.75" hidden="false" customHeight="true" outlineLevel="0" collapsed="false">
      <c r="A18" s="8" t="s">
        <v>422</v>
      </c>
      <c r="B18" s="5" t="s">
        <v>427</v>
      </c>
      <c r="C18" s="5" t="s">
        <v>424</v>
      </c>
      <c r="D18" s="5"/>
      <c r="E18" s="34" t="n">
        <v>2</v>
      </c>
      <c r="F18" s="5"/>
      <c r="G18" s="5" t="s">
        <v>428</v>
      </c>
      <c r="H18" s="5" t="s">
        <v>429</v>
      </c>
    </row>
    <row r="19" customFormat="false" ht="51.75" hidden="false" customHeight="true" outlineLevel="0" collapsed="false">
      <c r="A19" s="8" t="s">
        <v>422</v>
      </c>
      <c r="B19" s="5" t="s">
        <v>430</v>
      </c>
      <c r="C19" s="5" t="s">
        <v>424</v>
      </c>
      <c r="D19" s="5"/>
      <c r="E19" s="34" t="n">
        <v>4</v>
      </c>
      <c r="F19" s="5"/>
      <c r="G19" s="5" t="s">
        <v>425</v>
      </c>
      <c r="H19" s="5" t="s">
        <v>431</v>
      </c>
    </row>
    <row r="20" customFormat="false" ht="51.75" hidden="false" customHeight="true" outlineLevel="0" collapsed="false">
      <c r="A20" s="8" t="s">
        <v>422</v>
      </c>
      <c r="B20" s="5" t="s">
        <v>432</v>
      </c>
      <c r="C20" s="5" t="s">
        <v>424</v>
      </c>
      <c r="D20" s="5"/>
      <c r="E20" s="34" t="n">
        <v>3</v>
      </c>
      <c r="F20" s="5"/>
      <c r="G20" s="5" t="s">
        <v>428</v>
      </c>
      <c r="H20" s="5" t="s">
        <v>433</v>
      </c>
    </row>
    <row r="21" customFormat="false" ht="51.75" hidden="false" customHeight="true" outlineLevel="0" collapsed="false">
      <c r="A21" s="8" t="s">
        <v>422</v>
      </c>
      <c r="B21" s="5" t="s">
        <v>434</v>
      </c>
      <c r="C21" s="5" t="s">
        <v>424</v>
      </c>
      <c r="D21" s="5"/>
      <c r="E21" s="34" t="n">
        <v>2</v>
      </c>
      <c r="F21" s="5"/>
      <c r="G21" s="5" t="s">
        <v>428</v>
      </c>
      <c r="H21" s="5" t="s">
        <v>435</v>
      </c>
    </row>
    <row r="22" customFormat="false" ht="51.75" hidden="false" customHeight="true" outlineLevel="0" collapsed="false">
      <c r="A22" s="8" t="s">
        <v>422</v>
      </c>
      <c r="B22" s="5" t="s">
        <v>436</v>
      </c>
      <c r="C22" s="5" t="s">
        <v>424</v>
      </c>
      <c r="D22" s="34" t="n">
        <v>1421</v>
      </c>
      <c r="E22" s="5"/>
      <c r="F22" s="5"/>
      <c r="G22" s="5" t="s">
        <v>428</v>
      </c>
      <c r="H22" s="8" t="s">
        <v>437</v>
      </c>
    </row>
    <row r="23" customFormat="false" ht="51.75" hidden="false" customHeight="true" outlineLevel="0" collapsed="false">
      <c r="A23" s="8" t="s">
        <v>422</v>
      </c>
      <c r="B23" s="5" t="s">
        <v>438</v>
      </c>
      <c r="C23" s="8" t="s">
        <v>439</v>
      </c>
      <c r="D23" s="5"/>
      <c r="E23" s="5"/>
      <c r="F23" s="5"/>
      <c r="G23" s="5" t="s">
        <v>440</v>
      </c>
      <c r="H23" s="8" t="s">
        <v>441</v>
      </c>
    </row>
    <row r="24" customFormat="false" ht="51.75" hidden="false" customHeight="true" outlineLevel="0" collapsed="false">
      <c r="A24" s="8" t="s">
        <v>442</v>
      </c>
      <c r="B24" s="5" t="s">
        <v>443</v>
      </c>
      <c r="C24" s="8" t="s">
        <v>444</v>
      </c>
      <c r="D24" s="5"/>
      <c r="E24" s="5"/>
      <c r="F24" s="5"/>
      <c r="G24" s="5" t="s">
        <v>445</v>
      </c>
      <c r="H24" s="8" t="s">
        <v>446</v>
      </c>
    </row>
    <row r="27" customFormat="false" ht="15" hidden="false" customHeight="false" outlineLevel="0" collapsed="false">
      <c r="A27" s="23" t="s">
        <v>447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2A43"/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8.21"/>
    <col collapsed="false" customWidth="true" hidden="false" outlineLevel="0" max="2" min="2" style="0" width="18.2"/>
    <col collapsed="false" customWidth="true" hidden="false" outlineLevel="0" max="3" min="3" style="0" width="16.38"/>
    <col collapsed="false" customWidth="true" hidden="false" outlineLevel="0" max="4" min="4" style="0" width="68.24"/>
    <col collapsed="false" customWidth="true" hidden="false" outlineLevel="0" max="8" min="5" style="0" width="16.38"/>
    <col collapsed="false" customWidth="true" hidden="false" outlineLevel="0" max="12" min="9" style="0" width="2.73"/>
  </cols>
  <sheetData>
    <row r="1" customFormat="false" ht="30" hidden="false" customHeight="true" outlineLevel="0" collapsed="false">
      <c r="A1" s="18" t="s">
        <v>448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2" t="s">
        <v>449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16" t="s">
        <v>450</v>
      </c>
      <c r="B4" s="16"/>
      <c r="C4" s="16"/>
      <c r="D4" s="16"/>
    </row>
    <row r="5" customFormat="false" ht="31.5" hidden="false" customHeight="true" outlineLevel="0" collapsed="false">
      <c r="A5" s="4" t="s">
        <v>135</v>
      </c>
      <c r="B5" s="4" t="s">
        <v>4</v>
      </c>
      <c r="C5" s="4" t="s">
        <v>451</v>
      </c>
      <c r="D5" s="4" t="s">
        <v>225</v>
      </c>
    </row>
    <row r="6" customFormat="false" ht="31.5" hidden="false" customHeight="true" outlineLevel="0" collapsed="false">
      <c r="A6" s="5" t="s">
        <v>452</v>
      </c>
      <c r="B6" s="36" t="n">
        <v>849.49444</v>
      </c>
      <c r="C6" s="21" t="s">
        <v>453</v>
      </c>
      <c r="D6" s="5" t="s">
        <v>454</v>
      </c>
    </row>
    <row r="7" customFormat="false" ht="31.5" hidden="false" customHeight="true" outlineLevel="0" collapsed="false">
      <c r="A7" s="5" t="s">
        <v>455</v>
      </c>
      <c r="B7" s="36" t="n">
        <v>5219.053075</v>
      </c>
      <c r="C7" s="21" t="s">
        <v>453</v>
      </c>
      <c r="D7" s="5" t="s">
        <v>456</v>
      </c>
    </row>
    <row r="8" customFormat="false" ht="31.5" hidden="false" customHeight="true" outlineLevel="0" collapsed="false">
      <c r="A8" s="5" t="s">
        <v>457</v>
      </c>
      <c r="B8" s="24" t="n">
        <f aca="false">B6+B7</f>
        <v>6068.547515</v>
      </c>
      <c r="C8" s="21" t="s">
        <v>453</v>
      </c>
      <c r="D8" s="8" t="s">
        <v>458</v>
      </c>
    </row>
    <row r="9" customFormat="false" ht="31.5" hidden="false" customHeight="true" outlineLevel="0" collapsed="false">
      <c r="A9" s="5" t="s">
        <v>459</v>
      </c>
      <c r="B9" s="36" t="n">
        <v>13159.198508</v>
      </c>
      <c r="C9" s="21" t="s">
        <v>453</v>
      </c>
      <c r="D9" s="5" t="s">
        <v>460</v>
      </c>
    </row>
    <row r="10" customFormat="false" ht="31.5" hidden="false" customHeight="true" outlineLevel="0" collapsed="false">
      <c r="A10" s="5" t="s">
        <v>461</v>
      </c>
      <c r="B10" s="10" t="n">
        <f aca="false">B8/B9</f>
        <v>0.461163915971834</v>
      </c>
      <c r="C10" s="20" t="s">
        <v>462</v>
      </c>
      <c r="D10" s="8" t="s">
        <v>463</v>
      </c>
    </row>
    <row r="11" customFormat="false" ht="31.5" hidden="false" customHeight="true" outlineLevel="0" collapsed="false">
      <c r="A11" s="8" t="s">
        <v>464</v>
      </c>
      <c r="B11" s="36" t="n">
        <v>13579</v>
      </c>
      <c r="C11" s="21" t="s">
        <v>453</v>
      </c>
      <c r="D11" s="5" t="s">
        <v>465</v>
      </c>
    </row>
    <row r="12" customFormat="false" ht="31.5" hidden="false" customHeight="true" outlineLevel="0" collapsed="false">
      <c r="A12" s="8" t="s">
        <v>466</v>
      </c>
      <c r="B12" s="10" t="n">
        <f aca="false">B8/B11</f>
        <v>0.446906805729435</v>
      </c>
      <c r="C12" s="20" t="s">
        <v>462</v>
      </c>
      <c r="D12" s="8" t="s">
        <v>467</v>
      </c>
    </row>
    <row r="13" customFormat="false" ht="31.5" hidden="false" customHeight="true" outlineLevel="0" collapsed="false">
      <c r="A13" s="5" t="s">
        <v>468</v>
      </c>
      <c r="B13" s="37" t="n">
        <v>0.824</v>
      </c>
      <c r="C13" s="20" t="s">
        <v>462</v>
      </c>
      <c r="D13" s="5" t="s">
        <v>469</v>
      </c>
    </row>
    <row r="14" customFormat="false" ht="31.5" hidden="false" customHeight="true" outlineLevel="0" collapsed="false">
      <c r="A14" s="5" t="s">
        <v>470</v>
      </c>
      <c r="B14" s="37" t="n">
        <v>0.823</v>
      </c>
      <c r="C14" s="20" t="s">
        <v>462</v>
      </c>
      <c r="D14" s="5" t="s">
        <v>471</v>
      </c>
    </row>
    <row r="17" customFormat="false" ht="21.75" hidden="false" customHeight="true" outlineLevel="0" collapsed="false">
      <c r="A17" s="16" t="s">
        <v>472</v>
      </c>
      <c r="B17" s="16"/>
      <c r="C17" s="16"/>
      <c r="D17" s="16"/>
    </row>
    <row r="18" customFormat="false" ht="31.5" hidden="false" customHeight="true" outlineLevel="0" collapsed="false">
      <c r="A18" s="4" t="s">
        <v>135</v>
      </c>
      <c r="B18" s="4" t="s">
        <v>4</v>
      </c>
      <c r="C18" s="4" t="s">
        <v>451</v>
      </c>
      <c r="D18" s="4" t="s">
        <v>225</v>
      </c>
    </row>
    <row r="19" customFormat="false" ht="33.75" hidden="false" customHeight="true" outlineLevel="0" collapsed="false">
      <c r="A19" s="5" t="s">
        <v>473</v>
      </c>
      <c r="B19" s="36" t="n">
        <v>699.580882</v>
      </c>
      <c r="C19" s="21" t="s">
        <v>453</v>
      </c>
      <c r="D19" s="5" t="s">
        <v>474</v>
      </c>
    </row>
    <row r="20" customFormat="false" ht="33.75" hidden="false" customHeight="true" outlineLevel="0" collapsed="false">
      <c r="A20" s="5" t="s">
        <v>475</v>
      </c>
      <c r="B20" s="36" t="n">
        <v>3528.904655</v>
      </c>
      <c r="C20" s="21" t="s">
        <v>453</v>
      </c>
      <c r="D20" s="8" t="s">
        <v>476</v>
      </c>
    </row>
    <row r="21" customFormat="false" ht="33.75" hidden="false" customHeight="true" outlineLevel="0" collapsed="false">
      <c r="A21" s="5" t="s">
        <v>477</v>
      </c>
      <c r="B21" s="10" t="n">
        <f aca="false">B19/B20</f>
        <v>0.198243067011965</v>
      </c>
      <c r="C21" s="20" t="s">
        <v>462</v>
      </c>
      <c r="D21" s="8" t="s">
        <v>478</v>
      </c>
    </row>
    <row r="22" customFormat="false" ht="33.75" hidden="false" customHeight="true" outlineLevel="0" collapsed="false">
      <c r="A22" s="8" t="s">
        <v>479</v>
      </c>
      <c r="B22" s="36" t="n">
        <v>3952.757946</v>
      </c>
      <c r="C22" s="21" t="s">
        <v>453</v>
      </c>
      <c r="D22" s="5" t="s">
        <v>480</v>
      </c>
    </row>
    <row r="23" customFormat="false" ht="33.75" hidden="false" customHeight="true" outlineLevel="0" collapsed="false">
      <c r="A23" s="8" t="s">
        <v>481</v>
      </c>
      <c r="B23" s="10" t="n">
        <f aca="false">B19/B22</f>
        <v>0.176985510258209</v>
      </c>
      <c r="C23" s="20" t="s">
        <v>462</v>
      </c>
      <c r="D23" s="8" t="s">
        <v>482</v>
      </c>
    </row>
    <row r="24" customFormat="false" ht="33.75" hidden="false" customHeight="true" outlineLevel="0" collapsed="false">
      <c r="A24" s="8" t="s">
        <v>483</v>
      </c>
      <c r="B24" s="36" t="n">
        <v>207.498721</v>
      </c>
      <c r="C24" s="21" t="s">
        <v>453</v>
      </c>
      <c r="D24" s="5" t="s">
        <v>484</v>
      </c>
    </row>
    <row r="25" customFormat="false" ht="33.75" hidden="false" customHeight="true" outlineLevel="0" collapsed="false">
      <c r="A25" s="5" t="s">
        <v>485</v>
      </c>
      <c r="B25" s="36" t="n">
        <v>423.743904</v>
      </c>
      <c r="C25" s="21" t="s">
        <v>453</v>
      </c>
      <c r="D25" s="5" t="s">
        <v>486</v>
      </c>
    </row>
    <row r="28" customFormat="false" ht="21.75" hidden="false" customHeight="true" outlineLevel="0" collapsed="false">
      <c r="A28" s="3" t="s">
        <v>487</v>
      </c>
      <c r="B28" s="3"/>
      <c r="C28" s="3"/>
      <c r="D28" s="3"/>
    </row>
    <row r="29" customFormat="false" ht="31.5" hidden="false" customHeight="true" outlineLevel="0" collapsed="false">
      <c r="A29" s="8" t="s">
        <v>488</v>
      </c>
      <c r="B29" s="38" t="s">
        <v>489</v>
      </c>
      <c r="D29" s="8" t="s">
        <v>490</v>
      </c>
    </row>
    <row r="30" customFormat="false" ht="31.5" hidden="false" customHeight="true" outlineLevel="0" collapsed="false">
      <c r="A30" s="8" t="s">
        <v>491</v>
      </c>
      <c r="B30" s="39" t="n">
        <f aca="false">换股比例!F28</f>
        <v>2.42589919025799</v>
      </c>
      <c r="D30" s="8" t="s">
        <v>492</v>
      </c>
    </row>
    <row r="31" customFormat="false" ht="31.5" hidden="false" customHeight="true" outlineLevel="0" collapsed="false">
      <c r="A31" s="5" t="s">
        <v>493</v>
      </c>
      <c r="B31" s="40" t="n">
        <f aca="false">B8+B19*B30</f>
        <v>7765.66021016377</v>
      </c>
      <c r="D31" s="8" t="s">
        <v>494</v>
      </c>
    </row>
    <row r="32" customFormat="false" ht="31.5" hidden="false" customHeight="true" outlineLevel="0" collapsed="false">
      <c r="A32" s="8" t="s">
        <v>495</v>
      </c>
      <c r="B32" s="40" t="n">
        <f aca="false">换股比例!H28</f>
        <v>23167.9923004872</v>
      </c>
      <c r="D32" s="5" t="s">
        <v>496</v>
      </c>
    </row>
    <row r="33" customFormat="false" ht="31.5" hidden="false" customHeight="true" outlineLevel="0" collapsed="false">
      <c r="A33" s="5" t="s">
        <v>497</v>
      </c>
      <c r="B33" s="41" t="n">
        <f aca="false">B31/B32</f>
        <v>0.335189174333438</v>
      </c>
      <c r="D33" s="8" t="s">
        <v>498</v>
      </c>
    </row>
    <row r="34" customFormat="false" ht="31.5" hidden="false" customHeight="true" outlineLevel="0" collapsed="false">
      <c r="A34" s="8" t="s">
        <v>499</v>
      </c>
      <c r="B34" s="42" t="n">
        <f aca="false">B33-B12</f>
        <v>-0.111717631395997</v>
      </c>
      <c r="D34" s="8" t="s">
        <v>500</v>
      </c>
    </row>
    <row r="35" customFormat="false" ht="31.5" hidden="false" customHeight="true" outlineLevel="0" collapsed="false">
      <c r="A35" s="8" t="s">
        <v>501</v>
      </c>
      <c r="B35" s="42" t="n">
        <f aca="false">B33-B10</f>
        <v>-0.125974741638396</v>
      </c>
      <c r="D35" s="8" t="s">
        <v>502</v>
      </c>
    </row>
    <row r="37" customFormat="false" ht="15" hidden="false" customHeight="false" outlineLevel="0" collapsed="false">
      <c r="A37" s="23" t="s">
        <v>503</v>
      </c>
    </row>
  </sheetData>
  <mergeCells count="5">
    <mergeCell ref="A1:L1"/>
    <mergeCell ref="A2:L2"/>
    <mergeCell ref="A4:D4"/>
    <mergeCell ref="A17:D17"/>
    <mergeCell ref="A28:D28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SpaceX + Tesla | Internal discussion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2026-10-22T20:33:59Z</dcterms:created>
  <dc:creator>openpyxl</dc:creator>
  <dc:description/>
  <dc:language>zh-CN</dc:language>
  <cp:lastModifiedBy/>
  <dcterms:modified xsi:type="dcterms:W3CDTF">2026-10-22T20:33:59Z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