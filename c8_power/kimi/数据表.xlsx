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汇总" sheetId="1" state="visible" r:id="rId3"/>
    <sheet name="数据明细" sheetId="2" state="visible" r:id="rId4"/>
    <sheet name="假设与模型" sheetId="3" state="visible" r:id="rId5"/>
    <sheet name="来源索引" sheetId="4" state="visible" r:id="rId6"/>
    <sheet name="口径说明" sheetId="5" state="visible" r:id="rId7"/>
  </sheets>
  <definedNames>
    <definedName function="false" hidden="false" localSheetId="0" name="_xlnm.Print_Area" vbProcedure="false">汇总!$A$1:$N$50</definedName>
    <definedName function="false" hidden="false" localSheetId="2" name="_xlnm.Print_Titles" vbProcedure="false">假设与模型!$1:$3</definedName>
    <definedName function="false" hidden="false" localSheetId="3" name="_xlnm.Print_Titles" vbProcedure="false">来源索引!$1:$3</definedName>
    <definedName function="false" hidden="true" localSheetId="3" name="_xlnm._FilterDatabase" vbProcedure="false">来源索引!$A$3:$H$34</definedName>
    <definedName function="false" hidden="false" localSheetId="1" name="_xlnm.Print_Titles" vbProcedure="false">数据明细!$1:$3</definedName>
    <definedName function="false" hidden="true" localSheetId="1" name="_xlnm._FilterDatabase" vbProcedure="false">数据明细!$A$3:$Q$243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<sst xmlns="http://schemas.openxmlformats.org/spreadsheetml/2006/main" count="4205" uniqueCount="1231">
  <si>
    <r>
      <rPr>
        <b val="true"/>
        <sz val="22"/>
        <color rgb="FFFFFFFF"/>
        <rFont val="Noto Sans CJK SC"/>
        <family val="2"/>
      </rPr>
      <t xml:space="preserve">汇总｜</t>
    </r>
    <r>
      <rPr>
        <b val="true"/>
        <sz val="22"/>
        <color rgb="FFFFFFFF"/>
        <rFont val="Aptos Display"/>
        <family val="0"/>
        <charset val="1"/>
      </rPr>
      <t xml:space="preserve">AI </t>
    </r>
    <r>
      <rPr>
        <b val="true"/>
        <sz val="22"/>
        <color rgb="FFFFFFFF"/>
        <rFont val="Noto Sans CJK SC"/>
        <family val="2"/>
      </rPr>
      <t xml:space="preserve">的电从哪来</t>
    </r>
  </si>
  <si>
    <r>
      <rPr>
        <sz val="10"/>
        <color rgb="FF243B53"/>
        <rFont val="Noto Sans CJK SC"/>
        <family val="2"/>
      </rPr>
      <t xml:space="preserve">所有数值均由公式从“数据明细”或“假设与模型”取得。图表随输入更新；访问与版本日期：</t>
    </r>
    <r>
      <rPr>
        <sz val="10"/>
        <color rgb="FF243B53"/>
        <rFont val="Aptos"/>
        <family val="0"/>
        <charset val="1"/>
      </rPr>
      <t xml:space="preserve">2026-10-22</t>
    </r>
    <r>
      <rPr>
        <sz val="10"/>
        <color rgb="FF243B53"/>
        <rFont val="Noto Sans CJK SC"/>
        <family val="2"/>
      </rPr>
      <t xml:space="preserve">。</t>
    </r>
  </si>
  <si>
    <t xml:space="preserve">核心指标</t>
  </si>
  <si>
    <t xml:space="preserve">指标</t>
  </si>
  <si>
    <t xml:space="preserve">公式结果</t>
  </si>
  <si>
    <t xml:space="preserve">单位</t>
  </si>
  <si>
    <t xml:space="preserve">口径</t>
  </si>
  <si>
    <t xml:space="preserve">来源</t>
  </si>
  <si>
    <t xml:space="preserve">发布日期</t>
  </si>
  <si>
    <r>
      <rPr>
        <b val="true"/>
        <sz val="10"/>
        <color rgb="FF243B53"/>
        <rFont val="Noto Sans CJK SC"/>
        <family val="2"/>
      </rPr>
      <t xml:space="preserve">全球数据中心用电（</t>
    </r>
    <r>
      <rPr>
        <b val="true"/>
        <sz val="10"/>
        <color rgb="FF243B53"/>
        <rFont val="Aptos"/>
        <family val="0"/>
        <charset val="1"/>
      </rPr>
      <t xml:space="preserve">2025</t>
    </r>
    <r>
      <rPr>
        <b val="true"/>
        <sz val="10"/>
        <color rgb="FF243B53"/>
        <rFont val="Noto Sans CJK SC"/>
        <family val="2"/>
      </rPr>
      <t xml:space="preserve">）</t>
    </r>
  </si>
  <si>
    <t xml:space="preserve">TWh</t>
  </si>
  <si>
    <r>
      <rPr>
        <sz val="10"/>
        <color rgb="FF243B53"/>
        <rFont val="Aptos"/>
        <family val="0"/>
        <charset val="1"/>
      </rPr>
      <t xml:space="preserve">IEA 2026</t>
    </r>
    <r>
      <rPr>
        <sz val="10"/>
        <color rgb="FF243B53"/>
        <rFont val="Noto Sans CJK SC"/>
        <family val="2"/>
      </rPr>
      <t xml:space="preserve">更新估计</t>
    </r>
  </si>
  <si>
    <r>
      <rPr>
        <b val="true"/>
        <sz val="10"/>
        <color rgb="FF243B53"/>
        <rFont val="Noto Sans CJK SC"/>
        <family val="2"/>
      </rPr>
      <t xml:space="preserve">全球数据中心用电（</t>
    </r>
    <r>
      <rPr>
        <b val="true"/>
        <sz val="10"/>
        <color rgb="FF243B53"/>
        <rFont val="Aptos"/>
        <family val="0"/>
        <charset val="1"/>
      </rPr>
      <t xml:space="preserve">2030</t>
    </r>
    <r>
      <rPr>
        <b val="true"/>
        <sz val="10"/>
        <color rgb="FF243B53"/>
        <rFont val="Noto Sans CJK SC"/>
        <family val="2"/>
      </rPr>
      <t xml:space="preserve">中央预测）</t>
    </r>
  </si>
  <si>
    <r>
      <rPr>
        <sz val="10"/>
        <color rgb="FF243B53"/>
        <rFont val="Aptos"/>
        <family val="0"/>
        <charset val="1"/>
      </rPr>
      <t xml:space="preserve">IEA 2026</t>
    </r>
    <r>
      <rPr>
        <sz val="10"/>
        <color rgb="FF243B53"/>
        <rFont val="Noto Sans CJK SC"/>
        <family val="2"/>
      </rPr>
      <t xml:space="preserve">中央预测</t>
    </r>
  </si>
  <si>
    <r>
      <rPr>
        <b val="true"/>
        <sz val="10"/>
        <color rgb="FF243B53"/>
        <rFont val="Aptos"/>
        <family val="0"/>
        <charset val="1"/>
      </rPr>
      <t xml:space="preserve">2025—2030</t>
    </r>
    <r>
      <rPr>
        <b val="true"/>
        <sz val="10"/>
        <color rgb="FF243B53"/>
        <rFont val="Noto Sans CJK SC"/>
        <family val="2"/>
      </rPr>
      <t xml:space="preserve">用电增量</t>
    </r>
  </si>
  <si>
    <r>
      <rPr>
        <sz val="10"/>
        <color rgb="FF243B53"/>
        <rFont val="Noto Sans CJK SC"/>
        <family val="2"/>
      </rPr>
      <t xml:space="preserve">公式：</t>
    </r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减</t>
    </r>
    <r>
      <rPr>
        <sz val="10"/>
        <color rgb="FF243B53"/>
        <rFont val="Aptos"/>
        <family val="0"/>
        <charset val="1"/>
      </rPr>
      <t xml:space="preserve">2025</t>
    </r>
  </si>
  <si>
    <r>
      <rPr>
        <b val="true"/>
        <sz val="10"/>
        <color rgb="FF243B53"/>
        <rFont val="Aptos"/>
        <family val="0"/>
        <charset val="1"/>
      </rPr>
      <t xml:space="preserve">2025—2030</t>
    </r>
    <r>
      <rPr>
        <b val="true"/>
        <sz val="10"/>
        <color rgb="FF243B53"/>
        <rFont val="Noto Sans CJK SC"/>
        <family val="2"/>
      </rPr>
      <t xml:space="preserve">复合增速</t>
    </r>
  </si>
  <si>
    <t xml:space="preserve">比例</t>
  </si>
  <si>
    <r>
      <rPr>
        <sz val="10"/>
        <color rgb="FF243B53"/>
        <rFont val="Noto Sans CJK SC"/>
        <family val="2"/>
      </rPr>
      <t xml:space="preserve">公式：</t>
    </r>
    <r>
      <rPr>
        <sz val="10"/>
        <color rgb="FF243B53"/>
        <rFont val="Aptos"/>
        <family val="0"/>
        <charset val="1"/>
      </rPr>
      <t xml:space="preserve">5</t>
    </r>
    <r>
      <rPr>
        <sz val="10"/>
        <color rgb="FF243B53"/>
        <rFont val="Noto Sans CJK SC"/>
        <family val="2"/>
      </rPr>
      <t xml:space="preserve">年复合增速</t>
    </r>
  </si>
  <si>
    <r>
      <rPr>
        <b val="true"/>
        <sz val="10"/>
        <color rgb="FF243B53"/>
        <rFont val="Aptos"/>
        <family val="0"/>
        <charset val="1"/>
      </rPr>
      <t xml:space="preserve">Meta</t>
    </r>
    <r>
      <rPr>
        <b val="true"/>
        <sz val="10"/>
        <color rgb="FF243B53"/>
        <rFont val="Noto Sans CJK SC"/>
        <family val="2"/>
      </rPr>
      <t xml:space="preserve">数据中心用电（</t>
    </r>
    <r>
      <rPr>
        <b val="true"/>
        <sz val="10"/>
        <color rgb="FF243B53"/>
        <rFont val="Aptos"/>
        <family val="0"/>
        <charset val="1"/>
      </rPr>
      <t xml:space="preserve">2024</t>
    </r>
    <r>
      <rPr>
        <b val="true"/>
        <sz val="10"/>
        <color rgb="FF243B53"/>
        <rFont val="Noto Sans CJK SC"/>
        <family val="2"/>
      </rPr>
      <t xml:space="preserve">）</t>
    </r>
  </si>
  <si>
    <r>
      <rPr>
        <sz val="10"/>
        <color rgb="FF243B53"/>
        <rFont val="Aptos"/>
        <family val="0"/>
        <charset val="1"/>
      </rPr>
      <t xml:space="preserve">FY2024</t>
    </r>
    <r>
      <rPr>
        <sz val="10"/>
        <color rgb="FF243B53"/>
        <rFont val="Noto Sans CJK SC"/>
        <family val="2"/>
      </rPr>
      <t xml:space="preserve">，不含办公室</t>
    </r>
  </si>
  <si>
    <r>
      <rPr>
        <b val="true"/>
        <sz val="10"/>
        <color rgb="FF243B53"/>
        <rFont val="Aptos"/>
        <family val="0"/>
        <charset val="1"/>
      </rPr>
      <t xml:space="preserve">Meta</t>
    </r>
    <r>
      <rPr>
        <b val="true"/>
        <sz val="10"/>
        <color rgb="FF243B53"/>
        <rFont val="Noto Sans CJK SC"/>
        <family val="2"/>
      </rPr>
      <t xml:space="preserve">数据中心用电同比</t>
    </r>
  </si>
  <si>
    <r>
      <rPr>
        <sz val="10"/>
        <color rgb="FF243B53"/>
        <rFont val="Noto Sans CJK SC"/>
        <family val="2"/>
      </rPr>
      <t xml:space="preserve">公式：</t>
    </r>
    <r>
      <rPr>
        <sz val="10"/>
        <color rgb="FF243B53"/>
        <rFont val="Aptos"/>
        <family val="0"/>
        <charset val="1"/>
      </rPr>
      <t xml:space="preserve">2024</t>
    </r>
    <r>
      <rPr>
        <sz val="10"/>
        <color rgb="FF243B53"/>
        <rFont val="Noto Sans CJK SC"/>
        <family val="2"/>
      </rPr>
      <t xml:space="preserve">相对</t>
    </r>
    <r>
      <rPr>
        <sz val="10"/>
        <color rgb="FF243B53"/>
        <rFont val="Aptos"/>
        <family val="0"/>
        <charset val="1"/>
      </rPr>
      <t xml:space="preserve">2023</t>
    </r>
  </si>
  <si>
    <r>
      <rPr>
        <b val="true"/>
        <sz val="10"/>
        <color rgb="FF243B53"/>
        <rFont val="Aptos"/>
        <family val="0"/>
        <charset val="1"/>
      </rPr>
      <t xml:space="preserve">Meta</t>
    </r>
    <r>
      <rPr>
        <b val="true"/>
        <sz val="10"/>
        <color rgb="FF243B53"/>
        <rFont val="Noto Sans CJK SC"/>
        <family val="2"/>
      </rPr>
      <t xml:space="preserve">资本开支（</t>
    </r>
    <r>
      <rPr>
        <b val="true"/>
        <sz val="10"/>
        <color rgb="FF243B53"/>
        <rFont val="Aptos"/>
        <family val="0"/>
        <charset val="1"/>
      </rPr>
      <t xml:space="preserve">2026Q3</t>
    </r>
    <r>
      <rPr>
        <b val="true"/>
        <sz val="10"/>
        <color rgb="FF243B53"/>
        <rFont val="Noto Sans CJK SC"/>
        <family val="2"/>
      </rPr>
      <t xml:space="preserve">）</t>
    </r>
  </si>
  <si>
    <t xml:space="preserve">十亿美元</t>
  </si>
  <si>
    <t xml:space="preserve">含融资租赁本金</t>
  </si>
  <si>
    <r>
      <rPr>
        <b val="true"/>
        <sz val="10"/>
        <color rgb="FF243B53"/>
        <rFont val="Aptos"/>
        <family val="0"/>
        <charset val="1"/>
      </rPr>
      <t xml:space="preserve">Meta</t>
    </r>
    <r>
      <rPr>
        <b val="true"/>
        <sz val="10"/>
        <color rgb="FF243B53"/>
        <rFont val="Noto Sans CJK SC"/>
        <family val="2"/>
      </rPr>
      <t xml:space="preserve">资本开支（</t>
    </r>
    <r>
      <rPr>
        <b val="true"/>
        <sz val="10"/>
        <color rgb="FF243B53"/>
        <rFont val="Aptos"/>
        <family val="0"/>
        <charset val="1"/>
      </rPr>
      <t xml:space="preserve">2026</t>
    </r>
    <r>
      <rPr>
        <b val="true"/>
        <sz val="10"/>
        <color rgb="FF243B53"/>
        <rFont val="Noto Sans CJK SC"/>
        <family val="2"/>
      </rPr>
      <t xml:space="preserve">年</t>
    </r>
    <r>
      <rPr>
        <b val="true"/>
        <sz val="10"/>
        <color rgb="FF243B53"/>
        <rFont val="Aptos"/>
        <family val="0"/>
        <charset val="1"/>
      </rPr>
      <t xml:space="preserve">1—9</t>
    </r>
    <r>
      <rPr>
        <b val="true"/>
        <sz val="10"/>
        <color rgb="FF243B53"/>
        <rFont val="Noto Sans CJK SC"/>
        <family val="2"/>
      </rPr>
      <t xml:space="preserve">月）</t>
    </r>
  </si>
  <si>
    <r>
      <rPr>
        <sz val="10"/>
        <color rgb="FF243B53"/>
        <rFont val="Noto Sans CJK SC"/>
        <family val="2"/>
      </rPr>
      <t xml:space="preserve">公式：购置设备</t>
    </r>
    <r>
      <rPr>
        <sz val="10"/>
        <color rgb="FF243B53"/>
        <rFont val="Aptos"/>
        <family val="0"/>
        <charset val="1"/>
      </rPr>
      <t xml:space="preserve">+</t>
    </r>
    <r>
      <rPr>
        <sz val="10"/>
        <color rgb="FF243B53"/>
        <rFont val="Noto Sans CJK SC"/>
        <family val="2"/>
      </rPr>
      <t xml:space="preserve">融资租赁本金</t>
    </r>
  </si>
  <si>
    <t xml:space="preserve">物理供电份额合计校验</t>
  </si>
  <si>
    <r>
      <rPr>
        <sz val="10"/>
        <color rgb="FF243B53"/>
        <rFont val="Noto Sans CJK SC"/>
        <family val="2"/>
      </rPr>
      <t xml:space="preserve">应等于</t>
    </r>
    <r>
      <rPr>
        <sz val="10"/>
        <color rgb="FF243B53"/>
        <rFont val="Aptos"/>
        <family val="0"/>
        <charset val="1"/>
      </rPr>
      <t xml:space="preserve">100%</t>
    </r>
    <r>
      <rPr>
        <sz val="10"/>
        <color rgb="FF243B53"/>
        <rFont val="Noto Sans CJK SC"/>
        <family val="2"/>
      </rPr>
      <t xml:space="preserve">；含剩余项公式</t>
    </r>
  </si>
  <si>
    <r>
      <rPr>
        <b val="true"/>
        <sz val="12"/>
        <color rgb="FF102A43"/>
        <rFont val="Aptos"/>
        <family val="0"/>
        <charset val="1"/>
      </rPr>
      <t xml:space="preserve">2024</t>
    </r>
    <r>
      <rPr>
        <b val="true"/>
        <sz val="12"/>
        <color rgb="FF102A43"/>
        <rFont val="Noto Sans CJK SC"/>
        <family val="2"/>
      </rPr>
      <t xml:space="preserve">全球数据中心物理供电结构｜网页同源</t>
    </r>
  </si>
  <si>
    <t xml:space="preserve">能源</t>
  </si>
  <si>
    <t xml:space="preserve">份额</t>
  </si>
  <si>
    <r>
      <rPr>
        <b val="true"/>
        <sz val="10"/>
        <color rgb="FFFFFFFF"/>
        <rFont val="Noto Sans CJK SC"/>
        <family val="2"/>
      </rPr>
      <t xml:space="preserve">按</t>
    </r>
    <r>
      <rPr>
        <b val="true"/>
        <sz val="10"/>
        <color rgb="FFFFFFFF"/>
        <rFont val="Aptos"/>
        <family val="0"/>
        <charset val="1"/>
      </rPr>
      <t xml:space="preserve">415 TWh</t>
    </r>
    <r>
      <rPr>
        <b val="true"/>
        <sz val="10"/>
        <color rgb="FFFFFFFF"/>
        <rFont val="Noto Sans CJK SC"/>
        <family val="2"/>
      </rPr>
      <t xml:space="preserve">折算</t>
    </r>
  </si>
  <si>
    <t xml:space="preserve">性质</t>
  </si>
  <si>
    <t xml:space="preserve">煤炭</t>
  </si>
  <si>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约份额；折算为计算值</t>
    </r>
  </si>
  <si>
    <t xml:space="preserve">天然气</t>
  </si>
  <si>
    <t xml:space="preserve">可再生能源</t>
  </si>
  <si>
    <t xml:space="preserve">核电</t>
  </si>
  <si>
    <t xml:space="preserve">其他（剩余项）</t>
  </si>
  <si>
    <r>
      <rPr>
        <sz val="10"/>
        <color rgb="FF243B53"/>
        <rFont val="Noto Sans CJK SC"/>
        <family val="2"/>
      </rPr>
      <t xml:space="preserve">聚变（展示假设，不计入</t>
    </r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合计）</t>
    </r>
  </si>
  <si>
    <t xml:space="preserve">—</t>
  </si>
  <si>
    <r>
      <rPr>
        <sz val="10"/>
        <color rgb="FF243B53"/>
        <rFont val="Noto Sans CJK SC"/>
        <family val="2"/>
      </rPr>
      <t xml:space="preserve">展示假设；</t>
    </r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未单列商业聚变</t>
    </r>
  </si>
  <si>
    <t xml:space="preserve">本研究假设</t>
  </si>
  <si>
    <t xml:space="preserve">2026-10-22</t>
  </si>
  <si>
    <r>
      <rPr>
        <b val="true"/>
        <sz val="10"/>
        <color rgb="FF102A43"/>
        <rFont val="Noto Sans CJK SC"/>
        <family val="2"/>
      </rPr>
      <t xml:space="preserve">合计</t>
    </r>
    <r>
      <rPr>
        <b val="true"/>
        <sz val="10"/>
        <color rgb="FF102A43"/>
        <rFont val="Aptos"/>
        <family val="0"/>
        <charset val="1"/>
      </rPr>
      <t xml:space="preserve">/</t>
    </r>
    <r>
      <rPr>
        <b val="true"/>
        <sz val="10"/>
        <color rgb="FF102A43"/>
        <rFont val="Noto Sans CJK SC"/>
        <family val="2"/>
      </rPr>
      <t xml:space="preserve">校验</t>
    </r>
  </si>
  <si>
    <r>
      <rPr>
        <b val="true"/>
        <sz val="10"/>
        <color rgb="FF102A43"/>
        <rFont val="Noto Sans CJK SC"/>
        <family val="2"/>
      </rPr>
      <t xml:space="preserve">应分别为</t>
    </r>
    <r>
      <rPr>
        <b val="true"/>
        <sz val="10"/>
        <color rgb="FF102A43"/>
        <rFont val="Aptos"/>
        <family val="0"/>
        <charset val="1"/>
      </rPr>
      <t xml:space="preserve">100%</t>
    </r>
    <r>
      <rPr>
        <b val="true"/>
        <sz val="10"/>
        <color rgb="FF102A43"/>
        <rFont val="Noto Sans CJK SC"/>
        <family val="2"/>
      </rPr>
      <t xml:space="preserve">与</t>
    </r>
    <r>
      <rPr>
        <b val="true"/>
        <sz val="10"/>
        <color rgb="FF102A43"/>
        <rFont val="Aptos"/>
        <family val="0"/>
        <charset val="1"/>
      </rPr>
      <t xml:space="preserve">415 TWh</t>
    </r>
  </si>
  <si>
    <r>
      <rPr>
        <b val="true"/>
        <sz val="12"/>
        <color rgb="FF102A43"/>
        <rFont val="Aptos"/>
        <family val="0"/>
        <charset val="1"/>
      </rPr>
      <t xml:space="preserve">2026</t>
    </r>
    <r>
      <rPr>
        <b val="true"/>
        <sz val="12"/>
        <color rgb="FF102A43"/>
        <rFont val="Noto Sans CJK SC"/>
        <family val="2"/>
      </rPr>
      <t xml:space="preserve">日历年上半年资本开支｜定义不同，不作简单排名</t>
    </r>
  </si>
  <si>
    <t xml:space="preserve">公司</t>
  </si>
  <si>
    <t xml:space="preserve">原始口径与计算</t>
  </si>
  <si>
    <t xml:space="preserve">Meta</t>
  </si>
  <si>
    <r>
      <rPr>
        <sz val="10"/>
        <color rgb="FF243B53"/>
        <rFont val="Aptos"/>
        <family val="0"/>
        <charset val="1"/>
      </rPr>
      <t xml:space="preserve">9M</t>
    </r>
    <r>
      <rPr>
        <sz val="10"/>
        <color rgb="FF243B53"/>
        <rFont val="Noto Sans CJK SC"/>
        <family val="2"/>
      </rPr>
      <t xml:space="preserve">购置设备</t>
    </r>
    <r>
      <rPr>
        <sz val="10"/>
        <color rgb="FF243B53"/>
        <rFont val="Aptos"/>
        <family val="0"/>
        <charset val="1"/>
      </rPr>
      <t xml:space="preserve">+</t>
    </r>
    <r>
      <rPr>
        <sz val="10"/>
        <color rgb="FF243B53"/>
        <rFont val="Noto Sans CJK SC"/>
        <family val="2"/>
      </rPr>
      <t xml:space="preserve">租赁本金减</t>
    </r>
    <r>
      <rPr>
        <sz val="10"/>
        <color rgb="FF243B53"/>
        <rFont val="Aptos"/>
        <family val="0"/>
        <charset val="1"/>
      </rPr>
      <t xml:space="preserve">Q3</t>
    </r>
    <r>
      <rPr>
        <sz val="10"/>
        <color rgb="FF243B53"/>
        <rFont val="Noto Sans CJK SC"/>
        <family val="2"/>
      </rPr>
      <t xml:space="preserve">资本开支；约数</t>
    </r>
  </si>
  <si>
    <t xml:space="preserve">Alphabet</t>
  </si>
  <si>
    <r>
      <rPr>
        <sz val="10"/>
        <color rgb="FF243B53"/>
        <rFont val="Aptos"/>
        <family val="0"/>
        <charset val="1"/>
      </rPr>
      <t xml:space="preserve">H1</t>
    </r>
    <r>
      <rPr>
        <sz val="10"/>
        <color rgb="FF243B53"/>
        <rFont val="Noto Sans CJK SC"/>
        <family val="2"/>
      </rPr>
      <t xml:space="preserve">购置物业及设备现金支出</t>
    </r>
  </si>
  <si>
    <t xml:space="preserve">Microsoft</t>
  </si>
  <si>
    <r>
      <rPr>
        <sz val="10"/>
        <color rgb="FF243B53"/>
        <rFont val="Noto Sans CJK SC"/>
        <family val="2"/>
      </rPr>
      <t xml:space="preserve">日历年</t>
    </r>
    <r>
      <rPr>
        <sz val="10"/>
        <color rgb="FF243B53"/>
        <rFont val="Aptos"/>
        <family val="0"/>
        <charset val="1"/>
      </rPr>
      <t xml:space="preserve">Q1+</t>
    </r>
    <r>
      <rPr>
        <sz val="10"/>
        <color rgb="FF243B53"/>
        <rFont val="Noto Sans CJK SC"/>
        <family val="2"/>
      </rPr>
      <t xml:space="preserve">（</t>
    </r>
    <r>
      <rPr>
        <sz val="10"/>
        <color rgb="FF243B53"/>
        <rFont val="Aptos"/>
        <family val="0"/>
        <charset val="1"/>
      </rPr>
      <t xml:space="preserve">FY</t>
    </r>
    <r>
      <rPr>
        <sz val="10"/>
        <color rgb="FF243B53"/>
        <rFont val="Noto Sans CJK SC"/>
        <family val="2"/>
      </rPr>
      <t xml:space="preserve">全年</t>
    </r>
    <r>
      <rPr>
        <sz val="10"/>
        <color rgb="FF243B53"/>
        <rFont val="Aptos"/>
        <family val="0"/>
        <charset val="1"/>
      </rPr>
      <t xml:space="preserve">-FY</t>
    </r>
    <r>
      <rPr>
        <sz val="10"/>
        <color rgb="FF243B53"/>
        <rFont val="Noto Sans CJK SC"/>
        <family val="2"/>
      </rPr>
      <t xml:space="preserve">前</t>
    </r>
    <r>
      <rPr>
        <sz val="10"/>
        <color rgb="FF243B53"/>
        <rFont val="Aptos"/>
        <family val="0"/>
        <charset val="1"/>
      </rPr>
      <t xml:space="preserve">9</t>
    </r>
    <r>
      <rPr>
        <sz val="10"/>
        <color rgb="FF243B53"/>
        <rFont val="Noto Sans CJK SC"/>
        <family val="2"/>
      </rPr>
      <t xml:space="preserve">月）</t>
    </r>
  </si>
  <si>
    <t xml:space="preserve">Amazon</t>
  </si>
  <si>
    <r>
      <rPr>
        <sz val="10"/>
        <color rgb="FF243B53"/>
        <rFont val="Aptos"/>
        <family val="0"/>
        <charset val="1"/>
      </rPr>
      <t xml:space="preserve">H1</t>
    </r>
    <r>
      <rPr>
        <sz val="10"/>
        <color rgb="FF243B53"/>
        <rFont val="Noto Sans CJK SC"/>
        <family val="2"/>
      </rPr>
      <t xml:space="preserve">生产性资产购置现金支出</t>
    </r>
  </si>
  <si>
    <t xml:space="preserve">全球用电图表数据</t>
  </si>
  <si>
    <t xml:space="preserve">年份</t>
  </si>
  <si>
    <t xml:space="preserve">用电量</t>
  </si>
  <si>
    <r>
      <rPr>
        <sz val="10"/>
        <color rgb="FF243B53"/>
        <rFont val="Aptos"/>
        <family val="0"/>
        <charset val="1"/>
      </rPr>
      <t xml:space="preserve">IEA 2025</t>
    </r>
    <r>
      <rPr>
        <sz val="10"/>
        <color rgb="FF243B53"/>
        <rFont val="Noto Sans CJK SC"/>
        <family val="2"/>
      </rPr>
      <t xml:space="preserve">估计</t>
    </r>
  </si>
  <si>
    <r>
      <rPr>
        <sz val="10"/>
        <color rgb="FF243B53"/>
        <rFont val="Aptos"/>
        <family val="0"/>
        <charset val="1"/>
      </rPr>
      <t xml:space="preserve">IEA 2026</t>
    </r>
    <r>
      <rPr>
        <sz val="10"/>
        <color rgb="FF243B53"/>
        <rFont val="Noto Sans CJK SC"/>
        <family val="2"/>
      </rPr>
      <t xml:space="preserve">估计</t>
    </r>
  </si>
  <si>
    <r>
      <rPr>
        <b val="true"/>
        <sz val="12"/>
        <color rgb="FF102A43"/>
        <rFont val="Aptos"/>
        <family val="0"/>
        <charset val="1"/>
      </rPr>
      <t xml:space="preserve">2030</t>
    </r>
    <r>
      <rPr>
        <b val="true"/>
        <sz val="12"/>
        <color rgb="FF102A43"/>
        <rFont val="Noto Sans CJK SC"/>
        <family val="2"/>
      </rPr>
      <t xml:space="preserve">敏感性｜本研究乘数，不是</t>
    </r>
    <r>
      <rPr>
        <b val="true"/>
        <sz val="12"/>
        <color rgb="FF102A43"/>
        <rFont val="Aptos"/>
        <family val="0"/>
        <charset val="1"/>
      </rPr>
      <t xml:space="preserve">IEA</t>
    </r>
    <r>
      <rPr>
        <b val="true"/>
        <sz val="12"/>
        <color rgb="FF102A43"/>
        <rFont val="Noto Sans CJK SC"/>
        <family val="2"/>
      </rPr>
      <t xml:space="preserve">情景</t>
    </r>
  </si>
  <si>
    <t xml:space="preserve">情景</t>
  </si>
  <si>
    <t xml:space="preserve">公式</t>
  </si>
  <si>
    <r>
      <rPr>
        <sz val="10"/>
        <color rgb="FF243B53"/>
        <rFont val="Noto Sans CJK SC"/>
        <family val="2"/>
      </rPr>
      <t xml:space="preserve">低情景（</t>
    </r>
    <r>
      <rPr>
        <sz val="10"/>
        <color rgb="FF243B53"/>
        <rFont val="Aptos"/>
        <family val="0"/>
        <charset val="1"/>
      </rPr>
      <t xml:space="preserve">0.8×</t>
    </r>
    <r>
      <rPr>
        <sz val="10"/>
        <color rgb="FF243B53"/>
        <rFont val="Noto Sans CJK SC"/>
        <family val="2"/>
      </rPr>
      <t xml:space="preserve">）</t>
    </r>
  </si>
  <si>
    <r>
      <rPr>
        <sz val="10"/>
        <color rgb="FF243B53"/>
        <rFont val="Aptos"/>
        <family val="0"/>
        <charset val="1"/>
      </rPr>
      <t xml:space="preserve">IEA 950 TWh×</t>
    </r>
    <r>
      <rPr>
        <sz val="10"/>
        <color rgb="FF243B53"/>
        <rFont val="Noto Sans CJK SC"/>
        <family val="2"/>
      </rPr>
      <t xml:space="preserve">假设乘数</t>
    </r>
  </si>
  <si>
    <r>
      <rPr>
        <sz val="10"/>
        <color rgb="FF243B53"/>
        <rFont val="Aptos"/>
        <family val="0"/>
        <charset val="1"/>
      </rPr>
      <t xml:space="preserve">IEA+</t>
    </r>
    <r>
      <rPr>
        <sz val="10"/>
        <color rgb="FF243B53"/>
        <rFont val="Noto Sans CJK SC"/>
        <family val="2"/>
      </rPr>
      <t xml:space="preserve">本研究假设</t>
    </r>
  </si>
  <si>
    <t xml:space="preserve">中央预测</t>
  </si>
  <si>
    <r>
      <rPr>
        <sz val="10"/>
        <color rgb="FF243B53"/>
        <rFont val="Noto Sans CJK SC"/>
        <family val="2"/>
      </rPr>
      <t xml:space="preserve">高情景（</t>
    </r>
    <r>
      <rPr>
        <sz val="10"/>
        <color rgb="FF243B53"/>
        <rFont val="Aptos"/>
        <family val="0"/>
        <charset val="1"/>
      </rPr>
      <t xml:space="preserve">1.2×</t>
    </r>
    <r>
      <rPr>
        <sz val="10"/>
        <color rgb="FF243B53"/>
        <rFont val="Noto Sans CJK SC"/>
        <family val="2"/>
      </rPr>
      <t xml:space="preserve">）</t>
    </r>
  </si>
  <si>
    <r>
      <rPr>
        <b val="true"/>
        <sz val="12"/>
        <color rgb="FF102A43"/>
        <rFont val="Aptos"/>
        <family val="0"/>
        <charset val="1"/>
      </rPr>
      <t xml:space="preserve">100 MW</t>
    </r>
    <r>
      <rPr>
        <b val="true"/>
        <sz val="12"/>
        <color rgb="FF102A43"/>
        <rFont val="Noto Sans CJK SC"/>
        <family val="2"/>
      </rPr>
      <t xml:space="preserve">示例负载｜完整可调模型见“假设与模型”</t>
    </r>
  </si>
  <si>
    <t xml:space="preserve">输出</t>
  </si>
  <si>
    <t xml:space="preserve">说明</t>
  </si>
  <si>
    <t xml:space="preserve">设施总功率</t>
  </si>
  <si>
    <t xml:space="preserve">MW</t>
  </si>
  <si>
    <t xml:space="preserve">由黄色假设格联动</t>
  </si>
  <si>
    <t xml:space="preserve">本研究公式</t>
  </si>
  <si>
    <t xml:space="preserve">表计年用电量</t>
  </si>
  <si>
    <t xml:space="preserve">发电侧所需电量</t>
  </si>
  <si>
    <t xml:space="preserve">年度电费</t>
  </si>
  <si>
    <r>
      <rPr>
        <sz val="10"/>
        <color rgb="FF243B53"/>
        <rFont val="Noto Sans CJK SC"/>
        <family val="2"/>
      </rPr>
      <t xml:space="preserve">百万</t>
    </r>
    <r>
      <rPr>
        <sz val="10"/>
        <color rgb="FF243B53"/>
        <rFont val="Aptos"/>
        <family val="0"/>
        <charset val="1"/>
      </rPr>
      <t xml:space="preserve">USD</t>
    </r>
  </si>
  <si>
    <t xml:space="preserve">数据明细｜报告与网页同源</t>
  </si>
  <si>
    <r>
      <rPr>
        <sz val="10"/>
        <color rgb="FF243B53"/>
        <rFont val="Noto Sans CJK SC"/>
        <family val="2"/>
      </rPr>
      <t xml:space="preserve">每行均含来源、发布日期与口径。黄色为披露值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输入，蓝色为公式。访问日期：</t>
    </r>
    <r>
      <rPr>
        <sz val="10"/>
        <color rgb="FF243B53"/>
        <rFont val="Aptos"/>
        <family val="0"/>
        <charset val="1"/>
      </rPr>
      <t xml:space="preserve">2026-10-22</t>
    </r>
    <r>
      <rPr>
        <sz val="10"/>
        <color rgb="FF243B53"/>
        <rFont val="Noto Sans CJK SC"/>
        <family val="2"/>
      </rPr>
      <t xml:space="preserve">。</t>
    </r>
  </si>
  <si>
    <r>
      <rPr>
        <b val="true"/>
        <sz val="10"/>
        <color rgb="FFFFFFFF"/>
        <rFont val="Noto Sans CJK SC"/>
        <family val="2"/>
      </rPr>
      <t xml:space="preserve">数据</t>
    </r>
    <r>
      <rPr>
        <b val="true"/>
        <sz val="10"/>
        <color rgb="FFFFFFFF"/>
        <rFont val="Aptos"/>
        <family val="0"/>
        <charset val="1"/>
      </rPr>
      <t xml:space="preserve">ID</t>
    </r>
  </si>
  <si>
    <t xml:space="preserve">主题</t>
  </si>
  <si>
    <r>
      <rPr>
        <b val="true"/>
        <sz val="10"/>
        <color rgb="FFFFFFFF"/>
        <rFont val="Noto Sans CJK SC"/>
        <family val="2"/>
      </rPr>
      <t xml:space="preserve">主体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地区</t>
    </r>
  </si>
  <si>
    <t xml:space="preserve">期间</t>
  </si>
  <si>
    <t xml:space="preserve">数值</t>
  </si>
  <si>
    <t xml:space="preserve">数据性质</t>
  </si>
  <si>
    <t xml:space="preserve">口径说明</t>
  </si>
  <si>
    <r>
      <rPr>
        <b val="true"/>
        <sz val="10"/>
        <color rgb="FFFFFFFF"/>
        <rFont val="Noto Sans CJK SC"/>
        <family val="2"/>
      </rPr>
      <t xml:space="preserve">来源</t>
    </r>
    <r>
      <rPr>
        <b val="true"/>
        <sz val="10"/>
        <color rgb="FFFFFFFF"/>
        <rFont val="Aptos"/>
        <family val="0"/>
        <charset val="1"/>
      </rPr>
      <t xml:space="preserve">ID</t>
    </r>
  </si>
  <si>
    <t xml:space="preserve">来源名称</t>
  </si>
  <si>
    <r>
      <rPr>
        <b val="true"/>
        <sz val="10"/>
        <color rgb="FFFFFFFF"/>
        <rFont val="Noto Sans CJK SC"/>
        <family val="2"/>
      </rPr>
      <t xml:space="preserve">章节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表名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定位</t>
    </r>
  </si>
  <si>
    <r>
      <rPr>
        <b val="true"/>
        <sz val="10"/>
        <color rgb="FFFFFFFF"/>
        <rFont val="Noto Sans CJK SC"/>
        <family val="2"/>
      </rPr>
      <t xml:space="preserve">网页链接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原始文件</t>
    </r>
  </si>
  <si>
    <t xml:space="preserve">访问日期</t>
  </si>
  <si>
    <t xml:space="preserve">值修饰</t>
  </si>
  <si>
    <t xml:space="preserve">补充说明</t>
  </si>
  <si>
    <t xml:space="preserve">G001</t>
  </si>
  <si>
    <t xml:space="preserve">全球用电</t>
  </si>
  <si>
    <t xml:space="preserve">数据中心用电量</t>
  </si>
  <si>
    <t xml:space="preserve">全球</t>
  </si>
  <si>
    <t xml:space="preserve">2024</t>
  </si>
  <si>
    <t xml:space="preserve">机构估计</t>
  </si>
  <si>
    <t xml:space="preserve">终端电力消费，非发电侧；约数</t>
  </si>
  <si>
    <t xml:space="preserve">S01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</si>
  <si>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《</t>
    </r>
    <r>
      <rPr>
        <sz val="9"/>
        <color rgb="FF243B53"/>
        <rFont val="Aptos"/>
        <family val="0"/>
        <charset val="1"/>
      </rPr>
      <t xml:space="preserve">Energy and AI</t>
    </r>
    <r>
      <rPr>
        <sz val="9"/>
        <color rgb="FF243B53"/>
        <rFont val="Noto Sans CJK SC"/>
        <family val="2"/>
      </rPr>
      <t xml:space="preserve">》</t>
    </r>
  </si>
  <si>
    <t xml:space="preserve">2025-04-10</t>
  </si>
  <si>
    <r>
      <rPr>
        <sz val="9"/>
        <color rgb="FF243B53"/>
        <rFont val="Noto Sans CJK SC"/>
        <family val="2"/>
      </rPr>
      <t xml:space="preserve">执行摘要；第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章图</t>
    </r>
    <r>
      <rPr>
        <sz val="9"/>
        <color rgb="FF243B53"/>
        <rFont val="Aptos"/>
        <family val="0"/>
        <charset val="1"/>
      </rPr>
      <t xml:space="preserve">2.11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2.20</t>
    </r>
    <r>
      <rPr>
        <sz val="9"/>
        <color rgb="FF243B53"/>
        <rFont val="Noto Sans CJK SC"/>
        <family val="2"/>
      </rPr>
      <t xml:space="preserve">、表</t>
    </r>
    <r>
      <rPr>
        <sz val="9"/>
        <color rgb="FF243B53"/>
        <rFont val="Aptos"/>
        <family val="0"/>
        <charset val="1"/>
      </rPr>
      <t xml:space="preserve">2.3</t>
    </r>
    <r>
      <rPr>
        <sz val="9"/>
        <color rgb="FF243B53"/>
        <rFont val="Noto Sans CJK SC"/>
        <family val="2"/>
      </rPr>
      <t xml:space="preserve">；第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5.4</t>
    </r>
  </si>
  <si>
    <t xml:space="preserve">https://www.iea.org/reports/energy-and-ai</t>
  </si>
  <si>
    <t xml:space="preserve">约</t>
  </si>
  <si>
    <t xml:space="preserve">G002</t>
  </si>
  <si>
    <t xml:space="preserve">数据中心占全球用电比重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</si>
  <si>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415 TWh</t>
    </r>
    <r>
      <rPr>
        <sz val="9"/>
        <color rgb="FF243B53"/>
        <rFont val="Noto Sans CJK SC"/>
        <family val="2"/>
      </rPr>
      <t xml:space="preserve">同口径</t>
    </r>
  </si>
  <si>
    <t xml:space="preserve">G003</t>
  </si>
  <si>
    <t xml:space="preserve">2025</t>
  </si>
  <si>
    <r>
      <rPr>
        <sz val="9"/>
        <color rgb="FF243B53"/>
        <rFont val="Aptos"/>
        <family val="0"/>
        <charset val="1"/>
      </rPr>
      <t xml:space="preserve">IEA 2026</t>
    </r>
    <r>
      <rPr>
        <sz val="9"/>
        <color rgb="FF243B53"/>
        <rFont val="Noto Sans CJK SC"/>
        <family val="2"/>
      </rPr>
      <t xml:space="preserve">更新估计</t>
    </r>
  </si>
  <si>
    <t xml:space="preserve">S02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</si>
  <si>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《</t>
    </r>
    <r>
      <rPr>
        <sz val="9"/>
        <color rgb="FF243B53"/>
        <rFont val="Aptos"/>
        <family val="0"/>
        <charset val="1"/>
      </rPr>
      <t xml:space="preserve">Key Questions on Energy and AI</t>
    </r>
    <r>
      <rPr>
        <sz val="9"/>
        <color rgb="FF243B53"/>
        <rFont val="Noto Sans CJK SC"/>
        <family val="2"/>
      </rPr>
      <t xml:space="preserve">》</t>
    </r>
  </si>
  <si>
    <t xml:space="preserve">2026-04-16</t>
  </si>
  <si>
    <r>
      <rPr>
        <sz val="9"/>
        <color rgb="FF243B53"/>
        <rFont val="Noto Sans CJK SC"/>
        <family val="2"/>
      </rPr>
      <t xml:space="preserve">执行摘要；第</t>
    </r>
    <r>
      <rPr>
        <sz val="9"/>
        <color rgb="FF243B53"/>
        <rFont val="Aptos"/>
        <family val="0"/>
        <charset val="1"/>
      </rPr>
      <t xml:space="preserve">1</t>
    </r>
    <r>
      <rPr>
        <sz val="9"/>
        <color rgb="FF243B53"/>
        <rFont val="Noto Sans CJK SC"/>
        <family val="2"/>
      </rPr>
      <t xml:space="preserve">章图</t>
    </r>
    <r>
      <rPr>
        <sz val="9"/>
        <color rgb="FF243B53"/>
        <rFont val="Aptos"/>
        <family val="0"/>
        <charset val="1"/>
      </rPr>
      <t xml:space="preserve">1.1</t>
    </r>
    <r>
      <rPr>
        <sz val="9"/>
        <color rgb="FF243B53"/>
        <rFont val="Noto Sans CJK SC"/>
        <family val="2"/>
      </rPr>
      <t xml:space="preserve">及后续专题</t>
    </r>
  </si>
  <si>
    <t xml:space="preserve">https://www.iea.org/reports/key-questions-on-energy-and-ai</t>
  </si>
  <si>
    <t xml:space="preserve">G004</t>
  </si>
  <si>
    <t xml:space="preserve">数据中心用电同比增速</t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</si>
  <si>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相对</t>
    </r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修订后序列</t>
    </r>
  </si>
  <si>
    <t xml:space="preserve">=</t>
  </si>
  <si>
    <t xml:space="preserve">G049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</si>
  <si>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正文为略高于</t>
    </r>
    <r>
      <rPr>
        <sz val="9"/>
        <color rgb="FF243B53"/>
        <rFont val="Aptos"/>
        <family val="0"/>
        <charset val="1"/>
      </rPr>
      <t xml:space="preserve">1.5%</t>
    </r>
    <r>
      <rPr>
        <sz val="9"/>
        <color rgb="FF243B53"/>
        <rFont val="Noto Sans CJK SC"/>
        <family val="2"/>
      </rPr>
      <t xml:space="preserve">；取约数展示</t>
    </r>
  </si>
  <si>
    <t xml:space="preserve">略超过</t>
  </si>
  <si>
    <t xml:space="preserve">G005</t>
  </si>
  <si>
    <r>
      <rPr>
        <sz val="9"/>
        <color rgb="FF243B53"/>
        <rFont val="Aptos"/>
        <family val="0"/>
        <charset val="1"/>
      </rPr>
      <t xml:space="preserve">AI</t>
    </r>
    <r>
      <rPr>
        <sz val="9"/>
        <color rgb="FF243B53"/>
        <rFont val="Noto Sans CJK SC"/>
        <family val="2"/>
      </rPr>
      <t xml:space="preserve">专用数据中心用电同比增速</t>
    </r>
  </si>
  <si>
    <t xml:space="preserve">AI-focused data centres</t>
  </si>
  <si>
    <t xml:space="preserve">G006</t>
  </si>
  <si>
    <t xml:space="preserve">数据中心用电量：中央预测</t>
  </si>
  <si>
    <t xml:space="preserve">2030</t>
  </si>
  <si>
    <t xml:space="preserve">机构预测</t>
  </si>
  <si>
    <r>
      <rPr>
        <sz val="9"/>
        <color rgb="FF243B53"/>
        <rFont val="Aptos"/>
        <family val="0"/>
        <charset val="1"/>
      </rPr>
      <t xml:space="preserve">IEA 2026</t>
    </r>
    <r>
      <rPr>
        <sz val="9"/>
        <color rgb="FF243B53"/>
        <rFont val="Noto Sans CJK SC"/>
        <family val="2"/>
      </rPr>
      <t xml:space="preserve">更新中央预测</t>
    </r>
  </si>
  <si>
    <t xml:space="preserve">G007</t>
  </si>
  <si>
    <t xml:space="preserve">数据中心占全球用电比重：预测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</si>
  <si>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950 TWh</t>
    </r>
    <r>
      <rPr>
        <sz val="9"/>
        <color rgb="FF243B53"/>
        <rFont val="Noto Sans CJK SC"/>
        <family val="2"/>
      </rPr>
      <t xml:space="preserve">同口径</t>
    </r>
  </si>
  <si>
    <t xml:space="preserve">G008</t>
  </si>
  <si>
    <r>
      <rPr>
        <sz val="9"/>
        <color rgb="FF243B53"/>
        <rFont val="Aptos"/>
        <family val="0"/>
        <charset val="1"/>
      </rPr>
      <t xml:space="preserve">AI</t>
    </r>
    <r>
      <rPr>
        <sz val="9"/>
        <color rgb="FF243B53"/>
        <rFont val="Noto Sans CJK SC"/>
        <family val="2"/>
      </rPr>
      <t xml:space="preserve">专用数据中心用电</t>
    </r>
    <r>
      <rPr>
        <sz val="9"/>
        <color rgb="FF243B53"/>
        <rFont val="Aptos"/>
        <family val="0"/>
        <charset val="1"/>
      </rPr>
      <t xml:space="preserve">2030/2025</t>
    </r>
    <r>
      <rPr>
        <sz val="9"/>
        <color rgb="FF243B53"/>
        <rFont val="Noto Sans CJK SC"/>
        <family val="2"/>
      </rPr>
      <t xml:space="preserve">倍数</t>
    </r>
  </si>
  <si>
    <t xml:space="preserve">倍</t>
  </si>
  <si>
    <r>
      <rPr>
        <sz val="9"/>
        <color rgb="FF243B53"/>
        <rFont val="Aptos"/>
        <family val="0"/>
        <charset val="1"/>
      </rPr>
      <t xml:space="preserve">tripling</t>
    </r>
    <r>
      <rPr>
        <sz val="9"/>
        <color rgb="FF243B53"/>
        <rFont val="Noto Sans CJK SC"/>
        <family val="2"/>
      </rPr>
      <t xml:space="preserve">；不是占总用电比例</t>
    </r>
  </si>
  <si>
    <t xml:space="preserve">G009</t>
  </si>
  <si>
    <t xml:space="preserve">数据中心用电量：前版基准预测</t>
  </si>
  <si>
    <r>
      <rPr>
        <sz val="9"/>
        <color rgb="FF243B53"/>
        <rFont val="Aptos"/>
        <family val="0"/>
        <charset val="1"/>
      </rPr>
      <t xml:space="preserve">IEA 2025 Base Case</t>
    </r>
    <r>
      <rPr>
        <sz val="9"/>
        <color rgb="FF243B53"/>
        <rFont val="Noto Sans CJK SC"/>
        <family val="2"/>
      </rPr>
      <t xml:space="preserve">，保留作版本对照</t>
    </r>
  </si>
  <si>
    <t xml:space="preserve">G010</t>
  </si>
  <si>
    <t xml:space="preserve">全球数据中心用电区域份额</t>
  </si>
  <si>
    <t xml:space="preserve">美国</t>
  </si>
  <si>
    <t xml:space="preserve">区域终端用电份额</t>
  </si>
  <si>
    <t xml:space="preserve">G011</t>
  </si>
  <si>
    <t xml:space="preserve">中国</t>
  </si>
  <si>
    <t xml:space="preserve">G012</t>
  </si>
  <si>
    <t xml:space="preserve">欧洲</t>
  </si>
  <si>
    <t xml:space="preserve">G013</t>
  </si>
  <si>
    <r>
      <rPr>
        <sz val="9"/>
        <color rgb="FF243B53"/>
        <rFont val="Aptos"/>
        <family val="0"/>
        <charset val="1"/>
      </rPr>
      <t xml:space="preserve">2024—2030</t>
    </r>
    <r>
      <rPr>
        <sz val="9"/>
        <color rgb="FF243B53"/>
        <rFont val="Noto Sans CJK SC"/>
        <family val="2"/>
      </rPr>
      <t xml:space="preserve">用电增量</t>
    </r>
  </si>
  <si>
    <t xml:space="preserve">2024—2030</t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</si>
  <si>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基准情景的区域增量</t>
    </r>
  </si>
  <si>
    <t xml:space="preserve">G014</t>
  </si>
  <si>
    <t xml:space="preserve">四大超大规模企业合计数据中心用电</t>
  </si>
  <si>
    <r>
      <rPr>
        <sz val="9"/>
        <color rgb="FF243B53"/>
        <rFont val="Aptos"/>
        <family val="0"/>
        <charset val="1"/>
      </rPr>
      <t xml:space="preserve">AWS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Microsoft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Alphabet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Meta</t>
    </r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</si>
  <si>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汇总；</t>
    </r>
    <r>
      <rPr>
        <sz val="9"/>
        <color rgb="FF243B53"/>
        <rFont val="Aptos"/>
        <family val="0"/>
        <charset val="1"/>
      </rPr>
      <t xml:space="preserve">AWS</t>
    </r>
    <r>
      <rPr>
        <sz val="9"/>
        <color rgb="FF243B53"/>
        <rFont val="Noto Sans CJK SC"/>
        <family val="2"/>
      </rPr>
      <t xml:space="preserve">由用水数据推算，非四家公司均直接披露</t>
    </r>
  </si>
  <si>
    <t xml:space="preserve">G015</t>
  </si>
  <si>
    <t xml:space="preserve">四大超大规模企业合计用电同比增速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</si>
  <si>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110 TWh</t>
    </r>
    <r>
      <rPr>
        <sz val="9"/>
        <color rgb="FF243B53"/>
        <rFont val="Noto Sans CJK SC"/>
        <family val="2"/>
      </rPr>
      <t xml:space="preserve">同口径</t>
    </r>
  </si>
  <si>
    <t xml:space="preserve">G016</t>
  </si>
  <si>
    <t xml:space="preserve">投资与瓶颈</t>
  </si>
  <si>
    <r>
      <rPr>
        <sz val="9"/>
        <color rgb="FF243B53"/>
        <rFont val="Aptos"/>
        <family val="0"/>
        <charset val="1"/>
      </rPr>
      <t xml:space="preserve">2026—2030</t>
    </r>
    <r>
      <rPr>
        <sz val="9"/>
        <color rgb="FF243B53"/>
        <rFont val="Noto Sans CJK SC"/>
        <family val="2"/>
      </rPr>
      <t xml:space="preserve">数据中心累计投资</t>
    </r>
  </si>
  <si>
    <t xml:space="preserve">2026—2030</t>
  </si>
  <si>
    <t xml:space="preserve">万亿美元</t>
  </si>
  <si>
    <t xml:space="preserve">数据中心增长隐含累计投资，不含所有相关能源系统投资</t>
  </si>
  <si>
    <t xml:space="preserve">G017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</si>
  <si>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年宣布资本开支</t>
    </r>
  </si>
  <si>
    <r>
      <rPr>
        <sz val="9"/>
        <color rgb="FF243B53"/>
        <rFont val="Noto Sans CJK SC"/>
        <family val="2"/>
      </rPr>
      <t xml:space="preserve">领先超大规模及</t>
    </r>
    <r>
      <rPr>
        <sz val="9"/>
        <color rgb="FF243B53"/>
        <rFont val="Aptos"/>
        <family val="0"/>
        <charset val="1"/>
      </rPr>
      <t xml:space="preserve">neo-cloud</t>
    </r>
    <r>
      <rPr>
        <sz val="9"/>
        <color rgb="FF243B53"/>
        <rFont val="Noto Sans CJK SC"/>
        <family val="2"/>
      </rPr>
      <t xml:space="preserve">企业</t>
    </r>
  </si>
  <si>
    <t xml:space="preserve">2026</t>
  </si>
  <si>
    <r>
      <rPr>
        <sz val="9"/>
        <color rgb="FF243B53"/>
        <rFont val="Noto Sans CJK SC"/>
        <family val="2"/>
      </rPr>
      <t xml:space="preserve">公司指引汇总；</t>
    </r>
    <r>
      <rPr>
        <sz val="9"/>
        <color rgb="FF243B53"/>
        <rFont val="Aptos"/>
        <family val="0"/>
        <charset val="1"/>
      </rPr>
      <t xml:space="preserve">Microsoft</t>
    </r>
    <r>
      <rPr>
        <sz val="9"/>
        <color rgb="FF243B53"/>
        <rFont val="Noto Sans CJK SC"/>
        <family val="2"/>
      </rPr>
      <t xml:space="preserve">采用一致预期，非全部为公司指引</t>
    </r>
  </si>
  <si>
    <t xml:space="preserve">G018</t>
  </si>
  <si>
    <t xml:space="preserve">五家科技公司资本开支</t>
  </si>
  <si>
    <t xml:space="preserve">五家科技公司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</si>
  <si>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汇总，超过该值；公司范围见报告注释</t>
    </r>
  </si>
  <si>
    <t xml:space="preserve">超过</t>
  </si>
  <si>
    <t xml:space="preserve">G019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</si>
  <si>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年资本开支预期增幅</t>
    </r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</si>
  <si>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7150</t>
    </r>
    <r>
      <rPr>
        <sz val="9"/>
        <color rgb="FF243B53"/>
        <rFont val="Noto Sans CJK SC"/>
        <family val="2"/>
      </rPr>
      <t xml:space="preserve">亿美元同组口径</t>
    </r>
  </si>
  <si>
    <t xml:space="preserve">G020</t>
  </si>
  <si>
    <r>
      <rPr>
        <sz val="9"/>
        <color rgb="FF243B53"/>
        <rFont val="Noto Sans CJK SC"/>
        <family val="2"/>
      </rPr>
      <t xml:space="preserve">数据中心</t>
    </r>
    <r>
      <rPr>
        <sz val="9"/>
        <color rgb="FF243B53"/>
        <rFont val="Aptos"/>
        <family val="0"/>
        <charset val="1"/>
      </rPr>
      <t xml:space="preserve">SMR</t>
    </r>
    <r>
      <rPr>
        <sz val="9"/>
        <color rgb="FF243B53"/>
        <rFont val="Noto Sans CJK SC"/>
        <family val="2"/>
      </rPr>
      <t xml:space="preserve">购电</t>
    </r>
    <r>
      <rPr>
        <sz val="9"/>
        <color rgb="FF243B53"/>
        <rFont val="Aptos"/>
        <family val="0"/>
        <charset val="1"/>
      </rPr>
      <t xml:space="preserve">/</t>
    </r>
    <r>
      <rPr>
        <sz val="9"/>
        <color rgb="FF243B53"/>
        <rFont val="Noto Sans CJK SC"/>
        <family val="2"/>
      </rPr>
      <t xml:space="preserve">承购协议管线</t>
    </r>
  </si>
  <si>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年末</t>
    </r>
  </si>
  <si>
    <t xml:space="preserve">GW</t>
  </si>
  <si>
    <t xml:space="preserve">协议管线，不是投运容量</t>
  </si>
  <si>
    <t xml:space="preserve">G021</t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</si>
  <si>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年末</t>
    </r>
  </si>
  <si>
    <t xml:space="preserve">G022</t>
  </si>
  <si>
    <t xml:space="preserve">数据中心电池储能装机预测下限</t>
  </si>
  <si>
    <t xml:space="preserve">功率而非能量容量</t>
  </si>
  <si>
    <t xml:space="preserve">G023</t>
  </si>
  <si>
    <t xml:space="preserve">数据中心电池储能装机预测上限</t>
  </si>
  <si>
    <t xml:space="preserve">G024</t>
  </si>
  <si>
    <t xml:space="preserve">数据中心现场燃气发电预测下限</t>
  </si>
  <si>
    <t xml:space="preserve">全球（主要美国）</t>
  </si>
  <si>
    <t xml:space="preserve">现场燃气，不等于电网燃气发电</t>
  </si>
  <si>
    <t xml:space="preserve">G025</t>
  </si>
  <si>
    <t xml:space="preserve">数据中心现场燃气发电预测上限</t>
  </si>
  <si>
    <t xml:space="preserve">G026</t>
  </si>
  <si>
    <t xml:space="preserve">现场燃气发电超额建设下限</t>
  </si>
  <si>
    <t xml:space="preserve">现场燃气项目</t>
  </si>
  <si>
    <t xml:space="preserve">为可靠覆盖可变负荷，相对需求的超额建设</t>
  </si>
  <si>
    <t xml:space="preserve">G027</t>
  </si>
  <si>
    <t xml:space="preserve">现场燃气发电超额建设上限</t>
  </si>
  <si>
    <t xml:space="preserve">G028</t>
  </si>
  <si>
    <t xml:space="preserve">燃气轮机订单同比增幅</t>
  </si>
  <si>
    <t xml:space="preserve">订单增长，不等同交付或投运</t>
  </si>
  <si>
    <t xml:space="preserve">G029</t>
  </si>
  <si>
    <t xml:space="preserve">计划数据中心项目延误风险比例</t>
  </si>
  <si>
    <r>
      <rPr>
        <sz val="9"/>
        <color rgb="FF243B53"/>
        <rFont val="Noto Sans CJK SC"/>
        <family val="2"/>
      </rPr>
      <t xml:space="preserve">至</t>
    </r>
    <r>
      <rPr>
        <sz val="9"/>
        <color rgb="FF243B53"/>
        <rFont val="Aptos"/>
        <family val="0"/>
        <charset val="1"/>
      </rPr>
      <t xml:space="preserve">2030</t>
    </r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</si>
  <si>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基准估算；与电网及供应链约束相关</t>
    </r>
  </si>
  <si>
    <t xml:space="preserve">G030</t>
  </si>
  <si>
    <t xml:space="preserve">新建输电线路典型周期下限</t>
  </si>
  <si>
    <t xml:space="preserve">发达经济体</t>
  </si>
  <si>
    <t xml:space="preserve">一般项目</t>
  </si>
  <si>
    <t xml:space="preserve">年</t>
  </si>
  <si>
    <t xml:space="preserve">建设周期，非所有项目保证值</t>
  </si>
  <si>
    <t xml:space="preserve">G031</t>
  </si>
  <si>
    <t xml:space="preserve">新建输电线路典型周期上限</t>
  </si>
  <si>
    <t xml:space="preserve">G032</t>
  </si>
  <si>
    <t xml:space="preserve">变压器和电缆等待时间变化</t>
  </si>
  <si>
    <t xml:space="preserve">2022—2025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</si>
  <si>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称过去三年翻倍；不是具体月数</t>
    </r>
  </si>
  <si>
    <t xml:space="preserve">G033</t>
  </si>
  <si>
    <t xml:space="preserve">数据中心建设周期下限</t>
  </si>
  <si>
    <t xml:space="preserve">数据中心</t>
  </si>
  <si>
    <t xml:space="preserve">技术设施建设可比能源设施更快</t>
  </si>
  <si>
    <t xml:space="preserve">G034</t>
  </si>
  <si>
    <t xml:space="preserve">数据中心建设周期上限</t>
  </si>
  <si>
    <t xml:space="preserve">G035</t>
  </si>
  <si>
    <r>
      <rPr>
        <sz val="9"/>
        <color rgb="FF243B53"/>
        <rFont val="Noto Sans CJK SC"/>
        <family val="2"/>
      </rPr>
      <t xml:space="preserve">全球加权平均</t>
    </r>
    <r>
      <rPr>
        <sz val="9"/>
        <color rgb="FF243B53"/>
        <rFont val="Aptos"/>
        <family val="0"/>
        <charset val="1"/>
      </rPr>
      <t xml:space="preserve">PUE</t>
    </r>
  </si>
  <si>
    <r>
      <rPr>
        <sz val="9"/>
        <color rgb="FF243B53"/>
        <rFont val="Noto Sans CJK SC"/>
        <family val="2"/>
      </rPr>
      <t xml:space="preserve">总设施能耗</t>
    </r>
    <r>
      <rPr>
        <sz val="9"/>
        <color rgb="FF243B53"/>
        <rFont val="Aptos"/>
        <family val="0"/>
        <charset val="1"/>
      </rPr>
      <t xml:space="preserve">/IT</t>
    </r>
    <r>
      <rPr>
        <sz val="9"/>
        <color rgb="FF243B53"/>
        <rFont val="Noto Sans CJK SC"/>
        <family val="2"/>
      </rPr>
      <t xml:space="preserve">能耗</t>
    </r>
  </si>
  <si>
    <t xml:space="preserve">G036</t>
  </si>
  <si>
    <r>
      <rPr>
        <sz val="9"/>
        <color rgb="FF243B53"/>
        <rFont val="Noto Sans CJK SC"/>
        <family val="2"/>
      </rPr>
      <t xml:space="preserve">全球加权平均</t>
    </r>
    <r>
      <rPr>
        <sz val="9"/>
        <color rgb="FF243B53"/>
        <rFont val="Aptos"/>
        <family val="0"/>
        <charset val="1"/>
      </rPr>
      <t xml:space="preserve">PUE</t>
    </r>
    <r>
      <rPr>
        <sz val="9"/>
        <color rgb="FF243B53"/>
        <rFont val="Noto Sans CJK SC"/>
        <family val="2"/>
      </rPr>
      <t xml:space="preserve">预测</t>
    </r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</si>
  <si>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</t>
    </r>
  </si>
  <si>
    <t xml:space="preserve">G037</t>
  </si>
  <si>
    <t xml:space="preserve">物理供电结构</t>
  </si>
  <si>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年数据中心物理供电份额</t>
    </r>
  </si>
  <si>
    <r>
      <rPr>
        <sz val="9"/>
        <color rgb="FF243B53"/>
        <rFont val="Noto Sans CJK SC"/>
        <family val="2"/>
      </rPr>
      <t xml:space="preserve">现场发电与电网输入的物理供给侧，不是企业合同采购组合；</t>
    </r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约数</t>
    </r>
  </si>
  <si>
    <t xml:space="preserve">G038</t>
  </si>
  <si>
    <t xml:space="preserve">G039</t>
  </si>
  <si>
    <t xml:space="preserve">G040</t>
  </si>
  <si>
    <t xml:space="preserve">G041</t>
  </si>
  <si>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年数据中心物理供电份额：剩余项</t>
    </r>
  </si>
  <si>
    <t xml:space="preserve">其他</t>
  </si>
  <si>
    <t xml:space="preserve">计算值</t>
  </si>
  <si>
    <r>
      <rPr>
        <sz val="9"/>
        <color rgb="FF243B53"/>
        <rFont val="Aptos"/>
        <family val="0"/>
        <charset val="1"/>
      </rPr>
      <t xml:space="preserve">1</t>
    </r>
    <r>
      <rPr>
        <sz val="9"/>
        <color rgb="FF243B53"/>
        <rFont val="Noto Sans CJK SC"/>
        <family val="2"/>
      </rPr>
      <t xml:space="preserve">减去可再生、天然气、煤炭、核电约份额；含未单列来源，受四舍五入影响</t>
    </r>
  </si>
  <si>
    <r>
      <rPr>
        <sz val="9"/>
        <color rgb="FF243B53"/>
        <rFont val="Aptos"/>
        <family val="0"/>
        <charset val="1"/>
      </rPr>
      <t xml:space="preserve">Excel</t>
    </r>
    <r>
      <rPr>
        <sz val="9"/>
        <color rgb="FF243B53"/>
        <rFont val="Noto Sans CJK SC"/>
        <family val="2"/>
      </rPr>
      <t xml:space="preserve">中以公式计算。</t>
    </r>
  </si>
  <si>
    <t xml:space="preserve">G042</t>
  </si>
  <si>
    <r>
      <rPr>
        <sz val="9"/>
        <color rgb="FF243B53"/>
        <rFont val="Noto Sans CJK SC"/>
        <family val="2"/>
      </rPr>
      <t xml:space="preserve">可再生能源满足</t>
    </r>
    <r>
      <rPr>
        <sz val="9"/>
        <color rgb="FF243B53"/>
        <rFont val="Aptos"/>
        <family val="0"/>
        <charset val="1"/>
      </rPr>
      <t xml:space="preserve">2024—2030</t>
    </r>
    <r>
      <rPr>
        <sz val="9"/>
        <color rgb="FF243B53"/>
        <rFont val="Noto Sans CJK SC"/>
        <family val="2"/>
      </rPr>
      <t xml:space="preserve">新增需求份额</t>
    </r>
  </si>
  <si>
    <r>
      <rPr>
        <sz val="9"/>
        <color rgb="FF243B53"/>
        <rFont val="Noto Sans CJK SC"/>
        <family val="2"/>
      </rPr>
      <t xml:space="preserve">接近</t>
    </r>
    <r>
      <rPr>
        <sz val="9"/>
        <color rgb="FF243B53"/>
        <rFont val="Aptos"/>
        <family val="0"/>
        <charset val="1"/>
      </rPr>
      <t xml:space="preserve">50%</t>
    </r>
    <r>
      <rPr>
        <sz val="9"/>
        <color rgb="FF243B53"/>
        <rFont val="Noto Sans CJK SC"/>
        <family val="2"/>
      </rPr>
      <t xml:space="preserve">；不是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总供电占比</t>
    </r>
  </si>
  <si>
    <t xml:space="preserve">接近</t>
  </si>
  <si>
    <t xml:space="preserve">G043</t>
  </si>
  <si>
    <r>
      <rPr>
        <sz val="9"/>
        <color rgb="FF243B53"/>
        <rFont val="Noto Sans CJK SC"/>
        <family val="2"/>
      </rPr>
      <t xml:space="preserve">天然气和煤炭满足</t>
    </r>
    <r>
      <rPr>
        <sz val="9"/>
        <color rgb="FF243B53"/>
        <rFont val="Aptos"/>
        <family val="0"/>
        <charset val="1"/>
      </rPr>
      <t xml:space="preserve">2024—2030</t>
    </r>
    <r>
      <rPr>
        <sz val="9"/>
        <color rgb="FF243B53"/>
        <rFont val="Noto Sans CJK SC"/>
        <family val="2"/>
      </rPr>
      <t xml:space="preserve">新增需求份额</t>
    </r>
  </si>
  <si>
    <r>
      <rPr>
        <sz val="9"/>
        <color rgb="FF243B53"/>
        <rFont val="Noto Sans CJK SC"/>
        <family val="2"/>
      </rPr>
      <t xml:space="preserve">合计超过</t>
    </r>
    <r>
      <rPr>
        <sz val="9"/>
        <color rgb="FF243B53"/>
        <rFont val="Aptos"/>
        <family val="0"/>
        <charset val="1"/>
      </rPr>
      <t xml:space="preserve">40%</t>
    </r>
    <r>
      <rPr>
        <sz val="9"/>
        <color rgb="FF243B53"/>
        <rFont val="Noto Sans CJK SC"/>
        <family val="2"/>
      </rPr>
      <t xml:space="preserve">；不是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总供电占比</t>
    </r>
  </si>
  <si>
    <t xml:space="preserve">G044</t>
  </si>
  <si>
    <t xml:space="preserve">数据中心燃气发电增量</t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</si>
  <si>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基准情景，超过该值</t>
    </r>
  </si>
  <si>
    <t xml:space="preserve">G045</t>
  </si>
  <si>
    <t xml:space="preserve">数据中心可再生发电增量</t>
  </si>
  <si>
    <t xml:space="preserve">G046</t>
  </si>
  <si>
    <t xml:space="preserve">数据中心发电相关二氧化碳排放</t>
  </si>
  <si>
    <t xml:space="preserve">MtCO2</t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</si>
  <si>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基准情景峰值附近</t>
    </r>
  </si>
  <si>
    <t xml:space="preserve">C001L</t>
  </si>
  <si>
    <t xml:space="preserve">成本与交付</t>
  </si>
  <si>
    <r>
      <rPr>
        <sz val="9"/>
        <color rgb="FF243B53"/>
        <rFont val="Noto Sans CJK SC"/>
        <family val="2"/>
      </rPr>
      <t xml:space="preserve">全球平均</t>
    </r>
    <r>
      <rPr>
        <sz val="9"/>
        <color rgb="FF243B53"/>
        <rFont val="Aptos"/>
        <family val="0"/>
        <charset val="1"/>
      </rPr>
      <t xml:space="preserve">LCOE</t>
    </r>
  </si>
  <si>
    <t xml:space="preserve">太阳能光伏</t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</si>
  <si>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表</t>
    </r>
    <r>
      <rPr>
        <sz val="9"/>
        <color rgb="FF243B53"/>
        <rFont val="Aptos"/>
        <family val="0"/>
        <charset val="1"/>
      </rPr>
      <t xml:space="preserve">2.3</t>
    </r>
  </si>
  <si>
    <t xml:space="preserve">USD/MWh</t>
  </si>
  <si>
    <r>
      <rPr>
        <sz val="9"/>
        <color rgb="FF243B53"/>
        <rFont val="Noto Sans CJK SC"/>
        <family val="2"/>
      </rPr>
      <t xml:space="preserve">全球平均平准化度电成本；不含并网及其他间接成本，不是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价格</t>
    </r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</si>
  <si>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章表</t>
    </r>
    <r>
      <rPr>
        <sz val="9"/>
        <color rgb="FF243B53"/>
        <rFont val="Aptos"/>
        <family val="0"/>
        <charset val="1"/>
      </rPr>
      <t xml:space="preserve">2.3 Sources of electricity to match the needs of data centres</t>
    </r>
  </si>
  <si>
    <t xml:space="preserve">C001A</t>
  </si>
  <si>
    <t xml:space="preserve">典型建设期下限</t>
  </si>
  <si>
    <t xml:space="preserve">典型项目，不含供应链设备延误</t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</si>
  <si>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章表</t>
    </r>
    <r>
      <rPr>
        <sz val="9"/>
        <color rgb="FF243B53"/>
        <rFont val="Aptos"/>
        <family val="0"/>
        <charset val="1"/>
      </rPr>
      <t xml:space="preserve">2.3</t>
    </r>
  </si>
  <si>
    <t xml:space="preserve">C001B</t>
  </si>
  <si>
    <t xml:space="preserve">典型建设期上限</t>
  </si>
  <si>
    <t xml:space="preserve">C002L</t>
  </si>
  <si>
    <t xml:space="preserve">陆上风电</t>
  </si>
  <si>
    <t xml:space="preserve">C002A</t>
  </si>
  <si>
    <t xml:space="preserve">C002B</t>
  </si>
  <si>
    <t xml:space="preserve">C003L</t>
  </si>
  <si>
    <t xml:space="preserve">海上风电</t>
  </si>
  <si>
    <t xml:space="preserve">C003A</t>
  </si>
  <si>
    <t xml:space="preserve">C003B</t>
  </si>
  <si>
    <t xml:space="preserve">C004L</t>
  </si>
  <si>
    <t xml:space="preserve">水电</t>
  </si>
  <si>
    <t xml:space="preserve">C004A</t>
  </si>
  <si>
    <t xml:space="preserve">C004B</t>
  </si>
  <si>
    <t xml:space="preserve">C005L</t>
  </si>
  <si>
    <t xml:space="preserve">常规地热</t>
  </si>
  <si>
    <t xml:space="preserve">C005A</t>
  </si>
  <si>
    <t xml:space="preserve">C005B</t>
  </si>
  <si>
    <t xml:space="preserve">C006L</t>
  </si>
  <si>
    <r>
      <rPr>
        <sz val="9"/>
        <color rgb="FF243B53"/>
        <rFont val="Noto Sans CJK SC"/>
        <family val="2"/>
      </rPr>
      <t xml:space="preserve">新建核电（含</t>
    </r>
    <r>
      <rPr>
        <sz val="9"/>
        <color rgb="FF243B53"/>
        <rFont val="Aptos"/>
        <family val="0"/>
        <charset val="1"/>
      </rPr>
      <t xml:space="preserve">SMR</t>
    </r>
    <r>
      <rPr>
        <sz val="9"/>
        <color rgb="FF243B53"/>
        <rFont val="Noto Sans CJK SC"/>
        <family val="2"/>
      </rPr>
      <t xml:space="preserve">）</t>
    </r>
  </si>
  <si>
    <t xml:space="preserve">C006A</t>
  </si>
  <si>
    <t xml:space="preserve">C006B</t>
  </si>
  <si>
    <t xml:space="preserve">C007L</t>
  </si>
  <si>
    <t xml:space="preserve">核电重启</t>
  </si>
  <si>
    <t xml:space="preserve">C007A</t>
  </si>
  <si>
    <t xml:space="preserve">C007B</t>
  </si>
  <si>
    <t xml:space="preserve">C008L</t>
  </si>
  <si>
    <t xml:space="preserve">煤电</t>
  </si>
  <si>
    <t xml:space="preserve">C008A</t>
  </si>
  <si>
    <t xml:space="preserve">C008B</t>
  </si>
  <si>
    <t xml:space="preserve">C009L</t>
  </si>
  <si>
    <r>
      <rPr>
        <sz val="9"/>
        <color rgb="FF243B53"/>
        <rFont val="Noto Sans CJK SC"/>
        <family val="2"/>
      </rPr>
      <t xml:space="preserve">燃气联合循环</t>
    </r>
    <r>
      <rPr>
        <sz val="9"/>
        <color rgb="FF243B53"/>
        <rFont val="Aptos"/>
        <family val="0"/>
        <charset val="1"/>
      </rPr>
      <t xml:space="preserve">CCGT</t>
    </r>
  </si>
  <si>
    <t xml:space="preserve">C009A</t>
  </si>
  <si>
    <t xml:space="preserve">C009B</t>
  </si>
  <si>
    <t xml:space="preserve">C010L</t>
  </si>
  <si>
    <r>
      <rPr>
        <sz val="9"/>
        <color rgb="FF243B53"/>
        <rFont val="Noto Sans CJK SC"/>
        <family val="2"/>
      </rPr>
      <t xml:space="preserve">燃气单循环</t>
    </r>
    <r>
      <rPr>
        <sz val="9"/>
        <color rgb="FF243B53"/>
        <rFont val="Aptos"/>
        <family val="0"/>
        <charset val="1"/>
      </rPr>
      <t xml:space="preserve">GT</t>
    </r>
  </si>
  <si>
    <t xml:space="preserve">C010A</t>
  </si>
  <si>
    <t xml:space="preserve">C010B</t>
  </si>
  <si>
    <t xml:space="preserve">C011L</t>
  </si>
  <si>
    <r>
      <rPr>
        <sz val="9"/>
        <color rgb="FF243B53"/>
        <rFont val="Aptos"/>
        <family val="0"/>
        <charset val="1"/>
      </rPr>
      <t xml:space="preserve">80%</t>
    </r>
    <r>
      <rPr>
        <sz val="9"/>
        <color rgb="FF243B53"/>
        <rFont val="Noto Sans CJK SC"/>
        <family val="2"/>
      </rPr>
      <t xml:space="preserve">小时级可再生匹配成本</t>
    </r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</si>
  <si>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分析</t>
    </r>
  </si>
  <si>
    <t xml:space="preserve">风光储组合；不含并网固定费用；与年度匹配和工业零售价作比较</t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</si>
  <si>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2.5.2</t>
    </r>
    <r>
      <rPr>
        <sz val="9"/>
        <color rgb="FF243B53"/>
        <rFont val="Noto Sans CJK SC"/>
        <family val="2"/>
      </rPr>
      <t xml:space="preserve">，图</t>
    </r>
    <r>
      <rPr>
        <sz val="9"/>
        <color rgb="FF243B53"/>
        <rFont val="Aptos"/>
        <family val="0"/>
        <charset val="1"/>
      </rPr>
      <t xml:space="preserve">2.19</t>
    </r>
    <r>
      <rPr>
        <sz val="9"/>
        <color rgb="FF243B53"/>
        <rFont val="Noto Sans CJK SC"/>
        <family val="2"/>
      </rPr>
      <t xml:space="preserve">前正文</t>
    </r>
  </si>
  <si>
    <t xml:space="preserve">C012L</t>
  </si>
  <si>
    <t xml:space="preserve">风光储组合平均值；不同地区差异大</t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</si>
  <si>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2.5.2</t>
    </r>
  </si>
  <si>
    <t xml:space="preserve">C013L</t>
  </si>
  <si>
    <t xml:space="preserve">风光储组合平均值；不同省份差异大</t>
  </si>
  <si>
    <t xml:space="preserve">C014L</t>
  </si>
  <si>
    <r>
      <rPr>
        <sz val="9"/>
        <color rgb="FF243B53"/>
        <rFont val="Aptos"/>
        <family val="0"/>
        <charset val="1"/>
      </rPr>
      <t xml:space="preserve">90%</t>
    </r>
    <r>
      <rPr>
        <sz val="9"/>
        <color rgb="FF243B53"/>
        <rFont val="Noto Sans CJK SC"/>
        <family val="2"/>
      </rPr>
      <t xml:space="preserve">小时级可再生匹配成本</t>
    </r>
  </si>
  <si>
    <t xml:space="preserve">风光储组合平均值</t>
  </si>
  <si>
    <t xml:space="preserve">C015L</t>
  </si>
  <si>
    <r>
      <rPr>
        <sz val="9"/>
        <color rgb="FF243B53"/>
        <rFont val="Aptos"/>
        <family val="0"/>
        <charset val="1"/>
      </rPr>
      <t xml:space="preserve">99%</t>
    </r>
    <r>
      <rPr>
        <sz val="9"/>
        <color rgb="FF243B53"/>
        <rFont val="Noto Sans CJK SC"/>
        <family val="2"/>
      </rPr>
      <t xml:space="preserve">小时级可再生匹配成本上限</t>
    </r>
  </si>
  <si>
    <t xml:space="preserve">低于该值的平均值；不是每个项目报价</t>
  </si>
  <si>
    <t xml:space="preserve">低于</t>
  </si>
  <si>
    <t xml:space="preserve">C016L</t>
  </si>
  <si>
    <t xml:space="preserve">接近全小时匹配相对工业电价成本溢价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</si>
  <si>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50%</t>
    </r>
    <r>
      <rPr>
        <sz val="9"/>
        <color rgb="FF243B53"/>
        <rFont val="Noto Sans CJK SC"/>
        <family val="2"/>
      </rPr>
      <t xml:space="preserve">；需额外供给与储能容量</t>
    </r>
  </si>
  <si>
    <t xml:space="preserve">V001</t>
  </si>
  <si>
    <t xml:space="preserve">价值链</t>
  </si>
  <si>
    <t xml:space="preserve">全球数据中心年度投资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</si>
  <si>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5000</t>
    </r>
    <r>
      <rPr>
        <sz val="9"/>
        <color rgb="FF243B53"/>
        <rFont val="Noto Sans CJK SC"/>
        <family val="2"/>
      </rPr>
      <t xml:space="preserve">亿美元；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、非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与相关能源投资口径见报告</t>
    </r>
  </si>
  <si>
    <t xml:space="preserve">V002</t>
  </si>
  <si>
    <t xml:space="preserve">数据中心相关能源资本开支</t>
  </si>
  <si>
    <t xml:space="preserve">2025—2030</t>
  </si>
  <si>
    <r>
      <rPr>
        <sz val="9"/>
        <color rgb="FF243B53"/>
        <rFont val="Noto Sans CJK SC"/>
        <family val="2"/>
      </rPr>
      <t xml:space="preserve">新增发电、储能、输配电；</t>
    </r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</t>
    </r>
  </si>
  <si>
    <t xml:space="preserve">V003</t>
  </si>
  <si>
    <t xml:space="preserve">加速服务器占数据中心投资比例</t>
  </si>
  <si>
    <r>
      <rPr>
        <sz val="9"/>
        <color rgb="FF243B53"/>
        <rFont val="Aptos"/>
        <family val="0"/>
        <charset val="1"/>
      </rPr>
      <t xml:space="preserve">2015</t>
    </r>
    <r>
      <rPr>
        <sz val="9"/>
        <color rgb="FF243B53"/>
        <rFont val="Noto Sans CJK SC"/>
        <family val="2"/>
      </rPr>
      <t xml:space="preserve">年为</t>
    </r>
    <r>
      <rPr>
        <sz val="9"/>
        <color rgb="FF243B53"/>
        <rFont val="Aptos"/>
        <family val="0"/>
        <charset val="1"/>
      </rPr>
      <t xml:space="preserve">10%</t>
    </r>
    <r>
      <rPr>
        <sz val="9"/>
        <color rgb="FF243B53"/>
        <rFont val="Noto Sans CJK SC"/>
        <family val="2"/>
      </rPr>
      <t xml:space="preserve">，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年增至</t>
    </r>
    <r>
      <rPr>
        <sz val="9"/>
        <color rgb="FF243B53"/>
        <rFont val="Aptos"/>
        <family val="0"/>
        <charset val="1"/>
      </rPr>
      <t xml:space="preserve">45%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</t>
    </r>
  </si>
  <si>
    <t xml:space="preserve">V004</t>
  </si>
  <si>
    <r>
      <rPr>
        <sz val="9"/>
        <color rgb="FF243B53"/>
        <rFont val="Noto Sans CJK SC"/>
        <family val="2"/>
      </rPr>
      <t xml:space="preserve">非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建设与安装成本下限</t>
    </r>
  </si>
  <si>
    <t xml:space="preserve">新兴市场及部分经济体</t>
  </si>
  <si>
    <r>
      <rPr>
        <sz val="9"/>
        <color rgb="FF243B53"/>
        <rFont val="Aptos"/>
        <family val="0"/>
        <charset val="1"/>
      </rPr>
      <t xml:space="preserve">USD/kW IT</t>
    </r>
    <r>
      <rPr>
        <sz val="9"/>
        <color rgb="FF243B53"/>
        <rFont val="Noto Sans CJK SC"/>
        <family val="2"/>
      </rPr>
      <t xml:space="preserve">负载</t>
    </r>
  </si>
  <si>
    <r>
      <rPr>
        <sz val="9"/>
        <color rgb="FF243B53"/>
        <rFont val="Noto Sans CJK SC"/>
        <family val="2"/>
      </rPr>
      <t xml:space="preserve">建筑壳体、机电安装，不含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设备</t>
    </r>
  </si>
  <si>
    <t xml:space="preserve">V005</t>
  </si>
  <si>
    <r>
      <rPr>
        <sz val="9"/>
        <color rgb="FF243B53"/>
        <rFont val="Noto Sans CJK SC"/>
        <family val="2"/>
      </rPr>
      <t xml:space="preserve">非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建设与安装成本上限</t>
    </r>
  </si>
  <si>
    <t xml:space="preserve">多个发达经济体</t>
  </si>
  <si>
    <r>
      <rPr>
        <sz val="9"/>
        <color rgb="FF243B53"/>
        <rFont val="Noto Sans CJK SC"/>
        <family val="2"/>
      </rPr>
      <t xml:space="preserve">超过该值的项目存在；不含</t>
    </r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设备</t>
    </r>
  </si>
  <si>
    <t xml:space="preserve">V006</t>
  </si>
  <si>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设备技术淘汰周期下限</t>
    </r>
  </si>
  <si>
    <r>
      <rPr>
        <sz val="9"/>
        <color rgb="FF243B53"/>
        <rFont val="Noto Sans CJK SC"/>
        <family val="2"/>
      </rPr>
      <t xml:space="preserve">尤其是前沿</t>
    </r>
    <r>
      <rPr>
        <sz val="9"/>
        <color rgb="FF243B53"/>
        <rFont val="Aptos"/>
        <family val="0"/>
        <charset val="1"/>
      </rPr>
      <t xml:space="preserve">AI</t>
    </r>
    <r>
      <rPr>
        <sz val="9"/>
        <color rgb="FF243B53"/>
        <rFont val="Noto Sans CJK SC"/>
        <family val="2"/>
      </rPr>
      <t xml:space="preserve">设备</t>
    </r>
  </si>
  <si>
    <t xml:space="preserve">一般经验</t>
  </si>
  <si>
    <t xml:space="preserve">技术淘汰并非会计折旧期限</t>
  </si>
  <si>
    <t xml:space="preserve">V007</t>
  </si>
  <si>
    <r>
      <rPr>
        <sz val="9"/>
        <color rgb="FF243B53"/>
        <rFont val="Aptos"/>
        <family val="0"/>
        <charset val="1"/>
      </rPr>
      <t xml:space="preserve">IT</t>
    </r>
    <r>
      <rPr>
        <sz val="9"/>
        <color rgb="FF243B53"/>
        <rFont val="Noto Sans CJK SC"/>
        <family val="2"/>
      </rPr>
      <t xml:space="preserve">设备技术淘汰周期上限</t>
    </r>
  </si>
  <si>
    <t xml:space="preserve">V008</t>
  </si>
  <si>
    <t xml:space="preserve">数据中心新增能源需求占电力行业累计投资上限</t>
  </si>
  <si>
    <t xml:space="preserve">全球（除美国特别说明）</t>
  </si>
  <si>
    <r>
      <rPr>
        <sz val="9"/>
        <color rgb="FF243B53"/>
        <rFont val="Noto Sans CJK SC"/>
        <family val="2"/>
      </rPr>
      <t xml:space="preserve">低于</t>
    </r>
    <r>
      <rPr>
        <sz val="9"/>
        <color rgb="FF243B53"/>
        <rFont val="Aptos"/>
        <family val="0"/>
        <charset val="1"/>
      </rPr>
      <t xml:space="preserve">4%</t>
    </r>
    <r>
      <rPr>
        <sz val="9"/>
        <color rgb="FF243B53"/>
        <rFont val="Noto Sans CJK SC"/>
        <family val="2"/>
      </rPr>
      <t xml:space="preserve">；能源资本开支相对整体数据中心投资较小</t>
    </r>
  </si>
  <si>
    <t xml:space="preserve">V009</t>
  </si>
  <si>
    <t xml:space="preserve">数据中心驱动电力行业累计投资份额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</si>
  <si>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15%</t>
    </r>
    <r>
      <rPr>
        <sz val="9"/>
        <color rgb="FF243B53"/>
        <rFont val="Noto Sans CJK SC"/>
        <family val="2"/>
      </rPr>
      <t xml:space="preserve">；与全球口径不同</t>
    </r>
  </si>
  <si>
    <t xml:space="preserve">M001</t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</si>
  <si>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财报</t>
    </r>
  </si>
  <si>
    <t xml:space="preserve">资本开支（含融资租赁本金）</t>
  </si>
  <si>
    <t xml:space="preserve">2026Q3</t>
  </si>
  <si>
    <t xml:space="preserve">披露事实</t>
  </si>
  <si>
    <t xml:space="preserve">包括购置物业设备及融资租赁本金支付</t>
  </si>
  <si>
    <t xml:space="preserve">S03</t>
  </si>
  <si>
    <r>
      <rPr>
        <sz val="9"/>
        <color rgb="FF243B53"/>
        <rFont val="Aptos"/>
        <family val="0"/>
        <charset val="1"/>
      </rPr>
      <t xml:space="preserve">Meta 2026</t>
    </r>
    <r>
      <rPr>
        <sz val="9"/>
        <color rgb="FF243B53"/>
        <rFont val="Noto Sans CJK SC"/>
        <family val="2"/>
      </rPr>
      <t xml:space="preserve">年三季度</t>
    </r>
    <r>
      <rPr>
        <sz val="9"/>
        <color rgb="FF243B53"/>
        <rFont val="Aptos"/>
        <family val="0"/>
        <charset val="1"/>
      </rPr>
      <t xml:space="preserve">Form 10-Q</t>
    </r>
  </si>
  <si>
    <t xml:space="preserve">2026-10-21</t>
  </si>
  <si>
    <t xml:space="preserve">MD&amp;A Executive Overview of Third Quarter Results</t>
  </si>
  <si>
    <r>
      <rPr>
        <sz val="9"/>
        <color rgb="FF243B53"/>
        <rFont val="Noto Sans CJK SC"/>
        <family val="2"/>
      </rPr>
      <t xml:space="preserve">材料</t>
    </r>
    <r>
      <rPr>
        <sz val="9"/>
        <color rgb="FF243B53"/>
        <rFont val="Aptos"/>
        <family val="0"/>
        <charset val="1"/>
      </rPr>
      <t xml:space="preserve">/Meta_2026Q3</t>
    </r>
    <r>
      <rPr>
        <sz val="9"/>
        <color rgb="FF243B53"/>
        <rFont val="Noto Sans CJK SC"/>
        <family val="2"/>
      </rPr>
      <t xml:space="preserve">季报</t>
    </r>
    <r>
      <rPr>
        <sz val="9"/>
        <color rgb="FF243B53"/>
        <rFont val="Aptos"/>
        <family val="0"/>
        <charset val="1"/>
      </rPr>
      <t xml:space="preserve">__meta-20260930.htm</t>
    </r>
  </si>
  <si>
    <t xml:space="preserve">M002</t>
  </si>
  <si>
    <t xml:space="preserve">购置物业及设备现金支出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</si>
  <si>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1—9</t>
    </r>
    <r>
      <rPr>
        <sz val="9"/>
        <color rgb="FF243B53"/>
        <rFont val="Noto Sans CJK SC"/>
        <family val="2"/>
      </rPr>
      <t xml:space="preserve">月</t>
    </r>
  </si>
  <si>
    <t xml:space="preserve">现金流量表投资活动，正数列示现金流出绝对值</t>
  </si>
  <si>
    <t xml:space="preserve">Condensed Consolidated Statements of Cash Flows</t>
  </si>
  <si>
    <t xml:space="preserve">M003</t>
  </si>
  <si>
    <t xml:space="preserve">融资租赁本金支付</t>
  </si>
  <si>
    <t xml:space="preserve">现金流量表融资活动，正数列示现金流出绝对值</t>
  </si>
  <si>
    <t xml:space="preserve">M004</t>
  </si>
  <si>
    <r>
      <rPr>
        <sz val="9"/>
        <color rgb="FF243B53"/>
        <rFont val="Aptos"/>
        <family val="0"/>
        <charset val="1"/>
      </rPr>
      <t xml:space="preserve">MD&amp;A</t>
    </r>
    <r>
      <rPr>
        <sz val="9"/>
        <color rgb="FF243B53"/>
        <rFont val="Noto Sans CJK SC"/>
        <family val="2"/>
      </rPr>
      <t xml:space="preserve">四舍五入披露；精确分项合计</t>
    </r>
    <r>
      <rPr>
        <sz val="9"/>
        <color rgb="FF243B53"/>
        <rFont val="Aptos"/>
        <family val="0"/>
        <charset val="1"/>
      </rPr>
      <t xml:space="preserve">85.824</t>
    </r>
    <r>
      <rPr>
        <sz val="9"/>
        <color rgb="FF243B53"/>
        <rFont val="Noto Sans CJK SC"/>
        <family val="2"/>
      </rPr>
      <t xml:space="preserve">十亿美元</t>
    </r>
  </si>
  <si>
    <t xml:space="preserve">MD&amp;A Liquidity and Capital Resources</t>
  </si>
  <si>
    <t xml:space="preserve">M005</t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</si>
  <si>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1—9</t>
    </r>
    <r>
      <rPr>
        <sz val="9"/>
        <color rgb="FF243B53"/>
        <rFont val="Noto Sans CJK SC"/>
        <family val="2"/>
      </rPr>
      <t xml:space="preserve">月</t>
    </r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</si>
  <si>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M002</t>
    </r>
    <r>
      <rPr>
        <sz val="9"/>
        <color rgb="FF243B53"/>
        <rFont val="Noto Sans CJK SC"/>
        <family val="2"/>
      </rPr>
      <t xml:space="preserve">同口径同期比较</t>
    </r>
  </si>
  <si>
    <t xml:space="preserve">M006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</si>
  <si>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M003</t>
    </r>
    <r>
      <rPr>
        <sz val="9"/>
        <color rgb="FF243B53"/>
        <rFont val="Noto Sans CJK SC"/>
        <family val="2"/>
      </rPr>
      <t xml:space="preserve">同口径同期比较</t>
    </r>
  </si>
  <si>
    <t xml:space="preserve">M007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</si>
  <si>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年资本开支指引下限</t>
    </r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</si>
  <si>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全年</t>
    </r>
  </si>
  <si>
    <t xml:space="preserve">公司指引</t>
  </si>
  <si>
    <r>
      <rPr>
        <sz val="9"/>
        <color rgb="FF243B53"/>
        <rFont val="Noto Sans CJK SC"/>
        <family val="2"/>
      </rPr>
      <t xml:space="preserve">支持</t>
    </r>
    <r>
      <rPr>
        <sz val="9"/>
        <color rgb="FF243B53"/>
        <rFont val="Aptos"/>
        <family val="0"/>
        <charset val="1"/>
      </rPr>
      <t xml:space="preserve">AI</t>
    </r>
    <r>
      <rPr>
        <sz val="9"/>
        <color rgb="FF243B53"/>
        <rFont val="Noto Sans CJK SC"/>
        <family val="2"/>
      </rPr>
      <t xml:space="preserve">与核心业务，含融资租赁本金</t>
    </r>
  </si>
  <si>
    <t xml:space="preserve">MD&amp;A Cash Used in Investing Activities</t>
  </si>
  <si>
    <t xml:space="preserve">M008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</si>
  <si>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年资本开支指引上限</t>
    </r>
  </si>
  <si>
    <t xml:space="preserve">M009</t>
  </si>
  <si>
    <t xml:space="preserve">在建工程</t>
  </si>
  <si>
    <t xml:space="preserve">2026-09-30</t>
  </si>
  <si>
    <t xml:space="preserve">主要为数据中心、服务器和网络基础设施</t>
  </si>
  <si>
    <t xml:space="preserve">Note 4 Property and Equipment</t>
  </si>
  <si>
    <t xml:space="preserve">M010</t>
  </si>
  <si>
    <t xml:space="preserve">2025-12-31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</si>
  <si>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M009</t>
    </r>
    <r>
      <rPr>
        <sz val="9"/>
        <color rgb="FF243B53"/>
        <rFont val="Noto Sans CJK SC"/>
        <family val="2"/>
      </rPr>
      <t xml:space="preserve">同口径</t>
    </r>
  </si>
  <si>
    <t xml:space="preserve">M011</t>
  </si>
  <si>
    <t xml:space="preserve">物业及设备净额</t>
  </si>
  <si>
    <t xml:space="preserve">资产负债表净值，不是当期资本开支</t>
  </si>
  <si>
    <t xml:space="preserve">Condensed Consolidated Balance Sheets</t>
  </si>
  <si>
    <t xml:space="preserve">M012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</si>
  <si>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M011</t>
    </r>
    <r>
      <rPr>
        <sz val="9"/>
        <color rgb="FF243B53"/>
        <rFont val="Noto Sans CJK SC"/>
        <family val="2"/>
      </rPr>
      <t xml:space="preserve">同口径</t>
    </r>
  </si>
  <si>
    <t xml:space="preserve">M013</t>
  </si>
  <si>
    <t xml:space="preserve">尚未开始的经营及融资租赁义务</t>
  </si>
  <si>
    <t xml:space="preserve">包括数据中心、能源基础设施、托管及网络设施；不是当期费用</t>
  </si>
  <si>
    <t xml:space="preserve">Note 10 Commitments and Contingencies</t>
  </si>
  <si>
    <t xml:space="preserve">M014</t>
  </si>
  <si>
    <t xml:space="preserve">不可撤销合同承诺</t>
  </si>
  <si>
    <t xml:space="preserve">主要包括云容量、服务器网络、数据中心能源服务及其他产品</t>
  </si>
  <si>
    <t xml:space="preserve">M015</t>
  </si>
  <si>
    <r>
      <rPr>
        <sz val="9"/>
        <color rgb="FF243B53"/>
        <rFont val="Noto Sans CJK SC"/>
        <family val="2"/>
      </rPr>
      <t xml:space="preserve">不可撤销合同承诺：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年到期部分</t>
    </r>
  </si>
  <si>
    <r>
      <rPr>
        <sz val="9"/>
        <color rgb="FF243B53"/>
        <rFont val="Aptos"/>
        <family val="0"/>
        <charset val="1"/>
      </rPr>
      <t xml:space="preserve">M014</t>
    </r>
    <r>
      <rPr>
        <sz val="9"/>
        <color rgb="FF243B53"/>
        <rFont val="Noto Sans CJK SC"/>
        <family val="2"/>
      </rPr>
      <t xml:space="preserve">的到期组成，不与总额相加</t>
    </r>
  </si>
  <si>
    <t xml:space="preserve">M016</t>
  </si>
  <si>
    <r>
      <rPr>
        <sz val="9"/>
        <color rgb="FF243B53"/>
        <rFont val="Noto Sans CJK SC"/>
        <family val="2"/>
      </rPr>
      <t xml:space="preserve">不可撤销合同承诺：</t>
    </r>
    <r>
      <rPr>
        <sz val="9"/>
        <color rgb="FF243B53"/>
        <rFont val="Aptos"/>
        <family val="0"/>
        <charset val="1"/>
      </rPr>
      <t xml:space="preserve">2027</t>
    </r>
    <r>
      <rPr>
        <sz val="9"/>
        <color rgb="FF243B53"/>
        <rFont val="Noto Sans CJK SC"/>
        <family val="2"/>
      </rPr>
      <t xml:space="preserve">年到期部分</t>
    </r>
  </si>
  <si>
    <t xml:space="preserve">2027</t>
  </si>
  <si>
    <t xml:space="preserve">M017</t>
  </si>
  <si>
    <t xml:space="preserve">多年基础设施采购协议受限现金等价物</t>
  </si>
  <si>
    <r>
      <rPr>
        <sz val="9"/>
        <color rgb="FF243B53"/>
        <rFont val="Noto Sans CJK SC"/>
        <family val="2"/>
      </rPr>
      <t xml:space="preserve">满足托管要求；预计</t>
    </r>
    <r>
      <rPr>
        <sz val="9"/>
        <color rgb="FF243B53"/>
        <rFont val="Aptos"/>
        <family val="0"/>
        <charset val="1"/>
      </rPr>
      <t xml:space="preserve">2028—2030</t>
    </r>
    <r>
      <rPr>
        <sz val="9"/>
        <color rgb="FF243B53"/>
        <rFont val="Noto Sans CJK SC"/>
        <family val="2"/>
      </rPr>
      <t xml:space="preserve">年释放，不是新增资本开支</t>
    </r>
  </si>
  <si>
    <t xml:space="preserve">M018</t>
  </si>
  <si>
    <t xml:space="preserve">未合并数据中心合资企业最大损失敞口</t>
  </si>
  <si>
    <t xml:space="preserve">含股权投资、租赁承诺、未来出资及剩余价值担保；不是预期损失</t>
  </si>
  <si>
    <t xml:space="preserve">Note 5 Non-Marketable Equity Investments</t>
  </si>
  <si>
    <t xml:space="preserve">M019</t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</si>
  <si>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用电</t>
    </r>
  </si>
  <si>
    <t xml:space="preserve">MWh</t>
  </si>
  <si>
    <r>
      <rPr>
        <sz val="9"/>
        <color rgb="FF243B53"/>
        <rFont val="Noto Sans CJK SC"/>
        <family val="2"/>
      </rPr>
      <t xml:space="preserve">自有、租赁及其他数据中心设施合计；</t>
    </r>
    <r>
      <rPr>
        <sz val="9"/>
        <color rgb="FF243B53"/>
        <rFont val="Aptos"/>
        <family val="0"/>
        <charset val="1"/>
      </rPr>
      <t xml:space="preserve">FY2024</t>
    </r>
  </si>
  <si>
    <t xml:space="preserve">S06</t>
  </si>
  <si>
    <t xml:space="preserve">Meta 2025 Environmental Data Index</t>
  </si>
  <si>
    <t xml:space="preserve">2025-10-17</t>
  </si>
  <si>
    <r>
      <rPr>
        <sz val="9"/>
        <color rgb="FF243B53"/>
        <rFont val="Aptos"/>
        <family val="0"/>
        <charset val="1"/>
      </rPr>
      <t xml:space="preserve">F</t>
    </r>
    <r>
      <rPr>
        <sz val="9"/>
        <color rgb="FF243B53"/>
        <rFont val="Noto Sans CJK SC"/>
        <family val="2"/>
      </rPr>
      <t xml:space="preserve">页</t>
    </r>
    <r>
      <rPr>
        <sz val="9"/>
        <color rgb="FF243B53"/>
        <rFont val="Aptos"/>
        <family val="0"/>
        <charset val="1"/>
      </rPr>
      <t xml:space="preserve">2.1 Electricity Consumption by Facility</t>
    </r>
  </si>
  <si>
    <t xml:space="preserve">https://sustainability.atmeta.com/asset/2025-environmental-data-index/</t>
  </si>
  <si>
    <t xml:space="preserve">M020</t>
  </si>
  <si>
    <t xml:space="preserve">2023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</si>
  <si>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M019</t>
    </r>
    <r>
      <rPr>
        <sz val="9"/>
        <color rgb="FF243B53"/>
        <rFont val="Noto Sans CJK SC"/>
        <family val="2"/>
      </rPr>
      <t xml:space="preserve">同口径</t>
    </r>
  </si>
  <si>
    <t xml:space="preserve">M021</t>
  </si>
  <si>
    <t xml:space="preserve">总用电量（含办公室）</t>
  </si>
  <si>
    <t xml:space="preserve">数据中心加办公室；不要与数据中心用电混用</t>
  </si>
  <si>
    <t xml:space="preserve">M022</t>
  </si>
  <si>
    <r>
      <rPr>
        <sz val="9"/>
        <color rgb="FF243B53"/>
        <rFont val="Noto Sans CJK SC"/>
        <family val="2"/>
      </rPr>
      <t xml:space="preserve">数据中心</t>
    </r>
    <r>
      <rPr>
        <sz val="9"/>
        <color rgb="FF243B53"/>
        <rFont val="Aptos"/>
        <family val="0"/>
        <charset val="1"/>
      </rPr>
      <t xml:space="preserve">PUE</t>
    </r>
  </si>
  <si>
    <r>
      <rPr>
        <sz val="9"/>
        <color rgb="FF243B53"/>
        <rFont val="Noto Sans CJK SC"/>
        <family val="2"/>
      </rPr>
      <t xml:space="preserve">年度数据中心总能源</t>
    </r>
    <r>
      <rPr>
        <sz val="9"/>
        <color rgb="FF243B53"/>
        <rFont val="Aptos"/>
        <family val="0"/>
        <charset val="1"/>
      </rPr>
      <t xml:space="preserve">/IT</t>
    </r>
    <r>
      <rPr>
        <sz val="9"/>
        <color rgb="FF243B53"/>
        <rFont val="Noto Sans CJK SC"/>
        <family val="2"/>
      </rPr>
      <t xml:space="preserve">电力负载；内部计量、设计估算与账单结合</t>
    </r>
  </si>
  <si>
    <r>
      <rPr>
        <sz val="9"/>
        <color rgb="FF243B53"/>
        <rFont val="Aptos"/>
        <family val="0"/>
        <charset val="1"/>
      </rPr>
      <t xml:space="preserve">2.4 Data Center Operations and Design</t>
    </r>
    <r>
      <rPr>
        <sz val="9"/>
        <color rgb="FF243B53"/>
        <rFont val="Noto Sans CJK SC"/>
        <family val="2"/>
      </rPr>
      <t xml:space="preserve">；附录</t>
    </r>
    <r>
      <rPr>
        <sz val="9"/>
        <color rgb="FF243B53"/>
        <rFont val="Aptos"/>
        <family val="0"/>
        <charset val="1"/>
      </rPr>
      <t xml:space="preserve">PUE/WUE</t>
    </r>
  </si>
  <si>
    <t xml:space="preserve">M023</t>
  </si>
  <si>
    <r>
      <rPr>
        <sz val="9"/>
        <color rgb="FF243B53"/>
        <rFont val="Noto Sans CJK SC"/>
        <family val="2"/>
      </rPr>
      <t xml:space="preserve">数据中心</t>
    </r>
    <r>
      <rPr>
        <sz val="9"/>
        <color rgb="FF243B53"/>
        <rFont val="Aptos"/>
        <family val="0"/>
        <charset val="1"/>
      </rPr>
      <t xml:space="preserve">WUE</t>
    </r>
  </si>
  <si>
    <t xml:space="preserve">L/kWh</t>
  </si>
  <si>
    <r>
      <rPr>
        <sz val="9"/>
        <color rgb="FF243B53"/>
        <rFont val="Noto Sans CJK SC"/>
        <family val="2"/>
      </rPr>
      <t xml:space="preserve">年度取水</t>
    </r>
    <r>
      <rPr>
        <sz val="9"/>
        <color rgb="FF243B53"/>
        <rFont val="Aptos"/>
        <family val="0"/>
        <charset val="1"/>
      </rPr>
      <t xml:space="preserve">/IT</t>
    </r>
    <r>
      <rPr>
        <sz val="9"/>
        <color rgb="FF243B53"/>
        <rFont val="Noto Sans CJK SC"/>
        <family val="2"/>
      </rPr>
      <t xml:space="preserve">电力负载</t>
    </r>
  </si>
  <si>
    <r>
      <rPr>
        <sz val="9"/>
        <color rgb="FF243B53"/>
        <rFont val="Aptos"/>
        <family val="0"/>
        <charset val="1"/>
      </rPr>
      <t xml:space="preserve">2.4 Water Usage Effectiveness</t>
    </r>
    <r>
      <rPr>
        <sz val="9"/>
        <color rgb="FF243B53"/>
        <rFont val="Noto Sans CJK SC"/>
        <family val="2"/>
      </rPr>
      <t xml:space="preserve">；附录</t>
    </r>
    <r>
      <rPr>
        <sz val="9"/>
        <color rgb="FF243B53"/>
        <rFont val="Aptos"/>
        <family val="0"/>
        <charset val="1"/>
      </rPr>
      <t xml:space="preserve">PUE/WUE</t>
    </r>
  </si>
  <si>
    <t xml:space="preserve">M024</t>
  </si>
  <si>
    <t xml:space="preserve">清洁和可再生电力年度匹配比例</t>
  </si>
  <si>
    <r>
      <rPr>
        <sz val="9"/>
        <color rgb="FF243B53"/>
        <rFont val="Noto Sans CJK SC"/>
        <family val="2"/>
      </rPr>
      <t xml:space="preserve">合同</t>
    </r>
    <r>
      <rPr>
        <sz val="9"/>
        <color rgb="FF243B53"/>
        <rFont val="Aptos"/>
        <family val="0"/>
        <charset val="1"/>
      </rPr>
      <t xml:space="preserve">/</t>
    </r>
    <r>
      <rPr>
        <sz val="9"/>
        <color rgb="FF243B53"/>
        <rFont val="Noto Sans CJK SC"/>
        <family val="2"/>
      </rPr>
      <t xml:space="preserve">年度匹配，不是每小时物理供电结构</t>
    </r>
  </si>
  <si>
    <r>
      <rPr>
        <sz val="9"/>
        <color rgb="FF243B53"/>
        <rFont val="Aptos"/>
        <family val="0"/>
        <charset val="1"/>
      </rPr>
      <t xml:space="preserve">F</t>
    </r>
    <r>
      <rPr>
        <sz val="9"/>
        <color rgb="FF243B53"/>
        <rFont val="Noto Sans CJK SC"/>
        <family val="2"/>
      </rPr>
      <t xml:space="preserve">页</t>
    </r>
    <r>
      <rPr>
        <sz val="9"/>
        <color rgb="FF243B53"/>
        <rFont val="Aptos"/>
        <family val="0"/>
        <charset val="1"/>
      </rPr>
      <t xml:space="preserve">Electricity Mix Matching</t>
    </r>
  </si>
  <si>
    <t xml:space="preserve">M025</t>
  </si>
  <si>
    <t xml:space="preserve">来自电网的电力比例下限</t>
  </si>
  <si>
    <r>
      <rPr>
        <sz val="9"/>
        <color rgb="FF243B53"/>
        <rFont val="Noto Sans CJK SC"/>
        <family val="2"/>
      </rPr>
      <t xml:space="preserve">原文为</t>
    </r>
    <r>
      <rPr>
        <sz val="9"/>
        <color rgb="FF243B53"/>
        <rFont val="Aptos"/>
        <family val="0"/>
        <charset val="1"/>
      </rPr>
      <t xml:space="preserve">&gt;99%</t>
    </r>
    <r>
      <rPr>
        <sz val="9"/>
        <color rgb="FF243B53"/>
        <rFont val="Noto Sans CJK SC"/>
        <family val="2"/>
      </rPr>
      <t xml:space="preserve">，是物理获取渠道而非电源结构</t>
    </r>
  </si>
  <si>
    <r>
      <rPr>
        <sz val="9"/>
        <color rgb="FF243B53"/>
        <rFont val="Aptos"/>
        <family val="0"/>
        <charset val="1"/>
      </rPr>
      <t xml:space="preserve">F</t>
    </r>
    <r>
      <rPr>
        <sz val="9"/>
        <color rgb="FF243B53"/>
        <rFont val="Noto Sans CJK SC"/>
        <family val="2"/>
      </rPr>
      <t xml:space="preserve">页</t>
    </r>
    <r>
      <rPr>
        <sz val="9"/>
        <color rgb="FF243B53"/>
        <rFont val="Aptos"/>
        <family val="0"/>
        <charset val="1"/>
      </rPr>
      <t xml:space="preserve">2.1 Electricity Consumption</t>
    </r>
  </si>
  <si>
    <t xml:space="preserve">M026</t>
  </si>
  <si>
    <t xml:space="preserve">支持的清洁能源项目规模</t>
  </si>
  <si>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2026-01</t>
    </r>
  </si>
  <si>
    <r>
      <rPr>
        <sz val="9"/>
        <color rgb="FF243B53"/>
        <rFont val="Noto Sans CJK SC"/>
        <family val="2"/>
      </rPr>
      <t xml:space="preserve">近</t>
    </r>
    <r>
      <rPr>
        <sz val="9"/>
        <color rgb="FF243B53"/>
        <rFont val="Aptos"/>
        <family val="0"/>
        <charset val="1"/>
      </rPr>
      <t xml:space="preserve">28 GW</t>
    </r>
    <r>
      <rPr>
        <sz val="9"/>
        <color rgb="FF243B53"/>
        <rFont val="Noto Sans CJK SC"/>
        <family val="2"/>
      </rPr>
      <t xml:space="preserve">新增能源项目，跨</t>
    </r>
    <r>
      <rPr>
        <sz val="9"/>
        <color rgb="FF243B53"/>
        <rFont val="Aptos"/>
        <family val="0"/>
        <charset val="1"/>
      </rPr>
      <t xml:space="preserve">27</t>
    </r>
    <r>
      <rPr>
        <sz val="9"/>
        <color rgb="FF243B53"/>
        <rFont val="Noto Sans CJK SC"/>
        <family val="2"/>
      </rPr>
      <t xml:space="preserve">个州；不是企业自身实时用电容量</t>
    </r>
  </si>
  <si>
    <t xml:space="preserve">S07</t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</si>
  <si>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Nuclear Energy Projects</t>
    </r>
  </si>
  <si>
    <t xml:space="preserve">2026-01-09</t>
  </si>
  <si>
    <t xml:space="preserve">Supporting Our Energy Future</t>
  </si>
  <si>
    <t xml:space="preserve">https://about.fb.com/news/2026/01/meta-nuclear-energy-projects-power-american-ai-leadership/</t>
  </si>
  <si>
    <t xml:space="preserve">M027</t>
  </si>
  <si>
    <t xml:space="preserve">清洁能源项目覆盖州数</t>
  </si>
  <si>
    <t xml:space="preserve">个州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</si>
  <si>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M026</t>
    </r>
    <r>
      <rPr>
        <sz val="9"/>
        <color rgb="FF243B53"/>
        <rFont val="Noto Sans CJK SC"/>
        <family val="2"/>
      </rPr>
      <t xml:space="preserve">同口径</t>
    </r>
  </si>
  <si>
    <t xml:space="preserve">G047</t>
  </si>
  <si>
    <t xml:space="preserve">数据中心所需发电量</t>
  </si>
  <si>
    <r>
      <rPr>
        <sz val="9"/>
        <color rgb="FF243B53"/>
        <rFont val="Noto Sans CJK SC"/>
        <family val="2"/>
      </rPr>
      <t xml:space="preserve">发电侧含厂自用及输配损失，不能与</t>
    </r>
    <r>
      <rPr>
        <sz val="9"/>
        <color rgb="FF243B53"/>
        <rFont val="Aptos"/>
        <family val="0"/>
        <charset val="1"/>
      </rPr>
      <t xml:space="preserve">415 TWh</t>
    </r>
    <r>
      <rPr>
        <sz val="9"/>
        <color rgb="FF243B53"/>
        <rFont val="Noto Sans CJK SC"/>
        <family val="2"/>
      </rPr>
      <t xml:space="preserve">终端用电混用</t>
    </r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</si>
  <si>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2.5.3 Electricity supply in the Base Case</t>
    </r>
  </si>
  <si>
    <t xml:space="preserve">G048</t>
  </si>
  <si>
    <t xml:space="preserve">数据中心所需发电量：基准预测</t>
  </si>
  <si>
    <r>
      <rPr>
        <sz val="9"/>
        <color rgb="FF243B53"/>
        <rFont val="Noto Sans CJK SC"/>
        <family val="2"/>
      </rPr>
      <t xml:space="preserve">发电侧口径；超过</t>
    </r>
    <r>
      <rPr>
        <sz val="9"/>
        <color rgb="FF243B53"/>
        <rFont val="Aptos"/>
        <family val="0"/>
        <charset val="1"/>
      </rPr>
      <t xml:space="preserve">1000 TWh</t>
    </r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</si>
  <si>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2.5.3</t>
    </r>
  </si>
  <si>
    <t xml:space="preserve">U001</t>
  </si>
  <si>
    <t xml:space="preserve">美国用电</t>
  </si>
  <si>
    <t xml:space="preserve">2014</t>
  </si>
  <si>
    <r>
      <rPr>
        <sz val="9"/>
        <color rgb="FF243B53"/>
        <rFont val="Aptos"/>
        <family val="0"/>
        <charset val="1"/>
      </rPr>
      <t xml:space="preserve">DOE/LBNL</t>
    </r>
    <r>
      <rPr>
        <sz val="9"/>
        <color rgb="FF243B53"/>
        <rFont val="Noto Sans CJK SC"/>
        <family val="2"/>
      </rPr>
      <t xml:space="preserve">设备模型</t>
    </r>
  </si>
  <si>
    <t xml:space="preserve">S24</t>
  </si>
  <si>
    <r>
      <rPr>
        <sz val="9"/>
        <color rgb="FF243B53"/>
        <rFont val="Aptos"/>
        <family val="0"/>
        <charset val="1"/>
      </rPr>
      <t xml:space="preserve">LBNL</t>
    </r>
    <r>
      <rPr>
        <sz val="9"/>
        <color rgb="FF243B53"/>
        <rFont val="Noto Sans CJK SC"/>
        <family val="2"/>
      </rPr>
      <t xml:space="preserve">《</t>
    </r>
    <r>
      <rPr>
        <sz val="9"/>
        <color rgb="FF243B53"/>
        <rFont val="Aptos"/>
        <family val="0"/>
        <charset val="1"/>
      </rPr>
      <t xml:space="preserve">2024 United States Data Center Energy Usage Report</t>
    </r>
    <r>
      <rPr>
        <sz val="9"/>
        <color rgb="FF243B53"/>
        <rFont val="Noto Sans CJK SC"/>
        <family val="2"/>
      </rPr>
      <t xml:space="preserve">》</t>
    </r>
  </si>
  <si>
    <t xml:space="preserve">2024-12-20</t>
  </si>
  <si>
    <r>
      <rPr>
        <sz val="9"/>
        <color rgb="FF243B53"/>
        <rFont val="Aptos"/>
        <family val="0"/>
        <charset val="1"/>
      </rPr>
      <t xml:space="preserve">Executive Summary</t>
    </r>
    <r>
      <rPr>
        <sz val="9"/>
        <color rgb="FF243B53"/>
        <rFont val="Noto Sans CJK SC"/>
        <family val="2"/>
      </rPr>
      <t xml:space="preserve">；图</t>
    </r>
    <r>
      <rPr>
        <sz val="9"/>
        <color rgb="FF243B53"/>
        <rFont val="Aptos"/>
        <family val="0"/>
        <charset val="1"/>
      </rPr>
      <t xml:space="preserve">ES-1</t>
    </r>
    <r>
      <rPr>
        <sz val="9"/>
        <color rgb="FF243B53"/>
        <rFont val="Noto Sans CJK SC"/>
        <family val="2"/>
      </rPr>
      <t xml:space="preserve">；第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6</t>
    </r>
    <r>
      <rPr>
        <sz val="9"/>
        <color rgb="FF243B53"/>
        <rFont val="Noto Sans CJK SC"/>
        <family val="2"/>
      </rPr>
      <t xml:space="preserve">章</t>
    </r>
  </si>
  <si>
    <t xml:space="preserve">https://escholarship.org/uc/item/32d6m0d1</t>
  </si>
  <si>
    <t xml:space="preserve">U002</t>
  </si>
  <si>
    <t xml:space="preserve">2018</t>
  </si>
  <si>
    <t xml:space="preserve">U003</t>
  </si>
  <si>
    <r>
      <rPr>
        <sz val="9"/>
        <color rgb="FF243B53"/>
        <rFont val="Aptos"/>
        <family val="0"/>
        <charset val="1"/>
      </rPr>
      <t xml:space="preserve">DOE/LBNL</t>
    </r>
    <r>
      <rPr>
        <sz val="9"/>
        <color rgb="FF243B53"/>
        <rFont val="Noto Sans CJK SC"/>
        <family val="2"/>
      </rPr>
      <t xml:space="preserve">设备模型；加密货币另行分析</t>
    </r>
  </si>
  <si>
    <t xml:space="preserve">U004</t>
  </si>
  <si>
    <t xml:space="preserve">数据中心占美国用电比重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</si>
  <si>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176 TWh</t>
    </r>
    <r>
      <rPr>
        <sz val="9"/>
        <color rgb="FF243B53"/>
        <rFont val="Noto Sans CJK SC"/>
        <family val="2"/>
      </rPr>
      <t xml:space="preserve">同口径</t>
    </r>
  </si>
  <si>
    <t xml:space="preserve">U005</t>
  </si>
  <si>
    <t xml:space="preserve">数据中心用电量情景下限</t>
  </si>
  <si>
    <t xml:space="preserve">2028</t>
  </si>
  <si>
    <t xml:space="preserve">设备出货、利用方式和制冷效率情景，不是单一基准</t>
  </si>
  <si>
    <t xml:space="preserve">U006</t>
  </si>
  <si>
    <t xml:space="preserve">数据中心用电量情景上限</t>
  </si>
  <si>
    <t xml:space="preserve">U007</t>
  </si>
  <si>
    <t xml:space="preserve">数据中心占美国用电比重情景下限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</si>
  <si>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325 TWh</t>
    </r>
    <r>
      <rPr>
        <sz val="9"/>
        <color rgb="FF243B53"/>
        <rFont val="Noto Sans CJK SC"/>
        <family val="2"/>
      </rPr>
      <t xml:space="preserve">情景对应</t>
    </r>
  </si>
  <si>
    <t xml:space="preserve">U008</t>
  </si>
  <si>
    <t xml:space="preserve">数据中心占美国用电比重情景上限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</si>
  <si>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580 TWh</t>
    </r>
    <r>
      <rPr>
        <sz val="9"/>
        <color rgb="FF243B53"/>
        <rFont val="Noto Sans CJK SC"/>
        <family val="2"/>
      </rPr>
      <t xml:space="preserve">情景对应</t>
    </r>
  </si>
  <si>
    <t xml:space="preserve">U009</t>
  </si>
  <si>
    <r>
      <rPr>
        <sz val="9"/>
        <color rgb="FF243B53"/>
        <rFont val="Aptos"/>
        <family val="0"/>
        <charset val="1"/>
      </rPr>
      <t xml:space="preserve">IEA</t>
    </r>
    <r>
      <rPr>
        <sz val="9"/>
        <color rgb="FF243B53"/>
        <rFont val="Noto Sans CJK SC"/>
        <family val="2"/>
      </rPr>
      <t xml:space="preserve">区域模型，约数；与</t>
    </r>
    <r>
      <rPr>
        <sz val="9"/>
        <color rgb="FF243B53"/>
        <rFont val="Aptos"/>
        <family val="0"/>
        <charset val="1"/>
      </rPr>
      <t xml:space="preserve">LBNL</t>
    </r>
    <r>
      <rPr>
        <sz val="9"/>
        <color rgb="FF243B53"/>
        <rFont val="Noto Sans CJK SC"/>
        <family val="2"/>
      </rPr>
      <t xml:space="preserve">年份和方法不同</t>
    </r>
  </si>
  <si>
    <t xml:space="preserve">U010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</si>
  <si>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4%</t>
    </r>
    <r>
      <rPr>
        <sz val="9"/>
        <color rgb="FF243B53"/>
        <rFont val="Noto Sans CJK SC"/>
        <family val="2"/>
      </rPr>
      <t xml:space="preserve">；与约</t>
    </r>
    <r>
      <rPr>
        <sz val="9"/>
        <color rgb="FF243B53"/>
        <rFont val="Aptos"/>
        <family val="0"/>
        <charset val="1"/>
      </rPr>
      <t xml:space="preserve">180 TWh</t>
    </r>
    <r>
      <rPr>
        <sz val="9"/>
        <color rgb="FF243B53"/>
        <rFont val="Noto Sans CJK SC"/>
        <family val="2"/>
      </rPr>
      <t xml:space="preserve">同口径</t>
    </r>
  </si>
  <si>
    <t xml:space="preserve">U011</t>
  </si>
  <si>
    <r>
      <rPr>
        <sz val="9"/>
        <color rgb="FF243B53"/>
        <rFont val="Noto Sans CJK SC"/>
        <family val="2"/>
      </rPr>
      <t xml:space="preserve">数据中心</t>
    </r>
    <r>
      <rPr>
        <sz val="9"/>
        <color rgb="FF243B53"/>
        <rFont val="Aptos"/>
        <family val="0"/>
        <charset val="1"/>
      </rPr>
      <t xml:space="preserve">2024—2030</t>
    </r>
    <r>
      <rPr>
        <sz val="9"/>
        <color rgb="FF243B53"/>
        <rFont val="Noto Sans CJK SC"/>
        <family val="2"/>
      </rPr>
      <t xml:space="preserve">用电增幅</t>
    </r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</si>
  <si>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基准情景；与</t>
    </r>
    <r>
      <rPr>
        <sz val="9"/>
        <color rgb="FF243B53"/>
        <rFont val="Aptos"/>
        <family val="0"/>
        <charset val="1"/>
      </rPr>
      <t xml:space="preserve">240 TWh</t>
    </r>
    <r>
      <rPr>
        <sz val="9"/>
        <color rgb="FF243B53"/>
        <rFont val="Noto Sans CJK SC"/>
        <family val="2"/>
      </rPr>
      <t xml:space="preserve">增量为约数关系</t>
    </r>
  </si>
  <si>
    <t xml:space="preserve">B001</t>
  </si>
  <si>
    <t xml:space="preserve">并网与设备</t>
  </si>
  <si>
    <t xml:space="preserve">美国输电侧发电并网队列总量</t>
  </si>
  <si>
    <t xml:space="preserve">发电项目队列，不包括负荷、配电侧和表后项目</t>
  </si>
  <si>
    <t xml:space="preserve">S25</t>
  </si>
  <si>
    <r>
      <rPr>
        <sz val="9"/>
        <color rgb="FF243B53"/>
        <rFont val="Aptos"/>
        <family val="0"/>
        <charset val="1"/>
      </rPr>
      <t xml:space="preserve">LBNL</t>
    </r>
    <r>
      <rPr>
        <sz val="9"/>
        <color rgb="FF243B53"/>
        <rFont val="Noto Sans CJK SC"/>
        <family val="2"/>
      </rPr>
      <t xml:space="preserve">《</t>
    </r>
    <r>
      <rPr>
        <sz val="9"/>
        <color rgb="FF243B53"/>
        <rFont val="Aptos"/>
        <family val="0"/>
        <charset val="1"/>
      </rPr>
      <t xml:space="preserve">Queued Up: 2026 Edition</t>
    </r>
    <r>
      <rPr>
        <sz val="9"/>
        <color rgb="FF243B53"/>
        <rFont val="Noto Sans CJK SC"/>
        <family val="2"/>
      </rPr>
      <t xml:space="preserve">》</t>
    </r>
  </si>
  <si>
    <t xml:space="preserve">2026-05</t>
  </si>
  <si>
    <r>
      <rPr>
        <sz val="9"/>
        <color rgb="FF243B53"/>
        <rFont val="Aptos"/>
        <family val="0"/>
        <charset val="1"/>
      </rPr>
      <t xml:space="preserve">Abstract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Key highlights</t>
    </r>
  </si>
  <si>
    <t xml:space="preserve">https://emp.lbl.gov/publications/queued-2026-edition-characteristics</t>
  </si>
  <si>
    <t xml:space="preserve">B002</t>
  </si>
  <si>
    <t xml:space="preserve">建成项目并网至商运中位时间下限</t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</si>
  <si>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年建成项目</t>
    </r>
  </si>
  <si>
    <r>
      <rPr>
        <sz val="9"/>
        <color rgb="FF243B53"/>
        <rFont val="Noto Sans CJK SC"/>
        <family val="2"/>
      </rPr>
      <t xml:space="preserve">从并网申请到商业运行，超过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年</t>
    </r>
  </si>
  <si>
    <t xml:space="preserve">B003</t>
  </si>
  <si>
    <r>
      <rPr>
        <sz val="9"/>
        <color rgb="FF243B53"/>
        <rFont val="Aptos"/>
        <family val="0"/>
        <charset val="1"/>
      </rPr>
      <t xml:space="preserve">2000—2020</t>
    </r>
    <r>
      <rPr>
        <sz val="9"/>
        <color rgb="FF243B53"/>
        <rFont val="Noto Sans CJK SC"/>
        <family val="2"/>
      </rPr>
      <t xml:space="preserve">年申请容量已商运比例</t>
    </r>
  </si>
  <si>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年末</t>
    </r>
  </si>
  <si>
    <t xml:space="preserve">仅输电侧发电并网申请容量</t>
  </si>
  <si>
    <t xml:space="preserve">B004</t>
  </si>
  <si>
    <r>
      <rPr>
        <sz val="9"/>
        <color rgb="FF243B53"/>
        <rFont val="Aptos"/>
        <family val="0"/>
        <charset val="1"/>
      </rPr>
      <t xml:space="preserve">2000—2020</t>
    </r>
    <r>
      <rPr>
        <sz val="9"/>
        <color rgb="FF243B53"/>
        <rFont val="Noto Sans CJK SC"/>
        <family val="2"/>
      </rPr>
      <t xml:space="preserve">年申请容量已退出比例</t>
    </r>
  </si>
  <si>
    <t xml:space="preserve">队列退出不等于项目全部取消同一原址重建</t>
  </si>
  <si>
    <t xml:space="preserve">B005</t>
  </si>
  <si>
    <t xml:space="preserve">变压器订单积压同比增幅</t>
  </si>
  <si>
    <t xml:space="preserve">样本电力设备企业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</si>
  <si>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30%</t>
    </r>
    <r>
      <rPr>
        <sz val="9"/>
        <color rgb="FF243B53"/>
        <rFont val="Noto Sans CJK SC"/>
        <family val="2"/>
      </rPr>
      <t xml:space="preserve">；此前两年均超过</t>
    </r>
    <r>
      <rPr>
        <sz val="9"/>
        <color rgb="FF243B53"/>
        <rFont val="Aptos"/>
        <family val="0"/>
        <charset val="1"/>
      </rPr>
      <t xml:space="preserve">15%</t>
    </r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</si>
  <si>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5.2.2</t>
    </r>
    <r>
      <rPr>
        <sz val="9"/>
        <color rgb="FF243B53"/>
        <rFont val="Noto Sans CJK SC"/>
        <family val="2"/>
      </rPr>
      <t xml:space="preserve">，图</t>
    </r>
    <r>
      <rPr>
        <sz val="9"/>
        <color rgb="FF243B53"/>
        <rFont val="Aptos"/>
        <family val="0"/>
        <charset val="1"/>
      </rPr>
      <t xml:space="preserve">5.2</t>
    </r>
  </si>
  <si>
    <t xml:space="preserve">B006</t>
  </si>
  <si>
    <t xml:space="preserve">电力变压器价格指数</t>
  </si>
  <si>
    <t xml:space="preserve">全球样本</t>
  </si>
  <si>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（</t>
    </r>
    <r>
      <rPr>
        <sz val="9"/>
        <color rgb="FF243B53"/>
        <rFont val="Aptos"/>
        <family val="0"/>
        <charset val="1"/>
      </rPr>
      <t xml:space="preserve">2020=1</t>
    </r>
    <r>
      <rPr>
        <sz val="9"/>
        <color rgb="FF243B53"/>
        <rFont val="Noto Sans CJK SC"/>
        <family val="2"/>
      </rPr>
      <t xml:space="preserve">）</t>
    </r>
  </si>
  <si>
    <r>
      <rPr>
        <sz val="9"/>
        <color rgb="FF243B53"/>
        <rFont val="Noto Sans CJK SC"/>
        <family val="2"/>
      </rPr>
      <t xml:space="preserve">约为</t>
    </r>
    <r>
      <rPr>
        <sz val="9"/>
        <color rgb="FF243B53"/>
        <rFont val="Aptos"/>
        <family val="0"/>
        <charset val="1"/>
      </rPr>
      <t xml:space="preserve">2020</t>
    </r>
    <r>
      <rPr>
        <sz val="9"/>
        <color rgb="FF243B53"/>
        <rFont val="Noto Sans CJK SC"/>
        <family val="2"/>
      </rPr>
      <t xml:space="preserve">年的</t>
    </r>
    <r>
      <rPr>
        <sz val="9"/>
        <color rgb="FF243B53"/>
        <rFont val="Aptos"/>
        <family val="0"/>
        <charset val="1"/>
      </rPr>
      <t xml:space="preserve">1.5</t>
    </r>
    <r>
      <rPr>
        <sz val="9"/>
        <color rgb="FF243B53"/>
        <rFont val="Noto Sans CJK SC"/>
        <family val="2"/>
      </rPr>
      <t xml:space="preserve">倍</t>
    </r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</si>
  <si>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章图</t>
    </r>
    <r>
      <rPr>
        <sz val="9"/>
        <color rgb="FF243B53"/>
        <rFont val="Aptos"/>
        <family val="0"/>
        <charset val="1"/>
      </rPr>
      <t xml:space="preserve">2.26</t>
    </r>
    <r>
      <rPr>
        <sz val="9"/>
        <color rgb="FF243B53"/>
        <rFont val="Noto Sans CJK SC"/>
        <family val="2"/>
      </rPr>
      <t xml:space="preserve">；第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章图</t>
    </r>
    <r>
      <rPr>
        <sz val="9"/>
        <color rgb="FF243B53"/>
        <rFont val="Aptos"/>
        <family val="0"/>
        <charset val="1"/>
      </rPr>
      <t xml:space="preserve">5.2</t>
    </r>
  </si>
  <si>
    <t xml:space="preserve">B007</t>
  </si>
  <si>
    <t xml:space="preserve">部分复杂变压器相对疫情前价格倍数</t>
  </si>
  <si>
    <t xml:space="preserve">复杂变压器</t>
  </si>
  <si>
    <r>
      <rPr>
        <sz val="9"/>
        <color rgb="FF243B53"/>
        <rFont val="Aptos"/>
        <family val="0"/>
        <charset val="1"/>
      </rPr>
      <t xml:space="preserve">IEA 2025</t>
    </r>
    <r>
      <rPr>
        <sz val="9"/>
        <color rgb="FF243B53"/>
        <rFont val="Noto Sans CJK SC"/>
        <family val="2"/>
      </rPr>
      <t xml:space="preserve">调查</t>
    </r>
  </si>
  <si>
    <t xml:space="preserve">部分复杂产品，不是全市场平均</t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</si>
  <si>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章</t>
    </r>
    <r>
      <rPr>
        <sz val="9"/>
        <color rgb="FF243B53"/>
        <rFont val="Aptos"/>
        <family val="0"/>
        <charset val="1"/>
      </rPr>
      <t xml:space="preserve">5.2.2</t>
    </r>
  </si>
  <si>
    <t xml:space="preserve">B008</t>
  </si>
  <si>
    <t xml:space="preserve">新建电缆制造产能周期下限</t>
  </si>
  <si>
    <t xml:space="preserve">电缆制造</t>
  </si>
  <si>
    <t xml:space="preserve">产能建设周期，不是电缆交付等待期</t>
  </si>
  <si>
    <t xml:space="preserve">B009</t>
  </si>
  <si>
    <t xml:space="preserve">新建电缆制造产能周期上限</t>
  </si>
  <si>
    <t xml:space="preserve">B010</t>
  </si>
  <si>
    <r>
      <rPr>
        <sz val="9"/>
        <color rgb="FF243B53"/>
        <rFont val="Aptos"/>
        <family val="0"/>
        <charset val="1"/>
      </rPr>
      <t xml:space="preserve">Vogtle</t>
    </r>
    <r>
      <rPr>
        <sz val="9"/>
        <color rgb="FF243B53"/>
        <rFont val="Noto Sans CJK SC"/>
        <family val="2"/>
      </rPr>
      <t xml:space="preserve">两台机组原预计总成本</t>
    </r>
  </si>
  <si>
    <r>
      <rPr>
        <sz val="9"/>
        <color rgb="FF243B53"/>
        <rFont val="Noto Sans CJK SC"/>
        <family val="2"/>
      </rPr>
      <t xml:space="preserve">美国</t>
    </r>
    <r>
      <rPr>
        <sz val="9"/>
        <color rgb="FF243B53"/>
        <rFont val="Aptos"/>
        <family val="0"/>
        <charset val="1"/>
      </rPr>
      <t xml:space="preserve">Vogtle 3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4</t>
    </r>
    <r>
      <rPr>
        <sz val="9"/>
        <color rgb="FF243B53"/>
        <rFont val="Noto Sans CJK SC"/>
        <family val="2"/>
      </rPr>
      <t xml:space="preserve">号</t>
    </r>
  </si>
  <si>
    <t xml:space="preserve">原计划</t>
  </si>
  <si>
    <t xml:space="preserve">项目案例，非行业平均</t>
  </si>
  <si>
    <t xml:space="preserve">S26</t>
  </si>
  <si>
    <r>
      <rPr>
        <sz val="9"/>
        <color rgb="FF243B53"/>
        <rFont val="Aptos"/>
        <family val="0"/>
        <charset val="1"/>
      </rPr>
      <t xml:space="preserve">EIA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Plant Vogtle Unit 4 begins commercial operation</t>
    </r>
  </si>
  <si>
    <t xml:space="preserve">2024-05-01</t>
  </si>
  <si>
    <r>
      <rPr>
        <sz val="9"/>
        <color rgb="FF243B53"/>
        <rFont val="Aptos"/>
        <family val="0"/>
        <charset val="1"/>
      </rPr>
      <t xml:space="preserve">In-brief analysis</t>
    </r>
    <r>
      <rPr>
        <sz val="9"/>
        <color rgb="FF243B53"/>
        <rFont val="Noto Sans CJK SC"/>
        <family val="2"/>
      </rPr>
      <t xml:space="preserve">建设成本段落</t>
    </r>
  </si>
  <si>
    <t xml:space="preserve">https://www.eia.gov/todayinenergy/detail.php?id=61963</t>
  </si>
  <si>
    <t xml:space="preserve">B011</t>
  </si>
  <si>
    <r>
      <rPr>
        <sz val="9"/>
        <color rgb="FF243B53"/>
        <rFont val="Aptos"/>
        <family val="0"/>
        <charset val="1"/>
      </rPr>
      <t xml:space="preserve">Vogtle</t>
    </r>
    <r>
      <rPr>
        <sz val="9"/>
        <color rgb="FF243B53"/>
        <rFont val="Noto Sans CJK SC"/>
        <family val="2"/>
      </rPr>
      <t xml:space="preserve">项目估计总成本下限</t>
    </r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</si>
  <si>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300</t>
    </r>
    <r>
      <rPr>
        <sz val="9"/>
        <color rgb="FF243B53"/>
        <rFont val="Noto Sans CJK SC"/>
        <family val="2"/>
      </rPr>
      <t xml:space="preserve">亿美元；项目案例，非行业平均</t>
    </r>
  </si>
  <si>
    <t xml:space="preserve">B012</t>
  </si>
  <si>
    <r>
      <rPr>
        <sz val="9"/>
        <color rgb="FF243B53"/>
        <rFont val="Aptos"/>
        <family val="0"/>
        <charset val="1"/>
      </rPr>
      <t xml:space="preserve">Vogtle</t>
    </r>
    <r>
      <rPr>
        <sz val="9"/>
        <color rgb="FF243B53"/>
        <rFont val="Noto Sans CJK SC"/>
        <family val="2"/>
      </rPr>
      <t xml:space="preserve">两台机组相对原计划延误</t>
    </r>
  </si>
  <si>
    <r>
      <rPr>
        <sz val="9"/>
        <color rgb="FF243B53"/>
        <rFont val="Aptos"/>
        <family val="0"/>
        <charset val="1"/>
      </rPr>
      <t xml:space="preserve">2023/2024</t>
    </r>
    <r>
      <rPr>
        <sz val="9"/>
        <color rgb="FF243B53"/>
        <rFont val="Noto Sans CJK SC"/>
        <family val="2"/>
      </rPr>
      <t xml:space="preserve">商运</t>
    </r>
  </si>
  <si>
    <t xml:space="preserve">计算说明</t>
  </si>
  <si>
    <r>
      <rPr>
        <sz val="9"/>
        <color rgb="FF243B53"/>
        <rFont val="Noto Sans CJK SC"/>
        <family val="2"/>
      </rPr>
      <t xml:space="preserve">按原计划</t>
    </r>
    <r>
      <rPr>
        <sz val="9"/>
        <color rgb="FF243B53"/>
        <rFont val="Aptos"/>
        <family val="0"/>
        <charset val="1"/>
      </rPr>
      <t xml:space="preserve">2016/2017</t>
    </r>
    <r>
      <rPr>
        <sz val="9"/>
        <color rgb="FF243B53"/>
        <rFont val="Noto Sans CJK SC"/>
        <family val="2"/>
      </rPr>
      <t xml:space="preserve">与实际</t>
    </r>
    <r>
      <rPr>
        <sz val="9"/>
        <color rgb="FF243B53"/>
        <rFont val="Aptos"/>
        <family val="0"/>
        <charset val="1"/>
      </rPr>
      <t xml:space="preserve">2023/2024</t>
    </r>
    <r>
      <rPr>
        <sz val="9"/>
        <color rgb="FF243B53"/>
        <rFont val="Noto Sans CJK SC"/>
        <family val="2"/>
      </rPr>
      <t xml:space="preserve">年份比较，约</t>
    </r>
    <r>
      <rPr>
        <sz val="9"/>
        <color rgb="FF243B53"/>
        <rFont val="Aptos"/>
        <family val="0"/>
        <charset val="1"/>
      </rPr>
      <t xml:space="preserve">7</t>
    </r>
    <r>
      <rPr>
        <sz val="9"/>
        <color rgb="FF243B53"/>
        <rFont val="Noto Sans CJK SC"/>
        <family val="2"/>
      </rPr>
      <t xml:space="preserve">年</t>
    </r>
  </si>
  <si>
    <t xml:space="preserve">N001</t>
  </si>
  <si>
    <t xml:space="preserve">核电运营</t>
  </si>
  <si>
    <t xml:space="preserve">核电发电量</t>
  </si>
  <si>
    <t xml:space="preserve">Constellation</t>
  </si>
  <si>
    <t xml:space="preserve">GWh</t>
  </si>
  <si>
    <t xml:space="preserve">含共同持有电站按权益比例对应电量</t>
  </si>
  <si>
    <t xml:space="preserve">S04</t>
  </si>
  <si>
    <r>
      <rPr>
        <sz val="9"/>
        <color rgb="FF243B53"/>
        <rFont val="Aptos"/>
        <family val="0"/>
        <charset val="1"/>
      </rPr>
      <t xml:space="preserve">Constellation Energy 2025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Form 10-K</t>
    </r>
  </si>
  <si>
    <t xml:space="preserve">2026-02-24</t>
  </si>
  <si>
    <t xml:space="preserve">ITEM 7 MD&amp;A Sales and Supply Sources</t>
  </si>
  <si>
    <r>
      <rPr>
        <sz val="9"/>
        <color rgb="FF243B53"/>
        <rFont val="Noto Sans CJK SC"/>
        <family val="2"/>
      </rPr>
      <t xml:space="preserve">材料</t>
    </r>
    <r>
      <rPr>
        <sz val="9"/>
        <color rgb="FF243B53"/>
        <rFont val="Aptos"/>
        <family val="0"/>
        <charset val="1"/>
      </rPr>
      <t xml:space="preserve">/Constellation_2025</t>
    </r>
    <r>
      <rPr>
        <sz val="9"/>
        <color rgb="FF243B53"/>
        <rFont val="Noto Sans CJK SC"/>
        <family val="2"/>
      </rPr>
      <t xml:space="preserve">年报</t>
    </r>
    <r>
      <rPr>
        <sz val="9"/>
        <color rgb="FF243B53"/>
        <rFont val="Aptos"/>
        <family val="0"/>
        <charset val="1"/>
      </rPr>
      <t xml:space="preserve">__ceg-20251231.htm</t>
    </r>
  </si>
  <si>
    <t xml:space="preserve">N002</t>
  </si>
  <si>
    <t xml:space="preserve">核电容量因子</t>
  </si>
  <si>
    <r>
      <rPr>
        <sz val="9"/>
        <color rgb="FF243B53"/>
        <rFont val="Noto Sans CJK SC"/>
        <family val="2"/>
      </rPr>
      <t xml:space="preserve">按公司运营电站权益比例，排除</t>
    </r>
    <r>
      <rPr>
        <sz val="9"/>
        <color rgb="FF243B53"/>
        <rFont val="Aptos"/>
        <family val="0"/>
        <charset val="1"/>
      </rPr>
      <t xml:space="preserve">Salem</t>
    </r>
    <r>
      <rPr>
        <sz val="9"/>
        <color rgb="FF243B53"/>
        <rFont val="Noto Sans CJK SC"/>
        <family val="2"/>
      </rPr>
      <t xml:space="preserve">和</t>
    </r>
    <r>
      <rPr>
        <sz val="9"/>
        <color rgb="FF243B53"/>
        <rFont val="Aptos"/>
        <family val="0"/>
        <charset val="1"/>
      </rPr>
      <t xml:space="preserve">STP</t>
    </r>
    <r>
      <rPr>
        <sz val="9"/>
        <color rgb="FF243B53"/>
        <rFont val="Noto Sans CJK SC"/>
        <family val="2"/>
      </rPr>
      <t xml:space="preserve">；与发电量表范围不同</t>
    </r>
  </si>
  <si>
    <r>
      <rPr>
        <sz val="9"/>
        <color rgb="FF243B53"/>
        <rFont val="Aptos"/>
        <family val="0"/>
        <charset val="1"/>
      </rPr>
      <t xml:space="preserve">ITEM 1 Nuclear Facilities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ITEM 7 Nuclear Fleet Capacity Factor</t>
    </r>
  </si>
  <si>
    <t xml:space="preserve">N003</t>
  </si>
  <si>
    <t xml:space="preserve">2026H1</t>
  </si>
  <si>
    <t xml:space="preserve">S05</t>
  </si>
  <si>
    <r>
      <rPr>
        <sz val="9"/>
        <color rgb="FF243B53"/>
        <rFont val="Aptos"/>
        <family val="0"/>
        <charset val="1"/>
      </rPr>
      <t xml:space="preserve">Constellation Energy 2026</t>
    </r>
    <r>
      <rPr>
        <sz val="9"/>
        <color rgb="FF243B53"/>
        <rFont val="Noto Sans CJK SC"/>
        <family val="2"/>
      </rPr>
      <t xml:space="preserve">年二季度</t>
    </r>
    <r>
      <rPr>
        <sz val="9"/>
        <color rgb="FF243B53"/>
        <rFont val="Aptos"/>
        <family val="0"/>
        <charset val="1"/>
      </rPr>
      <t xml:space="preserve">Form 10-Q</t>
    </r>
  </si>
  <si>
    <t xml:space="preserve">2026-08-06</t>
  </si>
  <si>
    <t xml:space="preserve">ITEM 2 MD&amp;A Sales and Supply Sources</t>
  </si>
  <si>
    <r>
      <rPr>
        <sz val="9"/>
        <color rgb="FF243B53"/>
        <rFont val="Noto Sans CJK SC"/>
        <family val="2"/>
      </rPr>
      <t xml:space="preserve">材料</t>
    </r>
    <r>
      <rPr>
        <sz val="9"/>
        <color rgb="FF243B53"/>
        <rFont val="Aptos"/>
        <family val="0"/>
        <charset val="1"/>
      </rPr>
      <t xml:space="preserve">/Constellation_2026Q2</t>
    </r>
    <r>
      <rPr>
        <sz val="9"/>
        <color rgb="FF243B53"/>
        <rFont val="Noto Sans CJK SC"/>
        <family val="2"/>
      </rPr>
      <t xml:space="preserve">季报</t>
    </r>
    <r>
      <rPr>
        <sz val="9"/>
        <color rgb="FF243B53"/>
        <rFont val="Aptos"/>
        <family val="0"/>
        <charset val="1"/>
      </rPr>
      <t xml:space="preserve">__ceg-20260630.htm</t>
    </r>
  </si>
  <si>
    <t xml:space="preserve">N004</t>
  </si>
  <si>
    <r>
      <rPr>
        <sz val="9"/>
        <color rgb="FF243B53"/>
        <rFont val="Noto Sans CJK SC"/>
        <family val="2"/>
      </rPr>
      <t xml:space="preserve">按公司运营电站权益比例，排除</t>
    </r>
    <r>
      <rPr>
        <sz val="9"/>
        <color rgb="FF243B53"/>
        <rFont val="Aptos"/>
        <family val="0"/>
        <charset val="1"/>
      </rPr>
      <t xml:space="preserve">Salem</t>
    </r>
    <r>
      <rPr>
        <sz val="9"/>
        <color rgb="FF243B53"/>
        <rFont val="Noto Sans CJK SC"/>
        <family val="2"/>
      </rPr>
      <t xml:space="preserve">和</t>
    </r>
    <r>
      <rPr>
        <sz val="9"/>
        <color rgb="FF243B53"/>
        <rFont val="Aptos"/>
        <family val="0"/>
        <charset val="1"/>
      </rPr>
      <t xml:space="preserve">STP</t>
    </r>
  </si>
  <si>
    <t xml:space="preserve">ITEM 2 MD&amp;A Nuclear Fleet Capacity Factor</t>
  </si>
  <si>
    <t xml:space="preserve">N005</t>
  </si>
  <si>
    <t xml:space="preserve">在运核电权益容量</t>
  </si>
  <si>
    <r>
      <rPr>
        <sz val="9"/>
        <color rgb="FF243B53"/>
        <rFont val="Noto Sans CJK SC"/>
        <family val="2"/>
      </rPr>
      <t xml:space="preserve">约</t>
    </r>
    <r>
      <rPr>
        <sz val="9"/>
        <color rgb="FF243B53"/>
        <rFont val="Aptos"/>
        <family val="0"/>
        <charset val="1"/>
      </rPr>
      <t xml:space="preserve">22 GW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14</t>
    </r>
    <r>
      <rPr>
        <sz val="9"/>
        <color rgb="FF243B53"/>
        <rFont val="Noto Sans CJK SC"/>
        <family val="2"/>
      </rPr>
      <t xml:space="preserve">站</t>
    </r>
    <r>
      <rPr>
        <sz val="9"/>
        <color rgb="FF243B53"/>
        <rFont val="Aptos"/>
        <family val="0"/>
        <charset val="1"/>
      </rPr>
      <t xml:space="preserve">25</t>
    </r>
    <r>
      <rPr>
        <sz val="9"/>
        <color rgb="FF243B53"/>
        <rFont val="Noto Sans CJK SC"/>
        <family val="2"/>
      </rPr>
      <t xml:space="preserve">机组；年平均额定容量按权益比例</t>
    </r>
  </si>
  <si>
    <t xml:space="preserve">ITEM 2 PROPERTIES</t>
  </si>
  <si>
    <t xml:space="preserve">N006</t>
  </si>
  <si>
    <r>
      <rPr>
        <sz val="9"/>
        <color rgb="FF243B53"/>
        <rFont val="Aptos"/>
        <family val="0"/>
        <charset val="1"/>
      </rPr>
      <t xml:space="preserve">Calpine</t>
    </r>
    <r>
      <rPr>
        <sz val="9"/>
        <color rgb="FF243B53"/>
        <rFont val="Noto Sans CJK SC"/>
        <family val="2"/>
      </rPr>
      <t xml:space="preserve">天然气发电容量</t>
    </r>
  </si>
  <si>
    <t xml:space="preserve">Calpine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</si>
  <si>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年并购后</t>
    </r>
  </si>
  <si>
    <r>
      <rPr>
        <sz val="9"/>
        <color rgb="FF243B53"/>
        <rFont val="Aptos"/>
        <family val="0"/>
        <charset val="1"/>
      </rPr>
      <t xml:space="preserve">2026-01-07</t>
    </r>
    <r>
      <rPr>
        <sz val="9"/>
        <color rgb="FF243B53"/>
        <rFont val="Noto Sans CJK SC"/>
        <family val="2"/>
      </rPr>
      <t xml:space="preserve">收购后组合，不计入</t>
    </r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年实际发电量</t>
    </r>
  </si>
  <si>
    <t xml:space="preserve">ITEM 1 Natural Gas and Oil Facilities</t>
  </si>
  <si>
    <t xml:space="preserve">N007</t>
  </si>
  <si>
    <t xml:space="preserve">并购后总发电容量</t>
  </si>
  <si>
    <t xml:space="preserve">Constellation+Calpine</t>
  </si>
  <si>
    <t xml:space="preserve">核电、燃气、油、地热、水电、风电、太阳能合计约数</t>
  </si>
  <si>
    <t xml:space="preserve">ITEM 1 Our Business</t>
  </si>
  <si>
    <t xml:space="preserve">N008</t>
  </si>
  <si>
    <r>
      <rPr>
        <sz val="9"/>
        <color rgb="FF243B53"/>
        <rFont val="Aptos"/>
        <family val="0"/>
        <charset val="1"/>
      </rPr>
      <t xml:space="preserve">Calpine</t>
    </r>
    <r>
      <rPr>
        <sz val="9"/>
        <color rgb="FF243B53"/>
        <rFont val="Noto Sans CJK SC"/>
        <family val="2"/>
      </rPr>
      <t xml:space="preserve">电池储能容量</t>
    </r>
  </si>
  <si>
    <t xml:space="preserve">约数，功率容量</t>
  </si>
  <si>
    <t xml:space="preserve">N009</t>
  </si>
  <si>
    <r>
      <rPr>
        <sz val="9"/>
        <color rgb="FF243B53"/>
        <rFont val="Aptos"/>
        <family val="0"/>
        <charset val="1"/>
      </rPr>
      <t xml:space="preserve">Calpine</t>
    </r>
    <r>
      <rPr>
        <sz val="9"/>
        <color rgb="FF243B53"/>
        <rFont val="Noto Sans CJK SC"/>
        <family val="2"/>
      </rPr>
      <t xml:space="preserve">地热容量</t>
    </r>
  </si>
  <si>
    <r>
      <rPr>
        <sz val="9"/>
        <color rgb="FF243B53"/>
        <rFont val="Aptos"/>
        <family val="0"/>
        <charset val="1"/>
      </rPr>
      <t xml:space="preserve">Geysers 13</t>
    </r>
    <r>
      <rPr>
        <sz val="9"/>
        <color rgb="FF243B53"/>
        <rFont val="Noto Sans CJK SC"/>
        <family val="2"/>
      </rPr>
      <t xml:space="preserve">座地热电站，约数</t>
    </r>
  </si>
  <si>
    <t xml:space="preserve">N010</t>
  </si>
  <si>
    <r>
      <rPr>
        <sz val="9"/>
        <color rgb="FF243B53"/>
        <rFont val="Noto Sans CJK SC"/>
        <family val="2"/>
      </rPr>
      <t xml:space="preserve">核电</t>
    </r>
    <r>
      <rPr>
        <sz val="9"/>
        <color rgb="FF243B53"/>
        <rFont val="Aptos"/>
        <family val="0"/>
        <charset val="1"/>
      </rPr>
      <t xml:space="preserve">PPA</t>
    </r>
  </si>
  <si>
    <r>
      <rPr>
        <sz val="9"/>
        <color rgb="FF243B53"/>
        <rFont val="Aptos"/>
        <family val="0"/>
        <charset val="1"/>
      </rPr>
      <t xml:space="preserve">Crane/Microsoft PPA</t>
    </r>
    <r>
      <rPr>
        <sz val="9"/>
        <color rgb="FF243B53"/>
        <rFont val="Noto Sans CJK SC"/>
        <family val="2"/>
      </rPr>
      <t xml:space="preserve">期限</t>
    </r>
  </si>
  <si>
    <t xml:space="preserve">Constellation—Microsoft</t>
  </si>
  <si>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签署</t>
    </r>
  </si>
  <si>
    <t xml:space="preserve">购买重启电站电能、容量及无排放属性</t>
  </si>
  <si>
    <t xml:space="preserve">ITEM 1 Nuclear Facilities</t>
  </si>
  <si>
    <t xml:space="preserve">N011</t>
  </si>
  <si>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重启后无排放容量</t>
    </r>
  </si>
  <si>
    <t xml:space="preserve">未来投运</t>
  </si>
  <si>
    <t xml:space="preserve">协议约定</t>
  </si>
  <si>
    <r>
      <rPr>
        <sz val="9"/>
        <color rgb="FF243B53"/>
        <rFont val="Noto Sans CJK SC"/>
        <family val="2"/>
      </rPr>
      <t xml:space="preserve">重启目标容量，不计入</t>
    </r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年末在运容量</t>
    </r>
  </si>
  <si>
    <t xml:space="preserve">N012</t>
  </si>
  <si>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重启</t>
    </r>
    <r>
      <rPr>
        <sz val="9"/>
        <color rgb="FF243B53"/>
        <rFont val="Aptos"/>
        <family val="0"/>
        <charset val="1"/>
      </rPr>
      <t xml:space="preserve">DOE</t>
    </r>
    <r>
      <rPr>
        <sz val="9"/>
        <color rgb="FF243B53"/>
        <rFont val="Noto Sans CJK SC"/>
        <family val="2"/>
      </rPr>
      <t xml:space="preserve">贷款担保上限</t>
    </r>
  </si>
  <si>
    <r>
      <rPr>
        <sz val="9"/>
        <color rgb="FF243B53"/>
        <rFont val="Noto Sans CJK SC"/>
        <family val="2"/>
      </rPr>
      <t xml:space="preserve">美国</t>
    </r>
    <r>
      <rPr>
        <sz val="9"/>
        <color rgb="FF243B53"/>
        <rFont val="Aptos"/>
        <family val="0"/>
        <charset val="1"/>
      </rPr>
      <t xml:space="preserve">DOE—Constellation</t>
    </r>
  </si>
  <si>
    <t xml:space="preserve">2025-11</t>
  </si>
  <si>
    <t xml:space="preserve">无抵押贷款担保，不是已提款金额</t>
  </si>
  <si>
    <t xml:space="preserve">Note 13 Debt and Credit Agreements — DOE Loan Guarantee</t>
  </si>
  <si>
    <t xml:space="preserve">N013</t>
  </si>
  <si>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贷款固定利率利差</t>
    </r>
  </si>
  <si>
    <r>
      <rPr>
        <sz val="9"/>
        <color rgb="FF243B53"/>
        <rFont val="Aptos"/>
        <family val="0"/>
        <charset val="1"/>
      </rPr>
      <t xml:space="preserve">2026Q2</t>
    </r>
    <r>
      <rPr>
        <sz val="9"/>
        <color rgb="FF243B53"/>
        <rFont val="Noto Sans CJK SC"/>
        <family val="2"/>
      </rPr>
      <t xml:space="preserve">披露</t>
    </r>
  </si>
  <si>
    <r>
      <rPr>
        <sz val="9"/>
        <color rgb="FF243B53"/>
        <rFont val="Noto Sans CJK SC"/>
        <family val="2"/>
      </rPr>
      <t xml:space="preserve">每次提款按相近期限美国国债加</t>
    </r>
    <r>
      <rPr>
        <sz val="9"/>
        <color rgb="FF243B53"/>
        <rFont val="Aptos"/>
        <family val="0"/>
        <charset val="1"/>
      </rPr>
      <t xml:space="preserve">0.375%</t>
    </r>
    <r>
      <rPr>
        <sz val="9"/>
        <color rgb="FF243B53"/>
        <rFont val="Noto Sans CJK SC"/>
        <family val="2"/>
      </rPr>
      <t xml:space="preserve">；截至季报签署日未提款</t>
    </r>
  </si>
  <si>
    <t xml:space="preserve">Note 13 Debt and Credit Agreements</t>
  </si>
  <si>
    <t xml:space="preserve">N014</t>
  </si>
  <si>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部分或有输电升级预计投运最晚年份</t>
    </r>
  </si>
  <si>
    <t xml:space="preserve">PJM/Constellation</t>
  </si>
  <si>
    <t xml:space="preserve">2030-12</t>
  </si>
  <si>
    <r>
      <rPr>
        <sz val="9"/>
        <color rgb="FF243B53"/>
        <rFont val="Noto Sans CJK SC"/>
        <family val="2"/>
      </rPr>
      <t xml:space="preserve">部分升级最晚至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12</t>
    </r>
    <r>
      <rPr>
        <sz val="9"/>
        <color rgb="FF243B53"/>
        <rFont val="Noto Sans CJK SC"/>
        <family val="2"/>
      </rPr>
      <t xml:space="preserve">月；不是</t>
    </r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重启目标年</t>
    </r>
  </si>
  <si>
    <t xml:space="preserve">Note 3 Capacity Interconnection Rights for Crane</t>
  </si>
  <si>
    <t xml:space="preserve">N015</t>
  </si>
  <si>
    <r>
      <rPr>
        <sz val="9"/>
        <color rgb="FF243B53"/>
        <rFont val="Aptos"/>
        <family val="0"/>
        <charset val="1"/>
      </rPr>
      <t xml:space="preserve">Clinton/Meta PPA</t>
    </r>
    <r>
      <rPr>
        <sz val="9"/>
        <color rgb="FF243B53"/>
        <rFont val="Noto Sans CJK SC"/>
        <family val="2"/>
      </rPr>
      <t xml:space="preserve">期限</t>
    </r>
  </si>
  <si>
    <t xml:space="preserve">Constellation—Meta</t>
  </si>
  <si>
    <r>
      <rPr>
        <sz val="9"/>
        <color rgb="FF243B53"/>
        <rFont val="Aptos"/>
        <family val="0"/>
        <charset val="1"/>
      </rPr>
      <t xml:space="preserve">2025-06</t>
    </r>
    <r>
      <rPr>
        <sz val="9"/>
        <color rgb="FF243B53"/>
        <rFont val="Noto Sans CJK SC"/>
        <family val="2"/>
      </rPr>
      <t xml:space="preserve">签署</t>
    </r>
  </si>
  <si>
    <r>
      <rPr>
        <sz val="9"/>
        <color rgb="FF243B53"/>
        <rFont val="Noto Sans CJK SC"/>
        <family val="2"/>
      </rPr>
      <t xml:space="preserve">购买</t>
    </r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电站产出，支持持续运营及区域业务</t>
    </r>
  </si>
  <si>
    <t xml:space="preserve">ITEM 7 Significant Transactions — Clinton Clean Energy Center</t>
  </si>
  <si>
    <t xml:space="preserve">N016</t>
  </si>
  <si>
    <r>
      <rPr>
        <sz val="9"/>
        <color rgb="FF243B53"/>
        <rFont val="Aptos"/>
        <family val="0"/>
        <charset val="1"/>
      </rPr>
      <t xml:space="preserve">Clinton/Meta PPA</t>
    </r>
    <r>
      <rPr>
        <sz val="9"/>
        <color rgb="FF243B53"/>
        <rFont val="Noto Sans CJK SC"/>
        <family val="2"/>
      </rPr>
      <t xml:space="preserve">起始年份</t>
    </r>
  </si>
  <si>
    <t xml:space="preserve">2027-06</t>
  </si>
  <si>
    <r>
      <rPr>
        <sz val="9"/>
        <color rgb="FF243B53"/>
        <rFont val="Aptos"/>
        <family val="0"/>
        <charset val="1"/>
      </rPr>
      <t xml:space="preserve">2027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6</t>
    </r>
    <r>
      <rPr>
        <sz val="9"/>
        <color rgb="FF243B53"/>
        <rFont val="Noto Sans CJK SC"/>
        <family val="2"/>
      </rPr>
      <t xml:space="preserve">月开始，不是签署时已供电</t>
    </r>
  </si>
  <si>
    <t xml:space="preserve">ITEM 7 Clinton Clean Energy Center</t>
  </si>
  <si>
    <t xml:space="preserve">N017</t>
  </si>
  <si>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增容</t>
    </r>
  </si>
  <si>
    <r>
      <rPr>
        <sz val="9"/>
        <color rgb="FF243B53"/>
        <rFont val="Noto Sans CJK SC"/>
        <family val="2"/>
      </rPr>
      <t xml:space="preserve">至</t>
    </r>
    <r>
      <rPr>
        <sz val="9"/>
        <color rgb="FF243B53"/>
        <rFont val="Aptos"/>
        <family val="0"/>
        <charset val="1"/>
      </rPr>
      <t xml:space="preserve">2029</t>
    </r>
  </si>
  <si>
    <r>
      <rPr>
        <sz val="9"/>
        <color rgb="FF243B53"/>
        <rFont val="Noto Sans CJK SC"/>
        <family val="2"/>
      </rPr>
      <t xml:space="preserve">通过机组增容，预计</t>
    </r>
    <r>
      <rPr>
        <sz val="9"/>
        <color rgb="FF243B53"/>
        <rFont val="Aptos"/>
        <family val="0"/>
        <charset val="1"/>
      </rPr>
      <t xml:space="preserve">2029</t>
    </r>
    <r>
      <rPr>
        <sz val="9"/>
        <color rgb="FF243B53"/>
        <rFont val="Noto Sans CJK SC"/>
        <family val="2"/>
      </rPr>
      <t xml:space="preserve">年全部完成</t>
    </r>
  </si>
  <si>
    <t xml:space="preserve">N018</t>
  </si>
  <si>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增容预计全部完成年份</t>
    </r>
  </si>
  <si>
    <t xml:space="preserve">2029</t>
  </si>
  <si>
    <t xml:space="preserve">公司目标</t>
  </si>
  <si>
    <r>
      <rPr>
        <sz val="9"/>
        <color rgb="FF243B53"/>
        <rFont val="Noto Sans CJK SC"/>
        <family val="2"/>
      </rPr>
      <t xml:space="preserve">不是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起始年份</t>
    </r>
  </si>
  <si>
    <t xml:space="preserve">N019</t>
  </si>
  <si>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公告所述无排放核能规模</t>
    </r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</si>
  <si>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公告</t>
    </r>
  </si>
  <si>
    <r>
      <rPr>
        <sz val="9"/>
        <color rgb="FF243B53"/>
        <rFont val="Noto Sans CJK SC"/>
        <family val="2"/>
      </rPr>
      <t xml:space="preserve">公告口径的电站</t>
    </r>
    <r>
      <rPr>
        <sz val="9"/>
        <color rgb="FF243B53"/>
        <rFont val="Aptos"/>
        <family val="0"/>
        <charset val="1"/>
      </rPr>
      <t xml:space="preserve">/</t>
    </r>
    <r>
      <rPr>
        <sz val="9"/>
        <color rgb="FF243B53"/>
        <rFont val="Noto Sans CJK SC"/>
        <family val="2"/>
      </rPr>
      <t xml:space="preserve">协议规模；不同于</t>
    </r>
    <r>
      <rPr>
        <sz val="9"/>
        <color rgb="FF243B53"/>
        <rFont val="Aptos"/>
        <family val="0"/>
        <charset val="1"/>
      </rPr>
      <t xml:space="preserve">30 MW</t>
    </r>
    <r>
      <rPr>
        <sz val="9"/>
        <color rgb="FF243B53"/>
        <rFont val="Noto Sans CJK SC"/>
        <family val="2"/>
      </rPr>
      <t xml:space="preserve">增容和</t>
    </r>
    <r>
      <rPr>
        <sz val="9"/>
        <color rgb="FF243B53"/>
        <rFont val="Aptos"/>
        <family val="0"/>
        <charset val="1"/>
      </rPr>
      <t xml:space="preserve">10-K</t>
    </r>
    <r>
      <rPr>
        <sz val="9"/>
        <color rgb="FF243B53"/>
        <rFont val="Noto Sans CJK SC"/>
        <family val="2"/>
      </rPr>
      <t xml:space="preserve">年平均额定容量</t>
    </r>
  </si>
  <si>
    <t xml:space="preserve">S08</t>
  </si>
  <si>
    <r>
      <rPr>
        <sz val="9"/>
        <color rgb="FF243B53"/>
        <rFont val="Aptos"/>
        <family val="0"/>
        <charset val="1"/>
      </rPr>
      <t xml:space="preserve">Constellation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Meta Clinton 20</t>
    </r>
    <r>
      <rPr>
        <sz val="9"/>
        <color rgb="FF243B53"/>
        <rFont val="Noto Sans CJK SC"/>
        <family val="2"/>
      </rPr>
      <t xml:space="preserve">年协议公告</t>
    </r>
  </si>
  <si>
    <t xml:space="preserve">2025-06-03</t>
  </si>
  <si>
    <t xml:space="preserve">首段及协议说明</t>
  </si>
  <si>
    <t xml:space="preserve">https://www.constellationenergy.com/news/2025/constellation-meta-sign-20-year-deal-for-clean-reliable-nuclear-energy-in-illinois.html</t>
  </si>
  <si>
    <t xml:space="preserve">N020</t>
  </si>
  <si>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现有权益净容量</t>
    </r>
  </si>
  <si>
    <r>
      <rPr>
        <sz val="9"/>
        <color rgb="FF243B53"/>
        <rFont val="Aptos"/>
        <family val="0"/>
        <charset val="1"/>
      </rPr>
      <t xml:space="preserve">100%</t>
    </r>
    <r>
      <rPr>
        <sz val="9"/>
        <color rgb="FF243B53"/>
        <rFont val="Noto Sans CJK SC"/>
        <family val="2"/>
      </rPr>
      <t xml:space="preserve">权益、年平均额定容量；与公告</t>
    </r>
    <r>
      <rPr>
        <sz val="9"/>
        <color rgb="FF243B53"/>
        <rFont val="Aptos"/>
        <family val="0"/>
        <charset val="1"/>
      </rPr>
      <t xml:space="preserve">1121 MW</t>
    </r>
    <r>
      <rPr>
        <sz val="9"/>
        <color rgb="FF243B53"/>
        <rFont val="Noto Sans CJK SC"/>
        <family val="2"/>
      </rPr>
      <t xml:space="preserve">口径不同</t>
    </r>
  </si>
  <si>
    <t xml:space="preserve">N021</t>
  </si>
  <si>
    <r>
      <rPr>
        <sz val="9"/>
        <color rgb="FF243B53"/>
        <rFont val="Noto Sans CJK SC"/>
        <family val="2"/>
      </rPr>
      <t xml:space="preserve">新增长期核电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组合</t>
    </r>
  </si>
  <si>
    <r>
      <rPr>
        <sz val="9"/>
        <color rgb="FF243B53"/>
        <rFont val="Aptos"/>
        <family val="0"/>
        <charset val="1"/>
      </rPr>
      <t xml:space="preserve">Constellation—</t>
    </r>
    <r>
      <rPr>
        <sz val="9"/>
        <color rgb="FF243B53"/>
        <rFont val="Noto Sans CJK SC"/>
        <family val="2"/>
      </rPr>
      <t xml:space="preserve">投资级客户</t>
    </r>
  </si>
  <si>
    <r>
      <rPr>
        <sz val="9"/>
        <color rgb="FF243B53"/>
        <rFont val="Noto Sans CJK SC"/>
        <family val="2"/>
      </rPr>
      <t xml:space="preserve">多个客户合计，含</t>
    </r>
    <r>
      <rPr>
        <sz val="9"/>
        <color rgb="FF243B53"/>
        <rFont val="Aptos"/>
        <family val="0"/>
        <charset val="1"/>
      </rPr>
      <t xml:space="preserve">Walmart 176 MW</t>
    </r>
    <r>
      <rPr>
        <sz val="9"/>
        <color rgb="FF243B53"/>
        <rFont val="Noto Sans CJK SC"/>
        <family val="2"/>
      </rPr>
      <t xml:space="preserve">，不能重复相加</t>
    </r>
  </si>
  <si>
    <t xml:space="preserve">ITEM 2 Long-term Nuclear PPAs</t>
  </si>
  <si>
    <t xml:space="preserve">N022</t>
  </si>
  <si>
    <r>
      <rPr>
        <sz val="9"/>
        <color rgb="FF243B53"/>
        <rFont val="Noto Sans CJK SC"/>
        <family val="2"/>
      </rPr>
      <t xml:space="preserve">新增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期限下限</t>
    </r>
  </si>
  <si>
    <t xml:space="preserve">组合范围</t>
  </si>
  <si>
    <t xml:space="preserve">N023</t>
  </si>
  <si>
    <r>
      <rPr>
        <sz val="9"/>
        <color rgb="FF243B53"/>
        <rFont val="Noto Sans CJK SC"/>
        <family val="2"/>
      </rPr>
      <t xml:space="preserve">新增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期限上限</t>
    </r>
  </si>
  <si>
    <t xml:space="preserve">N024</t>
  </si>
  <si>
    <r>
      <rPr>
        <sz val="9"/>
        <color rgb="FF243B53"/>
        <rFont val="Noto Sans CJK SC"/>
        <family val="2"/>
      </rPr>
      <t xml:space="preserve">新增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最早起始年份</t>
    </r>
  </si>
  <si>
    <r>
      <rPr>
        <sz val="9"/>
        <color rgb="FF243B53"/>
        <rFont val="Noto Sans CJK SC"/>
        <family val="2"/>
      </rPr>
      <t xml:space="preserve">组合起始分布</t>
    </r>
    <r>
      <rPr>
        <sz val="9"/>
        <color rgb="FF243B53"/>
        <rFont val="Aptos"/>
        <family val="0"/>
        <charset val="1"/>
      </rPr>
      <t xml:space="preserve">2029—2032</t>
    </r>
    <r>
      <rPr>
        <sz val="9"/>
        <color rgb="FF243B53"/>
        <rFont val="Noto Sans CJK SC"/>
        <family val="2"/>
      </rPr>
      <t xml:space="preserve">年</t>
    </r>
  </si>
  <si>
    <t xml:space="preserve">N025</t>
  </si>
  <si>
    <r>
      <rPr>
        <sz val="9"/>
        <color rgb="FF243B53"/>
        <rFont val="Noto Sans CJK SC"/>
        <family val="2"/>
      </rPr>
      <t xml:space="preserve">新增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最晚起始年份</t>
    </r>
  </si>
  <si>
    <t xml:space="preserve">2032</t>
  </si>
  <si>
    <t xml:space="preserve">N026</t>
  </si>
  <si>
    <r>
      <rPr>
        <sz val="9"/>
        <color rgb="FF243B53"/>
        <rFont val="Aptos"/>
        <family val="0"/>
        <charset val="1"/>
      </rPr>
      <t xml:space="preserve">Walmart</t>
    </r>
    <r>
      <rPr>
        <sz val="9"/>
        <color rgb="FF243B53"/>
        <rFont val="Noto Sans CJK SC"/>
        <family val="2"/>
      </rPr>
      <t xml:space="preserve">核电协议量</t>
    </r>
  </si>
  <si>
    <t xml:space="preserve">Constellation—Walmart</t>
  </si>
  <si>
    <r>
      <rPr>
        <sz val="9"/>
        <color rgb="FF243B53"/>
        <rFont val="Noto Sans CJK SC"/>
        <family val="2"/>
      </rPr>
      <t xml:space="preserve">包含在</t>
    </r>
    <r>
      <rPr>
        <sz val="9"/>
        <color rgb="FF243B53"/>
        <rFont val="Aptos"/>
        <family val="0"/>
        <charset val="1"/>
      </rPr>
      <t xml:space="preserve">920 MW</t>
    </r>
    <r>
      <rPr>
        <sz val="9"/>
        <color rgb="FF243B53"/>
        <rFont val="Noto Sans CJK SC"/>
        <family val="2"/>
      </rPr>
      <t xml:space="preserve">组合内</t>
    </r>
  </si>
  <si>
    <t xml:space="preserve">N027</t>
  </si>
  <si>
    <r>
      <rPr>
        <sz val="9"/>
        <color rgb="FF243B53"/>
        <rFont val="Aptos"/>
        <family val="0"/>
        <charset val="1"/>
      </rPr>
      <t xml:space="preserve">Dresden</t>
    </r>
    <r>
      <rPr>
        <sz val="9"/>
        <color rgb="FF243B53"/>
        <rFont val="Noto Sans CJK SC"/>
        <family val="2"/>
      </rPr>
      <t xml:space="preserve">增容</t>
    </r>
  </si>
  <si>
    <r>
      <rPr>
        <sz val="9"/>
        <color rgb="FF243B53"/>
        <rFont val="Aptos"/>
        <family val="0"/>
        <charset val="1"/>
      </rPr>
      <t xml:space="preserve">176 MW</t>
    </r>
    <r>
      <rPr>
        <sz val="9"/>
        <color rgb="FF243B53"/>
        <rFont val="Noto Sans CJK SC"/>
        <family val="2"/>
      </rPr>
      <t xml:space="preserve">协议量与</t>
    </r>
    <r>
      <rPr>
        <sz val="9"/>
        <color rgb="FF243B53"/>
        <rFont val="Aptos"/>
        <family val="0"/>
        <charset val="1"/>
      </rPr>
      <t xml:space="preserve">30 MW</t>
    </r>
    <r>
      <rPr>
        <sz val="9"/>
        <color rgb="FF243B53"/>
        <rFont val="Noto Sans CJK SC"/>
        <family val="2"/>
      </rPr>
      <t xml:space="preserve">增容量不同</t>
    </r>
  </si>
  <si>
    <t xml:space="preserve">N028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</si>
  <si>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核电增容目标</t>
    </r>
  </si>
  <si>
    <t xml:space="preserve">Constellation—Google</t>
  </si>
  <si>
    <r>
      <rPr>
        <sz val="9"/>
        <color rgb="FF243B53"/>
        <rFont val="Aptos"/>
        <family val="0"/>
        <charset val="1"/>
      </rPr>
      <t xml:space="preserve">2026-10</t>
    </r>
    <r>
      <rPr>
        <sz val="9"/>
        <color rgb="FF243B53"/>
        <rFont val="Noto Sans CJK SC"/>
        <family val="2"/>
      </rPr>
      <t xml:space="preserve">公告</t>
    </r>
  </si>
  <si>
    <r>
      <rPr>
        <sz val="9"/>
        <color rgb="FF243B53"/>
        <rFont val="Aptos"/>
        <family val="0"/>
        <charset val="1"/>
      </rPr>
      <t xml:space="preserve">11</t>
    </r>
    <r>
      <rPr>
        <sz val="9"/>
        <color rgb="FF243B53"/>
        <rFont val="Noto Sans CJK SC"/>
        <family val="2"/>
      </rPr>
      <t xml:space="preserve">台核电机组增容，首个预计</t>
    </r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年交付</t>
    </r>
  </si>
  <si>
    <t xml:space="preserve">S09</t>
  </si>
  <si>
    <r>
      <rPr>
        <sz val="9"/>
        <color rgb="FF243B53"/>
        <rFont val="Aptos"/>
        <family val="0"/>
        <charset val="1"/>
      </rPr>
      <t xml:space="preserve">Constellation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核电增容协议公告</t>
    </r>
  </si>
  <si>
    <t xml:space="preserve">2026-10-06</t>
  </si>
  <si>
    <r>
      <rPr>
        <sz val="9"/>
        <color rgb="FF243B53"/>
        <rFont val="Noto Sans CJK SC"/>
        <family val="2"/>
      </rPr>
      <t xml:space="preserve">首段、</t>
    </r>
    <r>
      <rPr>
        <sz val="9"/>
        <color rgb="FF243B53"/>
        <rFont val="Aptos"/>
        <family val="0"/>
        <charset val="1"/>
      </rPr>
      <t xml:space="preserve">Accelerating Grid Capacity Through Nuclear Uprates</t>
    </r>
  </si>
  <si>
    <t xml:space="preserve">https://www.constellationenergy.com/news/2026/10/google-and-constellation-announce-landmark-agreement-to-bring-890-mw-of-new-nuclear-capacity-to-pjm-grid.html</t>
  </si>
  <si>
    <t xml:space="preserve">N029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</si>
  <si>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核电增容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期限</t>
    </r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</si>
  <si>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890 MW</t>
    </r>
    <r>
      <rPr>
        <sz val="9"/>
        <color rgb="FF243B53"/>
        <rFont val="Noto Sans CJK SC"/>
        <family val="2"/>
      </rPr>
      <t xml:space="preserve">增容相关</t>
    </r>
  </si>
  <si>
    <t xml:space="preserve">N030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</si>
  <si>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首个增容预计交付年份</t>
    </r>
  </si>
  <si>
    <r>
      <rPr>
        <sz val="9"/>
        <color rgb="FF243B53"/>
        <rFont val="Noto Sans CJK SC"/>
        <family val="2"/>
      </rPr>
      <t xml:space="preserve">不是全部</t>
    </r>
    <r>
      <rPr>
        <sz val="9"/>
        <color rgb="FF243B53"/>
        <rFont val="Aptos"/>
        <family val="0"/>
        <charset val="1"/>
      </rPr>
      <t xml:space="preserve">890 MW</t>
    </r>
    <r>
      <rPr>
        <sz val="9"/>
        <color rgb="FF243B53"/>
        <rFont val="Noto Sans CJK SC"/>
        <family val="2"/>
      </rPr>
      <t xml:space="preserve">完成年份</t>
    </r>
  </si>
  <si>
    <t xml:space="preserve">N031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</si>
  <si>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协议相关新增投资下限</t>
    </r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</si>
  <si>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43</t>
    </r>
    <r>
      <rPr>
        <sz val="9"/>
        <color rgb="FF243B53"/>
        <rFont val="Noto Sans CJK SC"/>
        <family val="2"/>
      </rPr>
      <t xml:space="preserve">亿美元的新增投资，不是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电价或合同收入</t>
    </r>
  </si>
  <si>
    <t xml:space="preserve">N032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</si>
  <si>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既有供电协议容量</t>
    </r>
  </si>
  <si>
    <r>
      <rPr>
        <sz val="9"/>
        <color rgb="FF243B53"/>
        <rFont val="Noto Sans CJK SC"/>
        <family val="2"/>
      </rPr>
      <t xml:space="preserve">另行的</t>
    </r>
    <r>
      <rPr>
        <sz val="9"/>
        <color rgb="FF243B53"/>
        <rFont val="Aptos"/>
        <family val="0"/>
        <charset val="1"/>
      </rPr>
      <t xml:space="preserve">15</t>
    </r>
    <r>
      <rPr>
        <sz val="9"/>
        <color rgb="FF243B53"/>
        <rFont val="Noto Sans CJK SC"/>
        <family val="2"/>
      </rPr>
      <t xml:space="preserve">年能源供应协议，不是新增增容量</t>
    </r>
  </si>
  <si>
    <t xml:space="preserve">N033</t>
  </si>
  <si>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既有供电协议期限</t>
    </r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</si>
  <si>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2700 MW</t>
    </r>
    <r>
      <rPr>
        <sz val="9"/>
        <color rgb="FF243B53"/>
        <rFont val="Noto Sans CJK SC"/>
        <family val="2"/>
      </rPr>
      <t xml:space="preserve">对应</t>
    </r>
  </si>
  <si>
    <t xml:space="preserve">N034</t>
  </si>
  <si>
    <r>
      <rPr>
        <sz val="9"/>
        <color rgb="FF243B53"/>
        <rFont val="Aptos"/>
        <family val="0"/>
        <charset val="1"/>
      </rPr>
      <t xml:space="preserve">Amazon Calvert Cliffs</t>
    </r>
    <r>
      <rPr>
        <sz val="9"/>
        <color rgb="FF243B53"/>
        <rFont val="Noto Sans CJK SC"/>
        <family val="2"/>
      </rPr>
      <t xml:space="preserve">协议量</t>
    </r>
  </si>
  <si>
    <t xml:space="preserve">Constellation—Amazon</t>
  </si>
  <si>
    <r>
      <rPr>
        <sz val="9"/>
        <color rgb="FF243B53"/>
        <rFont val="Aptos"/>
        <family val="0"/>
        <charset val="1"/>
      </rPr>
      <t xml:space="preserve">2026-09</t>
    </r>
    <r>
      <rPr>
        <sz val="9"/>
        <color rgb="FF243B53"/>
        <rFont val="Noto Sans CJK SC"/>
        <family val="2"/>
      </rPr>
      <t xml:space="preserve">公告</t>
    </r>
  </si>
  <si>
    <r>
      <rPr>
        <sz val="9"/>
        <color rgb="FF243B53"/>
        <rFont val="Noto Sans CJK SC"/>
        <family val="2"/>
      </rPr>
      <t xml:space="preserve">包含</t>
    </r>
    <r>
      <rPr>
        <sz val="9"/>
        <color rgb="FF243B53"/>
        <rFont val="Aptos"/>
        <family val="0"/>
        <charset val="1"/>
      </rPr>
      <t xml:space="preserve">190 MW</t>
    </r>
    <r>
      <rPr>
        <sz val="9"/>
        <color rgb="FF243B53"/>
        <rFont val="Noto Sans CJK SC"/>
        <family val="2"/>
      </rPr>
      <t xml:space="preserve">增容</t>
    </r>
  </si>
  <si>
    <t xml:space="preserve">S10</t>
  </si>
  <si>
    <r>
      <rPr>
        <sz val="9"/>
        <color rgb="FF243B53"/>
        <rFont val="Aptos"/>
        <family val="0"/>
        <charset val="1"/>
      </rPr>
      <t xml:space="preserve">Constellation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Amazon Calvert Cliffs</t>
    </r>
    <r>
      <rPr>
        <sz val="9"/>
        <color rgb="FF243B53"/>
        <rFont val="Noto Sans CJK SC"/>
        <family val="2"/>
      </rPr>
      <t xml:space="preserve">协议公告</t>
    </r>
  </si>
  <si>
    <t xml:space="preserve">首三段</t>
  </si>
  <si>
    <t xml:space="preserve">https://www.constellationenergy.com/news/2026/09/constellation-and-amazon-announce-20-year-power-purchase-agreement-at-calvert-cliffs.html</t>
  </si>
  <si>
    <t xml:space="preserve">N035</t>
  </si>
  <si>
    <r>
      <rPr>
        <sz val="9"/>
        <color rgb="FF243B53"/>
        <rFont val="Aptos"/>
        <family val="0"/>
        <charset val="1"/>
      </rPr>
      <t xml:space="preserve">Amazon Calvert Cliffs</t>
    </r>
    <r>
      <rPr>
        <sz val="9"/>
        <color rgb="FF243B53"/>
        <rFont val="Noto Sans CJK SC"/>
        <family val="2"/>
      </rPr>
      <t xml:space="preserve">增容</t>
    </r>
  </si>
  <si>
    <r>
      <rPr>
        <sz val="9"/>
        <color rgb="FF243B53"/>
        <rFont val="Aptos"/>
        <family val="0"/>
        <charset val="1"/>
      </rPr>
      <t xml:space="preserve">2030—2032</t>
    </r>
    <r>
      <rPr>
        <sz val="9"/>
        <color rgb="FF243B53"/>
        <rFont val="Noto Sans CJK SC"/>
        <family val="2"/>
      </rPr>
      <t xml:space="preserve">目标</t>
    </r>
  </si>
  <si>
    <r>
      <rPr>
        <sz val="9"/>
        <color rgb="FF243B53"/>
        <rFont val="Noto Sans CJK SC"/>
        <family val="2"/>
      </rPr>
      <t xml:space="preserve">新增无排放容量，预计在</t>
    </r>
    <r>
      <rPr>
        <sz val="9"/>
        <color rgb="FF243B53"/>
        <rFont val="Aptos"/>
        <family val="0"/>
        <charset val="1"/>
      </rPr>
      <t xml:space="preserve">2030—2032</t>
    </r>
    <r>
      <rPr>
        <sz val="9"/>
        <color rgb="FF243B53"/>
        <rFont val="Noto Sans CJK SC"/>
        <family val="2"/>
      </rPr>
      <t xml:space="preserve">年间投运</t>
    </r>
  </si>
  <si>
    <t xml:space="preserve">N036</t>
  </si>
  <si>
    <r>
      <rPr>
        <sz val="9"/>
        <color rgb="FF243B53"/>
        <rFont val="Aptos"/>
        <family val="0"/>
        <charset val="1"/>
      </rPr>
      <t xml:space="preserve">Amazon Calvert Cliffs PPA</t>
    </r>
    <r>
      <rPr>
        <sz val="9"/>
        <color rgb="FF243B53"/>
        <rFont val="Noto Sans CJK SC"/>
        <family val="2"/>
      </rPr>
      <t xml:space="preserve">期限</t>
    </r>
  </si>
  <si>
    <t xml:space="preserve">支持持续投资、增容与重新许可</t>
  </si>
  <si>
    <t xml:space="preserve">N037</t>
  </si>
  <si>
    <r>
      <rPr>
        <sz val="9"/>
        <color rgb="FF243B53"/>
        <rFont val="Aptos"/>
        <family val="0"/>
        <charset val="1"/>
      </rPr>
      <t xml:space="preserve">Amazon</t>
    </r>
    <r>
      <rPr>
        <sz val="9"/>
        <color rgb="FF243B53"/>
        <rFont val="Noto Sans CJK SC"/>
        <family val="2"/>
      </rPr>
      <t xml:space="preserve">增容投运起始目标年份</t>
    </r>
  </si>
  <si>
    <r>
      <rPr>
        <sz val="9"/>
        <color rgb="FF243B53"/>
        <rFont val="Noto Sans CJK SC"/>
        <family val="2"/>
      </rPr>
      <t xml:space="preserve">增容预计在</t>
    </r>
    <r>
      <rPr>
        <sz val="9"/>
        <color rgb="FF243B53"/>
        <rFont val="Aptos"/>
        <family val="0"/>
        <charset val="1"/>
      </rPr>
      <t xml:space="preserve">2030—2032</t>
    </r>
    <r>
      <rPr>
        <sz val="9"/>
        <color rgb="FF243B53"/>
        <rFont val="Noto Sans CJK SC"/>
        <family val="2"/>
      </rPr>
      <t xml:space="preserve">年间投运</t>
    </r>
  </si>
  <si>
    <t xml:space="preserve">N038</t>
  </si>
  <si>
    <r>
      <rPr>
        <sz val="9"/>
        <color rgb="FF243B53"/>
        <rFont val="Aptos"/>
        <family val="0"/>
        <charset val="1"/>
      </rPr>
      <t xml:space="preserve">Amazon</t>
    </r>
    <r>
      <rPr>
        <sz val="9"/>
        <color rgb="FF243B53"/>
        <rFont val="Noto Sans CJK SC"/>
        <family val="2"/>
      </rPr>
      <t xml:space="preserve">增容投运结束目标年份</t>
    </r>
  </si>
  <si>
    <t xml:space="preserve">N039</t>
  </si>
  <si>
    <r>
      <rPr>
        <sz val="9"/>
        <color rgb="FF243B53"/>
        <rFont val="Aptos"/>
        <family val="0"/>
        <charset val="1"/>
      </rPr>
      <t xml:space="preserve">Amazon</t>
    </r>
    <r>
      <rPr>
        <sz val="9"/>
        <color rgb="FF243B53"/>
        <rFont val="Noto Sans CJK SC"/>
        <family val="2"/>
      </rPr>
      <t xml:space="preserve">协议支持的基础设施投资下限</t>
    </r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</si>
  <si>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30</t>
    </r>
    <r>
      <rPr>
        <sz val="9"/>
        <color rgb="FF243B53"/>
        <rFont val="Noto Sans CJK SC"/>
        <family val="2"/>
      </rPr>
      <t xml:space="preserve">亿美元，包括全厂改进，不是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价格</t>
    </r>
  </si>
  <si>
    <t xml:space="preserve">N040</t>
  </si>
  <si>
    <r>
      <rPr>
        <sz val="9"/>
        <color rgb="FF243B53"/>
        <rFont val="Aptos"/>
        <family val="0"/>
        <charset val="1"/>
      </rPr>
      <t xml:space="preserve">Meta/Vistra</t>
    </r>
    <r>
      <rPr>
        <sz val="9"/>
        <color rgb="FF243B53"/>
        <rFont val="Noto Sans CJK SC"/>
        <family val="2"/>
      </rPr>
      <t xml:space="preserve">现有核电采购量下限</t>
    </r>
  </si>
  <si>
    <t xml:space="preserve">Meta—Vistra</t>
  </si>
  <si>
    <r>
      <rPr>
        <sz val="9"/>
        <color rgb="FF243B53"/>
        <rFont val="Aptos"/>
        <family val="0"/>
        <charset val="1"/>
      </rPr>
      <t xml:space="preserve">2026-01</t>
    </r>
    <r>
      <rPr>
        <sz val="9"/>
        <color rgb="FF243B53"/>
        <rFont val="Noto Sans CJK SC"/>
        <family val="2"/>
      </rPr>
      <t xml:space="preserve">公告</t>
    </r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</si>
  <si>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2.1 GW</t>
    </r>
    <r>
      <rPr>
        <sz val="9"/>
        <color rgb="FF243B53"/>
        <rFont val="Noto Sans CJK SC"/>
        <family val="2"/>
      </rPr>
      <t xml:space="preserve">，来自</t>
    </r>
    <r>
      <rPr>
        <sz val="9"/>
        <color rgb="FF243B53"/>
        <rFont val="Aptos"/>
        <family val="0"/>
        <charset val="1"/>
      </rPr>
      <t xml:space="preserve">Perry</t>
    </r>
    <r>
      <rPr>
        <sz val="9"/>
        <color rgb="FF243B53"/>
        <rFont val="Noto Sans CJK SC"/>
        <family val="2"/>
      </rPr>
      <t xml:space="preserve">和</t>
    </r>
    <r>
      <rPr>
        <sz val="9"/>
        <color rgb="FF243B53"/>
        <rFont val="Aptos"/>
        <family val="0"/>
        <charset val="1"/>
      </rPr>
      <t xml:space="preserve">Davis-Besse</t>
    </r>
    <r>
      <rPr>
        <sz val="9"/>
        <color rgb="FF243B53"/>
        <rFont val="Noto Sans CJK SC"/>
        <family val="2"/>
      </rPr>
      <t xml:space="preserve">；另有增容</t>
    </r>
  </si>
  <si>
    <r>
      <rPr>
        <sz val="9"/>
        <color rgb="FF243B53"/>
        <rFont val="Aptos"/>
        <family val="0"/>
        <charset val="1"/>
      </rPr>
      <t xml:space="preserve">Vistra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TerraPower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Oklo</t>
    </r>
    <r>
      <rPr>
        <sz val="9"/>
        <color rgb="FF243B53"/>
        <rFont val="Noto Sans CJK SC"/>
        <family val="2"/>
      </rPr>
      <t xml:space="preserve">及</t>
    </r>
    <r>
      <rPr>
        <sz val="9"/>
        <color rgb="FF243B53"/>
        <rFont val="Aptos"/>
        <family val="0"/>
        <charset val="1"/>
      </rPr>
      <t xml:space="preserve">Supporting Our Energy Future</t>
    </r>
    <r>
      <rPr>
        <sz val="9"/>
        <color rgb="FF243B53"/>
        <rFont val="Noto Sans CJK SC"/>
        <family val="2"/>
      </rPr>
      <t xml:space="preserve">段落</t>
    </r>
  </si>
  <si>
    <t xml:space="preserve">N041</t>
  </si>
  <si>
    <r>
      <rPr>
        <sz val="9"/>
        <color rgb="FF243B53"/>
        <rFont val="Aptos"/>
        <family val="0"/>
        <charset val="1"/>
      </rPr>
      <t xml:space="preserve">Meta/Vistra</t>
    </r>
    <r>
      <rPr>
        <sz val="9"/>
        <color rgb="FF243B53"/>
        <rFont val="Noto Sans CJK SC"/>
        <family val="2"/>
      </rPr>
      <t xml:space="preserve">增容</t>
    </r>
  </si>
  <si>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年代早期目标</t>
    </r>
  </si>
  <si>
    <r>
      <rPr>
        <sz val="9"/>
        <color rgb="FF243B53"/>
        <rFont val="Aptos"/>
        <family val="0"/>
        <charset val="1"/>
      </rPr>
      <t xml:space="preserve">Perry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Davis-Besse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Beaver Valley</t>
    </r>
    <r>
      <rPr>
        <sz val="9"/>
        <color rgb="FF243B53"/>
        <rFont val="Noto Sans CJK SC"/>
        <family val="2"/>
      </rPr>
      <t xml:space="preserve">合计</t>
    </r>
  </si>
  <si>
    <t xml:space="preserve">N042</t>
  </si>
  <si>
    <r>
      <rPr>
        <sz val="9"/>
        <color rgb="FF243B53"/>
        <rFont val="Aptos"/>
        <family val="0"/>
        <charset val="1"/>
      </rPr>
      <t xml:space="preserve">Meta/Vistra</t>
    </r>
    <r>
      <rPr>
        <sz val="9"/>
        <color rgb="FF243B53"/>
        <rFont val="Noto Sans CJK SC"/>
        <family val="2"/>
      </rPr>
      <t xml:space="preserve">协议期限</t>
    </r>
  </si>
  <si>
    <r>
      <rPr>
        <sz val="9"/>
        <color rgb="FF243B53"/>
        <rFont val="Noto Sans CJK SC"/>
        <family val="2"/>
      </rPr>
      <t xml:space="preserve">多个</t>
    </r>
    <r>
      <rPr>
        <sz val="9"/>
        <color rgb="FF243B53"/>
        <rFont val="Aptos"/>
        <family val="0"/>
        <charset val="1"/>
      </rPr>
      <t xml:space="preserve">20</t>
    </r>
    <r>
      <rPr>
        <sz val="9"/>
        <color rgb="FF243B53"/>
        <rFont val="Noto Sans CJK SC"/>
        <family val="2"/>
      </rPr>
      <t xml:space="preserve">年核电协议</t>
    </r>
  </si>
  <si>
    <t xml:space="preserve">N043</t>
  </si>
  <si>
    <r>
      <rPr>
        <sz val="9"/>
        <color rgb="FF243B53"/>
        <rFont val="Aptos"/>
        <family val="0"/>
        <charset val="1"/>
      </rPr>
      <t xml:space="preserve">Meta/TerraPower</t>
    </r>
    <r>
      <rPr>
        <sz val="9"/>
        <color rgb="FF243B53"/>
        <rFont val="Noto Sans CJK SC"/>
        <family val="2"/>
      </rPr>
      <t xml:space="preserve">首批两台</t>
    </r>
    <r>
      <rPr>
        <sz val="9"/>
        <color rgb="FF243B53"/>
        <rFont val="Aptos"/>
        <family val="0"/>
        <charset val="1"/>
      </rPr>
      <t xml:space="preserve">Natrium</t>
    </r>
    <r>
      <rPr>
        <sz val="9"/>
        <color rgb="FF243B53"/>
        <rFont val="Noto Sans CJK SC"/>
        <family val="2"/>
      </rPr>
      <t xml:space="preserve">容量</t>
    </r>
  </si>
  <si>
    <t xml:space="preserve">Meta—TerraPower</t>
  </si>
  <si>
    <r>
      <rPr>
        <sz val="9"/>
        <color rgb="FF243B53"/>
        <rFont val="Aptos"/>
        <family val="0"/>
        <charset val="1"/>
      </rPr>
      <t xml:space="preserve">2032</t>
    </r>
    <r>
      <rPr>
        <sz val="9"/>
        <color rgb="FF243B53"/>
        <rFont val="Noto Sans CJK SC"/>
        <family val="2"/>
      </rPr>
      <t xml:space="preserve">目标</t>
    </r>
  </si>
  <si>
    <r>
      <rPr>
        <sz val="9"/>
        <color rgb="FF243B53"/>
        <rFont val="Noto Sans CJK SC"/>
        <family val="2"/>
      </rPr>
      <t xml:space="preserve">最多</t>
    </r>
    <r>
      <rPr>
        <sz val="9"/>
        <color rgb="FF243B53"/>
        <rFont val="Aptos"/>
        <family val="0"/>
        <charset val="1"/>
      </rPr>
      <t xml:space="preserve">690 MW</t>
    </r>
    <r>
      <rPr>
        <sz val="9"/>
        <color rgb="FF243B53"/>
        <rFont val="Noto Sans CJK SC"/>
        <family val="2"/>
      </rPr>
      <t xml:space="preserve">，最早</t>
    </r>
    <r>
      <rPr>
        <sz val="9"/>
        <color rgb="FF243B53"/>
        <rFont val="Aptos"/>
        <family val="0"/>
        <charset val="1"/>
      </rPr>
      <t xml:space="preserve">2032</t>
    </r>
    <r>
      <rPr>
        <sz val="9"/>
        <color rgb="FF243B53"/>
        <rFont val="Noto Sans CJK SC"/>
        <family val="2"/>
      </rPr>
      <t xml:space="preserve">年交付</t>
    </r>
  </si>
  <si>
    <t xml:space="preserve">最高</t>
  </si>
  <si>
    <t xml:space="preserve">N044</t>
  </si>
  <si>
    <r>
      <rPr>
        <sz val="9"/>
        <color rgb="FF243B53"/>
        <rFont val="Aptos"/>
        <family val="0"/>
        <charset val="1"/>
      </rPr>
      <t xml:space="preserve">Meta/TerraPower</t>
    </r>
    <r>
      <rPr>
        <sz val="9"/>
        <color rgb="FF243B53"/>
        <rFont val="Noto Sans CJK SC"/>
        <family val="2"/>
      </rPr>
      <t xml:space="preserve">首批交付目标年份</t>
    </r>
  </si>
  <si>
    <r>
      <rPr>
        <sz val="9"/>
        <color rgb="FF243B53"/>
        <rFont val="Aptos"/>
        <family val="0"/>
        <charset val="1"/>
      </rPr>
      <t xml:space="preserve">as early as 2032</t>
    </r>
    <r>
      <rPr>
        <sz val="9"/>
        <color rgb="FF243B53"/>
        <rFont val="Noto Sans CJK SC"/>
        <family val="2"/>
      </rPr>
      <t xml:space="preserve">，不是保证投运</t>
    </r>
  </si>
  <si>
    <t xml:space="preserve">N045</t>
  </si>
  <si>
    <r>
      <rPr>
        <sz val="9"/>
        <color rgb="FF243B53"/>
        <rFont val="Aptos"/>
        <family val="0"/>
        <charset val="1"/>
      </rPr>
      <t xml:space="preserve">Meta/TerraPower</t>
    </r>
    <r>
      <rPr>
        <sz val="9"/>
        <color rgb="FF243B53"/>
        <rFont val="Noto Sans CJK SC"/>
        <family val="2"/>
      </rPr>
      <t xml:space="preserve">后续最多六台容量</t>
    </r>
  </si>
  <si>
    <r>
      <rPr>
        <sz val="9"/>
        <color rgb="FF243B53"/>
        <rFont val="Aptos"/>
        <family val="0"/>
        <charset val="1"/>
      </rPr>
      <t xml:space="preserve">2035</t>
    </r>
    <r>
      <rPr>
        <sz val="9"/>
        <color rgb="FF243B53"/>
        <rFont val="Noto Sans CJK SC"/>
        <family val="2"/>
      </rPr>
      <t xml:space="preserve">目标</t>
    </r>
  </si>
  <si>
    <r>
      <rPr>
        <sz val="9"/>
        <color rgb="FF243B53"/>
        <rFont val="Noto Sans CJK SC"/>
        <family val="2"/>
      </rPr>
      <t xml:space="preserve">能源权利，最多六台，目标</t>
    </r>
    <r>
      <rPr>
        <sz val="9"/>
        <color rgb="FF243B53"/>
        <rFont val="Aptos"/>
        <family val="0"/>
        <charset val="1"/>
      </rPr>
      <t xml:space="preserve">2035</t>
    </r>
    <r>
      <rPr>
        <sz val="9"/>
        <color rgb="FF243B53"/>
        <rFont val="Noto Sans CJK SC"/>
        <family val="2"/>
      </rPr>
      <t xml:space="preserve">年前</t>
    </r>
  </si>
  <si>
    <t xml:space="preserve">N046</t>
  </si>
  <si>
    <r>
      <rPr>
        <sz val="9"/>
        <color rgb="FF243B53"/>
        <rFont val="Aptos"/>
        <family val="0"/>
        <charset val="1"/>
      </rPr>
      <t xml:space="preserve">Meta/TerraPower</t>
    </r>
    <r>
      <rPr>
        <sz val="9"/>
        <color rgb="FF243B53"/>
        <rFont val="Noto Sans CJK SC"/>
        <family val="2"/>
      </rPr>
      <t xml:space="preserve">八台潜在机组总容量</t>
    </r>
  </si>
  <si>
    <t xml:space="preserve">潜在总容量，不是已投运</t>
  </si>
  <si>
    <t xml:space="preserve">N047</t>
  </si>
  <si>
    <r>
      <rPr>
        <sz val="9"/>
        <color rgb="FF243B53"/>
        <rFont val="Aptos"/>
        <family val="0"/>
        <charset val="1"/>
      </rPr>
      <t xml:space="preserve">Meta/TerraPower</t>
    </r>
    <r>
      <rPr>
        <sz val="9"/>
        <color rgb="FF243B53"/>
        <rFont val="Noto Sans CJK SC"/>
        <family val="2"/>
      </rPr>
      <t xml:space="preserve">内置储能功率</t>
    </r>
  </si>
  <si>
    <t xml:space="preserve">内置储能功率，不是核能发电容量</t>
  </si>
  <si>
    <t xml:space="preserve">N048</t>
  </si>
  <si>
    <r>
      <rPr>
        <sz val="9"/>
        <color rgb="FF243B53"/>
        <rFont val="Aptos"/>
        <family val="0"/>
        <charset val="1"/>
      </rPr>
      <t xml:space="preserve">Meta/Oklo</t>
    </r>
    <r>
      <rPr>
        <sz val="9"/>
        <color rgb="FF243B53"/>
        <rFont val="Noto Sans CJK SC"/>
        <family val="2"/>
      </rPr>
      <t xml:space="preserve">园区目标容量</t>
    </r>
  </si>
  <si>
    <t xml:space="preserve">Meta—Oklo</t>
  </si>
  <si>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年代目标</t>
    </r>
  </si>
  <si>
    <r>
      <rPr>
        <sz val="9"/>
        <color rgb="FF243B53"/>
        <rFont val="Noto Sans CJK SC"/>
        <family val="2"/>
      </rPr>
      <t xml:space="preserve">最高</t>
    </r>
    <r>
      <rPr>
        <sz val="9"/>
        <color rgb="FF243B53"/>
        <rFont val="Aptos"/>
        <family val="0"/>
        <charset val="1"/>
      </rPr>
      <t xml:space="preserve">1.2 GW</t>
    </r>
    <r>
      <rPr>
        <sz val="9"/>
        <color rgb="FF243B53"/>
        <rFont val="Noto Sans CJK SC"/>
        <family val="2"/>
      </rPr>
      <t xml:space="preserve">；多机组园区</t>
    </r>
  </si>
  <si>
    <t xml:space="preserve">N049</t>
  </si>
  <si>
    <r>
      <rPr>
        <sz val="9"/>
        <color rgb="FF243B53"/>
        <rFont val="Aptos"/>
        <family val="0"/>
        <charset val="1"/>
      </rPr>
      <t xml:space="preserve">Meta/Oklo</t>
    </r>
    <r>
      <rPr>
        <sz val="9"/>
        <color rgb="FF243B53"/>
        <rFont val="Noto Sans CJK SC"/>
        <family val="2"/>
      </rPr>
      <t xml:space="preserve">最早投运目标年份</t>
    </r>
  </si>
  <si>
    <t xml:space="preserve">may come online as early as 2030</t>
  </si>
  <si>
    <t xml:space="preserve">N050</t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</si>
  <si>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核电项目支持的新增及现有容量上限</t>
    </r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</si>
  <si>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及合作方</t>
    </r>
  </si>
  <si>
    <r>
      <rPr>
        <sz val="9"/>
        <color rgb="FF243B53"/>
        <rFont val="Noto Sans CJK SC"/>
        <family val="2"/>
      </rPr>
      <t xml:space="preserve">至</t>
    </r>
    <r>
      <rPr>
        <sz val="9"/>
        <color rgb="FF243B53"/>
        <rFont val="Aptos"/>
        <family val="0"/>
        <charset val="1"/>
      </rPr>
      <t xml:space="preserve">2035</t>
    </r>
  </si>
  <si>
    <t xml:space="preserve">含现有、增容和先进核电目标，不等于已投运或合同独享容量</t>
  </si>
  <si>
    <t xml:space="preserve">T001</t>
  </si>
  <si>
    <t xml:space="preserve">科技资本开支</t>
  </si>
  <si>
    <r>
      <rPr>
        <sz val="9"/>
        <color rgb="FF243B53"/>
        <rFont val="Noto Sans CJK SC"/>
        <family val="2"/>
      </rPr>
      <t xml:space="preserve">日历年半年；</t>
    </r>
    <r>
      <rPr>
        <sz val="9"/>
        <color rgb="FF243B53"/>
        <rFont val="Aptos"/>
        <family val="0"/>
        <charset val="1"/>
      </rPr>
      <t xml:space="preserve">PaymentsToAcquirePropertyPlantAndEquipment</t>
    </r>
  </si>
  <si>
    <t xml:space="preserve">S11</t>
  </si>
  <si>
    <r>
      <rPr>
        <sz val="9"/>
        <color rgb="FF243B53"/>
        <rFont val="Aptos"/>
        <family val="0"/>
        <charset val="1"/>
      </rPr>
      <t xml:space="preserve">SEC Companyfacts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Alphabet</t>
    </r>
  </si>
  <si>
    <t xml:space="preserve">2026-07-23</t>
  </si>
  <si>
    <r>
      <rPr>
        <sz val="9"/>
        <color rgb="FF243B53"/>
        <rFont val="Aptos"/>
        <family val="0"/>
        <charset val="1"/>
      </rPr>
      <t xml:space="preserve">PaymentsToAcquirePropertyPlantAndEquipment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accn 0001652044-26-000071</t>
    </r>
  </si>
  <si>
    <t xml:space="preserve">https://data.sec.gov/api/xbrl/companyfacts/CIK0001652044.json</t>
  </si>
  <si>
    <t xml:space="preserve">T002</t>
  </si>
  <si>
    <t xml:space="preserve">2025H1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</si>
  <si>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T001</t>
    </r>
    <r>
      <rPr>
        <sz val="9"/>
        <color rgb="FF243B53"/>
        <rFont val="Noto Sans CJK SC"/>
        <family val="2"/>
      </rPr>
      <t xml:space="preserve">同口径</t>
    </r>
  </si>
  <si>
    <t xml:space="preserve">T003</t>
  </si>
  <si>
    <t xml:space="preserve">生产性资产购置现金支出</t>
  </si>
  <si>
    <r>
      <rPr>
        <sz val="9"/>
        <color rgb="FF243B53"/>
        <rFont val="Noto Sans CJK SC"/>
        <family val="2"/>
      </rPr>
      <t xml:space="preserve">日历年半年；</t>
    </r>
    <r>
      <rPr>
        <sz val="9"/>
        <color rgb="FF243B53"/>
        <rFont val="Aptos"/>
        <family val="0"/>
        <charset val="1"/>
      </rPr>
      <t xml:space="preserve">PaymentsToAcquireProductiveAssets</t>
    </r>
  </si>
  <si>
    <t xml:space="preserve">S12</t>
  </si>
  <si>
    <r>
      <rPr>
        <sz val="9"/>
        <color rgb="FF243B53"/>
        <rFont val="Aptos"/>
        <family val="0"/>
        <charset val="1"/>
      </rPr>
      <t xml:space="preserve">SEC Companyfacts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Amazon</t>
    </r>
  </si>
  <si>
    <t xml:space="preserve">2026-07-31</t>
  </si>
  <si>
    <r>
      <rPr>
        <sz val="9"/>
        <color rgb="FF243B53"/>
        <rFont val="Aptos"/>
        <family val="0"/>
        <charset val="1"/>
      </rPr>
      <t xml:space="preserve">PaymentsToAcquireProductiveAssets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accn 0001018724-26-000026</t>
    </r>
  </si>
  <si>
    <t xml:space="preserve">https://data.sec.gov/api/xbrl/companyfacts/CIK0001018724.json</t>
  </si>
  <si>
    <t xml:space="preserve">T004</t>
  </si>
  <si>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T003</t>
    </r>
    <r>
      <rPr>
        <sz val="9"/>
        <color rgb="FF243B53"/>
        <rFont val="Noto Sans CJK SC"/>
        <family val="2"/>
      </rPr>
      <t xml:space="preserve">同口径</t>
    </r>
  </si>
  <si>
    <t xml:space="preserve">T005</t>
  </si>
  <si>
    <r>
      <rPr>
        <sz val="9"/>
        <color rgb="FF243B53"/>
        <rFont val="Aptos"/>
        <family val="0"/>
        <charset val="1"/>
      </rPr>
      <t xml:space="preserve">FY2026</t>
    </r>
    <r>
      <rPr>
        <sz val="9"/>
        <color rgb="FF243B53"/>
        <rFont val="Noto Sans CJK SC"/>
        <family val="2"/>
      </rPr>
      <t xml:space="preserve">（截至</t>
    </r>
    <r>
      <rPr>
        <sz val="9"/>
        <color rgb="FF243B53"/>
        <rFont val="Aptos"/>
        <family val="0"/>
        <charset val="1"/>
      </rPr>
      <t xml:space="preserve">2026-06-30</t>
    </r>
    <r>
      <rPr>
        <sz val="9"/>
        <color rgb="FF243B53"/>
        <rFont val="Noto Sans CJK SC"/>
        <family val="2"/>
      </rPr>
      <t xml:space="preserve">）</t>
    </r>
  </si>
  <si>
    <r>
      <rPr>
        <sz val="9"/>
        <color rgb="FF243B53"/>
        <rFont val="Noto Sans CJK SC"/>
        <family val="2"/>
      </rPr>
      <t xml:space="preserve">微软完整财年，不是日历年</t>
    </r>
    <r>
      <rPr>
        <sz val="9"/>
        <color rgb="FF243B53"/>
        <rFont val="Aptos"/>
        <family val="0"/>
        <charset val="1"/>
      </rPr>
      <t xml:space="preserve">H1</t>
    </r>
  </si>
  <si>
    <t xml:space="preserve">S13</t>
  </si>
  <si>
    <r>
      <rPr>
        <sz val="9"/>
        <color rgb="FF243B53"/>
        <rFont val="Aptos"/>
        <family val="0"/>
        <charset val="1"/>
      </rPr>
      <t xml:space="preserve">SEC Companyfacts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Microsoft</t>
    </r>
  </si>
  <si>
    <t xml:space="preserve">2026-07-29</t>
  </si>
  <si>
    <r>
      <rPr>
        <sz val="9"/>
        <color rgb="FF243B53"/>
        <rFont val="Aptos"/>
        <family val="0"/>
        <charset val="1"/>
      </rPr>
      <t xml:space="preserve">PaymentsToAcquirePropertyPlantAndEquipment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accn 0001193125-26-323660</t>
    </r>
  </si>
  <si>
    <t xml:space="preserve">https://data.sec.gov/api/xbrl/companyfacts/CIK0000789019.json</t>
  </si>
  <si>
    <t xml:space="preserve">T006</t>
  </si>
  <si>
    <r>
      <rPr>
        <sz val="9"/>
        <color rgb="FF243B53"/>
        <rFont val="Aptos"/>
        <family val="0"/>
        <charset val="1"/>
      </rPr>
      <t xml:space="preserve">FY2026</t>
    </r>
    <r>
      <rPr>
        <sz val="9"/>
        <color rgb="FF243B53"/>
        <rFont val="Noto Sans CJK SC"/>
        <family val="2"/>
      </rPr>
      <t xml:space="preserve">前</t>
    </r>
    <r>
      <rPr>
        <sz val="9"/>
        <color rgb="FF243B53"/>
        <rFont val="Aptos"/>
        <family val="0"/>
        <charset val="1"/>
      </rPr>
      <t xml:space="preserve">9</t>
    </r>
    <r>
      <rPr>
        <sz val="9"/>
        <color rgb="FF243B53"/>
        <rFont val="Noto Sans CJK SC"/>
        <family val="2"/>
      </rPr>
      <t xml:space="preserve">个月</t>
    </r>
  </si>
  <si>
    <r>
      <rPr>
        <sz val="9"/>
        <color rgb="FF243B53"/>
        <rFont val="Aptos"/>
        <family val="0"/>
        <charset val="1"/>
      </rPr>
      <t xml:space="preserve">2025-07-01</t>
    </r>
    <r>
      <rPr>
        <sz val="9"/>
        <color rgb="FF243B53"/>
        <rFont val="Noto Sans CJK SC"/>
        <family val="2"/>
      </rPr>
      <t xml:space="preserve">至</t>
    </r>
    <r>
      <rPr>
        <sz val="9"/>
        <color rgb="FF243B53"/>
        <rFont val="Aptos"/>
        <family val="0"/>
        <charset val="1"/>
      </rPr>
      <t xml:space="preserve">2026-03-31</t>
    </r>
  </si>
  <si>
    <t xml:space="preserve">T007</t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</si>
  <si>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日历年</t>
    </r>
    <r>
      <rPr>
        <sz val="9"/>
        <color rgb="FF243B53"/>
        <rFont val="Aptos"/>
        <family val="0"/>
        <charset val="1"/>
      </rPr>
      <t xml:space="preserve">Q1</t>
    </r>
  </si>
  <si>
    <r>
      <rPr>
        <sz val="9"/>
        <color rgb="FF243B53"/>
        <rFont val="Noto Sans CJK SC"/>
        <family val="2"/>
      </rPr>
      <t xml:space="preserve">对应微软</t>
    </r>
    <r>
      <rPr>
        <sz val="9"/>
        <color rgb="FF243B53"/>
        <rFont val="Aptos"/>
        <family val="0"/>
        <charset val="1"/>
      </rPr>
      <t xml:space="preserve">FY2026 Q3</t>
    </r>
  </si>
  <si>
    <t xml:space="preserve">F001</t>
  </si>
  <si>
    <t xml:space="preserve">聚变产业</t>
  </si>
  <si>
    <r>
      <rPr>
        <sz val="9"/>
        <color rgb="FF243B53"/>
        <rFont val="Aptos"/>
        <family val="0"/>
        <charset val="1"/>
      </rPr>
      <t xml:space="preserve">CFS/Google</t>
    </r>
    <r>
      <rPr>
        <sz val="9"/>
        <color rgb="FF243B53"/>
        <rFont val="Noto Sans CJK SC"/>
        <family val="2"/>
      </rPr>
      <t xml:space="preserve">聚变</t>
    </r>
    <r>
      <rPr>
        <sz val="9"/>
        <color rgb="FF243B53"/>
        <rFont val="Aptos"/>
        <family val="0"/>
        <charset val="1"/>
      </rPr>
      <t xml:space="preserve">PPA</t>
    </r>
  </si>
  <si>
    <t xml:space="preserve">CFS—Google</t>
  </si>
  <si>
    <r>
      <rPr>
        <sz val="9"/>
        <color rgb="FF243B53"/>
        <rFont val="Noto Sans CJK SC"/>
        <family val="2"/>
      </rPr>
      <t xml:space="preserve">首座</t>
    </r>
    <r>
      <rPr>
        <sz val="9"/>
        <color rgb="FF243B53"/>
        <rFont val="Aptos"/>
        <family val="0"/>
        <charset val="1"/>
      </rPr>
      <t xml:space="preserve">ARC</t>
    </r>
    <r>
      <rPr>
        <sz val="9"/>
        <color rgb="FF243B53"/>
        <rFont val="Noto Sans CJK SC"/>
        <family val="2"/>
      </rPr>
      <t xml:space="preserve">的购电协议，不是已交付电量</t>
    </r>
  </si>
  <si>
    <t xml:space="preserve">S14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</si>
  <si>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战略合作公告</t>
    </r>
  </si>
  <si>
    <t xml:space="preserve">2025-06-30</t>
  </si>
  <si>
    <r>
      <rPr>
        <sz val="9"/>
        <color rgb="FF243B53"/>
        <rFont val="Noto Sans CJK SC"/>
        <family val="2"/>
      </rPr>
      <t xml:space="preserve">首段及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段落</t>
    </r>
  </si>
  <si>
    <t xml:space="preserve">https://cfs.energy/news-and-media/google-and-commonwealth-fusion-systems-sign-strategic-partnership/</t>
  </si>
  <si>
    <t xml:space="preserve">F002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</si>
  <si>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首座</t>
    </r>
    <r>
      <rPr>
        <sz val="9"/>
        <color rgb="FF243B53"/>
        <rFont val="Aptos"/>
        <family val="0"/>
        <charset val="1"/>
      </rPr>
      <t xml:space="preserve">ARC</t>
    </r>
    <r>
      <rPr>
        <sz val="9"/>
        <color rgb="FF243B53"/>
        <rFont val="Noto Sans CJK SC"/>
        <family val="2"/>
      </rPr>
      <t xml:space="preserve">设计净电输出</t>
    </r>
  </si>
  <si>
    <t xml:space="preserve">CFS</t>
  </si>
  <si>
    <r>
      <rPr>
        <sz val="9"/>
        <color rgb="FF243B53"/>
        <rFont val="Noto Sans CJK SC"/>
        <family val="2"/>
      </rPr>
      <t xml:space="preserve">设计净电力输出；</t>
    </r>
    <r>
      <rPr>
        <sz val="9"/>
        <color rgb="FF243B53"/>
        <rFont val="Aptos"/>
        <family val="0"/>
        <charset val="1"/>
      </rPr>
      <t xml:space="preserve">Google PPA</t>
    </r>
    <r>
      <rPr>
        <sz val="9"/>
        <color rgb="FF243B53"/>
        <rFont val="Noto Sans CJK SC"/>
        <family val="2"/>
      </rPr>
      <t xml:space="preserve">约为其一半</t>
    </r>
  </si>
  <si>
    <t xml:space="preserve">F003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</si>
  <si>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首座</t>
    </r>
    <r>
      <rPr>
        <sz val="9"/>
        <color rgb="FF243B53"/>
        <rFont val="Aptos"/>
        <family val="0"/>
        <charset val="1"/>
      </rPr>
      <t xml:space="preserve">ARC</t>
    </r>
    <r>
      <rPr>
        <sz val="9"/>
        <color rgb="FF243B53"/>
        <rFont val="Noto Sans CJK SC"/>
        <family val="2"/>
      </rPr>
      <t xml:space="preserve">目标上网年代起点</t>
    </r>
  </si>
  <si>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年代早期</t>
    </r>
  </si>
  <si>
    <t xml:space="preserve">年代</t>
  </si>
  <si>
    <r>
      <rPr>
        <sz val="9"/>
        <color rgb="FF243B53"/>
        <rFont val="Aptos"/>
        <family val="0"/>
        <charset val="1"/>
      </rPr>
      <t xml:space="preserve">early 2030s</t>
    </r>
    <r>
      <rPr>
        <sz val="9"/>
        <color rgb="FF243B53"/>
        <rFont val="Noto Sans CJK SC"/>
        <family val="2"/>
      </rPr>
      <t xml:space="preserve">不是精确投运年份</t>
    </r>
  </si>
  <si>
    <t xml:space="preserve">F004</t>
  </si>
  <si>
    <t xml:space="preserve">聚变融资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</si>
  <si>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追加股权融资</t>
    </r>
  </si>
  <si>
    <t xml:space="preserve">2026-07</t>
  </si>
  <si>
    <t xml:space="preserve">新一轮股权融资</t>
  </si>
  <si>
    <t xml:space="preserve">S15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</si>
  <si>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年追加</t>
    </r>
    <r>
      <rPr>
        <sz val="9"/>
        <color rgb="FF243B53"/>
        <rFont val="Aptos"/>
        <family val="0"/>
        <charset val="1"/>
      </rPr>
      <t xml:space="preserve">10</t>
    </r>
    <r>
      <rPr>
        <sz val="9"/>
        <color rgb="FF243B53"/>
        <rFont val="Noto Sans CJK SC"/>
        <family val="2"/>
      </rPr>
      <t xml:space="preserve">亿美元股权融资</t>
    </r>
  </si>
  <si>
    <t xml:space="preserve">2026-07-30</t>
  </si>
  <si>
    <t xml:space="preserve">首两段</t>
  </si>
  <si>
    <t xml:space="preserve">https://cfs.energy/news-and-media/commonwealth-fusion-systems-raises-another-1-billion-bringing-total-capital-raised-to-4-billion/</t>
  </si>
  <si>
    <t xml:space="preserve">F005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</si>
  <si>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累计资本</t>
    </r>
  </si>
  <si>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2026-07</t>
    </r>
  </si>
  <si>
    <t xml:space="preserve">公司披露累计资本，不包括拟议政府研发奖励</t>
  </si>
  <si>
    <t xml:space="preserve">F006</t>
  </si>
  <si>
    <r>
      <rPr>
        <sz val="9"/>
        <color rgb="FF243B53"/>
        <rFont val="Aptos"/>
        <family val="0"/>
        <charset val="1"/>
      </rPr>
      <t xml:space="preserve">CFS</t>
    </r>
    <r>
      <rPr>
        <sz val="9"/>
        <color rgb="FF243B53"/>
        <rFont val="Noto Sans CJK SC"/>
        <family val="2"/>
      </rPr>
      <t xml:space="preserve">此前</t>
    </r>
    <r>
      <rPr>
        <sz val="9"/>
        <color rgb="FF243B53"/>
        <rFont val="Aptos"/>
        <family val="0"/>
        <charset val="1"/>
      </rPr>
      <t xml:space="preserve">Series B2</t>
    </r>
    <r>
      <rPr>
        <sz val="9"/>
        <color rgb="FF243B53"/>
        <rFont val="Noto Sans CJK SC"/>
        <family val="2"/>
      </rPr>
      <t xml:space="preserve">融资</t>
    </r>
  </si>
  <si>
    <t xml:space="preserve">2025-08</t>
  </si>
  <si>
    <r>
      <rPr>
        <sz val="9"/>
        <color rgb="FF243B53"/>
        <rFont val="Noto Sans CJK SC"/>
        <family val="2"/>
      </rPr>
      <t xml:space="preserve">在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融资公告中回溯披露</t>
    </r>
  </si>
  <si>
    <t xml:space="preserve">F007</t>
  </si>
  <si>
    <r>
      <rPr>
        <sz val="9"/>
        <color rgb="FF243B53"/>
        <rFont val="Aptos"/>
        <family val="0"/>
        <charset val="1"/>
      </rPr>
      <t xml:space="preserve">Helion/Microsoft</t>
    </r>
    <r>
      <rPr>
        <sz val="9"/>
        <color rgb="FF243B53"/>
        <rFont val="Noto Sans CJK SC"/>
        <family val="2"/>
      </rPr>
      <t xml:space="preserve">目标发电能力</t>
    </r>
  </si>
  <si>
    <t xml:space="preserve">Helion—Microsoft</t>
  </si>
  <si>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上线后一年爬坡</t>
    </r>
  </si>
  <si>
    <r>
      <rPr>
        <sz val="9"/>
        <color rgb="FF243B53"/>
        <rFont val="Noto Sans CJK SC"/>
        <family val="2"/>
      </rPr>
      <t xml:space="preserve">经过一年爬坡后</t>
    </r>
    <r>
      <rPr>
        <sz val="9"/>
        <color rgb="FF243B53"/>
        <rFont val="Aptos"/>
        <family val="0"/>
        <charset val="1"/>
      </rPr>
      <t xml:space="preserve">50 MW</t>
    </r>
    <r>
      <rPr>
        <sz val="9"/>
        <color rgb="FF243B53"/>
        <rFont val="Noto Sans CJK SC"/>
        <family val="2"/>
      </rPr>
      <t xml:space="preserve">或更高；不是</t>
    </r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年即保证</t>
    </r>
    <r>
      <rPr>
        <sz val="9"/>
        <color rgb="FF243B53"/>
        <rFont val="Aptos"/>
        <family val="0"/>
        <charset val="1"/>
      </rPr>
      <t xml:space="preserve">50 MW</t>
    </r>
  </si>
  <si>
    <t xml:space="preserve">S16</t>
  </si>
  <si>
    <r>
      <rPr>
        <sz val="9"/>
        <color rgb="FF243B53"/>
        <rFont val="Aptos"/>
        <family val="0"/>
        <charset val="1"/>
      </rPr>
      <t xml:space="preserve">Helion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Microsoft</t>
    </r>
    <r>
      <rPr>
        <sz val="9"/>
        <color rgb="FF243B53"/>
        <rFont val="Noto Sans CJK SC"/>
        <family val="2"/>
      </rPr>
      <t xml:space="preserve">聚变购电协议公告</t>
    </r>
  </si>
  <si>
    <t xml:space="preserve">2023-05-10</t>
  </si>
  <si>
    <r>
      <rPr>
        <sz val="9"/>
        <color rgb="FF243B53"/>
        <rFont val="Noto Sans CJK SC"/>
        <family val="2"/>
      </rPr>
      <t xml:space="preserve">第</t>
    </r>
    <r>
      <rPr>
        <sz val="9"/>
        <color rgb="FF243B53"/>
        <rFont val="Aptos"/>
        <family val="0"/>
        <charset val="1"/>
      </rPr>
      <t xml:space="preserve">2—3</t>
    </r>
    <r>
      <rPr>
        <sz val="9"/>
        <color rgb="FF243B53"/>
        <rFont val="Noto Sans CJK SC"/>
        <family val="2"/>
      </rPr>
      <t xml:space="preserve">段</t>
    </r>
  </si>
  <si>
    <t xml:space="preserve">https://www.helionenergy.com/newsroom/helion-announces-worlds-first-fusion-ppa-with-microsoft</t>
  </si>
  <si>
    <t xml:space="preserve">至少</t>
  </si>
  <si>
    <t xml:space="preserve">F008</t>
  </si>
  <si>
    <r>
      <rPr>
        <sz val="9"/>
        <color rgb="FF243B53"/>
        <rFont val="Aptos"/>
        <family val="0"/>
        <charset val="1"/>
      </rPr>
      <t xml:space="preserve">Helion</t>
    </r>
    <r>
      <rPr>
        <sz val="9"/>
        <color rgb="FF243B53"/>
        <rFont val="Noto Sans CJK SC"/>
        <family val="2"/>
      </rPr>
      <t xml:space="preserve">首座电站预计上线年份</t>
    </r>
  </si>
  <si>
    <r>
      <rPr>
        <sz val="9"/>
        <color rgb="FF243B53"/>
        <rFont val="Noto Sans CJK SC"/>
        <family val="2"/>
      </rPr>
      <t xml:space="preserve">原始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预计上线时间，仍取决于建设及并网</t>
    </r>
  </si>
  <si>
    <t xml:space="preserve">F009</t>
  </si>
  <si>
    <r>
      <rPr>
        <sz val="9"/>
        <color rgb="FF243B53"/>
        <rFont val="Aptos"/>
        <family val="0"/>
        <charset val="1"/>
      </rPr>
      <t xml:space="preserve">Helion PPA</t>
    </r>
    <r>
      <rPr>
        <sz val="9"/>
        <color rgb="FF243B53"/>
        <rFont val="Noto Sans CJK SC"/>
        <family val="2"/>
      </rPr>
      <t xml:space="preserve">爬坡期</t>
    </r>
  </si>
  <si>
    <t xml:space="preserve">上线后</t>
  </si>
  <si>
    <t xml:space="preserve">达到目标发电能力前的爬坡期</t>
  </si>
  <si>
    <t xml:space="preserve">F010</t>
  </si>
  <si>
    <r>
      <rPr>
        <sz val="9"/>
        <color rgb="FF243B53"/>
        <rFont val="Aptos"/>
        <family val="0"/>
        <charset val="1"/>
      </rPr>
      <t xml:space="preserve">Helion Series G</t>
    </r>
    <r>
      <rPr>
        <sz val="9"/>
        <color rgb="FF243B53"/>
        <rFont val="Noto Sans CJK SC"/>
        <family val="2"/>
      </rPr>
      <t xml:space="preserve">最终融资</t>
    </r>
  </si>
  <si>
    <t xml:space="preserve">Helion</t>
  </si>
  <si>
    <r>
      <rPr>
        <sz val="9"/>
        <color rgb="FF243B53"/>
        <rFont val="Aptos"/>
        <family val="0"/>
        <charset val="1"/>
      </rPr>
      <t xml:space="preserve">2026-09</t>
    </r>
    <r>
      <rPr>
        <sz val="9"/>
        <color rgb="FF243B53"/>
        <rFont val="Noto Sans CJK SC"/>
        <family val="2"/>
      </rPr>
      <t xml:space="preserve">最终收盘</t>
    </r>
  </si>
  <si>
    <r>
      <rPr>
        <sz val="9"/>
        <color rgb="FF243B53"/>
        <rFont val="Noto Sans CJK SC"/>
        <family val="2"/>
      </rPr>
      <t xml:space="preserve">由初始</t>
    </r>
    <r>
      <rPr>
        <sz val="9"/>
        <color rgb="FF243B53"/>
        <rFont val="Aptos"/>
        <family val="0"/>
        <charset val="1"/>
      </rPr>
      <t xml:space="preserve">4.65</t>
    </r>
    <r>
      <rPr>
        <sz val="9"/>
        <color rgb="FF243B53"/>
        <rFont val="Noto Sans CJK SC"/>
        <family val="2"/>
      </rPr>
      <t xml:space="preserve">亿美元增至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亿美元</t>
    </r>
  </si>
  <si>
    <t xml:space="preserve">S17</t>
  </si>
  <si>
    <r>
      <rPr>
        <sz val="9"/>
        <color rgb="FF243B53"/>
        <rFont val="Aptos"/>
        <family val="0"/>
        <charset val="1"/>
      </rPr>
      <t xml:space="preserve">Helion Series G</t>
    </r>
    <r>
      <rPr>
        <sz val="9"/>
        <color rgb="FF243B53"/>
        <rFont val="Noto Sans CJK SC"/>
        <family val="2"/>
      </rPr>
      <t xml:space="preserve">融资公告</t>
    </r>
  </si>
  <si>
    <t xml:space="preserve">2026-06-04</t>
  </si>
  <si>
    <r>
      <rPr>
        <sz val="9"/>
        <color rgb="FF243B53"/>
        <rFont val="Noto Sans CJK SC"/>
        <family val="2"/>
      </rPr>
      <t xml:space="preserve">首段及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9</t>
    </r>
    <r>
      <rPr>
        <sz val="9"/>
        <color rgb="FF243B53"/>
        <rFont val="Noto Sans CJK SC"/>
        <family val="2"/>
      </rPr>
      <t xml:space="preserve">月更新</t>
    </r>
  </si>
  <si>
    <t xml:space="preserve">https://www.helionenergy.com/newsroom/helion-raises-465-million-series-g-funding-round-to-meet-surging-global-demand-for-power</t>
  </si>
  <si>
    <t xml:space="preserve">F011</t>
  </si>
  <si>
    <r>
      <rPr>
        <sz val="9"/>
        <color rgb="FF243B53"/>
        <rFont val="Aptos"/>
        <family val="0"/>
        <charset val="1"/>
      </rPr>
      <t xml:space="preserve">Helion Series G</t>
    </r>
    <r>
      <rPr>
        <sz val="9"/>
        <color rgb="FF243B53"/>
        <rFont val="Noto Sans CJK SC"/>
        <family val="2"/>
      </rPr>
      <t xml:space="preserve">初始收盘</t>
    </r>
  </si>
  <si>
    <t xml:space="preserve">2026-06</t>
  </si>
  <si>
    <t xml:space="preserve">初始收盘金额</t>
  </si>
  <si>
    <t xml:space="preserve">F012</t>
  </si>
  <si>
    <r>
      <rPr>
        <sz val="9"/>
        <color rgb="FF243B53"/>
        <rFont val="Aptos"/>
        <family val="0"/>
        <charset val="1"/>
      </rPr>
      <t xml:space="preserve">Helion</t>
    </r>
    <r>
      <rPr>
        <sz val="9"/>
        <color rgb="FF243B53"/>
        <rFont val="Noto Sans CJK SC"/>
        <family val="2"/>
      </rPr>
      <t xml:space="preserve">累计投入资本（初始</t>
    </r>
    <r>
      <rPr>
        <sz val="9"/>
        <color rgb="FF243B53"/>
        <rFont val="Aptos"/>
        <family val="0"/>
        <charset val="1"/>
      </rPr>
      <t xml:space="preserve">G</t>
    </r>
    <r>
      <rPr>
        <sz val="9"/>
        <color rgb="FF243B53"/>
        <rFont val="Noto Sans CJK SC"/>
        <family val="2"/>
      </rPr>
      <t xml:space="preserve">轮时口径）</t>
    </r>
  </si>
  <si>
    <r>
      <rPr>
        <sz val="9"/>
        <color rgb="FF243B53"/>
        <rFont val="Noto Sans CJK SC"/>
        <family val="2"/>
      </rPr>
      <t xml:space="preserve">未随</t>
    </r>
    <r>
      <rPr>
        <sz val="9"/>
        <color rgb="FF243B53"/>
        <rFont val="Aptos"/>
        <family val="0"/>
        <charset val="1"/>
      </rPr>
      <t xml:space="preserve">G</t>
    </r>
    <r>
      <rPr>
        <sz val="9"/>
        <color rgb="FF243B53"/>
        <rFont val="Noto Sans CJK SC"/>
        <family val="2"/>
      </rPr>
      <t xml:space="preserve">轮最终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亿美元重述，不自行推算最终累计</t>
    </r>
  </si>
  <si>
    <t xml:space="preserve">F013</t>
  </si>
  <si>
    <r>
      <rPr>
        <sz val="9"/>
        <color rgb="FF243B53"/>
        <rFont val="Aptos"/>
        <family val="0"/>
        <charset val="1"/>
      </rPr>
      <t xml:space="preserve">TAE</t>
    </r>
    <r>
      <rPr>
        <sz val="9"/>
        <color rgb="FF243B53"/>
        <rFont val="Noto Sans CJK SC"/>
        <family val="2"/>
      </rPr>
      <t xml:space="preserve">累计资本</t>
    </r>
  </si>
  <si>
    <t xml:space="preserve">TAE</t>
  </si>
  <si>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2026-09</t>
    </r>
  </si>
  <si>
    <r>
      <rPr>
        <sz val="9"/>
        <color rgb="FF243B53"/>
        <rFont val="Aptos"/>
        <family val="0"/>
        <charset val="1"/>
      </rPr>
      <t xml:space="preserve">S-4</t>
    </r>
    <r>
      <rPr>
        <sz val="9"/>
        <color rgb="FF243B53"/>
        <rFont val="Noto Sans CJK SC"/>
        <family val="2"/>
      </rPr>
      <t xml:space="preserve">较新口径，超过该值；不改写为纯股权融资</t>
    </r>
  </si>
  <si>
    <t xml:space="preserve">S19</t>
  </si>
  <si>
    <t xml:space="preserve">TMTG/TAE Form S-4</t>
  </si>
  <si>
    <r>
      <rPr>
        <sz val="9"/>
        <color rgb="FF243B53"/>
        <rFont val="Aptos"/>
        <family val="0"/>
        <charset val="1"/>
      </rPr>
      <t xml:space="preserve">Liquidity and Capital Resources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Da Vinci</t>
    </r>
    <r>
      <rPr>
        <sz val="9"/>
        <color rgb="FF243B53"/>
        <rFont val="Noto Sans CJK SC"/>
        <family val="2"/>
      </rPr>
      <t xml:space="preserve">路线图</t>
    </r>
  </si>
  <si>
    <t xml:space="preserve">https://www.sec.gov/Archives/edgar/data/1849635/000143774926031534/djt20260922_s4.htm</t>
  </si>
  <si>
    <t xml:space="preserve">F014</t>
  </si>
  <si>
    <r>
      <rPr>
        <sz val="9"/>
        <color rgb="FF243B53"/>
        <rFont val="Aptos"/>
        <family val="0"/>
        <charset val="1"/>
      </rPr>
      <t xml:space="preserve">TAE</t>
    </r>
    <r>
      <rPr>
        <sz val="9"/>
        <color rgb="FF243B53"/>
        <rFont val="Noto Sans CJK SC"/>
        <family val="2"/>
      </rPr>
      <t xml:space="preserve">已获关联可转换票据现金</t>
    </r>
  </si>
  <si>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2026-03</t>
    </r>
  </si>
  <si>
    <r>
      <rPr>
        <sz val="9"/>
        <color rgb="FF243B53"/>
        <rFont val="Aptos"/>
        <family val="0"/>
        <charset val="1"/>
      </rPr>
      <t xml:space="preserve">TMTG</t>
    </r>
    <r>
      <rPr>
        <sz val="9"/>
        <color rgb="FF243B53"/>
        <rFont val="Noto Sans CJK SC"/>
        <family val="2"/>
      </rPr>
      <t xml:space="preserve">已提供现金；票据可转换，不与累计资本自行相加</t>
    </r>
  </si>
  <si>
    <t xml:space="preserve">F015</t>
  </si>
  <si>
    <r>
      <rPr>
        <sz val="9"/>
        <color rgb="FF243B53"/>
        <rFont val="Aptos"/>
        <family val="0"/>
        <charset val="1"/>
      </rPr>
      <t xml:space="preserve">TAE</t>
    </r>
    <r>
      <rPr>
        <sz val="9"/>
        <color rgb="FF243B53"/>
        <rFont val="Noto Sans CJK SC"/>
        <family val="2"/>
      </rPr>
      <t xml:space="preserve">额外可转换票据可用额度</t>
    </r>
  </si>
  <si>
    <r>
      <rPr>
        <sz val="9"/>
        <color rgb="FF243B53"/>
        <rFont val="Aptos"/>
        <family val="0"/>
        <charset val="1"/>
      </rPr>
      <t xml:space="preserve">S-4</t>
    </r>
    <r>
      <rPr>
        <sz val="9"/>
        <color rgb="FF243B53"/>
        <rFont val="Noto Sans CJK SC"/>
        <family val="2"/>
      </rPr>
      <t xml:space="preserve">提交后按条件可用，不是已提款</t>
    </r>
  </si>
  <si>
    <t xml:space="preserve">F016</t>
  </si>
  <si>
    <r>
      <rPr>
        <sz val="9"/>
        <color rgb="FF243B53"/>
        <rFont val="Aptos"/>
        <family val="0"/>
        <charset val="1"/>
      </rPr>
      <t xml:space="preserve">TAE Da Vinci</t>
    </r>
    <r>
      <rPr>
        <sz val="9"/>
        <color rgb="FF243B53"/>
        <rFont val="Noto Sans CJK SC"/>
        <family val="2"/>
      </rPr>
      <t xml:space="preserve">规划电功率</t>
    </r>
  </si>
  <si>
    <t xml:space="preserve">路线图</t>
  </si>
  <si>
    <t xml:space="preserve">MWe</t>
  </si>
  <si>
    <r>
      <rPr>
        <sz val="9"/>
        <color rgb="FF243B53"/>
        <rFont val="Noto Sans CJK SC"/>
        <family val="2"/>
      </rPr>
      <t xml:space="preserve">最新</t>
    </r>
    <r>
      <rPr>
        <sz val="9"/>
        <color rgb="FF243B53"/>
        <rFont val="Aptos"/>
        <family val="0"/>
        <charset val="1"/>
      </rPr>
      <t xml:space="preserve">S-4</t>
    </r>
    <r>
      <rPr>
        <sz val="9"/>
        <color rgb="FF243B53"/>
        <rFont val="Noto Sans CJK SC"/>
        <family val="2"/>
      </rPr>
      <t xml:space="preserve">路线；公司转向</t>
    </r>
    <r>
      <rPr>
        <sz val="9"/>
        <color rgb="FF243B53"/>
        <rFont val="Aptos"/>
        <family val="0"/>
        <charset val="1"/>
      </rPr>
      <t xml:space="preserve">Da Vinci</t>
    </r>
    <r>
      <rPr>
        <sz val="9"/>
        <color rgb="FF243B53"/>
        <rFont val="Noto Sans CJK SC"/>
        <family val="2"/>
      </rPr>
      <t xml:space="preserve">而非沿用旧</t>
    </r>
    <r>
      <rPr>
        <sz val="9"/>
        <color rgb="FF243B53"/>
        <rFont val="Aptos"/>
        <family val="0"/>
        <charset val="1"/>
      </rPr>
      <t xml:space="preserve">Copernicus</t>
    </r>
    <r>
      <rPr>
        <sz val="9"/>
        <color rgb="FF243B53"/>
        <rFont val="Noto Sans CJK SC"/>
        <family val="2"/>
      </rPr>
      <t xml:space="preserve">计划</t>
    </r>
  </si>
  <si>
    <t xml:space="preserve">F017</t>
  </si>
  <si>
    <r>
      <rPr>
        <sz val="9"/>
        <color rgb="FF243B53"/>
        <rFont val="Aptos"/>
        <family val="0"/>
        <charset val="1"/>
      </rPr>
      <t xml:space="preserve">TAE Da Vinci</t>
    </r>
    <r>
      <rPr>
        <sz val="9"/>
        <color rgb="FF243B53"/>
        <rFont val="Noto Sans CJK SC"/>
        <family val="2"/>
      </rPr>
      <t xml:space="preserve">首次等离子体目标年份</t>
    </r>
  </si>
  <si>
    <r>
      <rPr>
        <sz val="9"/>
        <color rgb="FF243B53"/>
        <rFont val="Aptos"/>
        <family val="0"/>
        <charset val="1"/>
      </rPr>
      <t xml:space="preserve">first plasma</t>
    </r>
    <r>
      <rPr>
        <sz val="9"/>
        <color rgb="FF243B53"/>
        <rFont val="Noto Sans CJK SC"/>
        <family val="2"/>
      </rPr>
      <t xml:space="preserve">不是商业供电</t>
    </r>
  </si>
  <si>
    <t xml:space="preserve">F018</t>
  </si>
  <si>
    <r>
      <rPr>
        <sz val="9"/>
        <color rgb="FF243B53"/>
        <rFont val="Aptos"/>
        <family val="0"/>
        <charset val="1"/>
      </rPr>
      <t xml:space="preserve">TAE Da Vinci</t>
    </r>
    <r>
      <rPr>
        <sz val="9"/>
        <color rgb="FF243B53"/>
        <rFont val="Noto Sans CJK SC"/>
        <family val="2"/>
      </rPr>
      <t xml:space="preserve">聚变能演示目标年份</t>
    </r>
  </si>
  <si>
    <t xml:space="preserve">2031</t>
  </si>
  <si>
    <r>
      <rPr>
        <sz val="9"/>
        <color rgb="FF243B53"/>
        <rFont val="Aptos"/>
        <family val="0"/>
        <charset val="1"/>
      </rPr>
      <t xml:space="preserve">demonstrate fusion energy</t>
    </r>
    <r>
      <rPr>
        <sz val="9"/>
        <color rgb="FF243B53"/>
        <rFont val="Noto Sans CJK SC"/>
        <family val="2"/>
      </rPr>
      <t xml:space="preserve">，其后才进入初始运营</t>
    </r>
  </si>
  <si>
    <t xml:space="preserve">F019</t>
  </si>
  <si>
    <r>
      <rPr>
        <sz val="9"/>
        <color rgb="FF243B53"/>
        <rFont val="Aptos"/>
        <family val="0"/>
        <charset val="1"/>
      </rPr>
      <t xml:space="preserve">Pacific Fusion Series A</t>
    </r>
    <r>
      <rPr>
        <sz val="9"/>
        <color rgb="FF243B53"/>
        <rFont val="Noto Sans CJK SC"/>
        <family val="2"/>
      </rPr>
      <t xml:space="preserve">承诺出资</t>
    </r>
  </si>
  <si>
    <t xml:space="preserve">Pacific Fusion</t>
  </si>
  <si>
    <t xml:space="preserve">2024-10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</si>
  <si>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9</t>
    </r>
    <r>
      <rPr>
        <sz val="9"/>
        <color rgb="FF243B53"/>
        <rFont val="Noto Sans CJK SC"/>
        <family val="2"/>
      </rPr>
      <t xml:space="preserve">亿美元，全部预先承诺、按里程碑解锁，不是全部到账</t>
    </r>
  </si>
  <si>
    <t xml:space="preserve">S20</t>
  </si>
  <si>
    <r>
      <rPr>
        <sz val="9"/>
        <color rgb="FF243B53"/>
        <rFont val="Aptos"/>
        <family val="0"/>
        <charset val="1"/>
      </rPr>
      <t xml:space="preserve">Pacific Fusion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Founders’ Letter</t>
    </r>
  </si>
  <si>
    <t xml:space="preserve">2024-10-25</t>
  </si>
  <si>
    <r>
      <rPr>
        <sz val="9"/>
        <color rgb="FF243B53"/>
        <rFont val="Aptos"/>
        <family val="0"/>
        <charset val="1"/>
      </rPr>
      <t xml:space="preserve">Our funding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Our immediate goal</t>
    </r>
  </si>
  <si>
    <t xml:space="preserve">https://www.pacificfusion.com/resources/founders-letter</t>
  </si>
  <si>
    <t xml:space="preserve">F020</t>
  </si>
  <si>
    <r>
      <rPr>
        <sz val="9"/>
        <color rgb="FF243B53"/>
        <rFont val="Aptos"/>
        <family val="0"/>
        <charset val="1"/>
      </rPr>
      <t xml:space="preserve">Pacific Fusion</t>
    </r>
    <r>
      <rPr>
        <sz val="9"/>
        <color rgb="FF243B53"/>
        <rFont val="Noto Sans CJK SC"/>
        <family val="2"/>
      </rPr>
      <t xml:space="preserve">新墨西哥园区投资规模</t>
    </r>
  </si>
  <si>
    <t xml:space="preserve">2026-08</t>
  </si>
  <si>
    <r>
      <rPr>
        <sz val="9"/>
        <color rgb="FF243B53"/>
        <rFont val="Aptos"/>
        <family val="0"/>
        <charset val="1"/>
      </rPr>
      <t xml:space="preserve">10</t>
    </r>
    <r>
      <rPr>
        <sz val="9"/>
        <color rgb="FF243B53"/>
        <rFont val="Noto Sans CJK SC"/>
        <family val="2"/>
      </rPr>
      <t xml:space="preserve">亿美元级建设投资，不是同额新融资</t>
    </r>
  </si>
  <si>
    <t xml:space="preserve">S21</t>
  </si>
  <si>
    <r>
      <rPr>
        <sz val="9"/>
        <color rgb="FF243B53"/>
        <rFont val="Aptos"/>
        <family val="0"/>
        <charset val="1"/>
      </rPr>
      <t xml:space="preserve">Pacific Fusion</t>
    </r>
    <r>
      <rPr>
        <sz val="9"/>
        <color rgb="FF243B53"/>
        <rFont val="Noto Sans CJK SC"/>
        <family val="2"/>
      </rPr>
      <t xml:space="preserve">：新墨西哥园区破土公告</t>
    </r>
  </si>
  <si>
    <t xml:space="preserve">2026-08-25</t>
  </si>
  <si>
    <t xml:space="preserve">公告正文</t>
  </si>
  <si>
    <t xml:space="preserve">https://www.pacificfusion.com/resources/pacific-fusion-breaks-ground-on-first-of-a-kind-fusion-facility-in-new-mexico</t>
  </si>
  <si>
    <t xml:space="preserve">F021</t>
  </si>
  <si>
    <r>
      <rPr>
        <sz val="9"/>
        <color rgb="FF243B53"/>
        <rFont val="Aptos"/>
        <family val="0"/>
        <charset val="1"/>
      </rPr>
      <t xml:space="preserve">Pacific</t>
    </r>
    <r>
      <rPr>
        <sz val="9"/>
        <color rgb="FF243B53"/>
        <rFont val="Noto Sans CJK SC"/>
        <family val="2"/>
      </rPr>
      <t xml:space="preserve">示范系统净设施增益目标年份</t>
    </r>
  </si>
  <si>
    <r>
      <rPr>
        <sz val="9"/>
        <color rgb="FF243B53"/>
        <rFont val="Aptos"/>
        <family val="0"/>
        <charset val="1"/>
      </rPr>
      <t xml:space="preserve">net facility gain</t>
    </r>
    <r>
      <rPr>
        <sz val="9"/>
        <color rgb="FF243B53"/>
        <rFont val="Noto Sans CJK SC"/>
        <family val="2"/>
      </rPr>
      <t xml:space="preserve">不等于净上网电力</t>
    </r>
  </si>
  <si>
    <t xml:space="preserve">F022</t>
  </si>
  <si>
    <r>
      <rPr>
        <sz val="9"/>
        <color rgb="FF243B53"/>
        <rFont val="Aptos"/>
        <family val="0"/>
        <charset val="1"/>
      </rPr>
      <t xml:space="preserve">Pacific</t>
    </r>
    <r>
      <rPr>
        <sz val="9"/>
        <color rgb="FF243B53"/>
        <rFont val="Noto Sans CJK SC"/>
        <family val="2"/>
      </rPr>
      <t xml:space="preserve">示范系统单次聚变输出目标</t>
    </r>
  </si>
  <si>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目标</t>
    </r>
  </si>
  <si>
    <t xml:space="preserve">MJ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</si>
  <si>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100 MJ</t>
    </r>
    <r>
      <rPr>
        <sz val="9"/>
        <color rgb="FF243B53"/>
        <rFont val="Noto Sans CJK SC"/>
        <family val="2"/>
      </rPr>
      <t xml:space="preserve">能量，不是</t>
    </r>
    <r>
      <rPr>
        <sz val="9"/>
        <color rgb="FF243B53"/>
        <rFont val="Aptos"/>
        <family val="0"/>
        <charset val="1"/>
      </rPr>
      <t xml:space="preserve">100 MW</t>
    </r>
    <r>
      <rPr>
        <sz val="9"/>
        <color rgb="FF243B53"/>
        <rFont val="Noto Sans CJK SC"/>
        <family val="2"/>
      </rPr>
      <t xml:space="preserve">功率</t>
    </r>
  </si>
  <si>
    <t xml:space="preserve">F023</t>
  </si>
  <si>
    <r>
      <rPr>
        <sz val="9"/>
        <color rgb="FF243B53"/>
        <rFont val="Aptos"/>
        <family val="0"/>
        <charset val="1"/>
      </rPr>
      <t xml:space="preserve">Proxima 2026</t>
    </r>
    <r>
      <rPr>
        <sz val="9"/>
        <color rgb="FF243B53"/>
        <rFont val="Noto Sans CJK SC"/>
        <family val="2"/>
      </rPr>
      <t xml:space="preserve">年融资轮</t>
    </r>
  </si>
  <si>
    <t xml:space="preserve">Proxima Fusion</t>
  </si>
  <si>
    <t xml:space="preserve">百万欧元</t>
  </si>
  <si>
    <r>
      <rPr>
        <sz val="9"/>
        <color rgb="FF243B53"/>
        <rFont val="Aptos"/>
        <family val="0"/>
        <charset val="1"/>
      </rPr>
      <t xml:space="preserve">RWE</t>
    </r>
    <r>
      <rPr>
        <sz val="9"/>
        <color rgb="FF243B53"/>
        <rFont val="Noto Sans CJK SC"/>
        <family val="2"/>
      </rPr>
      <t xml:space="preserve">和</t>
    </r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为战略投资者</t>
    </r>
  </si>
  <si>
    <t xml:space="preserve">S22</t>
  </si>
  <si>
    <r>
      <rPr>
        <sz val="9"/>
        <color rgb="FF243B53"/>
        <rFont val="Aptos"/>
        <family val="0"/>
        <charset val="1"/>
      </rPr>
      <t xml:space="preserve">Proxima Fusion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年融资公告</t>
    </r>
  </si>
  <si>
    <t xml:space="preserve">2026-07-07</t>
  </si>
  <si>
    <r>
      <rPr>
        <sz val="9"/>
        <color rgb="FF243B53"/>
        <rFont val="Noto Sans CJK SC"/>
        <family val="2"/>
      </rPr>
      <t xml:space="preserve">首段及</t>
    </r>
    <r>
      <rPr>
        <sz val="9"/>
        <color rgb="FF243B53"/>
        <rFont val="Aptos"/>
        <family val="0"/>
        <charset val="1"/>
      </rPr>
      <t xml:space="preserve">From research to industrial execution</t>
    </r>
  </si>
  <si>
    <t xml:space="preserve">https://www.proximafusion.com/press-news/proxima-fusion-raises-eu411-million-to-build-europes-commercial-fusion-champion</t>
  </si>
  <si>
    <t xml:space="preserve">F024</t>
  </si>
  <si>
    <r>
      <rPr>
        <sz val="9"/>
        <color rgb="FF243B53"/>
        <rFont val="Aptos"/>
        <family val="0"/>
        <charset val="1"/>
      </rPr>
      <t xml:space="preserve">Proxima</t>
    </r>
    <r>
      <rPr>
        <sz val="9"/>
        <color rgb="FF243B53"/>
        <rFont val="Noto Sans CJK SC"/>
        <family val="2"/>
      </rPr>
      <t xml:space="preserve">累计资金（含公共补助）</t>
    </r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</si>
  <si>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6.5</t>
    </r>
    <r>
      <rPr>
        <sz val="9"/>
        <color rgb="FF243B53"/>
        <rFont val="Noto Sans CJK SC"/>
        <family val="2"/>
      </rPr>
      <t xml:space="preserve">亿欧元，含公共补助，不是纯私人股权</t>
    </r>
  </si>
  <si>
    <t xml:space="preserve">F025</t>
  </si>
  <si>
    <r>
      <rPr>
        <sz val="9"/>
        <color rgb="FF243B53"/>
        <rFont val="Aptos"/>
        <family val="0"/>
        <charset val="1"/>
      </rPr>
      <t xml:space="preserve">Proxima</t>
    </r>
    <r>
      <rPr>
        <sz val="9"/>
        <color rgb="FF243B53"/>
        <rFont val="Noto Sans CJK SC"/>
        <family val="2"/>
      </rPr>
      <t xml:space="preserve">累计公共补助</t>
    </r>
  </si>
  <si>
    <r>
      <rPr>
        <sz val="9"/>
        <color rgb="FF243B53"/>
        <rFont val="Noto Sans CJK SC"/>
        <family val="2"/>
      </rPr>
      <t xml:space="preserve">包含在</t>
    </r>
    <r>
      <rPr>
        <sz val="9"/>
        <color rgb="FF243B53"/>
        <rFont val="Aptos"/>
        <family val="0"/>
        <charset val="1"/>
      </rPr>
      <t xml:space="preserve">F024</t>
    </r>
    <r>
      <rPr>
        <sz val="9"/>
        <color rgb="FF243B53"/>
        <rFont val="Noto Sans CJK SC"/>
        <family val="2"/>
      </rPr>
      <t xml:space="preserve">中，不能重复相加</t>
    </r>
  </si>
  <si>
    <t xml:space="preserve">F026</t>
  </si>
  <si>
    <r>
      <rPr>
        <sz val="9"/>
        <color rgb="FF243B53"/>
        <rFont val="Aptos"/>
        <family val="0"/>
        <charset val="1"/>
      </rPr>
      <t xml:space="preserve">Proxima Alpha</t>
    </r>
    <r>
      <rPr>
        <sz val="9"/>
        <color rgb="FF243B53"/>
        <rFont val="Noto Sans CJK SC"/>
        <family val="2"/>
      </rPr>
      <t xml:space="preserve">净能量示范目标年代起点</t>
    </r>
  </si>
  <si>
    <r>
      <rPr>
        <sz val="9"/>
        <color rgb="FF243B53"/>
        <rFont val="Aptos"/>
        <family val="0"/>
        <charset val="1"/>
      </rPr>
      <t xml:space="preserve">Alpha</t>
    </r>
    <r>
      <rPr>
        <sz val="9"/>
        <color rgb="FF243B53"/>
        <rFont val="Noto Sans CJK SC"/>
        <family val="2"/>
      </rPr>
      <t xml:space="preserve">为示范装置；</t>
    </r>
    <r>
      <rPr>
        <sz val="9"/>
        <color rgb="FF243B53"/>
        <rFont val="Aptos"/>
        <family val="0"/>
        <charset val="1"/>
      </rPr>
      <t xml:space="preserve">Stellaris</t>
    </r>
    <r>
      <rPr>
        <sz val="9"/>
        <color rgb="FF243B53"/>
        <rFont val="Noto Sans CJK SC"/>
        <family val="2"/>
      </rPr>
      <t xml:space="preserve">计划在其后的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年代</t>
    </r>
  </si>
  <si>
    <t xml:space="preserve">T008</t>
  </si>
  <si>
    <t xml:space="preserve">科技用电</t>
  </si>
  <si>
    <t xml:space="preserve">日历年数据中心边界</t>
  </si>
  <si>
    <t xml:space="preserve">S27</t>
  </si>
  <si>
    <r>
      <rPr>
        <sz val="9"/>
        <color rgb="FF243B53"/>
        <rFont val="Aptos"/>
        <family val="0"/>
        <charset val="1"/>
      </rPr>
      <t xml:space="preserve">Alphabet 2026 Environmental Indicators Assurance Letter</t>
    </r>
    <r>
      <rPr>
        <sz val="9"/>
        <color rgb="FF243B53"/>
        <rFont val="Noto Sans CJK SC"/>
        <family val="2"/>
      </rPr>
      <t xml:space="preserve">（</t>
    </r>
    <r>
      <rPr>
        <sz val="9"/>
        <color rgb="FF243B53"/>
        <rFont val="Aptos"/>
        <family val="0"/>
        <charset val="1"/>
      </rPr>
      <t xml:space="preserve">FY2025</t>
    </r>
    <r>
      <rPr>
        <sz val="9"/>
        <color rgb="FF243B53"/>
        <rFont val="Noto Sans CJK SC"/>
        <family val="2"/>
      </rPr>
      <t xml:space="preserve">）</t>
    </r>
  </si>
  <si>
    <t xml:space="preserve">2026-06-19</t>
  </si>
  <si>
    <t xml:space="preserve">Appendix A Schedule of Electricity Consumption</t>
  </si>
  <si>
    <t xml:space="preserve">https://sustainability.google/files/6b09a7cbecbf228f4d30ad089301578eb599425e/alphabet-fy2025-environmental-indicators-assurance-letter.pdf</t>
  </si>
  <si>
    <t xml:space="preserve">T009</t>
  </si>
  <si>
    <t xml:space="preserve">全公司用电量</t>
  </si>
  <si>
    <t xml:space="preserve">包括数据中心及其他设施；不与数据中心用电混用</t>
  </si>
  <si>
    <t xml:space="preserve">T010</t>
  </si>
  <si>
    <t xml:space="preserve">可再生电力年度匹配比例</t>
  </si>
  <si>
    <r>
      <rPr>
        <sz val="9"/>
        <color rgb="FF243B53"/>
        <rFont val="Noto Sans CJK SC"/>
        <family val="2"/>
      </rPr>
      <t xml:space="preserve">年度全球口径，含合同、现场及电网可再生部分，不是</t>
    </r>
    <r>
      <rPr>
        <sz val="9"/>
        <color rgb="FF243B53"/>
        <rFont val="Aptos"/>
        <family val="0"/>
        <charset val="1"/>
      </rPr>
      <t xml:space="preserve">24/7</t>
    </r>
    <r>
      <rPr>
        <sz val="9"/>
        <color rgb="FF243B53"/>
        <rFont val="Noto Sans CJK SC"/>
        <family val="2"/>
      </rPr>
      <t xml:space="preserve">无碳供电</t>
    </r>
  </si>
  <si>
    <r>
      <rPr>
        <sz val="9"/>
        <color rgb="FF243B53"/>
        <rFont val="Aptos"/>
        <family val="0"/>
        <charset val="1"/>
      </rPr>
      <t xml:space="preserve">Appendix A Energy</t>
    </r>
    <r>
      <rPr>
        <sz val="9"/>
        <color rgb="FF243B53"/>
        <rFont val="Noto Sans CJK SC"/>
        <family val="2"/>
      </rPr>
      <t xml:space="preserve">方法及可再生电力表</t>
    </r>
  </si>
  <si>
    <t xml:space="preserve">T011</t>
  </si>
  <si>
    <r>
      <rPr>
        <sz val="9"/>
        <color rgb="FF243B53"/>
        <rFont val="Noto Sans CJK SC"/>
        <family val="2"/>
      </rPr>
      <t xml:space="preserve">由</t>
    </r>
    <r>
      <rPr>
        <sz val="9"/>
        <color rgb="FF243B53"/>
        <rFont val="Aptos"/>
        <family val="0"/>
        <charset val="1"/>
      </rPr>
      <t xml:space="preserve">180—190</t>
    </r>
    <r>
      <rPr>
        <sz val="9"/>
        <color rgb="FF243B53"/>
        <rFont val="Noto Sans CJK SC"/>
        <family val="2"/>
      </rPr>
      <t xml:space="preserve">十亿美元上调；主要是加快产能交付</t>
    </r>
  </si>
  <si>
    <t xml:space="preserve">S28</t>
  </si>
  <si>
    <t xml:space="preserve">Alphabet 2026 Q2 Earnings Call</t>
  </si>
  <si>
    <t xml:space="preserve">2026-07-22</t>
  </si>
  <si>
    <t xml:space="preserve">Outlook—Investments</t>
  </si>
  <si>
    <t xml:space="preserve">https://www.youtube.com/watch?v=LzExSq9DU9w</t>
  </si>
  <si>
    <t xml:space="preserve">T012</t>
  </si>
  <si>
    <t xml:space="preserve">与购置物业及设备实际现金支出口径分开</t>
  </si>
  <si>
    <t xml:space="preserve">T013</t>
  </si>
  <si>
    <r>
      <rPr>
        <sz val="9"/>
        <color rgb="FF243B53"/>
        <rFont val="Aptos"/>
        <family val="0"/>
        <charset val="1"/>
      </rPr>
      <t xml:space="preserve">Q2</t>
    </r>
    <r>
      <rPr>
        <sz val="9"/>
        <color rgb="FF243B53"/>
        <rFont val="Noto Sans CJK SC"/>
        <family val="2"/>
      </rPr>
      <t xml:space="preserve">技术基础设施投资中服务器占比</t>
    </r>
  </si>
  <si>
    <t xml:space="preserve">2026Q2</t>
  </si>
  <si>
    <r>
      <rPr>
        <sz val="9"/>
        <color rgb="FF243B53"/>
        <rFont val="Noto Sans CJK SC"/>
        <family val="2"/>
      </rPr>
      <t xml:space="preserve">约</t>
    </r>
    <r>
      <rPr>
        <sz val="9"/>
        <color rgb="FF243B53"/>
        <rFont val="Aptos"/>
        <family val="0"/>
        <charset val="1"/>
      </rPr>
      <t xml:space="preserve">60%</t>
    </r>
    <r>
      <rPr>
        <sz val="9"/>
        <color rgb="FF243B53"/>
        <rFont val="Noto Sans CJK SC"/>
        <family val="2"/>
      </rPr>
      <t xml:space="preserve">；说明资本开支不等于数据中心建筑支出</t>
    </r>
  </si>
  <si>
    <r>
      <rPr>
        <sz val="9"/>
        <color rgb="FF243B53"/>
        <rFont val="Aptos"/>
        <family val="0"/>
        <charset val="1"/>
      </rPr>
      <t xml:space="preserve">CFO</t>
    </r>
    <r>
      <rPr>
        <sz val="9"/>
        <color rgb="FF243B53"/>
        <rFont val="Noto Sans CJK SC"/>
        <family val="2"/>
      </rPr>
      <t xml:space="preserve">预备发言—</t>
    </r>
    <r>
      <rPr>
        <sz val="9"/>
        <color rgb="FF243B53"/>
        <rFont val="Aptos"/>
        <family val="0"/>
        <charset val="1"/>
      </rPr>
      <t xml:space="preserve">Investments</t>
    </r>
  </si>
  <si>
    <t xml:space="preserve">T014</t>
  </si>
  <si>
    <r>
      <rPr>
        <sz val="9"/>
        <color rgb="FF243B53"/>
        <rFont val="Aptos"/>
        <family val="0"/>
        <charset val="1"/>
      </rPr>
      <t xml:space="preserve">Q2</t>
    </r>
    <r>
      <rPr>
        <sz val="9"/>
        <color rgb="FF243B53"/>
        <rFont val="Noto Sans CJK SC"/>
        <family val="2"/>
      </rPr>
      <t xml:space="preserve">技术基础设施投资中数据中心及网络占比</t>
    </r>
  </si>
  <si>
    <r>
      <rPr>
        <sz val="9"/>
        <color rgb="FF243B53"/>
        <rFont val="Noto Sans CJK SC"/>
        <family val="2"/>
      </rPr>
      <t xml:space="preserve">约</t>
    </r>
    <r>
      <rPr>
        <sz val="9"/>
        <color rgb="FF243B53"/>
        <rFont val="Aptos"/>
        <family val="0"/>
        <charset val="1"/>
      </rPr>
      <t xml:space="preserve">40%</t>
    </r>
    <r>
      <rPr>
        <sz val="9"/>
        <color rgb="FF243B53"/>
        <rFont val="Noto Sans CJK SC"/>
        <family val="2"/>
      </rPr>
      <t xml:space="preserve">；与服务器合计为技术基础设施部分</t>
    </r>
  </si>
  <si>
    <t xml:space="preserve">T015</t>
  </si>
  <si>
    <r>
      <rPr>
        <sz val="9"/>
        <color rgb="FF243B53"/>
        <rFont val="Aptos"/>
        <family val="0"/>
        <charset val="1"/>
      </rPr>
      <t xml:space="preserve">FY2025</t>
    </r>
    <r>
      <rPr>
        <sz val="9"/>
        <color rgb="FF243B53"/>
        <rFont val="Noto Sans CJK SC"/>
        <family val="2"/>
      </rPr>
      <t xml:space="preserve">（截至</t>
    </r>
    <r>
      <rPr>
        <sz val="9"/>
        <color rgb="FF243B53"/>
        <rFont val="Aptos"/>
        <family val="0"/>
        <charset val="1"/>
      </rPr>
      <t xml:space="preserve">2025-06-30</t>
    </r>
    <r>
      <rPr>
        <sz val="9"/>
        <color rgb="FF243B53"/>
        <rFont val="Noto Sans CJK SC"/>
        <family val="2"/>
      </rPr>
      <t xml:space="preserve">）</t>
    </r>
  </si>
  <si>
    <t xml:space="preserve">全公司边界，不是数据中心单独用电</t>
  </si>
  <si>
    <t xml:space="preserve">S30</t>
  </si>
  <si>
    <r>
      <rPr>
        <sz val="9"/>
        <color rgb="FF243B53"/>
        <rFont val="Aptos"/>
        <family val="0"/>
        <charset val="1"/>
      </rPr>
      <t xml:space="preserve">Microsoft 2026 Environmental Data Fact Sheet</t>
    </r>
    <r>
      <rPr>
        <sz val="9"/>
        <color rgb="FF243B53"/>
        <rFont val="Noto Sans CJK SC"/>
        <family val="2"/>
      </rPr>
      <t xml:space="preserve">（</t>
    </r>
    <r>
      <rPr>
        <sz val="9"/>
        <color rgb="FF243B53"/>
        <rFont val="Aptos"/>
        <family val="0"/>
        <charset val="1"/>
      </rPr>
      <t xml:space="preserve">FY2025</t>
    </r>
    <r>
      <rPr>
        <sz val="9"/>
        <color rgb="FF243B53"/>
        <rFont val="Noto Sans CJK SC"/>
        <family val="2"/>
      </rPr>
      <t xml:space="preserve">）</t>
    </r>
  </si>
  <si>
    <t xml:space="preserve">2026-07-09</t>
  </si>
  <si>
    <t xml:space="preserve">Table 5 Energy consumption within the organization</t>
  </si>
  <si>
    <t xml:space="preserve">https://cdn-dynmedia-1.microsoft.com/is/content/microsoftcorp/microsoft/msc/documents/presentations/CSR/2026-Microsoft-Environmental-Data-Fact-Sheet-PDF.pdf</t>
  </si>
  <si>
    <t xml:space="preserve">T016</t>
  </si>
  <si>
    <t xml:space="preserve">直接可再生电力比例</t>
  </si>
  <si>
    <t xml:space="preserve">FY2025</t>
  </si>
  <si>
    <r>
      <rPr>
        <sz val="9"/>
        <color rgb="FF243B53"/>
        <rFont val="Noto Sans CJK SC"/>
        <family val="2"/>
      </rPr>
      <t xml:space="preserve">含现场、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、绿色电力、环境属性合同和电网</t>
    </r>
    <r>
      <rPr>
        <sz val="9"/>
        <color rgb="FF243B53"/>
        <rFont val="Aptos"/>
        <family val="0"/>
        <charset val="1"/>
      </rPr>
      <t xml:space="preserve">mix</t>
    </r>
    <r>
      <rPr>
        <sz val="9"/>
        <color rgb="FF243B53"/>
        <rFont val="Noto Sans CJK SC"/>
        <family val="2"/>
      </rPr>
      <t xml:space="preserve">；不是</t>
    </r>
    <r>
      <rPr>
        <sz val="9"/>
        <color rgb="FF243B53"/>
        <rFont val="Aptos"/>
        <family val="0"/>
        <charset val="1"/>
      </rPr>
      <t xml:space="preserve">24/7</t>
    </r>
    <r>
      <rPr>
        <sz val="9"/>
        <color rgb="FF243B53"/>
        <rFont val="Noto Sans CJK SC"/>
        <family val="2"/>
      </rPr>
      <t xml:space="preserve">口径</t>
    </r>
  </si>
  <si>
    <t xml:space="preserve">Table 6 Renewable energy metrics</t>
  </si>
  <si>
    <t xml:space="preserve">T017</t>
  </si>
  <si>
    <r>
      <rPr>
        <sz val="9"/>
        <color rgb="FF243B53"/>
        <rFont val="Noto Sans CJK SC"/>
        <family val="2"/>
      </rPr>
      <t xml:space="preserve">日历年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资本开支预期</t>
    </r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</si>
  <si>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日历年</t>
    </r>
  </si>
  <si>
    <t xml:space="preserve">约数；受融资租赁转经营租赁影响，经营租赁不计入资本开支</t>
  </si>
  <si>
    <t xml:space="preserve">S29</t>
  </si>
  <si>
    <t xml:space="preserve">Microsoft FY2026 Q4 Earnings Conference Call</t>
  </si>
  <si>
    <t xml:space="preserve">Outlook—Capital expenditures / useful-life update</t>
  </si>
  <si>
    <t xml:space="preserve">https://www.microsoft.com/en-us/investor/events/fy-2026/earnings-fy-2026-q4</t>
  </si>
  <si>
    <t xml:space="preserve">T018</t>
  </si>
  <si>
    <r>
      <rPr>
        <sz val="9"/>
        <color rgb="FF243B53"/>
        <rFont val="Noto Sans CJK SC"/>
        <family val="2"/>
      </rPr>
      <t xml:space="preserve">全球数据中心</t>
    </r>
    <r>
      <rPr>
        <sz val="9"/>
        <color rgb="FF243B53"/>
        <rFont val="Aptos"/>
        <family val="0"/>
        <charset val="1"/>
      </rPr>
      <t xml:space="preserve">PUE</t>
    </r>
  </si>
  <si>
    <r>
      <rPr>
        <sz val="9"/>
        <color rgb="FF243B53"/>
        <rFont val="Noto Sans CJK SC"/>
        <family val="2"/>
      </rPr>
      <t xml:space="preserve">全球数据中心总设施能耗</t>
    </r>
    <r>
      <rPr>
        <sz val="9"/>
        <color rgb="FF243B53"/>
        <rFont val="Aptos"/>
        <family val="0"/>
        <charset val="1"/>
      </rPr>
      <t xml:space="preserve">/IT</t>
    </r>
    <r>
      <rPr>
        <sz val="9"/>
        <color rgb="FF243B53"/>
        <rFont val="Noto Sans CJK SC"/>
        <family val="2"/>
      </rPr>
      <t xml:space="preserve">能耗</t>
    </r>
  </si>
  <si>
    <t xml:space="preserve">S31</t>
  </si>
  <si>
    <t xml:space="preserve">Amazon 2025 Sustainability Report</t>
  </si>
  <si>
    <t xml:space="preserve">2026-10-16</t>
  </si>
  <si>
    <t xml:space="preserve">Climate and Energy—Data center efficiency</t>
  </si>
  <si>
    <t xml:space="preserve">https://sustainability.aboutamazon.com/2025-amazon-sustainability-report.pdf</t>
  </si>
  <si>
    <t xml:space="preserve">T019</t>
  </si>
  <si>
    <t xml:space="preserve">可再生能源项目预期容量</t>
  </si>
  <si>
    <t xml:space="preserve">项目全部运行后的预期容量，不是年用电量或当年实际发电量</t>
  </si>
  <si>
    <t xml:space="preserve">Data Tables—Renewable energy project portfolio</t>
  </si>
  <si>
    <t xml:space="preserve">T020</t>
  </si>
  <si>
    <r>
      <rPr>
        <sz val="9"/>
        <color rgb="FF243B53"/>
        <rFont val="Aptos"/>
        <family val="0"/>
        <charset val="1"/>
      </rPr>
      <t xml:space="preserve">Amazon</t>
    </r>
    <r>
      <rPr>
        <sz val="9"/>
        <color rgb="FF243B53"/>
        <rFont val="Noto Sans CJK SC"/>
        <family val="2"/>
      </rPr>
      <t xml:space="preserve">全球运营</t>
    </r>
  </si>
  <si>
    <r>
      <rPr>
        <sz val="9"/>
        <color rgb="FF243B53"/>
        <rFont val="Noto Sans CJK SC"/>
        <family val="2"/>
      </rPr>
      <t xml:space="preserve">全球运营边界，含零售和履约；不是</t>
    </r>
    <r>
      <rPr>
        <sz val="9"/>
        <color rgb="FF243B53"/>
        <rFont val="Aptos"/>
        <family val="0"/>
        <charset val="1"/>
      </rPr>
      <t xml:space="preserve">AWS</t>
    </r>
    <r>
      <rPr>
        <sz val="9"/>
        <color rgb="FF243B53"/>
        <rFont val="Noto Sans CJK SC"/>
        <family val="2"/>
      </rPr>
      <t xml:space="preserve">单独或</t>
    </r>
    <r>
      <rPr>
        <sz val="9"/>
        <color rgb="FF243B53"/>
        <rFont val="Aptos"/>
        <family val="0"/>
        <charset val="1"/>
      </rPr>
      <t xml:space="preserve">24/7</t>
    </r>
    <r>
      <rPr>
        <sz val="9"/>
        <color rgb="FF243B53"/>
        <rFont val="Noto Sans CJK SC"/>
        <family val="2"/>
      </rPr>
      <t xml:space="preserve">口径</t>
    </r>
  </si>
  <si>
    <t xml:space="preserve">Climate and Energy—Renewable energy matching</t>
  </si>
  <si>
    <t xml:space="preserve">假设与模型｜修改黄色格，蓝色格自动更新</t>
  </si>
  <si>
    <r>
      <rPr>
        <sz val="10"/>
        <color rgb="FF243B53"/>
        <rFont val="Noto Sans CJK SC"/>
        <family val="2"/>
      </rPr>
      <t xml:space="preserve">示例仅用于理解功率、电量、电费与损失的关系；不代表</t>
    </r>
    <r>
      <rPr>
        <sz val="10"/>
        <color rgb="FF243B53"/>
        <rFont val="Aptos"/>
        <family val="0"/>
        <charset val="1"/>
      </rPr>
      <t xml:space="preserve">Meta</t>
    </r>
    <r>
      <rPr>
        <sz val="10"/>
        <color rgb="FF243B53"/>
        <rFont val="Noto Sans CJK SC"/>
        <family val="2"/>
      </rPr>
      <t xml:space="preserve">实际项目，不是电价预测或投资模型。</t>
    </r>
  </si>
  <si>
    <r>
      <rPr>
        <b val="true"/>
        <sz val="10"/>
        <color rgb="FFFFFFFF"/>
        <rFont val="Noto Sans CJK SC"/>
        <family val="2"/>
      </rPr>
      <t xml:space="preserve">参数</t>
    </r>
    <r>
      <rPr>
        <b val="true"/>
        <sz val="10"/>
        <color rgb="FFFFFFFF"/>
        <rFont val="Aptos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</si>
  <si>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参数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结果</t>
    </r>
  </si>
  <si>
    <t xml:space="preserve">输入值或公式结果</t>
  </si>
  <si>
    <t xml:space="preserve">A001</t>
  </si>
  <si>
    <r>
      <rPr>
        <sz val="10"/>
        <color rgb="FF243B53"/>
        <rFont val="Noto Sans CJK SC"/>
        <family val="2"/>
      </rPr>
      <t xml:space="preserve">示例数据中心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</t>
    </r>
  </si>
  <si>
    <t xml:space="preserve">假设</t>
  </si>
  <si>
    <r>
      <rPr>
        <sz val="10"/>
        <color rgb="FF243B53"/>
        <rFont val="Noto Sans CJK SC"/>
        <family val="2"/>
      </rPr>
      <t xml:space="preserve">本研究假设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计算参数</t>
    </r>
  </si>
  <si>
    <r>
      <rPr>
        <sz val="10"/>
        <color rgb="FF243B53"/>
        <rFont val="Noto Sans CJK SC"/>
        <family val="2"/>
      </rPr>
      <t xml:space="preserve">纯示例，不代表</t>
    </r>
    <r>
      <rPr>
        <sz val="10"/>
        <color rgb="FF243B53"/>
        <rFont val="Aptos"/>
        <family val="0"/>
        <charset val="1"/>
      </rPr>
      <t xml:space="preserve">Meta</t>
    </r>
    <r>
      <rPr>
        <sz val="10"/>
        <color rgb="FF243B53"/>
        <rFont val="Noto Sans CJK SC"/>
        <family val="2"/>
      </rPr>
      <t xml:space="preserve">或任何具体公司的实际负载。</t>
    </r>
  </si>
  <si>
    <t xml:space="preserve">A002</t>
  </si>
  <si>
    <t xml:space="preserve">示例年平均负载率</t>
  </si>
  <si>
    <r>
      <rPr>
        <sz val="10"/>
        <color rgb="FF243B53"/>
        <rFont val="Noto Sans CJK SC"/>
        <family val="2"/>
      </rPr>
      <t xml:space="preserve">实际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负载相对额定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负载的年平均比例。</t>
    </r>
  </si>
  <si>
    <t xml:space="preserve">A003</t>
  </si>
  <si>
    <r>
      <rPr>
        <sz val="10"/>
        <color rgb="FF243B53"/>
        <rFont val="Noto Sans CJK SC"/>
        <family val="2"/>
      </rPr>
      <t xml:space="preserve">示例</t>
    </r>
    <r>
      <rPr>
        <sz val="10"/>
        <color rgb="FF243B53"/>
        <rFont val="Aptos"/>
        <family val="0"/>
        <charset val="1"/>
      </rPr>
      <t xml:space="preserve">PUE</t>
    </r>
  </si>
  <si>
    <r>
      <rPr>
        <sz val="10"/>
        <color rgb="FF243B53"/>
        <rFont val="Noto Sans CJK SC"/>
        <family val="2"/>
      </rPr>
      <t xml:space="preserve">总设施功率</t>
    </r>
    <r>
      <rPr>
        <sz val="10"/>
        <color rgb="FF243B53"/>
        <rFont val="Aptos"/>
        <family val="0"/>
        <charset val="1"/>
      </rPr>
      <t xml:space="preserve">/IT</t>
    </r>
    <r>
      <rPr>
        <sz val="10"/>
        <color rgb="FF243B53"/>
        <rFont val="Noto Sans CJK SC"/>
        <family val="2"/>
      </rPr>
      <t xml:space="preserve">功率；接近</t>
    </r>
    <r>
      <rPr>
        <sz val="10"/>
        <color rgb="FF243B53"/>
        <rFont val="Aptos"/>
        <family val="0"/>
        <charset val="1"/>
      </rPr>
      <t xml:space="preserve">IEA 2030</t>
    </r>
    <r>
      <rPr>
        <sz val="10"/>
        <color rgb="FF243B53"/>
        <rFont val="Noto Sans CJK SC"/>
        <family val="2"/>
      </rPr>
      <t xml:space="preserve">平均预测但不是任何公司的实际值。</t>
    </r>
  </si>
  <si>
    <t xml:space="preserve">A004</t>
  </si>
  <si>
    <t xml:space="preserve">示例综合电价</t>
  </si>
  <si>
    <r>
      <rPr>
        <sz val="10"/>
        <color rgb="FF243B53"/>
        <rFont val="Noto Sans CJK SC"/>
        <family val="2"/>
      </rPr>
      <t xml:space="preserve">仅用于敏感性演算，不是</t>
    </r>
    <r>
      <rPr>
        <sz val="10"/>
        <color rgb="FF243B53"/>
        <rFont val="Aptos"/>
        <family val="0"/>
        <charset val="1"/>
      </rPr>
      <t xml:space="preserve">PPA</t>
    </r>
    <r>
      <rPr>
        <sz val="10"/>
        <color rgb="FF243B53"/>
        <rFont val="Noto Sans CJK SC"/>
        <family val="2"/>
      </rPr>
      <t xml:space="preserve">报价、电价预测或投资建议。</t>
    </r>
  </si>
  <si>
    <t xml:space="preserve">A005</t>
  </si>
  <si>
    <t xml:space="preserve">示例输配电及厂用损失率</t>
  </si>
  <si>
    <t xml:space="preserve">用于从数据中心表计电量折算发电侧需求。</t>
  </si>
  <si>
    <t xml:space="preserve">A006</t>
  </si>
  <si>
    <t xml:space="preserve">示例全年小时数</t>
  </si>
  <si>
    <t xml:space="preserve">小时</t>
  </si>
  <si>
    <t xml:space="preserve">计算参数</t>
  </si>
  <si>
    <r>
      <rPr>
        <sz val="10"/>
        <color rgb="FF243B53"/>
        <rFont val="Noto Sans CJK SC"/>
        <family val="2"/>
      </rPr>
      <t xml:space="preserve">非闰年示例；不用于</t>
    </r>
    <r>
      <rPr>
        <sz val="10"/>
        <color rgb="FF243B53"/>
        <rFont val="Aptos"/>
        <family val="0"/>
        <charset val="1"/>
      </rPr>
      <t xml:space="preserve">Meta 2024</t>
    </r>
    <r>
      <rPr>
        <sz val="10"/>
        <color rgb="FF243B53"/>
        <rFont val="Noto Sans CJK SC"/>
        <family val="2"/>
      </rPr>
      <t xml:space="preserve">闰年平均功率。</t>
    </r>
  </si>
  <si>
    <t xml:space="preserve">A007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</si>
  <si>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需求低情景乘数</t>
    </r>
  </si>
  <si>
    <r>
      <rPr>
        <sz val="10"/>
        <color rgb="FF243B53"/>
        <rFont val="Noto Sans CJK SC"/>
        <family val="2"/>
      </rPr>
      <t xml:space="preserve">乘以</t>
    </r>
    <r>
      <rPr>
        <sz val="10"/>
        <color rgb="FF243B53"/>
        <rFont val="Aptos"/>
        <family val="0"/>
        <charset val="1"/>
      </rPr>
      <t xml:space="preserve">IEA 950 TWh</t>
    </r>
    <r>
      <rPr>
        <sz val="10"/>
        <color rgb="FF243B53"/>
        <rFont val="Noto Sans CJK SC"/>
        <family val="2"/>
      </rPr>
      <t xml:space="preserve">中央预测，属于本研究敏感性，不是</t>
    </r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情景。</t>
    </r>
  </si>
  <si>
    <t xml:space="preserve">A008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</si>
  <si>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需求高情景乘数</t>
    </r>
  </si>
  <si>
    <t xml:space="preserve">A009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</si>
  <si>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聚变供电基准假设</t>
    </r>
  </si>
  <si>
    <r>
      <rPr>
        <sz val="10"/>
        <color rgb="FF243B53"/>
        <rFont val="Noto Sans CJK SC"/>
        <family val="2"/>
      </rPr>
      <t xml:space="preserve">基准不预设商业聚变供电；未来</t>
    </r>
    <r>
      <rPr>
        <sz val="10"/>
        <color rgb="FF243B53"/>
        <rFont val="Aptos"/>
        <family val="0"/>
        <charset val="1"/>
      </rPr>
      <t xml:space="preserve">PPA</t>
    </r>
    <r>
      <rPr>
        <sz val="10"/>
        <color rgb="FF243B53"/>
        <rFont val="Noto Sans CJK SC"/>
        <family val="2"/>
      </rPr>
      <t xml:space="preserve">单独列示，非预测聚变必然为零。</t>
    </r>
  </si>
  <si>
    <t xml:space="preserve">A010</t>
  </si>
  <si>
    <r>
      <rPr>
        <sz val="10"/>
        <color rgb="FF243B53"/>
        <rFont val="Aptos"/>
        <family val="0"/>
        <charset val="1"/>
      </rPr>
      <t xml:space="preserve">Meta 2024</t>
    </r>
    <r>
      <rPr>
        <sz val="10"/>
        <color rgb="FF243B53"/>
        <rFont val="Noto Sans CJK SC"/>
        <family val="2"/>
      </rPr>
      <t xml:space="preserve">全年小时数</t>
    </r>
  </si>
  <si>
    <r>
      <rPr>
        <sz val="10"/>
        <color rgb="FF243B53"/>
        <rFont val="Aptos"/>
        <family val="0"/>
        <charset val="1"/>
      </rPr>
      <t xml:space="preserve">2024</t>
    </r>
    <r>
      <rPr>
        <sz val="10"/>
        <color rgb="FF243B53"/>
        <rFont val="Noto Sans CJK SC"/>
        <family val="2"/>
      </rPr>
      <t xml:space="preserve">为闰年，用于年度电量折算平均功率。</t>
    </r>
  </si>
  <si>
    <t xml:space="preserve">A011</t>
  </si>
  <si>
    <r>
      <rPr>
        <sz val="10"/>
        <color rgb="FF243B53"/>
        <rFont val="Aptos"/>
        <family val="0"/>
        <charset val="1"/>
      </rPr>
      <t xml:space="preserve">2024</t>
    </r>
    <r>
      <rPr>
        <sz val="10"/>
        <color rgb="FF243B53"/>
        <rFont val="Noto Sans CJK SC"/>
        <family val="2"/>
      </rPr>
      <t xml:space="preserve">聚变供电展示值</t>
    </r>
  </si>
  <si>
    <t xml:space="preserve">展示假设</t>
  </si>
  <si>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物理供电结构未单列商业聚变；网页以</t>
    </r>
    <r>
      <rPr>
        <sz val="10"/>
        <color rgb="FF243B53"/>
        <rFont val="Aptos"/>
        <family val="0"/>
        <charset val="1"/>
      </rPr>
      <t xml:space="preserve">0</t>
    </r>
    <r>
      <rPr>
        <sz val="10"/>
        <color rgb="FF243B53"/>
        <rFont val="Noto Sans CJK SC"/>
        <family val="2"/>
      </rPr>
      <t xml:space="preserve">作展示，不代表实验装置没有聚变能量。</t>
    </r>
  </si>
  <si>
    <r>
      <rPr>
        <b val="true"/>
        <sz val="12"/>
        <color rgb="FF102A43"/>
        <rFont val="Noto Sans CJK SC"/>
        <family val="2"/>
      </rPr>
      <t xml:space="preserve">公式结果｜</t>
    </r>
    <r>
      <rPr>
        <b val="true"/>
        <sz val="12"/>
        <color rgb="FF102A43"/>
        <rFont val="Aptos"/>
        <family val="0"/>
        <charset val="1"/>
      </rPr>
      <t xml:space="preserve">100 MW</t>
    </r>
    <r>
      <rPr>
        <b val="true"/>
        <sz val="12"/>
        <color rgb="FF102A43"/>
        <rFont val="Noto Sans CJK SC"/>
        <family val="2"/>
      </rPr>
      <t xml:space="preserve">示例负载与</t>
    </r>
    <r>
      <rPr>
        <b val="true"/>
        <sz val="12"/>
        <color rgb="FF102A43"/>
        <rFont val="Aptos"/>
        <family val="0"/>
        <charset val="1"/>
      </rPr>
      <t xml:space="preserve">2030</t>
    </r>
    <r>
      <rPr>
        <b val="true"/>
        <sz val="12"/>
        <color rgb="FF102A43"/>
        <rFont val="Noto Sans CJK SC"/>
        <family val="2"/>
      </rPr>
      <t xml:space="preserve">敏感性</t>
    </r>
  </si>
  <si>
    <t xml:space="preserve">R001</t>
  </si>
  <si>
    <r>
      <rPr>
        <sz val="10"/>
        <color rgb="FF243B53"/>
        <rFont val="Noto Sans CJK SC"/>
        <family val="2"/>
      </rPr>
      <t xml:space="preserve">示例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年用电量</t>
    </r>
  </si>
  <si>
    <r>
      <rPr>
        <sz val="10"/>
        <color rgb="FF243B53"/>
        <rFont val="Noto Sans CJK SC"/>
        <family val="2"/>
      </rPr>
      <t xml:space="preserve">本研究公式；外部输入见对应参数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数据明细</t>
    </r>
  </si>
  <si>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负载率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全年小时；不含制冷等 </t>
    </r>
    <r>
      <rPr>
        <sz val="10"/>
        <color rgb="FF243B53"/>
        <rFont val="Aptos"/>
        <family val="0"/>
        <charset val="1"/>
      </rPr>
      <t xml:space="preserve">overhead</t>
    </r>
    <r>
      <rPr>
        <sz val="10"/>
        <color rgb="FF243B53"/>
        <rFont val="Noto Sans CJK SC"/>
        <family val="2"/>
      </rPr>
      <t xml:space="preserve">。</t>
    </r>
  </si>
  <si>
    <t xml:space="preserve">R002</t>
  </si>
  <si>
    <t xml:space="preserve">示例设施总功率</t>
  </si>
  <si>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</t>
    </r>
    <r>
      <rPr>
        <sz val="10"/>
        <color rgb="FF243B53"/>
        <rFont val="Aptos"/>
        <family val="0"/>
        <charset val="1"/>
      </rPr>
      <t xml:space="preserve">×PUE</t>
    </r>
    <r>
      <rPr>
        <sz val="10"/>
        <color rgb="FF243B53"/>
        <rFont val="Noto Sans CJK SC"/>
        <family val="2"/>
      </rPr>
      <t xml:space="preserve">。</t>
    </r>
  </si>
  <si>
    <t xml:space="preserve">R003</t>
  </si>
  <si>
    <t xml:space="preserve">示例数据中心表计年用电量</t>
  </si>
  <si>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负载</t>
    </r>
    <r>
      <rPr>
        <sz val="10"/>
        <color rgb="FF243B53"/>
        <rFont val="Aptos"/>
        <family val="0"/>
        <charset val="1"/>
      </rPr>
      <t xml:space="preserve">×PUE×</t>
    </r>
    <r>
      <rPr>
        <sz val="10"/>
        <color rgb="FF243B53"/>
        <rFont val="Noto Sans CJK SC"/>
        <family val="2"/>
      </rPr>
      <t xml:space="preserve">负载率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小时。</t>
    </r>
  </si>
  <si>
    <t xml:space="preserve">R004</t>
  </si>
  <si>
    <r>
      <rPr>
        <sz val="10"/>
        <color rgb="FF243B53"/>
        <rFont val="Noto Sans CJK SC"/>
        <family val="2"/>
      </rPr>
      <t xml:space="preserve">示例非</t>
    </r>
    <r>
      <rPr>
        <sz val="10"/>
        <color rgb="FF243B53"/>
        <rFont val="Aptos"/>
        <family val="0"/>
        <charset val="1"/>
      </rPr>
      <t xml:space="preserve">IT overhead</t>
    </r>
    <r>
      <rPr>
        <sz val="10"/>
        <color rgb="FF243B53"/>
        <rFont val="Noto Sans CJK SC"/>
        <family val="2"/>
      </rPr>
      <t xml:space="preserve">年用电量</t>
    </r>
  </si>
  <si>
    <r>
      <rPr>
        <sz val="10"/>
        <color rgb="FF243B53"/>
        <rFont val="Noto Sans CJK SC"/>
        <family val="2"/>
      </rPr>
      <t xml:space="preserve">表计总电量减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电量。</t>
    </r>
  </si>
  <si>
    <t xml:space="preserve">R005</t>
  </si>
  <si>
    <t xml:space="preserve">示例发电侧所需电量</t>
  </si>
  <si>
    <r>
      <rPr>
        <sz val="10"/>
        <color rgb="FF243B53"/>
        <rFont val="Noto Sans CJK SC"/>
        <family val="2"/>
      </rPr>
      <t xml:space="preserve">表计电量</t>
    </r>
    <r>
      <rPr>
        <sz val="10"/>
        <color rgb="FF243B53"/>
        <rFont val="Aptos"/>
        <family val="0"/>
        <charset val="1"/>
      </rPr>
      <t xml:space="preserve">÷(1-</t>
    </r>
    <r>
      <rPr>
        <sz val="10"/>
        <color rgb="FF243B53"/>
        <rFont val="Noto Sans CJK SC"/>
        <family val="2"/>
      </rPr>
      <t xml:space="preserve">损失率</t>
    </r>
    <r>
      <rPr>
        <sz val="10"/>
        <color rgb="FF243B53"/>
        <rFont val="Aptos"/>
        <family val="0"/>
        <charset val="1"/>
      </rPr>
      <t xml:space="preserve">)</t>
    </r>
    <r>
      <rPr>
        <sz val="10"/>
        <color rgb="FF243B53"/>
        <rFont val="Noto Sans CJK SC"/>
        <family val="2"/>
      </rPr>
      <t xml:space="preserve">。</t>
    </r>
  </si>
  <si>
    <t xml:space="preserve">R006</t>
  </si>
  <si>
    <t xml:space="preserve">示例年度电费</t>
  </si>
  <si>
    <r>
      <rPr>
        <sz val="10"/>
        <color rgb="FF243B53"/>
        <rFont val="Aptos"/>
        <family val="0"/>
        <charset val="1"/>
      </rPr>
      <t xml:space="preserve">TWh×USD/MWh</t>
    </r>
    <r>
      <rPr>
        <sz val="10"/>
        <color rgb="FF243B53"/>
        <rFont val="Noto Sans CJK SC"/>
        <family val="2"/>
      </rPr>
      <t xml:space="preserve">，数值恰为百万美元；不含容量费、税费和并网固定费。</t>
    </r>
  </si>
  <si>
    <t xml:space="preserve">R007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</si>
  <si>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低情景用电</t>
    </r>
  </si>
  <si>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中央预测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本研究低情景乘数。</t>
    </r>
  </si>
  <si>
    <t xml:space="preserve">R008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</si>
  <si>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中央情景用电</t>
    </r>
  </si>
  <si>
    <r>
      <rPr>
        <sz val="10"/>
        <color rgb="FF243B53"/>
        <rFont val="Aptos"/>
        <family val="0"/>
        <charset val="1"/>
      </rPr>
      <t xml:space="preserve">IEA 2026</t>
    </r>
    <r>
      <rPr>
        <sz val="10"/>
        <color rgb="FF243B53"/>
        <rFont val="Noto Sans CJK SC"/>
        <family val="2"/>
      </rPr>
      <t xml:space="preserve">中央预测。</t>
    </r>
  </si>
  <si>
    <t xml:space="preserve">R009</t>
  </si>
  <si>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高情景用电</t>
    </r>
  </si>
  <si>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中央预测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本研究高情景乘数。</t>
    </r>
  </si>
  <si>
    <t xml:space="preserve">R010</t>
  </si>
  <si>
    <t xml:space="preserve">基准不预设商业聚变；不是断言聚变一定为零。</t>
  </si>
  <si>
    <t xml:space="preserve">来源索引｜一条来源，多处引用</t>
  </si>
  <si>
    <r>
      <rPr>
        <sz val="10"/>
        <color rgb="FF243B53"/>
        <rFont val="Noto Sans CJK SC"/>
        <family val="2"/>
      </rPr>
      <t xml:space="preserve">网络资料访问日期均为</t>
    </r>
    <r>
      <rPr>
        <sz val="10"/>
        <color rgb="FF243B53"/>
        <rFont val="Aptos"/>
        <family val="0"/>
        <charset val="1"/>
      </rPr>
      <t xml:space="preserve">2026-10-22</t>
    </r>
    <r>
      <rPr>
        <sz val="10"/>
        <color rgb="FF243B53"/>
        <rFont val="Noto Sans CJK SC"/>
        <family val="2"/>
      </rPr>
      <t xml:space="preserve">；网页成品中仅展示来源名称和日期，不放可点击外部链接。</t>
    </r>
  </si>
  <si>
    <t xml:space="preserve">类型</t>
  </si>
  <si>
    <t xml:space="preserve">常用定位</t>
  </si>
  <si>
    <r>
      <rPr>
        <b val="true"/>
        <sz val="10"/>
        <color rgb="FFFFFFFF"/>
        <rFont val="Noto Sans CJK SC"/>
        <family val="2"/>
      </rPr>
      <t xml:space="preserve">网址</t>
    </r>
    <r>
      <rPr>
        <b val="true"/>
        <sz val="10"/>
        <color rgb="FFFFFFFF"/>
        <rFont val="Aptos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原始文件</t>
    </r>
  </si>
  <si>
    <t xml:space="preserve">版本与口径备注</t>
  </si>
  <si>
    <t xml:space="preserve">机构报告</t>
  </si>
  <si>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年基准情景；全球发电侧</t>
    </r>
    <r>
      <rPr>
        <sz val="9"/>
        <color rgb="FF243B53"/>
        <rFont val="Aptos"/>
        <family val="0"/>
        <charset val="1"/>
      </rPr>
      <t xml:space="preserve">/</t>
    </r>
    <r>
      <rPr>
        <sz val="9"/>
        <color rgb="FF243B53"/>
        <rFont val="Noto Sans CJK SC"/>
        <family val="2"/>
      </rPr>
      <t xml:space="preserve">用电侧口径按具体数据行区分。</t>
    </r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</si>
  <si>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年更新；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</t>
    </r>
    <r>
      <rPr>
        <sz val="9"/>
        <color rgb="FF243B53"/>
        <rFont val="Aptos"/>
        <family val="0"/>
        <charset val="1"/>
      </rPr>
      <t xml:space="preserve">950 TWh</t>
    </r>
    <r>
      <rPr>
        <sz val="9"/>
        <color rgb="FF243B53"/>
        <rFont val="Noto Sans CJK SC"/>
        <family val="2"/>
      </rPr>
      <t xml:space="preserve">为最新中央预测。</t>
    </r>
  </si>
  <si>
    <t xml:space="preserve">原始财报</t>
  </si>
  <si>
    <r>
      <rPr>
        <sz val="9"/>
        <color rgb="FF243B53"/>
        <rFont val="Aptos"/>
        <family val="0"/>
        <charset val="1"/>
      </rPr>
      <t xml:space="preserve">MD&amp;A</t>
    </r>
    <r>
      <rPr>
        <sz val="9"/>
        <color rgb="FF243B53"/>
        <rFont val="Noto Sans CJK SC"/>
        <family val="2"/>
      </rPr>
      <t xml:space="preserve">；合并现金流量表；</t>
    </r>
    <r>
      <rPr>
        <sz val="9"/>
        <color rgb="FF243B53"/>
        <rFont val="Aptos"/>
        <family val="0"/>
        <charset val="1"/>
      </rPr>
      <t xml:space="preserve">Note 4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10</t>
    </r>
  </si>
  <si>
    <t xml:space="preserve">财务数字以本地原始文件为准。</t>
  </si>
  <si>
    <r>
      <rPr>
        <sz val="9"/>
        <color rgb="FF243B53"/>
        <rFont val="Aptos"/>
        <family val="0"/>
        <charset val="1"/>
      </rPr>
      <t xml:space="preserve">ITEM 1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2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7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Nuclear Facilities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Sales and Supply Sources</t>
    </r>
  </si>
  <si>
    <t xml:space="preserve">财务与运营数字以本地原始文件为准。</t>
  </si>
  <si>
    <r>
      <rPr>
        <sz val="9"/>
        <color rgb="FF243B53"/>
        <rFont val="Aptos"/>
        <family val="0"/>
        <charset val="1"/>
      </rPr>
      <t xml:space="preserve">Note 3</t>
    </r>
    <r>
      <rPr>
        <sz val="9"/>
        <color rgb="FF243B53"/>
        <rFont val="Noto Sans CJK SC"/>
        <family val="2"/>
      </rPr>
      <t xml:space="preserve">、</t>
    </r>
    <r>
      <rPr>
        <sz val="9"/>
        <color rgb="FF243B53"/>
        <rFont val="Aptos"/>
        <family val="0"/>
        <charset val="1"/>
      </rPr>
      <t xml:space="preserve">13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MD&amp;A Long-term Nuclear PPAs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Sales and Supply Sources</t>
    </r>
  </si>
  <si>
    <r>
      <rPr>
        <sz val="9"/>
        <color rgb="FF243B53"/>
        <rFont val="Aptos"/>
        <family val="0"/>
        <charset val="1"/>
      </rPr>
      <t xml:space="preserve">Crane</t>
    </r>
    <r>
      <rPr>
        <sz val="9"/>
        <color rgb="FF243B53"/>
        <rFont val="Noto Sans CJK SC"/>
        <family val="2"/>
      </rPr>
      <t xml:space="preserve">审批与贷款状态采用此较新披露。</t>
    </r>
  </si>
  <si>
    <t xml:space="preserve">公司可持续数据</t>
  </si>
  <si>
    <r>
      <rPr>
        <sz val="9"/>
        <color rgb="FF243B53"/>
        <rFont val="Aptos"/>
        <family val="0"/>
        <charset val="1"/>
      </rPr>
      <t xml:space="preserve">F</t>
    </r>
    <r>
      <rPr>
        <sz val="9"/>
        <color rgb="FF243B53"/>
        <rFont val="Noto Sans CJK SC"/>
        <family val="2"/>
      </rPr>
      <t xml:space="preserve">页</t>
    </r>
    <r>
      <rPr>
        <sz val="9"/>
        <color rgb="FF243B53"/>
        <rFont val="Aptos"/>
        <family val="0"/>
        <charset val="1"/>
      </rPr>
      <t xml:space="preserve">2.1 Electricity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2.4 Data Center Operations</t>
    </r>
    <r>
      <rPr>
        <sz val="9"/>
        <color rgb="FF243B53"/>
        <rFont val="Noto Sans CJK SC"/>
        <family val="2"/>
      </rPr>
      <t xml:space="preserve">；附录</t>
    </r>
    <r>
      <rPr>
        <sz val="9"/>
        <color rgb="FF243B53"/>
        <rFont val="Aptos"/>
        <family val="0"/>
        <charset val="1"/>
      </rPr>
      <t xml:space="preserve">PUE/WUE</t>
    </r>
    <r>
      <rPr>
        <sz val="9"/>
        <color rgb="FF243B53"/>
        <rFont val="Noto Sans CJK SC"/>
        <family val="2"/>
      </rPr>
      <t xml:space="preserve">方法</t>
    </r>
  </si>
  <si>
    <r>
      <rPr>
        <sz val="9"/>
        <color rgb="FF243B53"/>
        <rFont val="Noto Sans CJK SC"/>
        <family val="2"/>
      </rPr>
      <t xml:space="preserve">日期采用</t>
    </r>
    <r>
      <rPr>
        <sz val="9"/>
        <color rgb="FF243B53"/>
        <rFont val="Aptos"/>
        <family val="0"/>
        <charset val="1"/>
      </rPr>
      <t xml:space="preserve">PDF</t>
    </r>
    <r>
      <rPr>
        <sz val="9"/>
        <color rgb="FF243B53"/>
        <rFont val="Noto Sans CJK SC"/>
        <family val="2"/>
      </rPr>
      <t xml:space="preserve">修订日；覆盖</t>
    </r>
    <r>
      <rPr>
        <sz val="9"/>
        <color rgb="FF243B53"/>
        <rFont val="Aptos"/>
        <family val="0"/>
        <charset val="1"/>
      </rPr>
      <t xml:space="preserve">2024</t>
    </r>
    <r>
      <rPr>
        <sz val="9"/>
        <color rgb="FF243B53"/>
        <rFont val="Noto Sans CJK SC"/>
        <family val="2"/>
      </rPr>
      <t xml:space="preserve">财年，是用电数据的年份而非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年。</t>
    </r>
  </si>
  <si>
    <t xml:space="preserve">公司公告</t>
  </si>
  <si>
    <t xml:space="preserve">项目容量包括现有、增容与目标容量，不能视为已投运。</t>
  </si>
  <si>
    <r>
      <rPr>
        <sz val="9"/>
        <color rgb="FF243B53"/>
        <rFont val="Aptos"/>
        <family val="0"/>
        <charset val="1"/>
      </rPr>
      <t xml:space="preserve">1121 MW</t>
    </r>
    <r>
      <rPr>
        <sz val="9"/>
        <color rgb="FF243B53"/>
        <rFont val="Noto Sans CJK SC"/>
        <family val="2"/>
      </rPr>
      <t xml:space="preserve">为公告所述电站无排放核能规模，</t>
    </r>
    <r>
      <rPr>
        <sz val="9"/>
        <color rgb="FF243B53"/>
        <rFont val="Aptos"/>
        <family val="0"/>
        <charset val="1"/>
      </rPr>
      <t xml:space="preserve">30 MW</t>
    </r>
    <r>
      <rPr>
        <sz val="9"/>
        <color rgb="FF243B53"/>
        <rFont val="Noto Sans CJK SC"/>
        <family val="2"/>
      </rPr>
      <t xml:space="preserve">为增容，口径不同。</t>
    </r>
  </si>
  <si>
    <r>
      <rPr>
        <sz val="9"/>
        <color rgb="FF243B53"/>
        <rFont val="Aptos"/>
        <family val="0"/>
        <charset val="1"/>
      </rPr>
      <t xml:space="preserve">890 MW</t>
    </r>
    <r>
      <rPr>
        <sz val="9"/>
        <color rgb="FF243B53"/>
        <rFont val="Noto Sans CJK SC"/>
        <family val="2"/>
      </rPr>
      <t xml:space="preserve">为</t>
    </r>
    <r>
      <rPr>
        <sz val="9"/>
        <color rgb="FF243B53"/>
        <rFont val="Aptos"/>
        <family val="0"/>
        <charset val="1"/>
      </rPr>
      <t xml:space="preserve">11</t>
    </r>
    <r>
      <rPr>
        <sz val="9"/>
        <color rgb="FF243B53"/>
        <rFont val="Noto Sans CJK SC"/>
        <family val="2"/>
      </rPr>
      <t xml:space="preserve">台机组增容目标，首个增容预计</t>
    </r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年交付。</t>
    </r>
  </si>
  <si>
    <r>
      <rPr>
        <sz val="9"/>
        <color rgb="FF243B53"/>
        <rFont val="Aptos"/>
        <family val="0"/>
        <charset val="1"/>
      </rPr>
      <t xml:space="preserve">690 MW</t>
    </r>
    <r>
      <rPr>
        <sz val="9"/>
        <color rgb="FF243B53"/>
        <rFont val="Noto Sans CJK SC"/>
        <family val="2"/>
      </rPr>
      <t xml:space="preserve">合同含</t>
    </r>
    <r>
      <rPr>
        <sz val="9"/>
        <color rgb="FF243B53"/>
        <rFont val="Aptos"/>
        <family val="0"/>
        <charset val="1"/>
      </rPr>
      <t xml:space="preserve">190 MW</t>
    </r>
    <r>
      <rPr>
        <sz val="9"/>
        <color rgb="FF243B53"/>
        <rFont val="Noto Sans CJK SC"/>
        <family val="2"/>
      </rPr>
      <t xml:space="preserve">增容；电力继续流入</t>
    </r>
    <r>
      <rPr>
        <sz val="9"/>
        <color rgb="FF243B53"/>
        <rFont val="Aptos"/>
        <family val="0"/>
        <charset val="1"/>
      </rPr>
      <t xml:space="preserve">PJM</t>
    </r>
    <r>
      <rPr>
        <sz val="9"/>
        <color rgb="FF243B53"/>
        <rFont val="Noto Sans CJK SC"/>
        <family val="2"/>
      </rPr>
      <t xml:space="preserve">电网。</t>
    </r>
  </si>
  <si>
    <t xml:space="preserve">监管数据</t>
  </si>
  <si>
    <r>
      <rPr>
        <sz val="9"/>
        <color rgb="FF243B53"/>
        <rFont val="Aptos"/>
        <family val="0"/>
        <charset val="1"/>
      </rPr>
      <t xml:space="preserve">2026H1</t>
    </r>
    <r>
      <rPr>
        <sz val="9"/>
        <color rgb="FF243B53"/>
        <rFont val="Noto Sans CJK SC"/>
        <family val="2"/>
      </rPr>
      <t xml:space="preserve">购置物业及设备的现金支出，不含</t>
    </r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式融资租赁本金加总。</t>
    </r>
  </si>
  <si>
    <r>
      <rPr>
        <sz val="9"/>
        <color rgb="FF243B53"/>
        <rFont val="Aptos"/>
        <family val="0"/>
        <charset val="1"/>
      </rPr>
      <t xml:space="preserve">2026H1</t>
    </r>
    <r>
      <rPr>
        <sz val="9"/>
        <color rgb="FF243B53"/>
        <rFont val="Noto Sans CJK SC"/>
        <family val="2"/>
      </rPr>
      <t xml:space="preserve">生产性资产购置现金支出。</t>
    </r>
  </si>
  <si>
    <r>
      <rPr>
        <sz val="9"/>
        <color rgb="FF243B53"/>
        <rFont val="Noto Sans CJK SC"/>
        <family val="2"/>
      </rPr>
      <t xml:space="preserve">微软财年截至</t>
    </r>
    <r>
      <rPr>
        <sz val="9"/>
        <color rgb="FF243B53"/>
        <rFont val="Aptos"/>
        <family val="0"/>
        <charset val="1"/>
      </rPr>
      <t xml:space="preserve">6</t>
    </r>
    <r>
      <rPr>
        <sz val="9"/>
        <color rgb="FF243B53"/>
        <rFont val="Noto Sans CJK SC"/>
        <family val="2"/>
      </rPr>
      <t xml:space="preserve">月</t>
    </r>
    <r>
      <rPr>
        <sz val="9"/>
        <color rgb="FF243B53"/>
        <rFont val="Aptos"/>
        <family val="0"/>
        <charset val="1"/>
      </rPr>
      <t xml:space="preserve">30</t>
    </r>
    <r>
      <rPr>
        <sz val="9"/>
        <color rgb="FF243B53"/>
        <rFont val="Noto Sans CJK SC"/>
        <family val="2"/>
      </rPr>
      <t xml:space="preserve">日；日历年</t>
    </r>
    <r>
      <rPr>
        <sz val="9"/>
        <color rgb="FF243B53"/>
        <rFont val="Aptos"/>
        <family val="0"/>
        <charset val="1"/>
      </rPr>
      <t xml:space="preserve">H1</t>
    </r>
    <r>
      <rPr>
        <sz val="9"/>
        <color rgb="FF243B53"/>
        <rFont val="Noto Sans CJK SC"/>
        <family val="2"/>
      </rPr>
      <t xml:space="preserve">由</t>
    </r>
    <r>
      <rPr>
        <sz val="9"/>
        <color rgb="FF243B53"/>
        <rFont val="Aptos"/>
        <family val="0"/>
        <charset val="1"/>
      </rPr>
      <t xml:space="preserve">FYQ3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FYQ4</t>
    </r>
    <r>
      <rPr>
        <sz val="9"/>
        <color rgb="FF243B53"/>
        <rFont val="Noto Sans CJK SC"/>
        <family val="2"/>
      </rPr>
      <t xml:space="preserve">公式计算。</t>
    </r>
  </si>
  <si>
    <r>
      <rPr>
        <sz val="9"/>
        <color rgb="FF243B53"/>
        <rFont val="Aptos"/>
        <family val="0"/>
        <charset val="1"/>
      </rPr>
      <t xml:space="preserve">200 MW</t>
    </r>
    <r>
      <rPr>
        <sz val="9"/>
        <color rgb="FF243B53"/>
        <rFont val="Noto Sans CJK SC"/>
        <family val="2"/>
      </rPr>
      <t xml:space="preserve">为首座</t>
    </r>
    <r>
      <rPr>
        <sz val="9"/>
        <color rgb="FF243B53"/>
        <rFont val="Aptos"/>
        <family val="0"/>
        <charset val="1"/>
      </rPr>
      <t xml:space="preserve">ARC</t>
    </r>
    <r>
      <rPr>
        <sz val="9"/>
        <color rgb="FF243B53"/>
        <rFont val="Noto Sans CJK SC"/>
        <family val="2"/>
      </rPr>
      <t xml:space="preserve">的</t>
    </r>
    <r>
      <rPr>
        <sz val="9"/>
        <color rgb="FF243B53"/>
        <rFont val="Aptos"/>
        <family val="0"/>
        <charset val="1"/>
      </rPr>
      <t xml:space="preserve">PPA</t>
    </r>
    <r>
      <rPr>
        <sz val="9"/>
        <color rgb="FF243B53"/>
        <rFont val="Noto Sans CJK SC"/>
        <family val="2"/>
      </rPr>
      <t xml:space="preserve">，</t>
    </r>
    <r>
      <rPr>
        <sz val="9"/>
        <color rgb="FF243B53"/>
        <rFont val="Aptos"/>
        <family val="0"/>
        <charset val="1"/>
      </rPr>
      <t xml:space="preserve">ARC</t>
    </r>
    <r>
      <rPr>
        <sz val="9"/>
        <color rgb="FF243B53"/>
        <rFont val="Noto Sans CJK SC"/>
        <family val="2"/>
      </rPr>
      <t xml:space="preserve">设计净输出</t>
    </r>
    <r>
      <rPr>
        <sz val="9"/>
        <color rgb="FF243B53"/>
        <rFont val="Aptos"/>
        <family val="0"/>
        <charset val="1"/>
      </rPr>
      <t xml:space="preserve">400 MW</t>
    </r>
    <r>
      <rPr>
        <sz val="9"/>
        <color rgb="FF243B53"/>
        <rFont val="Noto Sans CJK SC"/>
        <family val="2"/>
      </rPr>
      <t xml:space="preserve">；均为未来项目。</t>
    </r>
  </si>
  <si>
    <r>
      <rPr>
        <sz val="9"/>
        <color rgb="FF243B53"/>
        <rFont val="Noto Sans CJK SC"/>
        <family val="2"/>
      </rPr>
      <t xml:space="preserve">披露累计资本</t>
    </r>
    <r>
      <rPr>
        <sz val="9"/>
        <color rgb="FF243B53"/>
        <rFont val="Aptos"/>
        <family val="0"/>
        <charset val="1"/>
      </rPr>
      <t xml:space="preserve">40</t>
    </r>
    <r>
      <rPr>
        <sz val="9"/>
        <color rgb="FF243B53"/>
        <rFont val="Noto Sans CJK SC"/>
        <family val="2"/>
      </rPr>
      <t xml:space="preserve">亿美元，不与政府研发奖励混算。</t>
    </r>
  </si>
  <si>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年上线目标；经过一年爬坡后目标</t>
    </r>
    <r>
      <rPr>
        <sz val="9"/>
        <color rgb="FF243B53"/>
        <rFont val="Aptos"/>
        <family val="0"/>
        <charset val="1"/>
      </rPr>
      <t xml:space="preserve">50 MW</t>
    </r>
    <r>
      <rPr>
        <sz val="9"/>
        <color rgb="FF243B53"/>
        <rFont val="Noto Sans CJK SC"/>
        <family val="2"/>
      </rPr>
      <t xml:space="preserve">或更高。</t>
    </r>
  </si>
  <si>
    <r>
      <rPr>
        <sz val="9"/>
        <color rgb="FF243B53"/>
        <rFont val="Aptos"/>
        <family val="0"/>
        <charset val="1"/>
      </rPr>
      <t xml:space="preserve">G</t>
    </r>
    <r>
      <rPr>
        <sz val="9"/>
        <color rgb="FF243B53"/>
        <rFont val="Noto Sans CJK SC"/>
        <family val="2"/>
      </rPr>
      <t xml:space="preserve">轮最终</t>
    </r>
    <r>
      <rPr>
        <sz val="9"/>
        <color rgb="FF243B53"/>
        <rFont val="Aptos"/>
        <family val="0"/>
        <charset val="1"/>
      </rPr>
      <t xml:space="preserve">5</t>
    </r>
    <r>
      <rPr>
        <sz val="9"/>
        <color rgb="FF243B53"/>
        <rFont val="Noto Sans CJK SC"/>
        <family val="2"/>
      </rPr>
      <t xml:space="preserve">亿美元；</t>
    </r>
    <r>
      <rPr>
        <sz val="9"/>
        <color rgb="FF243B53"/>
        <rFont val="Aptos"/>
        <family val="0"/>
        <charset val="1"/>
      </rPr>
      <t xml:space="preserve">15</t>
    </r>
    <r>
      <rPr>
        <sz val="9"/>
        <color rgb="FF243B53"/>
        <rFont val="Noto Sans CJK SC"/>
        <family val="2"/>
      </rPr>
      <t xml:space="preserve">亿美元累计额是初始</t>
    </r>
    <r>
      <rPr>
        <sz val="9"/>
        <color rgb="FF243B53"/>
        <rFont val="Aptos"/>
        <family val="0"/>
        <charset val="1"/>
      </rPr>
      <t xml:space="preserve">4.65</t>
    </r>
    <r>
      <rPr>
        <sz val="9"/>
        <color rgb="FF243B53"/>
        <rFont val="Noto Sans CJK SC"/>
        <family val="2"/>
      </rPr>
      <t xml:space="preserve">亿美元收盘时口径，未随最终轮次重述。</t>
    </r>
  </si>
  <si>
    <t xml:space="preserve">S18</t>
  </si>
  <si>
    <r>
      <rPr>
        <sz val="9"/>
        <color rgb="FF243B53"/>
        <rFont val="Aptos"/>
        <family val="0"/>
        <charset val="1"/>
      </rPr>
      <t xml:space="preserve">Helion</t>
    </r>
    <r>
      <rPr>
        <sz val="9"/>
        <color rgb="FF243B53"/>
        <rFont val="Noto Sans CJK SC"/>
        <family val="2"/>
      </rPr>
      <t xml:space="preserve">：</t>
    </r>
    <r>
      <rPr>
        <sz val="9"/>
        <color rgb="FF243B53"/>
        <rFont val="Aptos"/>
        <family val="0"/>
        <charset val="1"/>
      </rPr>
      <t xml:space="preserve">Orion</t>
    </r>
    <r>
      <rPr>
        <sz val="9"/>
        <color rgb="FF243B53"/>
        <rFont val="Noto Sans CJK SC"/>
        <family val="2"/>
      </rPr>
      <t xml:space="preserve">许可与建设进展</t>
    </r>
  </si>
  <si>
    <t xml:space="preserve">2026-06-16</t>
  </si>
  <si>
    <t xml:space="preserve">许可、并网及建设段落</t>
  </si>
  <si>
    <t xml:space="preserve">https://www.helionenergy.com/newsroom/helion-clears-key-regulatory-milestone-on-the-path-to-building-and-operating-the-worlds-first-fusion-power-plant</t>
  </si>
  <si>
    <t xml:space="preserve">取得许可不等于已并网或已发电；输电协议仍在推进。</t>
  </si>
  <si>
    <t xml:space="preserve">监管文件</t>
  </si>
  <si>
    <t xml:space="preserve">累计资本采用较新监管口径；拟议合并及项目目标均附条件。</t>
  </si>
  <si>
    <r>
      <rPr>
        <sz val="9"/>
        <color rgb="FF243B53"/>
        <rFont val="Noto Sans CJK SC"/>
        <family val="2"/>
      </rPr>
      <t xml:space="preserve">超过</t>
    </r>
    <r>
      <rPr>
        <sz val="9"/>
        <color rgb="FF243B53"/>
        <rFont val="Aptos"/>
        <family val="0"/>
        <charset val="1"/>
      </rPr>
      <t xml:space="preserve">9</t>
    </r>
    <r>
      <rPr>
        <sz val="9"/>
        <color rgb="FF243B53"/>
        <rFont val="Noto Sans CJK SC"/>
        <family val="2"/>
      </rPr>
      <t xml:space="preserve">亿美元为预先承诺、按里程碑解锁的</t>
    </r>
    <r>
      <rPr>
        <sz val="9"/>
        <color rgb="FF243B53"/>
        <rFont val="Aptos"/>
        <family val="0"/>
        <charset val="1"/>
      </rPr>
      <t xml:space="preserve">Series A</t>
    </r>
    <r>
      <rPr>
        <sz val="9"/>
        <color rgb="FF243B53"/>
        <rFont val="Noto Sans CJK SC"/>
        <family val="2"/>
      </rPr>
      <t xml:space="preserve">，不等于全部到账。</t>
    </r>
  </si>
  <si>
    <r>
      <rPr>
        <sz val="9"/>
        <color rgb="FF243B53"/>
        <rFont val="Aptos"/>
        <family val="0"/>
        <charset val="1"/>
      </rPr>
      <t xml:space="preserve">10</t>
    </r>
    <r>
      <rPr>
        <sz val="9"/>
        <color rgb="FF243B53"/>
        <rFont val="Noto Sans CJK SC"/>
        <family val="2"/>
      </rPr>
      <t xml:space="preserve">亿美元级为园区建设投资规模，不是同额新融资；</t>
    </r>
    <r>
      <rPr>
        <sz val="9"/>
        <color rgb="FF243B53"/>
        <rFont val="Aptos"/>
        <family val="0"/>
        <charset val="1"/>
      </rPr>
      <t xml:space="preserve">2030</t>
    </r>
    <r>
      <rPr>
        <sz val="9"/>
        <color rgb="FF243B53"/>
        <rFont val="Noto Sans CJK SC"/>
        <family val="2"/>
      </rPr>
      <t xml:space="preserve">年为示范目标。</t>
    </r>
  </si>
  <si>
    <r>
      <rPr>
        <sz val="9"/>
        <color rgb="FF243B53"/>
        <rFont val="Noto Sans CJK SC"/>
        <family val="2"/>
      </rPr>
      <t xml:space="preserve">累计超过</t>
    </r>
    <r>
      <rPr>
        <sz val="9"/>
        <color rgb="FF243B53"/>
        <rFont val="Aptos"/>
        <family val="0"/>
        <charset val="1"/>
      </rPr>
      <t xml:space="preserve">6.5</t>
    </r>
    <r>
      <rPr>
        <sz val="9"/>
        <color rgb="FF243B53"/>
        <rFont val="Noto Sans CJK SC"/>
        <family val="2"/>
      </rPr>
      <t xml:space="preserve">亿欧元含</t>
    </r>
    <r>
      <rPr>
        <sz val="9"/>
        <color rgb="FF243B53"/>
        <rFont val="Aptos"/>
        <family val="0"/>
        <charset val="1"/>
      </rPr>
      <t xml:space="preserve">9500</t>
    </r>
    <r>
      <rPr>
        <sz val="9"/>
        <color rgb="FF243B53"/>
        <rFont val="Noto Sans CJK SC"/>
        <family val="2"/>
      </rPr>
      <t xml:space="preserve">万欧元公共补助；</t>
    </r>
    <r>
      <rPr>
        <sz val="9"/>
        <color rgb="FF243B53"/>
        <rFont val="Aptos"/>
        <family val="0"/>
        <charset val="1"/>
      </rPr>
      <t xml:space="preserve">Google</t>
    </r>
    <r>
      <rPr>
        <sz val="9"/>
        <color rgb="FF243B53"/>
        <rFont val="Noto Sans CJK SC"/>
        <family val="2"/>
      </rPr>
      <t xml:space="preserve">为战略投资者而非购电方。</t>
    </r>
  </si>
  <si>
    <t xml:space="preserve">S23</t>
  </si>
  <si>
    <r>
      <rPr>
        <sz val="9"/>
        <color rgb="FF243B53"/>
        <rFont val="Aptos"/>
        <family val="0"/>
        <charset val="1"/>
      </rPr>
      <t xml:space="preserve">Meta</t>
    </r>
    <r>
      <rPr>
        <sz val="9"/>
        <color rgb="FF243B53"/>
        <rFont val="Noto Sans CJK SC"/>
        <family val="2"/>
      </rPr>
      <t xml:space="preserve">与</t>
    </r>
    <r>
      <rPr>
        <sz val="9"/>
        <color rgb="FF243B53"/>
        <rFont val="Aptos"/>
        <family val="0"/>
        <charset val="1"/>
      </rPr>
      <t xml:space="preserve">Constellation Clinton</t>
    </r>
    <r>
      <rPr>
        <sz val="9"/>
        <color rgb="FF243B53"/>
        <rFont val="Noto Sans CJK SC"/>
        <family val="2"/>
      </rPr>
      <t xml:space="preserve">合作公告</t>
    </r>
  </si>
  <si>
    <t xml:space="preserve">A Landmark Agreement with Constellation</t>
  </si>
  <si>
    <t xml:space="preserve">https://about.fb.com/news/2025/06/meta-constellation-partner-clean-energy-project/</t>
  </si>
  <si>
    <r>
      <rPr>
        <sz val="9"/>
        <color rgb="FF243B53"/>
        <rFont val="Noto Sans CJK SC"/>
        <family val="2"/>
      </rPr>
      <t xml:space="preserve">用于交叉核对</t>
    </r>
    <r>
      <rPr>
        <sz val="9"/>
        <color rgb="FF243B53"/>
        <rFont val="Aptos"/>
        <family val="0"/>
        <charset val="1"/>
      </rPr>
      <t xml:space="preserve">Clinton</t>
    </r>
    <r>
      <rPr>
        <sz val="9"/>
        <color rgb="FF243B53"/>
        <rFont val="Noto Sans CJK SC"/>
        <family val="2"/>
      </rPr>
      <t xml:space="preserve">规模、</t>
    </r>
    <r>
      <rPr>
        <sz val="9"/>
        <color rgb="FF243B53"/>
        <rFont val="Aptos"/>
        <family val="0"/>
        <charset val="1"/>
      </rPr>
      <t xml:space="preserve">100%</t>
    </r>
    <r>
      <rPr>
        <sz val="9"/>
        <color rgb="FF243B53"/>
        <rFont val="Noto Sans CJK SC"/>
        <family val="2"/>
      </rPr>
      <t xml:space="preserve">年度清洁</t>
    </r>
    <r>
      <rPr>
        <sz val="9"/>
        <color rgb="FF243B53"/>
        <rFont val="Aptos"/>
        <family val="0"/>
        <charset val="1"/>
      </rPr>
      <t xml:space="preserve">/</t>
    </r>
    <r>
      <rPr>
        <sz val="9"/>
        <color rgb="FF243B53"/>
        <rFont val="Noto Sans CJK SC"/>
        <family val="2"/>
      </rPr>
      <t xml:space="preserve">可再生匹配表述及</t>
    </r>
    <r>
      <rPr>
        <sz val="9"/>
        <color rgb="FF243B53"/>
        <rFont val="Aptos"/>
        <family val="0"/>
        <charset val="1"/>
      </rPr>
      <t xml:space="preserve">1—4 GW RFP</t>
    </r>
    <r>
      <rPr>
        <sz val="9"/>
        <color rgb="FF243B53"/>
        <rFont val="Noto Sans CJK SC"/>
        <family val="2"/>
      </rPr>
      <t xml:space="preserve">背景。</t>
    </r>
  </si>
  <si>
    <t xml:space="preserve">国家实验室报告</t>
  </si>
  <si>
    <r>
      <rPr>
        <sz val="9"/>
        <color rgb="FF243B53"/>
        <rFont val="Noto Sans CJK SC"/>
        <family val="2"/>
      </rPr>
      <t xml:space="preserve">美国自下而上设备模型；</t>
    </r>
    <r>
      <rPr>
        <sz val="9"/>
        <color rgb="FF243B53"/>
        <rFont val="Aptos"/>
        <family val="0"/>
        <charset val="1"/>
      </rPr>
      <t xml:space="preserve">2028</t>
    </r>
    <r>
      <rPr>
        <sz val="9"/>
        <color rgb="FF243B53"/>
        <rFont val="Noto Sans CJK SC"/>
        <family val="2"/>
      </rPr>
      <t xml:space="preserve">为情景区间，加密货币另章分析。</t>
    </r>
  </si>
  <si>
    <t xml:space="preserve">输电侧发电并网队列，不包括负荷、配电侧或表后项目。</t>
  </si>
  <si>
    <t xml:space="preserve">政府机构分析</t>
  </si>
  <si>
    <r>
      <rPr>
        <sz val="9"/>
        <color rgb="FF243B53"/>
        <rFont val="Aptos"/>
        <family val="0"/>
        <charset val="1"/>
      </rPr>
      <t xml:space="preserve">Vogtle</t>
    </r>
    <r>
      <rPr>
        <sz val="9"/>
        <color rgb="FF243B53"/>
        <rFont val="Noto Sans CJK SC"/>
        <family val="2"/>
      </rPr>
      <t xml:space="preserve">为项目案例，不代表所有核电项目成本。</t>
    </r>
  </si>
  <si>
    <t xml:space="preserve">公司环境数据</t>
  </si>
  <si>
    <r>
      <rPr>
        <sz val="9"/>
        <color rgb="FF243B53"/>
        <rFont val="Aptos"/>
        <family val="0"/>
        <charset val="1"/>
      </rPr>
      <t xml:space="preserve">Appendix A Energy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Schedule of Electricity Consumption</t>
    </r>
  </si>
  <si>
    <r>
      <rPr>
        <sz val="9"/>
        <color rgb="FF243B53"/>
        <rFont val="Noto Sans CJK SC"/>
        <family val="2"/>
      </rPr>
      <t xml:space="preserve">日期采用</t>
    </r>
    <r>
      <rPr>
        <sz val="9"/>
        <color rgb="FF243B53"/>
        <rFont val="Aptos"/>
        <family val="0"/>
        <charset val="1"/>
      </rPr>
      <t xml:space="preserve">PDF</t>
    </r>
    <r>
      <rPr>
        <sz val="9"/>
        <color rgb="FF243B53"/>
        <rFont val="Noto Sans CJK SC"/>
        <family val="2"/>
      </rPr>
      <t xml:space="preserve">版本日期；覆盖</t>
    </r>
    <r>
      <rPr>
        <sz val="9"/>
        <color rgb="FF243B53"/>
        <rFont val="Aptos"/>
        <family val="0"/>
        <charset val="1"/>
      </rPr>
      <t xml:space="preserve">2025</t>
    </r>
    <r>
      <rPr>
        <sz val="9"/>
        <color rgb="FF243B53"/>
        <rFont val="Noto Sans CJK SC"/>
        <family val="2"/>
      </rPr>
      <t xml:space="preserve">日历年，</t>
    </r>
    <r>
      <rPr>
        <sz val="9"/>
        <color rgb="FF243B53"/>
        <rFont val="Aptos"/>
        <family val="0"/>
        <charset val="1"/>
      </rPr>
      <t xml:space="preserve">100%</t>
    </r>
    <r>
      <rPr>
        <sz val="9"/>
        <color rgb="FF243B53"/>
        <rFont val="Noto Sans CJK SC"/>
        <family val="2"/>
      </rPr>
      <t xml:space="preserve">为年度全球匹配而非</t>
    </r>
    <r>
      <rPr>
        <sz val="9"/>
        <color rgb="FF243B53"/>
        <rFont val="Aptos"/>
        <family val="0"/>
        <charset val="1"/>
      </rPr>
      <t xml:space="preserve">24/7</t>
    </r>
    <r>
      <rPr>
        <sz val="9"/>
        <color rgb="FF243B53"/>
        <rFont val="Noto Sans CJK SC"/>
        <family val="2"/>
      </rPr>
      <t xml:space="preserve">物理供电。</t>
    </r>
  </si>
  <si>
    <t xml:space="preserve">公司业绩会</t>
  </si>
  <si>
    <r>
      <rPr>
        <sz val="9"/>
        <color rgb="FF243B53"/>
        <rFont val="Aptos"/>
        <family val="0"/>
        <charset val="1"/>
      </rPr>
      <t xml:space="preserve">CFO</t>
    </r>
    <r>
      <rPr>
        <sz val="9"/>
        <color rgb="FF243B53"/>
        <rFont val="Noto Sans CJK SC"/>
        <family val="2"/>
      </rPr>
      <t xml:space="preserve">预备发言 </t>
    </r>
    <r>
      <rPr>
        <sz val="9"/>
        <color rgb="FF243B53"/>
        <rFont val="Aptos"/>
        <family val="0"/>
        <charset val="1"/>
      </rPr>
      <t xml:space="preserve">Outlook—Investments</t>
    </r>
  </si>
  <si>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全年资本开支指引</t>
    </r>
    <r>
      <rPr>
        <sz val="9"/>
        <color rgb="FF243B53"/>
        <rFont val="Aptos"/>
        <family val="0"/>
        <charset val="1"/>
      </rPr>
      <t xml:space="preserve">195—205</t>
    </r>
    <r>
      <rPr>
        <sz val="9"/>
        <color rgb="FF243B53"/>
        <rFont val="Noto Sans CJK SC"/>
        <family val="2"/>
      </rPr>
      <t xml:space="preserve">十亿美元；</t>
    </r>
    <r>
      <rPr>
        <sz val="9"/>
        <color rgb="FF243B53"/>
        <rFont val="Aptos"/>
        <family val="0"/>
        <charset val="1"/>
      </rPr>
      <t xml:space="preserve">Q2</t>
    </r>
    <r>
      <rPr>
        <sz val="9"/>
        <color rgb="FF243B53"/>
        <rFont val="Noto Sans CJK SC"/>
        <family val="2"/>
      </rPr>
      <t xml:space="preserve">技术基础设施约</t>
    </r>
    <r>
      <rPr>
        <sz val="9"/>
        <color rgb="FF243B53"/>
        <rFont val="Aptos"/>
        <family val="0"/>
        <charset val="1"/>
      </rPr>
      <t xml:space="preserve">60%</t>
    </r>
    <r>
      <rPr>
        <sz val="9"/>
        <color rgb="FF243B53"/>
        <rFont val="Noto Sans CJK SC"/>
        <family val="2"/>
      </rPr>
      <t xml:space="preserve">服务器、</t>
    </r>
    <r>
      <rPr>
        <sz val="9"/>
        <color rgb="FF243B53"/>
        <rFont val="Aptos"/>
        <family val="0"/>
        <charset val="1"/>
      </rPr>
      <t xml:space="preserve">40%</t>
    </r>
    <r>
      <rPr>
        <sz val="9"/>
        <color rgb="FF243B53"/>
        <rFont val="Noto Sans CJK SC"/>
        <family val="2"/>
      </rPr>
      <t xml:space="preserve">数据中心及网络。</t>
    </r>
  </si>
  <si>
    <t xml:space="preserve">CFO Outlook—Capital expenditures / useful-life update</t>
  </si>
  <si>
    <r>
      <rPr>
        <sz val="9"/>
        <color rgb="FF243B53"/>
        <rFont val="Noto Sans CJK SC"/>
        <family val="2"/>
      </rPr>
      <t xml:space="preserve">日历年</t>
    </r>
    <r>
      <rPr>
        <sz val="9"/>
        <color rgb="FF243B53"/>
        <rFont val="Aptos"/>
        <family val="0"/>
        <charset val="1"/>
      </rPr>
      <t xml:space="preserve">2026</t>
    </r>
    <r>
      <rPr>
        <sz val="9"/>
        <color rgb="FF243B53"/>
        <rFont val="Noto Sans CJK SC"/>
        <family val="2"/>
      </rPr>
      <t xml:space="preserve">约</t>
    </r>
    <r>
      <rPr>
        <sz val="9"/>
        <color rgb="FF243B53"/>
        <rFont val="Aptos"/>
        <family val="0"/>
        <charset val="1"/>
      </rPr>
      <t xml:space="preserve">175</t>
    </r>
    <r>
      <rPr>
        <sz val="9"/>
        <color rgb="FF243B53"/>
        <rFont val="Noto Sans CJK SC"/>
        <family val="2"/>
      </rPr>
      <t xml:space="preserve">十亿美元预期受融资租赁转经营租赁影响；经营租赁不计入资本开支。</t>
    </r>
  </si>
  <si>
    <r>
      <rPr>
        <sz val="9"/>
        <color rgb="FF243B53"/>
        <rFont val="Aptos"/>
        <family val="0"/>
        <charset val="1"/>
      </rPr>
      <t xml:space="preserve">Table 5 Energy consumption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Table 6 Renewable energy metrics</t>
    </r>
  </si>
  <si>
    <r>
      <rPr>
        <sz val="9"/>
        <color rgb="FF243B53"/>
        <rFont val="Aptos"/>
        <family val="0"/>
        <charset val="1"/>
      </rPr>
      <t xml:space="preserve">FY2025</t>
    </r>
    <r>
      <rPr>
        <sz val="9"/>
        <color rgb="FF243B53"/>
        <rFont val="Noto Sans CJK SC"/>
        <family val="2"/>
      </rPr>
      <t xml:space="preserve">截至</t>
    </r>
    <r>
      <rPr>
        <sz val="9"/>
        <color rgb="FF243B53"/>
        <rFont val="Aptos"/>
        <family val="0"/>
        <charset val="1"/>
      </rPr>
      <t xml:space="preserve">2025-06-30</t>
    </r>
    <r>
      <rPr>
        <sz val="9"/>
        <color rgb="FF243B53"/>
        <rFont val="Noto Sans CJK SC"/>
        <family val="2"/>
      </rPr>
      <t xml:space="preserve">；全公司用电，不是数据中心单独边界。</t>
    </r>
  </si>
  <si>
    <t xml:space="preserve">公司可持续报告</t>
  </si>
  <si>
    <r>
      <rPr>
        <sz val="9"/>
        <color rgb="FF243B53"/>
        <rFont val="Aptos"/>
        <family val="0"/>
        <charset val="1"/>
      </rPr>
      <t xml:space="preserve">Climate and Energy</t>
    </r>
    <r>
      <rPr>
        <sz val="9"/>
        <color rgb="FF243B53"/>
        <rFont val="Noto Sans CJK SC"/>
        <family val="2"/>
      </rPr>
      <t xml:space="preserve">；</t>
    </r>
    <r>
      <rPr>
        <sz val="9"/>
        <color rgb="FF243B53"/>
        <rFont val="Aptos"/>
        <family val="0"/>
        <charset val="1"/>
      </rPr>
      <t xml:space="preserve">Data Tables and Assurance Statements</t>
    </r>
  </si>
  <si>
    <r>
      <rPr>
        <sz val="9"/>
        <color rgb="FF243B53"/>
        <rFont val="Noto Sans CJK SC"/>
        <family val="2"/>
      </rPr>
      <t xml:space="preserve">采用截至</t>
    </r>
    <r>
      <rPr>
        <sz val="9"/>
        <color rgb="FF243B53"/>
        <rFont val="Aptos"/>
        <family val="0"/>
        <charset val="1"/>
      </rPr>
      <t xml:space="preserve">2026-10-16</t>
    </r>
    <r>
      <rPr>
        <sz val="9"/>
        <color rgb="FF243B53"/>
        <rFont val="Noto Sans CJK SC"/>
        <family val="2"/>
      </rPr>
      <t xml:space="preserve">修订版；原始</t>
    </r>
    <r>
      <rPr>
        <sz val="9"/>
        <color rgb="FF243B53"/>
        <rFont val="Aptos"/>
        <family val="0"/>
        <charset val="1"/>
      </rPr>
      <t xml:space="preserve">PDF</t>
    </r>
    <r>
      <rPr>
        <sz val="9"/>
        <color rgb="FF243B53"/>
        <rFont val="Noto Sans CJK SC"/>
        <family val="2"/>
      </rPr>
      <t xml:space="preserve">创建日</t>
    </r>
    <r>
      <rPr>
        <sz val="9"/>
        <color rgb="FF243B53"/>
        <rFont val="Aptos"/>
        <family val="0"/>
        <charset val="1"/>
      </rPr>
      <t xml:space="preserve">2026-07-14</t>
    </r>
    <r>
      <rPr>
        <sz val="9"/>
        <color rgb="FF243B53"/>
        <rFont val="Noto Sans CJK SC"/>
        <family val="2"/>
      </rPr>
      <t xml:space="preserve">。</t>
    </r>
    <r>
      <rPr>
        <sz val="9"/>
        <color rgb="FF243B53"/>
        <rFont val="Aptos"/>
        <family val="0"/>
        <charset val="1"/>
      </rPr>
      <t xml:space="preserve">42 GW</t>
    </r>
    <r>
      <rPr>
        <sz val="9"/>
        <color rgb="FF243B53"/>
        <rFont val="Noto Sans CJK SC"/>
        <family val="2"/>
      </rPr>
      <t xml:space="preserve">为项目预期容量而非年用电量。</t>
    </r>
  </si>
  <si>
    <t xml:space="preserve">口径说明｜先看定义，再看数字</t>
  </si>
  <si>
    <r>
      <rPr>
        <sz val="10"/>
        <color rgb="FF243B53"/>
        <rFont val="Noto Sans CJK SC"/>
        <family val="2"/>
      </rPr>
      <t xml:space="preserve">本页说明阅读和使用方法；完整未核实事项与假设同时列于</t>
    </r>
    <r>
      <rPr>
        <sz val="10"/>
        <color rgb="FF243B53"/>
        <rFont val="Aptos"/>
        <family val="0"/>
        <charset val="1"/>
      </rPr>
      <t xml:space="preserve">README</t>
    </r>
    <r>
      <rPr>
        <sz val="10"/>
        <color rgb="FF243B53"/>
        <rFont val="Noto Sans CJK SC"/>
        <family val="2"/>
      </rPr>
      <t xml:space="preserve">。</t>
    </r>
  </si>
  <si>
    <t xml:space="preserve">研究边界</t>
  </si>
  <si>
    <t xml:space="preserve">本工作为能源与科技行业研究，不提供买入、卖出、持有、目标价，也不评价股价。</t>
  </si>
  <si>
    <t xml:space="preserve">事实与假设</t>
  </si>
  <si>
    <r>
      <rPr>
        <sz val="10"/>
        <color rgb="FF243B53"/>
        <rFont val="Noto Sans CJK SC"/>
        <family val="2"/>
      </rPr>
      <t xml:space="preserve">“披露事实”来自原始文件或公司公告；“机构估计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预测”保留机构口径；“公司目标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协议约定”不代表已经投运；“假设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计算参数”均可修改。</t>
    </r>
  </si>
  <si>
    <t xml:space="preserve">资本开支</t>
  </si>
  <si>
    <r>
      <rPr>
        <sz val="10"/>
        <color rgb="FF243B53"/>
        <rFont val="Aptos"/>
        <family val="0"/>
        <charset val="1"/>
      </rPr>
      <t xml:space="preserve">Meta</t>
    </r>
    <r>
      <rPr>
        <sz val="10"/>
        <color rgb="FF243B53"/>
        <rFont val="Noto Sans CJK SC"/>
        <family val="2"/>
      </rPr>
      <t xml:space="preserve">口径含融资租赁本金；</t>
    </r>
    <r>
      <rPr>
        <sz val="10"/>
        <color rgb="FF243B53"/>
        <rFont val="Aptos"/>
        <family val="0"/>
        <charset val="1"/>
      </rPr>
      <t xml:space="preserve">Alphabet</t>
    </r>
    <r>
      <rPr>
        <sz val="10"/>
        <color rgb="FF243B53"/>
        <rFont val="Noto Sans CJK SC"/>
        <family val="2"/>
      </rPr>
      <t xml:space="preserve">、</t>
    </r>
    <r>
      <rPr>
        <sz val="10"/>
        <color rgb="FF243B53"/>
        <rFont val="Aptos"/>
        <family val="0"/>
        <charset val="1"/>
      </rPr>
      <t xml:space="preserve">Amazon</t>
    </r>
    <r>
      <rPr>
        <sz val="10"/>
        <color rgb="FF243B53"/>
        <rFont val="Noto Sans CJK SC"/>
        <family val="2"/>
      </rPr>
      <t xml:space="preserve">、</t>
    </r>
    <r>
      <rPr>
        <sz val="10"/>
        <color rgb="FF243B53"/>
        <rFont val="Aptos"/>
        <family val="0"/>
        <charset val="1"/>
      </rPr>
      <t xml:space="preserve">Microsoft</t>
    </r>
    <r>
      <rPr>
        <sz val="10"/>
        <color rgb="FF243B53"/>
        <rFont val="Noto Sans CJK SC"/>
        <family val="2"/>
      </rPr>
      <t xml:space="preserve">按各自</t>
    </r>
    <r>
      <rPr>
        <sz val="10"/>
        <color rgb="FF243B53"/>
        <rFont val="Aptos"/>
        <family val="0"/>
        <charset val="1"/>
      </rPr>
      <t xml:space="preserve">SEC XBRL</t>
    </r>
    <r>
      <rPr>
        <sz val="10"/>
        <color rgb="FF243B53"/>
        <rFont val="Noto Sans CJK SC"/>
        <family val="2"/>
      </rPr>
      <t xml:space="preserve">标签。横向图只用于数量级对照，不视为完全同口径排名。资本开支包含服务器等</t>
    </r>
    <r>
      <rPr>
        <sz val="10"/>
        <color rgb="FF243B53"/>
        <rFont val="Aptos"/>
        <family val="0"/>
        <charset val="1"/>
      </rPr>
      <t xml:space="preserve">IT</t>
    </r>
    <r>
      <rPr>
        <sz val="10"/>
        <color rgb="FF243B53"/>
        <rFont val="Noto Sans CJK SC"/>
        <family val="2"/>
      </rPr>
      <t xml:space="preserve">设备，不能直接换算电力容量。</t>
    </r>
  </si>
  <si>
    <t xml:space="preserve">电力与功率</t>
  </si>
  <si>
    <r>
      <rPr>
        <sz val="10"/>
        <color rgb="FF243B53"/>
        <rFont val="Aptos"/>
        <family val="0"/>
        <charset val="1"/>
      </rPr>
      <t xml:space="preserve">TWh</t>
    </r>
    <r>
      <rPr>
        <sz val="10"/>
        <color rgb="FF243B53"/>
        <rFont val="Noto Sans CJK SC"/>
        <family val="2"/>
      </rPr>
      <t xml:space="preserve">是电量，</t>
    </r>
    <r>
      <rPr>
        <sz val="10"/>
        <color rgb="FF243B53"/>
        <rFont val="Aptos"/>
        <family val="0"/>
        <charset val="1"/>
      </rPr>
      <t xml:space="preserve">GW/MW</t>
    </r>
    <r>
      <rPr>
        <sz val="10"/>
        <color rgb="FF243B53"/>
        <rFont val="Noto Sans CJK SC"/>
        <family val="2"/>
      </rPr>
      <t xml:space="preserve">是功率。平均功率</t>
    </r>
    <r>
      <rPr>
        <sz val="10"/>
        <color rgb="FF243B53"/>
        <rFont val="Aptos"/>
        <family val="0"/>
        <charset val="1"/>
      </rPr>
      <t xml:space="preserve">=</t>
    </r>
    <r>
      <rPr>
        <sz val="10"/>
        <color rgb="FF243B53"/>
        <rFont val="Noto Sans CJK SC"/>
        <family val="2"/>
      </rPr>
      <t xml:space="preserve">电量</t>
    </r>
    <r>
      <rPr>
        <sz val="10"/>
        <color rgb="FF243B53"/>
        <rFont val="Aptos"/>
        <family val="0"/>
        <charset val="1"/>
      </rPr>
      <t xml:space="preserve">÷</t>
    </r>
    <r>
      <rPr>
        <sz val="10"/>
        <color rgb="FF243B53"/>
        <rFont val="Noto Sans CJK SC"/>
        <family val="2"/>
      </rPr>
      <t xml:space="preserve">小时数。</t>
    </r>
    <r>
      <rPr>
        <sz val="10"/>
        <color rgb="FF243B53"/>
        <rFont val="Aptos"/>
        <family val="0"/>
        <charset val="1"/>
      </rPr>
      <t xml:space="preserve">PPA</t>
    </r>
    <r>
      <rPr>
        <sz val="10"/>
        <color rgb="FF243B53"/>
        <rFont val="Noto Sans CJK SC"/>
        <family val="2"/>
      </rPr>
      <t xml:space="preserve">的</t>
    </r>
    <r>
      <rPr>
        <sz val="10"/>
        <color rgb="FF243B53"/>
        <rFont val="Aptos"/>
        <family val="0"/>
        <charset val="1"/>
      </rPr>
      <t xml:space="preserve">MW</t>
    </r>
    <r>
      <rPr>
        <sz val="10"/>
        <color rgb="FF243B53"/>
        <rFont val="Noto Sans CJK SC"/>
        <family val="2"/>
      </rPr>
      <t xml:space="preserve">通常描述合同或电站容量，不等于每年恒定输出，也不等于科技公司物理专线。</t>
    </r>
  </si>
  <si>
    <r>
      <rPr>
        <b val="true"/>
        <sz val="10"/>
        <color rgb="FF102A43"/>
        <rFont val="Aptos"/>
        <family val="0"/>
        <charset val="1"/>
      </rPr>
      <t xml:space="preserve">415</t>
    </r>
    <r>
      <rPr>
        <b val="true"/>
        <sz val="10"/>
        <color rgb="FF102A43"/>
        <rFont val="Noto Sans CJK SC"/>
        <family val="2"/>
      </rPr>
      <t xml:space="preserve">与</t>
    </r>
    <r>
      <rPr>
        <b val="true"/>
        <sz val="10"/>
        <color rgb="FF102A43"/>
        <rFont val="Aptos"/>
        <family val="0"/>
        <charset val="1"/>
      </rPr>
      <t xml:space="preserve">460 TWh</t>
    </r>
  </si>
  <si>
    <r>
      <rPr>
        <sz val="10"/>
        <color rgb="FF243B53"/>
        <rFont val="Aptos"/>
        <family val="0"/>
        <charset val="1"/>
      </rPr>
      <t xml:space="preserve">415 TWh</t>
    </r>
    <r>
      <rPr>
        <sz val="10"/>
        <color rgb="FF243B53"/>
        <rFont val="Noto Sans CJK SC"/>
        <family val="2"/>
      </rPr>
      <t xml:space="preserve">是</t>
    </r>
    <r>
      <rPr>
        <sz val="10"/>
        <color rgb="FF243B53"/>
        <rFont val="Aptos"/>
        <family val="0"/>
        <charset val="1"/>
      </rPr>
      <t xml:space="preserve">2024</t>
    </r>
    <r>
      <rPr>
        <sz val="10"/>
        <color rgb="FF243B53"/>
        <rFont val="Noto Sans CJK SC"/>
        <family val="2"/>
      </rPr>
      <t xml:space="preserve">年终端电力消费；</t>
    </r>
    <r>
      <rPr>
        <sz val="10"/>
        <color rgb="FF243B53"/>
        <rFont val="Aptos"/>
        <family val="0"/>
        <charset val="1"/>
      </rPr>
      <t xml:space="preserve">460 TWh</t>
    </r>
    <r>
      <rPr>
        <sz val="10"/>
        <color rgb="FF243B53"/>
        <rFont val="Noto Sans CJK SC"/>
        <family val="2"/>
      </rPr>
      <t xml:space="preserve">是相应发电侧供电量，含厂自用和输配损失。网页能量流以</t>
    </r>
    <r>
      <rPr>
        <sz val="10"/>
        <color rgb="FF243B53"/>
        <rFont val="Aptos"/>
        <family val="0"/>
        <charset val="1"/>
      </rPr>
      <t xml:space="preserve">415 TWh</t>
    </r>
    <r>
      <rPr>
        <sz val="10"/>
        <color rgb="FF243B53"/>
        <rFont val="Noto Sans CJK SC"/>
        <family val="2"/>
      </rPr>
      <t xml:space="preserve">乘</t>
    </r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物理结构约份额，仅作结构演示。</t>
    </r>
  </si>
  <si>
    <t xml:space="preserve">物理与合同结构</t>
  </si>
  <si>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物理结构按数据中心所在地电网和现场发电估计。企业的</t>
    </r>
    <r>
      <rPr>
        <sz val="10"/>
        <color rgb="FF243B53"/>
        <rFont val="Aptos"/>
        <family val="0"/>
        <charset val="1"/>
      </rPr>
      <t xml:space="preserve">100%</t>
    </r>
    <r>
      <rPr>
        <sz val="10"/>
        <color rgb="FF243B53"/>
        <rFont val="Noto Sans CJK SC"/>
        <family val="2"/>
      </rPr>
      <t xml:space="preserve">年度清洁</t>
    </r>
    <r>
      <rPr>
        <sz val="10"/>
        <color rgb="FF243B53"/>
        <rFont val="Aptos"/>
        <family val="0"/>
        <charset val="1"/>
      </rPr>
      <t xml:space="preserve">/</t>
    </r>
    <r>
      <rPr>
        <sz val="10"/>
        <color rgb="FF243B53"/>
        <rFont val="Noto Sans CJK SC"/>
        <family val="2"/>
      </rPr>
      <t xml:space="preserve">可再生匹配是合同口径，不意味着每小时物理用电均来自同一电源。</t>
    </r>
  </si>
  <si>
    <t xml:space="preserve">美国区域模型</t>
  </si>
  <si>
    <r>
      <rPr>
        <sz val="10"/>
        <color rgb="FF243B53"/>
        <rFont val="Aptos"/>
        <family val="0"/>
        <charset val="1"/>
      </rPr>
      <t xml:space="preserve">LBNL</t>
    </r>
    <r>
      <rPr>
        <sz val="10"/>
        <color rgb="FF243B53"/>
        <rFont val="Noto Sans CJK SC"/>
        <family val="2"/>
      </rPr>
      <t xml:space="preserve">的</t>
    </r>
    <r>
      <rPr>
        <sz val="10"/>
        <color rgb="FF243B53"/>
        <rFont val="Aptos"/>
        <family val="0"/>
        <charset val="1"/>
      </rPr>
      <t xml:space="preserve">2023</t>
    </r>
    <r>
      <rPr>
        <sz val="10"/>
        <color rgb="FF243B53"/>
        <rFont val="Noto Sans CJK SC"/>
        <family val="2"/>
      </rPr>
      <t xml:space="preserve">年</t>
    </r>
    <r>
      <rPr>
        <sz val="10"/>
        <color rgb="FF243B53"/>
        <rFont val="Aptos"/>
        <family val="0"/>
        <charset val="1"/>
      </rPr>
      <t xml:space="preserve">176 TWh</t>
    </r>
    <r>
      <rPr>
        <sz val="10"/>
        <color rgb="FF243B53"/>
        <rFont val="Noto Sans CJK SC"/>
        <family val="2"/>
      </rPr>
      <t xml:space="preserve">与</t>
    </r>
    <r>
      <rPr>
        <sz val="10"/>
        <color rgb="FF243B53"/>
        <rFont val="Aptos"/>
        <family val="0"/>
        <charset val="1"/>
      </rPr>
      <t xml:space="preserve">IEA</t>
    </r>
    <r>
      <rPr>
        <sz val="10"/>
        <color rgb="FF243B53"/>
        <rFont val="Noto Sans CJK SC"/>
        <family val="2"/>
      </rPr>
      <t xml:space="preserve">的</t>
    </r>
    <r>
      <rPr>
        <sz val="10"/>
        <color rgb="FF243B53"/>
        <rFont val="Aptos"/>
        <family val="0"/>
        <charset val="1"/>
      </rPr>
      <t xml:space="preserve">2024</t>
    </r>
    <r>
      <rPr>
        <sz val="10"/>
        <color rgb="FF243B53"/>
        <rFont val="Noto Sans CJK SC"/>
        <family val="2"/>
      </rPr>
      <t xml:space="preserve">年约</t>
    </r>
    <r>
      <rPr>
        <sz val="10"/>
        <color rgb="FF243B53"/>
        <rFont val="Aptos"/>
        <family val="0"/>
        <charset val="1"/>
      </rPr>
      <t xml:space="preserve">180 TWh</t>
    </r>
    <r>
      <rPr>
        <sz val="10"/>
        <color rgb="FF243B53"/>
        <rFont val="Noto Sans CJK SC"/>
        <family val="2"/>
      </rPr>
      <t xml:space="preserve">在年份、模型和覆盖范围上不同，不做未经调整的同比拼接。</t>
    </r>
  </si>
  <si>
    <t xml:space="preserve">核电容量</t>
  </si>
  <si>
    <r>
      <rPr>
        <sz val="10"/>
        <color rgb="FF243B53"/>
        <rFont val="Noto Sans CJK SC"/>
        <family val="2"/>
      </rPr>
      <t xml:space="preserve">电站现有容量、</t>
    </r>
    <r>
      <rPr>
        <sz val="10"/>
        <color rgb="FF243B53"/>
        <rFont val="Aptos"/>
        <family val="0"/>
        <charset val="1"/>
      </rPr>
      <t xml:space="preserve">PPA</t>
    </r>
    <r>
      <rPr>
        <sz val="10"/>
        <color rgb="FF243B53"/>
        <rFont val="Noto Sans CJK SC"/>
        <family val="2"/>
      </rPr>
      <t xml:space="preserve">协议量、增容量和未来投运容量分开列示。</t>
    </r>
    <r>
      <rPr>
        <sz val="10"/>
        <color rgb="FF243B53"/>
        <rFont val="Aptos"/>
        <family val="0"/>
        <charset val="1"/>
      </rPr>
      <t xml:space="preserve">Crane</t>
    </r>
    <r>
      <rPr>
        <sz val="10"/>
        <color rgb="FF243B53"/>
        <rFont val="Noto Sans CJK SC"/>
        <family val="2"/>
      </rPr>
      <t xml:space="preserve">部分输电升级最晚</t>
    </r>
    <r>
      <rPr>
        <sz val="10"/>
        <color rgb="FF243B53"/>
        <rFont val="Aptos"/>
        <family val="0"/>
        <charset val="1"/>
      </rPr>
      <t xml:space="preserve">2030</t>
    </r>
    <r>
      <rPr>
        <sz val="10"/>
        <color rgb="FF243B53"/>
        <rFont val="Noto Sans CJK SC"/>
        <family val="2"/>
      </rPr>
      <t xml:space="preserve">年，不是重启目标年。</t>
    </r>
  </si>
  <si>
    <t xml:space="preserve">聚变里程碑</t>
  </si>
  <si>
    <r>
      <rPr>
        <sz val="10"/>
        <color rgb="FF243B53"/>
        <rFont val="Aptos"/>
        <family val="0"/>
        <charset val="1"/>
      </rPr>
      <t xml:space="preserve">Q&gt;1</t>
    </r>
    <r>
      <rPr>
        <sz val="10"/>
        <color rgb="FF243B53"/>
        <rFont val="Noto Sans CJK SC"/>
        <family val="2"/>
      </rPr>
      <t xml:space="preserve">、</t>
    </r>
    <r>
      <rPr>
        <sz val="10"/>
        <color rgb="FF243B53"/>
        <rFont val="Aptos"/>
        <family val="0"/>
        <charset val="1"/>
      </rPr>
      <t xml:space="preserve">net facility gain</t>
    </r>
    <r>
      <rPr>
        <sz val="10"/>
        <color rgb="FF243B53"/>
        <rFont val="Noto Sans CJK SC"/>
        <family val="2"/>
      </rPr>
      <t xml:space="preserve">、</t>
    </r>
    <r>
      <rPr>
        <sz val="10"/>
        <color rgb="FF243B53"/>
        <rFont val="Aptos"/>
        <family val="0"/>
        <charset val="1"/>
      </rPr>
      <t xml:space="preserve">first plasma</t>
    </r>
    <r>
      <rPr>
        <sz val="10"/>
        <color rgb="FF243B53"/>
        <rFont val="Noto Sans CJK SC"/>
        <family val="2"/>
      </rPr>
      <t xml:space="preserve">、</t>
    </r>
    <r>
      <rPr>
        <sz val="10"/>
        <color rgb="FF243B53"/>
        <rFont val="Aptos"/>
        <family val="0"/>
        <charset val="1"/>
      </rPr>
      <t xml:space="preserve">demonstrate fusion energy</t>
    </r>
    <r>
      <rPr>
        <sz val="10"/>
        <color rgb="FF243B53"/>
        <rFont val="Noto Sans CJK SC"/>
        <family val="2"/>
      </rPr>
      <t xml:space="preserve">不等于净上网电力。融资额、承诺出资、公共补助、项目资本开支、可提取额度和合并估值分开。</t>
    </r>
  </si>
  <si>
    <t xml:space="preserve">模型公式</t>
  </si>
  <si>
    <r>
      <rPr>
        <sz val="10"/>
        <color rgb="FF243B53"/>
        <rFont val="Noto Sans CJK SC"/>
        <family val="2"/>
      </rPr>
      <t xml:space="preserve">示例年度电费（百万</t>
    </r>
    <r>
      <rPr>
        <sz val="10"/>
        <color rgb="FF243B53"/>
        <rFont val="Aptos"/>
        <family val="0"/>
        <charset val="1"/>
      </rPr>
      <t xml:space="preserve">USD</t>
    </r>
    <r>
      <rPr>
        <sz val="10"/>
        <color rgb="FF243B53"/>
        <rFont val="Noto Sans CJK SC"/>
        <family val="2"/>
      </rPr>
      <t xml:space="preserve">）</t>
    </r>
    <r>
      <rPr>
        <sz val="10"/>
        <color rgb="FF243B53"/>
        <rFont val="Aptos"/>
        <family val="0"/>
        <charset val="1"/>
      </rPr>
      <t xml:space="preserve">=IT MW×PUE×</t>
    </r>
    <r>
      <rPr>
        <sz val="10"/>
        <color rgb="FF243B53"/>
        <rFont val="Noto Sans CJK SC"/>
        <family val="2"/>
      </rPr>
      <t xml:space="preserve">负载率</t>
    </r>
    <r>
      <rPr>
        <sz val="10"/>
        <color rgb="FF243B53"/>
        <rFont val="Aptos"/>
        <family val="0"/>
        <charset val="1"/>
      </rPr>
      <t xml:space="preserve">×</t>
    </r>
    <r>
      <rPr>
        <sz val="10"/>
        <color rgb="FF243B53"/>
        <rFont val="Noto Sans CJK SC"/>
        <family val="2"/>
      </rPr>
      <t xml:space="preserve">小时</t>
    </r>
    <r>
      <rPr>
        <sz val="10"/>
        <color rgb="FF243B53"/>
        <rFont val="Aptos"/>
        <family val="0"/>
        <charset val="1"/>
      </rPr>
      <t xml:space="preserve">÷1,000,000×USD/MWh</t>
    </r>
    <r>
      <rPr>
        <sz val="10"/>
        <color rgb="FF243B53"/>
        <rFont val="Noto Sans CJK SC"/>
        <family val="2"/>
      </rPr>
      <t xml:space="preserve">。发电侧电量</t>
    </r>
    <r>
      <rPr>
        <sz val="10"/>
        <color rgb="FF243B53"/>
        <rFont val="Aptos"/>
        <family val="0"/>
        <charset val="1"/>
      </rPr>
      <t xml:space="preserve">=</t>
    </r>
    <r>
      <rPr>
        <sz val="10"/>
        <color rgb="FF243B53"/>
        <rFont val="Noto Sans CJK SC"/>
        <family val="2"/>
      </rPr>
      <t xml:space="preserve">表计电量</t>
    </r>
    <r>
      <rPr>
        <sz val="10"/>
        <color rgb="FF243B53"/>
        <rFont val="Aptos"/>
        <family val="0"/>
        <charset val="1"/>
      </rPr>
      <t xml:space="preserve">÷(1-</t>
    </r>
    <r>
      <rPr>
        <sz val="10"/>
        <color rgb="FF243B53"/>
        <rFont val="Noto Sans CJK SC"/>
        <family val="2"/>
      </rPr>
      <t xml:space="preserve">损失率</t>
    </r>
    <r>
      <rPr>
        <sz val="10"/>
        <color rgb="FF243B53"/>
        <rFont val="Aptos"/>
        <family val="0"/>
        <charset val="1"/>
      </rPr>
      <t xml:space="preserve">)</t>
    </r>
    <r>
      <rPr>
        <sz val="10"/>
        <color rgb="FF243B53"/>
        <rFont val="Noto Sans CJK SC"/>
        <family val="2"/>
      </rPr>
      <t xml:space="preserve">。</t>
    </r>
  </si>
  <si>
    <t xml:space="preserve">颜色与编辑</t>
  </si>
  <si>
    <r>
      <rPr>
        <sz val="10"/>
        <color rgb="FF243B53"/>
        <rFont val="Noto Sans CJK SC"/>
        <family val="2"/>
      </rPr>
      <t xml:space="preserve">黄色单元格为可修改输入；蓝色单元格为公式。修改假设后，</t>
    </r>
    <r>
      <rPr>
        <sz val="10"/>
        <color rgb="FF243B53"/>
        <rFont val="Aptos"/>
        <family val="0"/>
        <charset val="1"/>
      </rPr>
      <t xml:space="preserve">Excel</t>
    </r>
    <r>
      <rPr>
        <sz val="10"/>
        <color rgb="FF243B53"/>
        <rFont val="Noto Sans CJK SC"/>
        <family val="2"/>
      </rPr>
      <t xml:space="preserve">或</t>
    </r>
    <r>
      <rPr>
        <sz val="10"/>
        <color rgb="FF243B53"/>
        <rFont val="Aptos"/>
        <family val="0"/>
        <charset val="1"/>
      </rPr>
      <t xml:space="preserve">LibreOffice</t>
    </r>
    <r>
      <rPr>
        <sz val="10"/>
        <color rgb="FF243B53"/>
        <rFont val="Noto Sans CJK SC"/>
        <family val="2"/>
      </rPr>
      <t xml:space="preserve">会重算汇总、图表和模型；网页为交付时静态同源快照，不会读取</t>
    </r>
    <r>
      <rPr>
        <sz val="10"/>
        <color rgb="FF243B53"/>
        <rFont val="Aptos"/>
        <family val="0"/>
        <charset val="1"/>
      </rPr>
      <t xml:space="preserve">Excel</t>
    </r>
    <r>
      <rPr>
        <sz val="10"/>
        <color rgb="FF243B53"/>
        <rFont val="Noto Sans CJK SC"/>
        <family val="2"/>
      </rPr>
      <t xml:space="preserve">并实时更新。</t>
    </r>
  </si>
  <si>
    <t xml:space="preserve">未核实事项</t>
  </si>
  <si>
    <r>
      <rPr>
        <sz val="10"/>
        <color rgb="FF243B53"/>
        <rFont val="Noto Sans CJK SC"/>
        <family val="2"/>
      </rPr>
      <t xml:space="preserve">商业</t>
    </r>
    <r>
      <rPr>
        <sz val="10"/>
        <color rgb="FF243B53"/>
        <rFont val="Aptos"/>
        <family val="0"/>
        <charset val="1"/>
      </rPr>
      <t xml:space="preserve">PPA</t>
    </r>
    <r>
      <rPr>
        <sz val="10"/>
        <color rgb="FF243B53"/>
        <rFont val="Noto Sans CJK SC"/>
        <family val="2"/>
      </rPr>
      <t xml:space="preserve">价格、多数项目精确投运日、科技公司</t>
    </r>
    <r>
      <rPr>
        <sz val="10"/>
        <color rgb="FF243B53"/>
        <rFont val="Aptos"/>
        <family val="0"/>
        <charset val="1"/>
      </rPr>
      <t xml:space="preserve">2025/2026</t>
    </r>
    <r>
      <rPr>
        <sz val="10"/>
        <color rgb="FF243B53"/>
        <rFont val="Noto Sans CJK SC"/>
        <family val="2"/>
      </rPr>
      <t xml:space="preserve">逐家同口径实际用电、聚变最终交付与部分累计融资最新口径未完全披露，详见</t>
    </r>
    <r>
      <rPr>
        <sz val="10"/>
        <color rgb="FF243B53"/>
        <rFont val="Aptos"/>
        <family val="0"/>
        <charset val="1"/>
      </rPr>
      <t xml:space="preserve">README</t>
    </r>
    <r>
      <rPr>
        <sz val="10"/>
        <color rgb="FF243B53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</si>
</sst>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0.0%"/>
    <numFmt numFmtId="167" formatCode="0.0"/>
    <numFmt numFmtId="168" formatCode="0.000"/>
    <numFmt numFmtId="169" formatCode="0"/>
    <numFmt numFmtId="170" formatCode="0.00"/>
    <numFmt numFmtId="171" formatCode="#,##0"/>
  </numFmts>
  <fonts count="25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Noto Sans CJK SC"/>
      <family val="2"/>
    </font>
    <font>
      <b val="true"/>
      <sz val="22"/>
      <color rgb="FFFFFFFF"/>
      <name val="Aptos Display"/>
      <family val="0"/>
      <charset val="1"/>
    </font>
    <font>
      <sz val="10"/>
      <color rgb="FF243B53"/>
      <name val="Noto Sans CJK SC"/>
      <family val="2"/>
    </font>
    <font>
      <sz val="10"/>
      <color rgb="FF243B53"/>
      <name val="Aptos"/>
      <family val="0"/>
      <charset val="1"/>
    </font>
    <font>
      <b val="true"/>
      <sz val="12"/>
      <color rgb="FF102A43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243B53"/>
      <name val="Noto Sans CJK SC"/>
      <family val="2"/>
    </font>
    <font>
      <b val="true"/>
      <sz val="10"/>
      <color rgb="FF243B53"/>
      <name val="Aptos"/>
      <family val="0"/>
      <charset val="1"/>
    </font>
    <font>
      <b val="true"/>
      <sz val="12"/>
      <color rgb="FF102A43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02A43"/>
      <name val="Noto Sans CJK SC"/>
      <family val="2"/>
    </font>
    <font>
      <b val="true"/>
      <sz val="10"/>
      <color rgb="FF102A43"/>
      <name val="Aptos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sz val="9"/>
      <color rgb="FF243B53"/>
      <name val="Aptos"/>
      <family val="0"/>
      <charset val="1"/>
    </font>
    <font>
      <sz val="9"/>
      <color rgb="FF243B53"/>
      <name val="Noto Sans CJK SC"/>
      <family val="2"/>
    </font>
    <font>
      <sz val="12"/>
      <color theme="10"/>
      <name val="Calibri"/>
      <family val="2"/>
      <charset val="1"/>
    </font>
    <font>
      <b val="true"/>
      <sz val="11"/>
      <color rgb="FF102A43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A43"/>
        <bgColor rgb="FF243B53"/>
      </patternFill>
    </fill>
    <fill>
      <patternFill patternType="solid">
        <fgColor rgb="FFDDF3EF"/>
        <bgColor rgb="FFDDEBF7"/>
      </patternFill>
    </fill>
    <fill>
      <patternFill patternType="solid">
        <fgColor rgb="FFDDEBF7"/>
        <bgColor rgb="FFDDF3EF"/>
      </patternFill>
    </fill>
    <fill>
      <patternFill patternType="solid">
        <fgColor rgb="FFFFF2CC"/>
        <bgColor rgb="FFF9F9F9"/>
      </patternFill>
    </fill>
    <fill>
      <patternFill patternType="solid">
        <fgColor rgb="FFEEF2F5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C"/>
      </bottom>
      <diagonal/>
    </border>
    <border diagonalUp="false" diagonalDown="false">
      <left/>
      <right/>
      <top/>
      <bottom style="hair">
        <color rgb="FFD9E2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24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4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4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4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4">
    <dxf>
      <fill>
        <patternFill patternType="solid">
          <fgColor rgb="FF102A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B5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7" type="wholeTable"/>
      <tableStyleElement dxfId="8" type="firstColumnStripe"/>
      <tableStyleElement dxfId="9" type="first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E"/>
      <rgbColor rgb="FF878787"/>
      <rgbColor rgb="FF9999FF"/>
      <rgbColor rgb="FF993366"/>
      <rgbColor rgb="FFFFF2CC"/>
      <rgbColor rgb="FFDDF3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EF2F5"/>
      <rgbColor rgb="FFF9F9F9"/>
      <rgbColor rgb="FF95B3D7"/>
      <rgbColor rgb="FFFF99CC"/>
      <rgbColor rgb="FFCC99FF"/>
      <rgbColor rgb="FFD9E2EC"/>
      <rgbColor rgb="FF3E6FD9"/>
      <rgbColor rgb="FF33CCCC"/>
      <rgbColor rgb="FF99CC00"/>
      <rgbColor rgb="FFFFCC00"/>
      <rgbColor rgb="FFD99A22"/>
      <rgbColor rgb="FFFF6600"/>
      <rgbColor rgb="FF4F81BD"/>
      <rgbColor rgb="FF969696"/>
      <rgbColor rgb="FF102A43"/>
      <rgbColor rgb="FF12A99A"/>
      <rgbColor rgb="FF003300"/>
      <rgbColor rgb="FF333300"/>
      <rgbColor rgb="FF993300"/>
      <rgbColor rgb="FF993366"/>
      <rgbColor rgb="FF333399"/>
      <rgbColor rgb="FF243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2024物理供电结构（IEA约份额）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汇总!B16</c:f>
              <c:strCache>
                <c:ptCount val="1"/>
                <c:pt idx="0">
                  <c:v>份额</c:v>
                </c:pt>
              </c:strCache>
            </c:strRef>
          </c:tx>
          <c:spPr>
            <a:ln w="12600">
              <a:noFill/>
            </a:ln>
          </c:spPr>
          <c:explosion val="0"/>
          <c:dPt>
            <c:idx val="0"/>
            <c:spPr>
              <a:solidFill>
                <a:srgbClr val="102A4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E6FD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2A99A"/>
              </a:solidFill>
              <a:ln w="0">
                <a:noFill/>
              </a:ln>
            </c:spPr>
          </c:dPt>
          <c:dPt>
            <c:idx val="3"/>
            <c:spPr>
              <a:solidFill>
                <a:srgbClr val="D99A2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B8C4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汇总!$A$17:$A$21</c:f>
              <c:strCache>
                <c:ptCount val="5"/>
                <c:pt idx="0">
                  <c:v>煤炭</c:v>
                </c:pt>
                <c:pt idx="1">
                  <c:v>天然气</c:v>
                </c:pt>
                <c:pt idx="2">
                  <c:v>可再生能源</c:v>
                </c:pt>
                <c:pt idx="3">
                  <c:v>核电</c:v>
                </c:pt>
                <c:pt idx="4">
                  <c:v>其他（剩余项）</c:v>
                </c:pt>
              </c:strCache>
            </c:strRef>
          </c:cat>
          <c:val>
            <c:numRef>
              <c:f>汇总!$B$17:$B$21</c:f>
              <c:numCache>
                <c:formatCode>0.0%</c:formatCode>
                <c:ptCount val="5"/>
                <c:pt idx="0">
                  <c:v>0.3</c:v>
                </c:pt>
                <c:pt idx="1">
                  <c:v>0.26</c:v>
                </c:pt>
                <c:pt idx="2">
                  <c:v>0.27</c:v>
                </c:pt>
                <c:pt idx="3">
                  <c:v>0.15</c:v>
                </c:pt>
                <c:pt idx="4">
                  <c:v>0.02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2026H1资本开支（十亿美元）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汇总!B26</c:f>
              <c:strCache>
                <c:ptCount val="1"/>
                <c:pt idx="0">
                  <c:v>公式结果</c:v>
                </c:pt>
              </c:strCache>
            </c:strRef>
          </c:tx>
          <c:spPr>
            <a:solidFill>
              <a:srgbClr val="3E6FD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汇总!$A$27:$A$30</c:f>
              <c:strCache>
                <c:ptCount val="4"/>
                <c:pt idx="0">
                  <c:v>Meta</c:v>
                </c:pt>
                <c:pt idx="1">
                  <c:v>Alphabet</c:v>
                </c:pt>
                <c:pt idx="2">
                  <c:v>Microsoft</c:v>
                </c:pt>
                <c:pt idx="3">
                  <c:v>Amazon</c:v>
                </c:pt>
              </c:strCache>
            </c:strRef>
          </c:cat>
          <c:val>
            <c:numRef>
              <c:f>汇总!$B$27:$B$30</c:f>
              <c:numCache>
                <c:formatCode>0.000</c:formatCode>
                <c:ptCount val="4"/>
                <c:pt idx="0">
                  <c:v>50.914</c:v>
                </c:pt>
                <c:pt idx="1">
                  <c:v>80.598</c:v>
                </c:pt>
                <c:pt idx="2">
                  <c:v>66.678</c:v>
                </c:pt>
                <c:pt idx="3">
                  <c:v>98.411</c:v>
                </c:pt>
              </c:numCache>
            </c:numRef>
          </c:val>
        </c:ser>
        <c:gapWidth val="150"/>
        <c:overlap val="0"/>
        <c:axId val="17610834"/>
        <c:axId val="34073604"/>
      </c:barChart>
      <c:catAx>
        <c:axId val="176108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73604"/>
        <c:crosses val="autoZero"/>
        <c:auto val="1"/>
        <c:lblAlgn val="ctr"/>
        <c:lblOffset val="100"/>
        <c:noMultiLvlLbl val="0"/>
      </c:catAx>
      <c:valAx>
        <c:axId val="34073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公司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610834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全球数据中心用电（TWh）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汇总!B33</c:f>
              <c:strCache>
                <c:ptCount val="1"/>
                <c:pt idx="0">
                  <c:v>用电量</c:v>
                </c:pt>
              </c:strCache>
            </c:strRef>
          </c:tx>
          <c:spPr>
            <a:solidFill>
              <a:srgbClr val="12A99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汇总!$A$34:$A$36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</c:strCache>
            </c:strRef>
          </c:cat>
          <c:val>
            <c:numRef>
              <c:f>汇总!$B$34:$B$36</c:f>
              <c:numCache>
                <c:formatCode>0</c:formatCode>
                <c:ptCount val="3"/>
                <c:pt idx="0">
                  <c:v>415</c:v>
                </c:pt>
                <c:pt idx="1">
                  <c:v>485</c:v>
                </c:pt>
                <c:pt idx="2">
                  <c:v>950</c:v>
                </c:pt>
              </c:numCache>
            </c:numRef>
          </c:val>
        </c:ser>
        <c:gapWidth val="150"/>
        <c:overlap val="0"/>
        <c:axId val="79851762"/>
        <c:axId val="2976474"/>
      </c:barChart>
      <c:catAx>
        <c:axId val="79851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76474"/>
        <c:crosses val="autoZero"/>
        <c:auto val="1"/>
        <c:lblAlgn val="ctr"/>
        <c:lblOffset val="100"/>
        <c:noMultiLvlLbl val="0"/>
      </c:catAx>
      <c:valAx>
        <c:axId val="2976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851762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11</xdr:col>
      <xdr:colOff>990720</xdr:colOff>
      <xdr:row>10</xdr:row>
      <xdr:rowOff>74880</xdr:rowOff>
    </xdr:to>
    <xdr:graphicFrame>
      <xdr:nvGraphicFramePr>
        <xdr:cNvPr id="1" name="Chart 1"/>
        <xdr:cNvGraphicFramePr/>
      </xdr:nvGraphicFramePr>
      <xdr:xfrm>
        <a:off x="12264480" y="961920"/>
        <a:ext cx="52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11</xdr:col>
      <xdr:colOff>990720</xdr:colOff>
      <xdr:row>27</xdr:row>
      <xdr:rowOff>1800</xdr:rowOff>
    </xdr:to>
    <xdr:graphicFrame>
      <xdr:nvGraphicFramePr>
        <xdr:cNvPr id="2" name="Chart 2"/>
        <xdr:cNvGraphicFramePr/>
      </xdr:nvGraphicFramePr>
      <xdr:xfrm>
        <a:off x="12264480" y="6505560"/>
        <a:ext cx="52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11</xdr:col>
      <xdr:colOff>990720</xdr:colOff>
      <xdr:row>44</xdr:row>
      <xdr:rowOff>337680</xdr:rowOff>
    </xdr:to>
    <xdr:graphicFrame>
      <xdr:nvGraphicFramePr>
        <xdr:cNvPr id="3" name="Chart 3"/>
        <xdr:cNvGraphicFramePr/>
      </xdr:nvGraphicFramePr>
      <xdr:xfrm>
        <a:off x="12264480" y="11611080"/>
        <a:ext cx="52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taTable" displayName="DataTable" ref="A3:Q243" headerRowCount="1" totalsRowCount="0" totalsRowShown="0">
  <autoFilter ref="A3:Q243"/>
  <tableColumns count="17">
    <tableColumn id="1" name="数据ID"/>
    <tableColumn id="2" name="主题"/>
    <tableColumn id="3" name="指标"/>
    <tableColumn id="4" name="主体/地区"/>
    <tableColumn id="5" name="期间"/>
    <tableColumn id="6" name="数值"/>
    <tableColumn id="7" name="单位"/>
    <tableColumn id="8" name="数据性质"/>
    <tableColumn id="9" name="口径说明"/>
    <tableColumn id="10" name="来源ID"/>
    <tableColumn id="11" name="来源名称"/>
    <tableColumn id="12" name="发布日期"/>
    <tableColumn id="13" name="章节/表名/定位"/>
    <tableColumn id="14" name="网页链接/原始文件"/>
    <tableColumn id="15" name="访问日期"/>
    <tableColumn id="16" name="值修饰"/>
    <tableColumn id="17" name="补充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ea.org/reports/energy-and-ai" TargetMode="External"/><Relationship Id="rId2" Type="http://schemas.openxmlformats.org/officeDocument/2006/relationships/hyperlink" Target="https://www.iea.org/reports/energy-and-ai" TargetMode="External"/><Relationship Id="rId3" Type="http://schemas.openxmlformats.org/officeDocument/2006/relationships/hyperlink" Target="https://www.iea.org/reports/key-questions-on-energy-and-ai" TargetMode="External"/><Relationship Id="rId4" Type="http://schemas.openxmlformats.org/officeDocument/2006/relationships/hyperlink" Target="https://www.iea.org/reports/key-questions-on-energy-and-ai" TargetMode="External"/><Relationship Id="rId5" Type="http://schemas.openxmlformats.org/officeDocument/2006/relationships/hyperlink" Target="https://www.iea.org/reports/key-questions-on-energy-and-ai" TargetMode="External"/><Relationship Id="rId6" Type="http://schemas.openxmlformats.org/officeDocument/2006/relationships/hyperlink" Target="https://www.iea.org/reports/key-questions-on-energy-and-ai" TargetMode="External"/><Relationship Id="rId7" Type="http://schemas.openxmlformats.org/officeDocument/2006/relationships/hyperlink" Target="https://www.iea.org/reports/key-questions-on-energy-and-ai" TargetMode="External"/><Relationship Id="rId8" Type="http://schemas.openxmlformats.org/officeDocument/2006/relationships/hyperlink" Target="https://www.iea.org/reports/key-questions-on-energy-and-ai" TargetMode="External"/><Relationship Id="rId9" Type="http://schemas.openxmlformats.org/officeDocument/2006/relationships/hyperlink" Target="https://www.iea.org/reports/key-questions-on-energy-and-ai" TargetMode="External"/><Relationship Id="rId10" Type="http://schemas.openxmlformats.org/officeDocument/2006/relationships/hyperlink" Target="https://www.iea.org/reports/energy-and-ai" TargetMode="External"/><Relationship Id="rId11" Type="http://schemas.openxmlformats.org/officeDocument/2006/relationships/hyperlink" Target="https://www.iea.org/reports/energy-and-ai" TargetMode="External"/><Relationship Id="rId12" Type="http://schemas.openxmlformats.org/officeDocument/2006/relationships/hyperlink" Target="https://www.iea.org/reports/energy-and-ai" TargetMode="External"/><Relationship Id="rId13" Type="http://schemas.openxmlformats.org/officeDocument/2006/relationships/hyperlink" Target="https://www.iea.org/reports/energy-and-ai" TargetMode="External"/><Relationship Id="rId14" Type="http://schemas.openxmlformats.org/officeDocument/2006/relationships/hyperlink" Target="https://www.iea.org/reports/energy-and-ai" TargetMode="External"/><Relationship Id="rId15" Type="http://schemas.openxmlformats.org/officeDocument/2006/relationships/hyperlink" Target="https://www.iea.org/reports/key-questions-on-energy-and-ai" TargetMode="External"/><Relationship Id="rId16" Type="http://schemas.openxmlformats.org/officeDocument/2006/relationships/hyperlink" Target="https://www.iea.org/reports/key-questions-on-energy-and-ai" TargetMode="External"/><Relationship Id="rId17" Type="http://schemas.openxmlformats.org/officeDocument/2006/relationships/hyperlink" Target="https://www.iea.org/reports/key-questions-on-energy-and-ai" TargetMode="External"/><Relationship Id="rId18" Type="http://schemas.openxmlformats.org/officeDocument/2006/relationships/hyperlink" Target="https://www.iea.org/reports/key-questions-on-energy-and-ai" TargetMode="External"/><Relationship Id="rId19" Type="http://schemas.openxmlformats.org/officeDocument/2006/relationships/hyperlink" Target="https://www.iea.org/reports/key-questions-on-energy-and-ai" TargetMode="External"/><Relationship Id="rId20" Type="http://schemas.openxmlformats.org/officeDocument/2006/relationships/hyperlink" Target="https://www.iea.org/reports/key-questions-on-energy-and-ai" TargetMode="External"/><Relationship Id="rId21" Type="http://schemas.openxmlformats.org/officeDocument/2006/relationships/hyperlink" Target="https://www.iea.org/reports/key-questions-on-energy-and-ai" TargetMode="External"/><Relationship Id="rId22" Type="http://schemas.openxmlformats.org/officeDocument/2006/relationships/hyperlink" Target="https://www.iea.org/reports/key-questions-on-energy-and-ai" TargetMode="External"/><Relationship Id="rId23" Type="http://schemas.openxmlformats.org/officeDocument/2006/relationships/hyperlink" Target="https://www.iea.org/reports/key-questions-on-energy-and-ai" TargetMode="External"/><Relationship Id="rId24" Type="http://schemas.openxmlformats.org/officeDocument/2006/relationships/hyperlink" Target="https://www.iea.org/reports/key-questions-on-energy-and-ai" TargetMode="External"/><Relationship Id="rId25" Type="http://schemas.openxmlformats.org/officeDocument/2006/relationships/hyperlink" Target="https://www.iea.org/reports/key-questions-on-energy-and-ai" TargetMode="External"/><Relationship Id="rId26" Type="http://schemas.openxmlformats.org/officeDocument/2006/relationships/hyperlink" Target="https://www.iea.org/reports/key-questions-on-energy-and-ai" TargetMode="External"/><Relationship Id="rId27" Type="http://schemas.openxmlformats.org/officeDocument/2006/relationships/hyperlink" Target="https://www.iea.org/reports/key-questions-on-energy-and-ai" TargetMode="External"/><Relationship Id="rId28" Type="http://schemas.openxmlformats.org/officeDocument/2006/relationships/hyperlink" Target="https://www.iea.org/reports/key-questions-on-energy-and-ai" TargetMode="External"/><Relationship Id="rId29" Type="http://schemas.openxmlformats.org/officeDocument/2006/relationships/hyperlink" Target="https://www.iea.org/reports/key-questions-on-energy-and-ai" TargetMode="External"/><Relationship Id="rId30" Type="http://schemas.openxmlformats.org/officeDocument/2006/relationships/hyperlink" Target="https://www.iea.org/reports/energy-and-ai" TargetMode="External"/><Relationship Id="rId31" Type="http://schemas.openxmlformats.org/officeDocument/2006/relationships/hyperlink" Target="https://www.iea.org/reports/energy-and-ai" TargetMode="External"/><Relationship Id="rId32" Type="http://schemas.openxmlformats.org/officeDocument/2006/relationships/hyperlink" Target="https://www.iea.org/reports/energy-and-ai" TargetMode="External"/><Relationship Id="rId33" Type="http://schemas.openxmlformats.org/officeDocument/2006/relationships/hyperlink" Target="https://www.iea.org/reports/energy-and-ai" TargetMode="External"/><Relationship Id="rId34" Type="http://schemas.openxmlformats.org/officeDocument/2006/relationships/hyperlink" Target="https://www.iea.org/reports/energy-and-ai" TargetMode="External"/><Relationship Id="rId35" Type="http://schemas.openxmlformats.org/officeDocument/2006/relationships/hyperlink" Target="https://www.iea.org/reports/energy-and-ai" TargetMode="External"/><Relationship Id="rId36" Type="http://schemas.openxmlformats.org/officeDocument/2006/relationships/hyperlink" Target="https://www.iea.org/reports/energy-and-ai" TargetMode="External"/><Relationship Id="rId37" Type="http://schemas.openxmlformats.org/officeDocument/2006/relationships/hyperlink" Target="https://www.iea.org/reports/energy-and-ai" TargetMode="External"/><Relationship Id="rId38" Type="http://schemas.openxmlformats.org/officeDocument/2006/relationships/hyperlink" Target="https://www.iea.org/reports/energy-and-ai" TargetMode="External"/><Relationship Id="rId39" Type="http://schemas.openxmlformats.org/officeDocument/2006/relationships/hyperlink" Target="https://www.iea.org/reports/energy-and-ai" TargetMode="External"/><Relationship Id="rId40" Type="http://schemas.openxmlformats.org/officeDocument/2006/relationships/hyperlink" Target="https://www.iea.org/reports/energy-and-ai" TargetMode="External"/><Relationship Id="rId41" Type="http://schemas.openxmlformats.org/officeDocument/2006/relationships/hyperlink" Target="https://www.iea.org/reports/energy-and-ai" TargetMode="External"/><Relationship Id="rId42" Type="http://schemas.openxmlformats.org/officeDocument/2006/relationships/hyperlink" Target="https://www.iea.org/reports/energy-and-ai" TargetMode="External"/><Relationship Id="rId43" Type="http://schemas.openxmlformats.org/officeDocument/2006/relationships/hyperlink" Target="https://www.iea.org/reports/energy-and-ai" TargetMode="External"/><Relationship Id="rId44" Type="http://schemas.openxmlformats.org/officeDocument/2006/relationships/hyperlink" Target="https://www.iea.org/reports/energy-and-ai" TargetMode="External"/><Relationship Id="rId45" Type="http://schemas.openxmlformats.org/officeDocument/2006/relationships/hyperlink" Target="https://www.iea.org/reports/energy-and-ai" TargetMode="External"/><Relationship Id="rId46" Type="http://schemas.openxmlformats.org/officeDocument/2006/relationships/hyperlink" Target="https://www.iea.org/reports/energy-and-ai" TargetMode="External"/><Relationship Id="rId47" Type="http://schemas.openxmlformats.org/officeDocument/2006/relationships/hyperlink" Target="https://www.iea.org/reports/energy-and-ai" TargetMode="External"/><Relationship Id="rId48" Type="http://schemas.openxmlformats.org/officeDocument/2006/relationships/hyperlink" Target="https://www.iea.org/reports/energy-and-ai" TargetMode="External"/><Relationship Id="rId49" Type="http://schemas.openxmlformats.org/officeDocument/2006/relationships/hyperlink" Target="https://www.iea.org/reports/energy-and-ai" TargetMode="External"/><Relationship Id="rId50" Type="http://schemas.openxmlformats.org/officeDocument/2006/relationships/hyperlink" Target="https://www.iea.org/reports/energy-and-ai" TargetMode="External"/><Relationship Id="rId51" Type="http://schemas.openxmlformats.org/officeDocument/2006/relationships/hyperlink" Target="https://www.iea.org/reports/energy-and-ai" TargetMode="External"/><Relationship Id="rId52" Type="http://schemas.openxmlformats.org/officeDocument/2006/relationships/hyperlink" Target="https://www.iea.org/reports/energy-and-ai" TargetMode="External"/><Relationship Id="rId53" Type="http://schemas.openxmlformats.org/officeDocument/2006/relationships/hyperlink" Target="https://www.iea.org/reports/energy-and-ai" TargetMode="External"/><Relationship Id="rId54" Type="http://schemas.openxmlformats.org/officeDocument/2006/relationships/hyperlink" Target="https://www.iea.org/reports/energy-and-ai" TargetMode="External"/><Relationship Id="rId55" Type="http://schemas.openxmlformats.org/officeDocument/2006/relationships/hyperlink" Target="https://www.iea.org/reports/energy-and-ai" TargetMode="External"/><Relationship Id="rId56" Type="http://schemas.openxmlformats.org/officeDocument/2006/relationships/hyperlink" Target="https://www.iea.org/reports/energy-and-ai" TargetMode="External"/><Relationship Id="rId57" Type="http://schemas.openxmlformats.org/officeDocument/2006/relationships/hyperlink" Target="https://www.iea.org/reports/energy-and-ai" TargetMode="External"/><Relationship Id="rId58" Type="http://schemas.openxmlformats.org/officeDocument/2006/relationships/hyperlink" Target="https://www.iea.org/reports/energy-and-ai" TargetMode="External"/><Relationship Id="rId59" Type="http://schemas.openxmlformats.org/officeDocument/2006/relationships/hyperlink" Target="https://www.iea.org/reports/energy-and-ai" TargetMode="External"/><Relationship Id="rId60" Type="http://schemas.openxmlformats.org/officeDocument/2006/relationships/hyperlink" Target="https://www.iea.org/reports/energy-and-ai" TargetMode="External"/><Relationship Id="rId61" Type="http://schemas.openxmlformats.org/officeDocument/2006/relationships/hyperlink" Target="https://www.iea.org/reports/energy-and-ai" TargetMode="External"/><Relationship Id="rId62" Type="http://schemas.openxmlformats.org/officeDocument/2006/relationships/hyperlink" Target="https://www.iea.org/reports/energy-and-ai" TargetMode="External"/><Relationship Id="rId63" Type="http://schemas.openxmlformats.org/officeDocument/2006/relationships/hyperlink" Target="https://www.iea.org/reports/energy-and-ai" TargetMode="External"/><Relationship Id="rId64" Type="http://schemas.openxmlformats.org/officeDocument/2006/relationships/hyperlink" Target="https://www.iea.org/reports/energy-and-ai" TargetMode="External"/><Relationship Id="rId65" Type="http://schemas.openxmlformats.org/officeDocument/2006/relationships/hyperlink" Target="https://www.iea.org/reports/energy-and-ai" TargetMode="External"/><Relationship Id="rId66" Type="http://schemas.openxmlformats.org/officeDocument/2006/relationships/hyperlink" Target="https://www.iea.org/reports/energy-and-ai" TargetMode="External"/><Relationship Id="rId67" Type="http://schemas.openxmlformats.org/officeDocument/2006/relationships/hyperlink" Target="https://www.iea.org/reports/energy-and-ai" TargetMode="External"/><Relationship Id="rId68" Type="http://schemas.openxmlformats.org/officeDocument/2006/relationships/hyperlink" Target="https://www.iea.org/reports/energy-and-ai" TargetMode="External"/><Relationship Id="rId69" Type="http://schemas.openxmlformats.org/officeDocument/2006/relationships/hyperlink" Target="https://www.iea.org/reports/energy-and-ai" TargetMode="External"/><Relationship Id="rId70" Type="http://schemas.openxmlformats.org/officeDocument/2006/relationships/hyperlink" Target="https://www.iea.org/reports/energy-and-ai" TargetMode="External"/><Relationship Id="rId71" Type="http://schemas.openxmlformats.org/officeDocument/2006/relationships/hyperlink" Target="https://www.iea.org/reports/energy-and-ai" TargetMode="External"/><Relationship Id="rId72" Type="http://schemas.openxmlformats.org/officeDocument/2006/relationships/hyperlink" Target="https://www.iea.org/reports/energy-and-ai" TargetMode="External"/><Relationship Id="rId73" Type="http://schemas.openxmlformats.org/officeDocument/2006/relationships/hyperlink" Target="https://www.iea.org/reports/energy-and-ai" TargetMode="External"/><Relationship Id="rId74" Type="http://schemas.openxmlformats.org/officeDocument/2006/relationships/hyperlink" Target="https://www.iea.org/reports/energy-and-ai" TargetMode="External"/><Relationship Id="rId75" Type="http://schemas.openxmlformats.org/officeDocument/2006/relationships/hyperlink" Target="https://www.iea.org/reports/energy-and-ai" TargetMode="External"/><Relationship Id="rId76" Type="http://schemas.openxmlformats.org/officeDocument/2006/relationships/hyperlink" Target="https://www.iea.org/reports/energy-and-ai" TargetMode="External"/><Relationship Id="rId77" Type="http://schemas.openxmlformats.org/officeDocument/2006/relationships/hyperlink" Target="https://www.iea.org/reports/energy-and-ai" TargetMode="External"/><Relationship Id="rId78" Type="http://schemas.openxmlformats.org/officeDocument/2006/relationships/hyperlink" Target="https://www.iea.org/reports/energy-and-ai" TargetMode="External"/><Relationship Id="rId79" Type="http://schemas.openxmlformats.org/officeDocument/2006/relationships/hyperlink" Target="https://www.iea.org/reports/energy-and-ai" TargetMode="External"/><Relationship Id="rId80" Type="http://schemas.openxmlformats.org/officeDocument/2006/relationships/hyperlink" Target="https://www.iea.org/reports/energy-and-ai" TargetMode="External"/><Relationship Id="rId81" Type="http://schemas.openxmlformats.org/officeDocument/2006/relationships/hyperlink" Target="https://www.iea.org/reports/energy-and-ai" TargetMode="External"/><Relationship Id="rId82" Type="http://schemas.openxmlformats.org/officeDocument/2006/relationships/hyperlink" Target="https://www.iea.org/reports/energy-and-ai" TargetMode="External"/><Relationship Id="rId83" Type="http://schemas.openxmlformats.org/officeDocument/2006/relationships/hyperlink" Target="https://www.iea.org/reports/energy-and-ai" TargetMode="External"/><Relationship Id="rId84" Type="http://schemas.openxmlformats.org/officeDocument/2006/relationships/hyperlink" Target="https://www.iea.org/reports/energy-and-ai" TargetMode="External"/><Relationship Id="rId85" Type="http://schemas.openxmlformats.org/officeDocument/2006/relationships/hyperlink" Target="https://www.iea.org/reports/energy-and-ai" TargetMode="External"/><Relationship Id="rId86" Type="http://schemas.openxmlformats.org/officeDocument/2006/relationships/hyperlink" Target="https://www.iea.org/reports/energy-and-ai" TargetMode="External"/><Relationship Id="rId87" Type="http://schemas.openxmlformats.org/officeDocument/2006/relationships/hyperlink" Target="https://www.iea.org/reports/energy-and-ai" TargetMode="External"/><Relationship Id="rId88" Type="http://schemas.openxmlformats.org/officeDocument/2006/relationships/hyperlink" Target="https://www.iea.org/reports/energy-and-ai" TargetMode="External"/><Relationship Id="rId89" Type="http://schemas.openxmlformats.org/officeDocument/2006/relationships/hyperlink" Target="https://www.iea.org/reports/energy-and-ai" TargetMode="External"/><Relationship Id="rId90" Type="http://schemas.openxmlformats.org/officeDocument/2006/relationships/hyperlink" Target="https://www.iea.org/reports/energy-and-ai" TargetMode="External"/><Relationship Id="rId91" Type="http://schemas.openxmlformats.org/officeDocument/2006/relationships/hyperlink" Target="https://www.iea.org/reports/energy-and-ai" TargetMode="External"/><Relationship Id="rId92" Type="http://schemas.openxmlformats.org/officeDocument/2006/relationships/hyperlink" Target="https://www.iea.org/reports/energy-and-ai" TargetMode="External"/><Relationship Id="rId93" Type="http://schemas.openxmlformats.org/officeDocument/2006/relationships/hyperlink" Target="https://sustainability.atmeta.com/asset/2025-environmental-data-index/" TargetMode="External"/><Relationship Id="rId94" Type="http://schemas.openxmlformats.org/officeDocument/2006/relationships/hyperlink" Target="https://sustainability.atmeta.com/asset/2025-environmental-data-index/" TargetMode="External"/><Relationship Id="rId95" Type="http://schemas.openxmlformats.org/officeDocument/2006/relationships/hyperlink" Target="https://sustainability.atmeta.com/asset/2025-environmental-data-index/" TargetMode="External"/><Relationship Id="rId96" Type="http://schemas.openxmlformats.org/officeDocument/2006/relationships/hyperlink" Target="https://sustainability.atmeta.com/asset/2025-environmental-data-index/" TargetMode="External"/><Relationship Id="rId97" Type="http://schemas.openxmlformats.org/officeDocument/2006/relationships/hyperlink" Target="https://sustainability.atmeta.com/asset/2025-environmental-data-index/" TargetMode="External"/><Relationship Id="rId98" Type="http://schemas.openxmlformats.org/officeDocument/2006/relationships/hyperlink" Target="https://sustainability.atmeta.com/asset/2025-environmental-data-index/" TargetMode="External"/><Relationship Id="rId99" Type="http://schemas.openxmlformats.org/officeDocument/2006/relationships/hyperlink" Target="https://sustainability.atmeta.com/asset/2025-environmental-data-index/" TargetMode="External"/><Relationship Id="rId100" Type="http://schemas.openxmlformats.org/officeDocument/2006/relationships/hyperlink" Target="https://about.fb.com/news/2026/01/meta-nuclear-energy-projects-power-american-ai-leadership/" TargetMode="External"/><Relationship Id="rId101" Type="http://schemas.openxmlformats.org/officeDocument/2006/relationships/hyperlink" Target="https://about.fb.com/news/2026/01/meta-nuclear-energy-projects-power-american-ai-leadership/" TargetMode="External"/><Relationship Id="rId102" Type="http://schemas.openxmlformats.org/officeDocument/2006/relationships/hyperlink" Target="https://www.iea.org/reports/energy-and-ai" TargetMode="External"/><Relationship Id="rId103" Type="http://schemas.openxmlformats.org/officeDocument/2006/relationships/hyperlink" Target="https://www.iea.org/reports/energy-and-ai" TargetMode="External"/><Relationship Id="rId104" Type="http://schemas.openxmlformats.org/officeDocument/2006/relationships/hyperlink" Target="https://escholarship.org/uc/item/32d6m0d1" TargetMode="External"/><Relationship Id="rId105" Type="http://schemas.openxmlformats.org/officeDocument/2006/relationships/hyperlink" Target="https://escholarship.org/uc/item/32d6m0d1" TargetMode="External"/><Relationship Id="rId106" Type="http://schemas.openxmlformats.org/officeDocument/2006/relationships/hyperlink" Target="https://escholarship.org/uc/item/32d6m0d1" TargetMode="External"/><Relationship Id="rId107" Type="http://schemas.openxmlformats.org/officeDocument/2006/relationships/hyperlink" Target="https://escholarship.org/uc/item/32d6m0d1" TargetMode="External"/><Relationship Id="rId108" Type="http://schemas.openxmlformats.org/officeDocument/2006/relationships/hyperlink" Target="https://escholarship.org/uc/item/32d6m0d1" TargetMode="External"/><Relationship Id="rId109" Type="http://schemas.openxmlformats.org/officeDocument/2006/relationships/hyperlink" Target="https://escholarship.org/uc/item/32d6m0d1" TargetMode="External"/><Relationship Id="rId110" Type="http://schemas.openxmlformats.org/officeDocument/2006/relationships/hyperlink" Target="https://escholarship.org/uc/item/32d6m0d1" TargetMode="External"/><Relationship Id="rId111" Type="http://schemas.openxmlformats.org/officeDocument/2006/relationships/hyperlink" Target="https://escholarship.org/uc/item/32d6m0d1" TargetMode="External"/><Relationship Id="rId112" Type="http://schemas.openxmlformats.org/officeDocument/2006/relationships/hyperlink" Target="https://www.iea.org/reports/energy-and-ai" TargetMode="External"/><Relationship Id="rId113" Type="http://schemas.openxmlformats.org/officeDocument/2006/relationships/hyperlink" Target="https://www.iea.org/reports/energy-and-ai" TargetMode="External"/><Relationship Id="rId114" Type="http://schemas.openxmlformats.org/officeDocument/2006/relationships/hyperlink" Target="https://www.iea.org/reports/energy-and-ai" TargetMode="External"/><Relationship Id="rId115" Type="http://schemas.openxmlformats.org/officeDocument/2006/relationships/hyperlink" Target="https://emp.lbl.gov/publications/queued-2026-edition-characteristics" TargetMode="External"/><Relationship Id="rId116" Type="http://schemas.openxmlformats.org/officeDocument/2006/relationships/hyperlink" Target="https://emp.lbl.gov/publications/queued-2026-edition-characteristics" TargetMode="External"/><Relationship Id="rId117" Type="http://schemas.openxmlformats.org/officeDocument/2006/relationships/hyperlink" Target="https://emp.lbl.gov/publications/queued-2026-edition-characteristics" TargetMode="External"/><Relationship Id="rId118" Type="http://schemas.openxmlformats.org/officeDocument/2006/relationships/hyperlink" Target="https://emp.lbl.gov/publications/queued-2026-edition-characteristics" TargetMode="External"/><Relationship Id="rId119" Type="http://schemas.openxmlformats.org/officeDocument/2006/relationships/hyperlink" Target="https://www.iea.org/reports/energy-and-ai" TargetMode="External"/><Relationship Id="rId120" Type="http://schemas.openxmlformats.org/officeDocument/2006/relationships/hyperlink" Target="https://www.iea.org/reports/energy-and-ai" TargetMode="External"/><Relationship Id="rId121" Type="http://schemas.openxmlformats.org/officeDocument/2006/relationships/hyperlink" Target="https://www.iea.org/reports/energy-and-ai" TargetMode="External"/><Relationship Id="rId122" Type="http://schemas.openxmlformats.org/officeDocument/2006/relationships/hyperlink" Target="https://www.iea.org/reports/energy-and-ai" TargetMode="External"/><Relationship Id="rId123" Type="http://schemas.openxmlformats.org/officeDocument/2006/relationships/hyperlink" Target="https://www.iea.org/reports/energy-and-ai" TargetMode="External"/><Relationship Id="rId124" Type="http://schemas.openxmlformats.org/officeDocument/2006/relationships/hyperlink" Target="https://www.eia.gov/todayinenergy/detail.php?id=61963" TargetMode="External"/><Relationship Id="rId125" Type="http://schemas.openxmlformats.org/officeDocument/2006/relationships/hyperlink" Target="https://www.eia.gov/todayinenergy/detail.php?id=61963" TargetMode="External"/><Relationship Id="rId126" Type="http://schemas.openxmlformats.org/officeDocument/2006/relationships/hyperlink" Target="https://www.eia.gov/todayinenergy/detail.php?id=61963" TargetMode="External"/><Relationship Id="rId127" Type="http://schemas.openxmlformats.org/officeDocument/2006/relationships/hyperlink" Target="https://www.constellationenergy.com/news/2025/constellation-meta-sign-20-year-deal-for-clean-reliable-nuclear-energy-in-illinois.html" TargetMode="External"/><Relationship Id="rId128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29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30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31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32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33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134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35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36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37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38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39" Type="http://schemas.openxmlformats.org/officeDocument/2006/relationships/hyperlink" Target="https://www.constellationenergy.com/news/2026/09/constellation-and-amazon-announce-20-year-power-purchase-agreement-at-calvert-cliffs.html" TargetMode="External"/><Relationship Id="rId140" Type="http://schemas.openxmlformats.org/officeDocument/2006/relationships/hyperlink" Target="https://about.fb.com/news/2026/01/meta-nuclear-energy-projects-power-american-ai-leadership/" TargetMode="External"/><Relationship Id="rId141" Type="http://schemas.openxmlformats.org/officeDocument/2006/relationships/hyperlink" Target="https://about.fb.com/news/2026/01/meta-nuclear-energy-projects-power-american-ai-leadership/" TargetMode="External"/><Relationship Id="rId142" Type="http://schemas.openxmlformats.org/officeDocument/2006/relationships/hyperlink" Target="https://about.fb.com/news/2026/01/meta-nuclear-energy-projects-power-american-ai-leadership/" TargetMode="External"/><Relationship Id="rId143" Type="http://schemas.openxmlformats.org/officeDocument/2006/relationships/hyperlink" Target="https://about.fb.com/news/2026/01/meta-nuclear-energy-projects-power-american-ai-leadership/" TargetMode="External"/><Relationship Id="rId144" Type="http://schemas.openxmlformats.org/officeDocument/2006/relationships/hyperlink" Target="https://about.fb.com/news/2026/01/meta-nuclear-energy-projects-power-american-ai-leadership/" TargetMode="External"/><Relationship Id="rId145" Type="http://schemas.openxmlformats.org/officeDocument/2006/relationships/hyperlink" Target="https://about.fb.com/news/2026/01/meta-nuclear-energy-projects-power-american-ai-leadership/" TargetMode="External"/><Relationship Id="rId146" Type="http://schemas.openxmlformats.org/officeDocument/2006/relationships/hyperlink" Target="https://about.fb.com/news/2026/01/meta-nuclear-energy-projects-power-american-ai-leadership/" TargetMode="External"/><Relationship Id="rId147" Type="http://schemas.openxmlformats.org/officeDocument/2006/relationships/hyperlink" Target="https://about.fb.com/news/2026/01/meta-nuclear-energy-projects-power-american-ai-leadership/" TargetMode="External"/><Relationship Id="rId148" Type="http://schemas.openxmlformats.org/officeDocument/2006/relationships/hyperlink" Target="https://about.fb.com/news/2026/01/meta-nuclear-energy-projects-power-american-ai-leadership/" TargetMode="External"/><Relationship Id="rId149" Type="http://schemas.openxmlformats.org/officeDocument/2006/relationships/hyperlink" Target="https://about.fb.com/news/2026/01/meta-nuclear-energy-projects-power-american-ai-leadership/" TargetMode="External"/><Relationship Id="rId150" Type="http://schemas.openxmlformats.org/officeDocument/2006/relationships/hyperlink" Target="https://about.fb.com/news/2026/01/meta-nuclear-energy-projects-power-american-ai-leadership/" TargetMode="External"/><Relationship Id="rId151" Type="http://schemas.openxmlformats.org/officeDocument/2006/relationships/hyperlink" Target="https://data.sec.gov/api/xbrl/companyfacts/CIK0001652044.json" TargetMode="External"/><Relationship Id="rId152" Type="http://schemas.openxmlformats.org/officeDocument/2006/relationships/hyperlink" Target="https://data.sec.gov/api/xbrl/companyfacts/CIK0001652044.json" TargetMode="External"/><Relationship Id="rId153" Type="http://schemas.openxmlformats.org/officeDocument/2006/relationships/hyperlink" Target="https://data.sec.gov/api/xbrl/companyfacts/CIK0001018724.json" TargetMode="External"/><Relationship Id="rId154" Type="http://schemas.openxmlformats.org/officeDocument/2006/relationships/hyperlink" Target="https://data.sec.gov/api/xbrl/companyfacts/CIK0001018724.json" TargetMode="External"/><Relationship Id="rId155" Type="http://schemas.openxmlformats.org/officeDocument/2006/relationships/hyperlink" Target="https://data.sec.gov/api/xbrl/companyfacts/CIK0000789019.json" TargetMode="External"/><Relationship Id="rId156" Type="http://schemas.openxmlformats.org/officeDocument/2006/relationships/hyperlink" Target="https://data.sec.gov/api/xbrl/companyfacts/CIK0000789019.json" TargetMode="External"/><Relationship Id="rId157" Type="http://schemas.openxmlformats.org/officeDocument/2006/relationships/hyperlink" Target="https://data.sec.gov/api/xbrl/companyfacts/CIK0000789019.json" TargetMode="External"/><Relationship Id="rId158" Type="http://schemas.openxmlformats.org/officeDocument/2006/relationships/hyperlink" Target="https://cfs.energy/news-and-media/google-and-commonwealth-fusion-systems-sign-strategic-partnership/" TargetMode="External"/><Relationship Id="rId159" Type="http://schemas.openxmlformats.org/officeDocument/2006/relationships/hyperlink" Target="https://cfs.energy/news-and-media/google-and-commonwealth-fusion-systems-sign-strategic-partnership/" TargetMode="External"/><Relationship Id="rId160" Type="http://schemas.openxmlformats.org/officeDocument/2006/relationships/hyperlink" Target="https://cfs.energy/news-and-media/google-and-commonwealth-fusion-systems-sign-strategic-partnership/" TargetMode="External"/><Relationship Id="rId161" Type="http://schemas.openxmlformats.org/officeDocument/2006/relationships/hyperlink" Target="https://cfs.energy/news-and-media/commonwealth-fusion-systems-raises-another-1-billion-bringing-total-capital-raised-to-4-billion/" TargetMode="External"/><Relationship Id="rId162" Type="http://schemas.openxmlformats.org/officeDocument/2006/relationships/hyperlink" Target="https://cfs.energy/news-and-media/commonwealth-fusion-systems-raises-another-1-billion-bringing-total-capital-raised-to-4-billion/" TargetMode="External"/><Relationship Id="rId163" Type="http://schemas.openxmlformats.org/officeDocument/2006/relationships/hyperlink" Target="https://cfs.energy/news-and-media/commonwealth-fusion-systems-raises-another-1-billion-bringing-total-capital-raised-to-4-billion/" TargetMode="External"/><Relationship Id="rId164" Type="http://schemas.openxmlformats.org/officeDocument/2006/relationships/hyperlink" Target="https://www.helionenergy.com/newsroom/helion-announces-worlds-first-fusion-ppa-with-microsoft" TargetMode="External"/><Relationship Id="rId165" Type="http://schemas.openxmlformats.org/officeDocument/2006/relationships/hyperlink" Target="https://www.helionenergy.com/newsroom/helion-announces-worlds-first-fusion-ppa-with-microsoft" TargetMode="External"/><Relationship Id="rId166" Type="http://schemas.openxmlformats.org/officeDocument/2006/relationships/hyperlink" Target="https://www.helionenergy.com/newsroom/helion-announces-worlds-first-fusion-ppa-with-microsoft" TargetMode="External"/><Relationship Id="rId167" Type="http://schemas.openxmlformats.org/officeDocument/2006/relationships/hyperlink" Target="https://www.helionenergy.com/newsroom/helion-raises-465-million-series-g-funding-round-to-meet-surging-global-demand-for-power" TargetMode="External"/><Relationship Id="rId168" Type="http://schemas.openxmlformats.org/officeDocument/2006/relationships/hyperlink" Target="https://www.helionenergy.com/newsroom/helion-raises-465-million-series-g-funding-round-to-meet-surging-global-demand-for-power" TargetMode="External"/><Relationship Id="rId169" Type="http://schemas.openxmlformats.org/officeDocument/2006/relationships/hyperlink" Target="https://www.helionenergy.com/newsroom/helion-raises-465-million-series-g-funding-round-to-meet-surging-global-demand-for-power" TargetMode="External"/><Relationship Id="rId170" Type="http://schemas.openxmlformats.org/officeDocument/2006/relationships/hyperlink" Target="https://www.sec.gov/Archives/edgar/data/1849635/000143774926031534/djt20260922_s4.htm" TargetMode="External"/><Relationship Id="rId171" Type="http://schemas.openxmlformats.org/officeDocument/2006/relationships/hyperlink" Target="https://www.sec.gov/Archives/edgar/data/1849635/000143774926031534/djt20260922_s4.htm" TargetMode="External"/><Relationship Id="rId172" Type="http://schemas.openxmlformats.org/officeDocument/2006/relationships/hyperlink" Target="https://www.sec.gov/Archives/edgar/data/1849635/000143774926031534/djt20260922_s4.htm" TargetMode="External"/><Relationship Id="rId173" Type="http://schemas.openxmlformats.org/officeDocument/2006/relationships/hyperlink" Target="https://www.sec.gov/Archives/edgar/data/1849635/000143774926031534/djt20260922_s4.htm" TargetMode="External"/><Relationship Id="rId174" Type="http://schemas.openxmlformats.org/officeDocument/2006/relationships/hyperlink" Target="https://www.sec.gov/Archives/edgar/data/1849635/000143774926031534/djt20260922_s4.htm" TargetMode="External"/><Relationship Id="rId175" Type="http://schemas.openxmlformats.org/officeDocument/2006/relationships/hyperlink" Target="https://www.sec.gov/Archives/edgar/data/1849635/000143774926031534/djt20260922_s4.htm" TargetMode="External"/><Relationship Id="rId176" Type="http://schemas.openxmlformats.org/officeDocument/2006/relationships/hyperlink" Target="https://www.pacificfusion.com/resources/founders-letter" TargetMode="External"/><Relationship Id="rId177" Type="http://schemas.openxmlformats.org/officeDocument/2006/relationships/hyperlink" Target="https://www.pacificfusion.com/resources/pacific-fusion-breaks-ground-on-first-of-a-kind-fusion-facility-in-new-mexico" TargetMode="External"/><Relationship Id="rId178" Type="http://schemas.openxmlformats.org/officeDocument/2006/relationships/hyperlink" Target="https://www.pacificfusion.com/resources/pacific-fusion-breaks-ground-on-first-of-a-kind-fusion-facility-in-new-mexico" TargetMode="External"/><Relationship Id="rId179" Type="http://schemas.openxmlformats.org/officeDocument/2006/relationships/hyperlink" Target="https://www.pacificfusion.com/resources/pacific-fusion-breaks-ground-on-first-of-a-kind-fusion-facility-in-new-mexico" TargetMode="External"/><Relationship Id="rId180" Type="http://schemas.openxmlformats.org/officeDocument/2006/relationships/hyperlink" Target="https://www.proximafusion.com/press-news/proxima-fusion-raises-eu411-million-to-build-europes-commercial-fusion-champion" TargetMode="External"/><Relationship Id="rId181" Type="http://schemas.openxmlformats.org/officeDocument/2006/relationships/hyperlink" Target="https://www.proximafusion.com/press-news/proxima-fusion-raises-eu411-million-to-build-europes-commercial-fusion-champion" TargetMode="External"/><Relationship Id="rId182" Type="http://schemas.openxmlformats.org/officeDocument/2006/relationships/hyperlink" Target="https://www.proximafusion.com/press-news/proxima-fusion-raises-eu411-million-to-build-europes-commercial-fusion-champion" TargetMode="External"/><Relationship Id="rId183" Type="http://schemas.openxmlformats.org/officeDocument/2006/relationships/hyperlink" Target="https://www.proximafusion.com/press-news/proxima-fusion-raises-eu411-million-to-build-europes-commercial-fusion-champion" TargetMode="External"/><Relationship Id="rId184" Type="http://schemas.openxmlformats.org/officeDocument/2006/relationships/hyperlink" Target="https://sustainability.google/files/6b09a7cbecbf228f4d30ad089301578eb599425e/alphabet-fy2025-environmental-indicators-assurance-letter.pdf" TargetMode="External"/><Relationship Id="rId185" Type="http://schemas.openxmlformats.org/officeDocument/2006/relationships/hyperlink" Target="https://sustainability.google/files/6b09a7cbecbf228f4d30ad089301578eb599425e/alphabet-fy2025-environmental-indicators-assurance-letter.pdf" TargetMode="External"/><Relationship Id="rId186" Type="http://schemas.openxmlformats.org/officeDocument/2006/relationships/hyperlink" Target="https://sustainability.google/files/6b09a7cbecbf228f4d30ad089301578eb599425e/alphabet-fy2025-environmental-indicators-assurance-letter.pdf" TargetMode="External"/><Relationship Id="rId187" Type="http://schemas.openxmlformats.org/officeDocument/2006/relationships/hyperlink" Target="https://www.youtube.com/watch?v=LzExSq9DU9w" TargetMode="External"/><Relationship Id="rId188" Type="http://schemas.openxmlformats.org/officeDocument/2006/relationships/hyperlink" Target="https://www.youtube.com/watch?v=LzExSq9DU9w" TargetMode="External"/><Relationship Id="rId189" Type="http://schemas.openxmlformats.org/officeDocument/2006/relationships/hyperlink" Target="https://www.youtube.com/watch?v=LzExSq9DU9w" TargetMode="External"/><Relationship Id="rId190" Type="http://schemas.openxmlformats.org/officeDocument/2006/relationships/hyperlink" Target="https://www.youtube.com/watch?v=LzExSq9DU9w" TargetMode="External"/><Relationship Id="rId191" Type="http://schemas.openxmlformats.org/officeDocument/2006/relationships/hyperlink" Target="https://cdn-dynmedia-1.microsoft.com/is/content/microsoftcorp/microsoft/msc/documents/presentations/CSR/2026-Microsoft-Environmental-Data-Fact-Sheet-PDF.pdf" TargetMode="External"/><Relationship Id="rId192" Type="http://schemas.openxmlformats.org/officeDocument/2006/relationships/hyperlink" Target="https://cdn-dynmedia-1.microsoft.com/is/content/microsoftcorp/microsoft/msc/documents/presentations/CSR/2026-Microsoft-Environmental-Data-Fact-Sheet-PDF.pdf" TargetMode="External"/><Relationship Id="rId193" Type="http://schemas.openxmlformats.org/officeDocument/2006/relationships/hyperlink" Target="https://www.microsoft.com/en-us/investor/events/fy-2026/earnings-fy-2026-q4" TargetMode="External"/><Relationship Id="rId194" Type="http://schemas.openxmlformats.org/officeDocument/2006/relationships/hyperlink" Target="https://sustainability.aboutamazon.com/2025-amazon-sustainability-report.pdf" TargetMode="External"/><Relationship Id="rId195" Type="http://schemas.openxmlformats.org/officeDocument/2006/relationships/hyperlink" Target="https://sustainability.aboutamazon.com/2025-amazon-sustainability-report.pdf" TargetMode="External"/><Relationship Id="rId196" Type="http://schemas.openxmlformats.org/officeDocument/2006/relationships/hyperlink" Target="https://sustainability.aboutamazon.com/2025-amazon-sustainability-report.pdf" TargetMode="External"/><Relationship Id="rId197" Type="http://schemas.openxmlformats.org/officeDocument/2006/relationships/drawing" Target="../drawings/drawing2.xml"/><Relationship Id="rId198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ea.org/reports/energy-and-ai" TargetMode="External"/><Relationship Id="rId2" Type="http://schemas.openxmlformats.org/officeDocument/2006/relationships/hyperlink" Target="https://www.iea.org/reports/key-questions-on-energy-and-ai" TargetMode="External"/><Relationship Id="rId3" Type="http://schemas.openxmlformats.org/officeDocument/2006/relationships/hyperlink" Target="https://sustainability.atmeta.com/asset/2025-environmental-data-index/" TargetMode="External"/><Relationship Id="rId4" Type="http://schemas.openxmlformats.org/officeDocument/2006/relationships/hyperlink" Target="https://about.fb.com/news/2026/01/meta-nuclear-energy-projects-power-american-ai-leadership/" TargetMode="External"/><Relationship Id="rId5" Type="http://schemas.openxmlformats.org/officeDocument/2006/relationships/hyperlink" Target="https://www.constellationenergy.com/news/2025/constellation-meta-sign-20-year-deal-for-clean-reliable-nuclear-energy-in-illinois.html" TargetMode="External"/><Relationship Id="rId6" Type="http://schemas.openxmlformats.org/officeDocument/2006/relationships/hyperlink" Target="https://www.constellationenergy.com/news/2026/10/google-and-constellation-announce-landmark-agreement-to-bring-890-mw-of-new-nuclear-capacity-to-pjm-grid.html" TargetMode="External"/><Relationship Id="rId7" Type="http://schemas.openxmlformats.org/officeDocument/2006/relationships/hyperlink" Target="https://www.constellationenergy.com/news/2026/09/constellation-and-amazon-announce-20-year-power-purchase-agreement-at-calvert-cliffs.html" TargetMode="External"/><Relationship Id="rId8" Type="http://schemas.openxmlformats.org/officeDocument/2006/relationships/hyperlink" Target="https://data.sec.gov/api/xbrl/companyfacts/CIK0001652044.json" TargetMode="External"/><Relationship Id="rId9" Type="http://schemas.openxmlformats.org/officeDocument/2006/relationships/hyperlink" Target="https://data.sec.gov/api/xbrl/companyfacts/CIK0001018724.json" TargetMode="External"/><Relationship Id="rId10" Type="http://schemas.openxmlformats.org/officeDocument/2006/relationships/hyperlink" Target="https://data.sec.gov/api/xbrl/companyfacts/CIK0000789019.json" TargetMode="External"/><Relationship Id="rId11" Type="http://schemas.openxmlformats.org/officeDocument/2006/relationships/hyperlink" Target="https://cfs.energy/news-and-media/google-and-commonwealth-fusion-systems-sign-strategic-partnership/" TargetMode="External"/><Relationship Id="rId12" Type="http://schemas.openxmlformats.org/officeDocument/2006/relationships/hyperlink" Target="https://cfs.energy/news-and-media/commonwealth-fusion-systems-raises-another-1-billion-bringing-total-capital-raised-to-4-billion/" TargetMode="External"/><Relationship Id="rId13" Type="http://schemas.openxmlformats.org/officeDocument/2006/relationships/hyperlink" Target="https://www.helionenergy.com/newsroom/helion-announces-worlds-first-fusion-ppa-with-microsoft" TargetMode="External"/><Relationship Id="rId14" Type="http://schemas.openxmlformats.org/officeDocument/2006/relationships/hyperlink" Target="https://www.helionenergy.com/newsroom/helion-raises-465-million-series-g-funding-round-to-meet-surging-global-demand-for-power" TargetMode="External"/><Relationship Id="rId15" Type="http://schemas.openxmlformats.org/officeDocument/2006/relationships/hyperlink" Target="https://www.helionenergy.com/newsroom/helion-clears-key-regulatory-milestone-on-the-path-to-building-and-operating-the-worlds-first-fusion-power-plant" TargetMode="External"/><Relationship Id="rId16" Type="http://schemas.openxmlformats.org/officeDocument/2006/relationships/hyperlink" Target="https://www.sec.gov/Archives/edgar/data/1849635/000143774926031534/djt20260922_s4.htm" TargetMode="External"/><Relationship Id="rId17" Type="http://schemas.openxmlformats.org/officeDocument/2006/relationships/hyperlink" Target="https://www.pacificfusion.com/resources/founders-letter" TargetMode="External"/><Relationship Id="rId18" Type="http://schemas.openxmlformats.org/officeDocument/2006/relationships/hyperlink" Target="https://www.pacificfusion.com/resources/pacific-fusion-breaks-ground-on-first-of-a-kind-fusion-facility-in-new-mexico" TargetMode="External"/><Relationship Id="rId19" Type="http://schemas.openxmlformats.org/officeDocument/2006/relationships/hyperlink" Target="https://www.proximafusion.com/press-news/proxima-fusion-raises-eu411-million-to-build-europes-commercial-fusion-champion" TargetMode="External"/><Relationship Id="rId20" Type="http://schemas.openxmlformats.org/officeDocument/2006/relationships/hyperlink" Target="https://about.fb.com/news/2025/06/meta-constellation-partner-clean-energy-project/" TargetMode="External"/><Relationship Id="rId21" Type="http://schemas.openxmlformats.org/officeDocument/2006/relationships/hyperlink" Target="https://escholarship.org/uc/item/32d6m0d1" TargetMode="External"/><Relationship Id="rId22" Type="http://schemas.openxmlformats.org/officeDocument/2006/relationships/hyperlink" Target="https://emp.lbl.gov/publications/queued-2026-edition-characteristics" TargetMode="External"/><Relationship Id="rId23" Type="http://schemas.openxmlformats.org/officeDocument/2006/relationships/hyperlink" Target="https://www.eia.gov/todayinenergy/detail.php?id=61963" TargetMode="External"/><Relationship Id="rId24" Type="http://schemas.openxmlformats.org/officeDocument/2006/relationships/hyperlink" Target="https://sustainability.google/files/6b09a7cbecbf228f4d30ad089301578eb599425e/alphabet-fy2025-environmental-indicators-assurance-letter.pdf" TargetMode="External"/><Relationship Id="rId25" Type="http://schemas.openxmlformats.org/officeDocument/2006/relationships/hyperlink" Target="https://www.youtube.com/watch?v=LzExSq9DU9w" TargetMode="External"/><Relationship Id="rId26" Type="http://schemas.openxmlformats.org/officeDocument/2006/relationships/hyperlink" Target="https://www.microsoft.com/en-us/investor/events/fy-2026/earnings-fy-2026-q4" TargetMode="External"/><Relationship Id="rId27" Type="http://schemas.openxmlformats.org/officeDocument/2006/relationships/hyperlink" Target="https://cdn-dynmedia-1.microsoft.com/is/content/microsoftcorp/microsoft/msc/documents/presentations/CSR/2026-Microsoft-Environmental-Data-Fact-Sheet-PDF.pdf" TargetMode="External"/><Relationship Id="rId28" Type="http://schemas.openxmlformats.org/officeDocument/2006/relationships/hyperlink" Target="https://sustainability.aboutamazon.com/2025-amazon-sustainability-report.pdf" TargetMode="External"/><Relationship Id="rId29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5.48"/>
    <col collapsed="false" customWidth="true" hidden="false" outlineLevel="0" max="2" min="2" style="0" width="16.38"/>
    <col collapsed="false" customWidth="true" hidden="false" outlineLevel="0" max="3" min="3" style="0" width="12.74"/>
    <col collapsed="false" customWidth="true" hidden="false" outlineLevel="0" max="4" min="4" style="0" width="43.67"/>
    <col collapsed="false" customWidth="true" hidden="false" outlineLevel="0" max="5" min="5" style="0" width="34.57"/>
    <col collapsed="false" customWidth="true" hidden="false" outlineLevel="0" max="6" min="6" style="0" width="12.74"/>
    <col collapsed="false" customWidth="true" hidden="false" outlineLevel="0" max="7" min="7" style="0" width="2.73"/>
    <col collapsed="false" customWidth="true" hidden="false" outlineLevel="0" max="14" min="8" style="0" width="13.65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28.5" hidden="false" customHeight="true" outlineLevel="0" collapsed="false">
      <c r="A5" s="5" t="s">
        <v>9</v>
      </c>
      <c r="B5" s="6" t="n">
        <f aca="false">INDEX(数据明细!$F$4:$F$243,MATCH("G003",数据明细!$A$4:$A$243,0))</f>
        <v>485</v>
      </c>
      <c r="C5" s="7" t="s">
        <v>10</v>
      </c>
      <c r="D5" s="7" t="s">
        <v>11</v>
      </c>
      <c r="E5" s="8" t="str">
        <f aca="false">INDEX(数据明细!$K$4:$K$243,MATCH("G003",数据明细!$A$4:$A$243,0))</f>
        <v>IEA《Key Questions on Energy and AI》</v>
      </c>
      <c r="F5" s="8" t="str">
        <f aca="false">INDEX(数据明细!$L$4:$L$243,MATCH("G003",数据明细!$A$4:$A$243,0))</f>
        <v>2026-04-16</v>
      </c>
    </row>
    <row r="6" customFormat="false" ht="28.5" hidden="false" customHeight="true" outlineLevel="0" collapsed="false">
      <c r="A6" s="5" t="s">
        <v>12</v>
      </c>
      <c r="B6" s="6" t="n">
        <f aca="false">INDEX(数据明细!$F$4:$F$243,MATCH("G006",数据明细!$A$4:$A$243,0))</f>
        <v>950</v>
      </c>
      <c r="C6" s="7" t="s">
        <v>10</v>
      </c>
      <c r="D6" s="7" t="s">
        <v>13</v>
      </c>
      <c r="E6" s="8" t="str">
        <f aca="false">INDEX(数据明细!$K$4:$K$243,MATCH("G006",数据明细!$A$4:$A$243,0))</f>
        <v>IEA《Key Questions on Energy and AI》</v>
      </c>
      <c r="F6" s="8" t="str">
        <f aca="false">INDEX(数据明细!$L$4:$L$243,MATCH("G006",数据明细!$A$4:$A$243,0))</f>
        <v>2026-04-16</v>
      </c>
    </row>
    <row r="7" customFormat="false" ht="28.5" hidden="false" customHeight="true" outlineLevel="0" collapsed="false">
      <c r="A7" s="9" t="s">
        <v>14</v>
      </c>
      <c r="B7" s="6" t="n">
        <f aca="false">B6-B5</f>
        <v>465</v>
      </c>
      <c r="C7" s="7" t="s">
        <v>10</v>
      </c>
      <c r="D7" s="10" t="s">
        <v>15</v>
      </c>
      <c r="E7" s="8" t="str">
        <f aca="false">INDEX(数据明细!$K$4:$K$243,MATCH("G006",数据明细!$A$4:$A$243,0))</f>
        <v>IEA《Key Questions on Energy and AI》</v>
      </c>
      <c r="F7" s="8" t="str">
        <f aca="false">INDEX(数据明细!$L$4:$L$243,MATCH("G006",数据明细!$A$4:$A$243,0))</f>
        <v>2026-04-16</v>
      </c>
    </row>
    <row r="8" customFormat="false" ht="28.5" hidden="false" customHeight="true" outlineLevel="0" collapsed="false">
      <c r="A8" s="9" t="s">
        <v>16</v>
      </c>
      <c r="B8" s="11" t="n">
        <f aca="false">(B6/B5)^(1/5)-1</f>
        <v>0.143921896951487</v>
      </c>
      <c r="C8" s="10" t="s">
        <v>17</v>
      </c>
      <c r="D8" s="10" t="s">
        <v>18</v>
      </c>
      <c r="E8" s="8" t="str">
        <f aca="false">INDEX(数据明细!$K$4:$K$243,MATCH("G006",数据明细!$A$4:$A$243,0))</f>
        <v>IEA《Key Questions on Energy and AI》</v>
      </c>
      <c r="F8" s="8" t="str">
        <f aca="false">INDEX(数据明细!$L$4:$L$243,MATCH("G006",数据明细!$A$4:$A$243,0))</f>
        <v>2026-04-16</v>
      </c>
    </row>
    <row r="9" customFormat="false" ht="28.5" hidden="false" customHeight="true" outlineLevel="0" collapsed="false">
      <c r="A9" s="9" t="s">
        <v>19</v>
      </c>
      <c r="B9" s="6" t="n">
        <f aca="false">INDEX(数据明细!$F$4:$F$243,MATCH("M019",数据明细!$A$4:$A$243,0))/1000000</f>
        <v>18.061781</v>
      </c>
      <c r="C9" s="7" t="s">
        <v>10</v>
      </c>
      <c r="D9" s="7" t="s">
        <v>20</v>
      </c>
      <c r="E9" s="8" t="str">
        <f aca="false">INDEX(数据明细!$K$4:$K$243,MATCH("M019",数据明细!$A$4:$A$243,0))</f>
        <v>Meta 2025 Environmental Data Index</v>
      </c>
      <c r="F9" s="8" t="str">
        <f aca="false">INDEX(数据明细!$L$4:$L$243,MATCH("M019",数据明细!$A$4:$A$243,0))</f>
        <v>2025-10-17</v>
      </c>
    </row>
    <row r="10" customFormat="false" ht="28.5" hidden="false" customHeight="true" outlineLevel="0" collapsed="false">
      <c r="A10" s="9" t="s">
        <v>21</v>
      </c>
      <c r="B10" s="11" t="n">
        <f aca="false">INDEX(数据明细!$F$4:$F$243,MATCH("M019",数据明细!$A$4:$A$243,0))/INDEX(数据明细!$F$4:$F$243,MATCH("M020",数据明细!$A$4:$A$243,0))-1</f>
        <v>0.206093913131739</v>
      </c>
      <c r="C10" s="10" t="s">
        <v>17</v>
      </c>
      <c r="D10" s="10" t="s">
        <v>22</v>
      </c>
      <c r="E10" s="8" t="str">
        <f aca="false">INDEX(数据明细!$K$4:$K$243,MATCH("M019",数据明细!$A$4:$A$243,0))</f>
        <v>Meta 2025 Environmental Data Index</v>
      </c>
      <c r="F10" s="8" t="str">
        <f aca="false">INDEX(数据明细!$L$4:$L$243,MATCH("M019",数据明细!$A$4:$A$243,0))</f>
        <v>2025-10-17</v>
      </c>
    </row>
    <row r="11" customFormat="false" ht="28.5" hidden="false" customHeight="true" outlineLevel="0" collapsed="false">
      <c r="A11" s="9" t="s">
        <v>23</v>
      </c>
      <c r="B11" s="6" t="n">
        <f aca="false">INDEX(数据明细!$F$4:$F$243,MATCH("M001",数据明细!$A$4:$A$243,0))</f>
        <v>34.91</v>
      </c>
      <c r="C11" s="10" t="s">
        <v>24</v>
      </c>
      <c r="D11" s="10" t="s">
        <v>25</v>
      </c>
      <c r="E11" s="8" t="str">
        <f aca="false">INDEX(数据明细!$K$4:$K$243,MATCH("M001",数据明细!$A$4:$A$243,0))</f>
        <v>Meta 2026年三季度Form 10-Q</v>
      </c>
      <c r="F11" s="8" t="str">
        <f aca="false">INDEX(数据明细!$L$4:$L$243,MATCH("M001",数据明细!$A$4:$A$243,0))</f>
        <v>2026-10-21</v>
      </c>
    </row>
    <row r="12" customFormat="false" ht="28.5" hidden="false" customHeight="true" outlineLevel="0" collapsed="false">
      <c r="A12" s="9" t="s">
        <v>26</v>
      </c>
      <c r="B12" s="6" t="n">
        <f aca="false">INDEX(数据明细!$F$4:$F$243,MATCH("M002",数据明细!$A$4:$A$243,0))+INDEX(数据明细!$F$4:$F$243,MATCH("M003",数据明细!$A$4:$A$243,0))</f>
        <v>85.824</v>
      </c>
      <c r="C12" s="10" t="s">
        <v>24</v>
      </c>
      <c r="D12" s="10" t="s">
        <v>27</v>
      </c>
      <c r="E12" s="8" t="str">
        <f aca="false">INDEX(数据明细!$K$4:$K$243,MATCH("M002",数据明细!$A$4:$A$243,0))</f>
        <v>Meta 2026年三季度Form 10-Q</v>
      </c>
      <c r="F12" s="8" t="str">
        <f aca="false">INDEX(数据明细!$L$4:$L$243,MATCH("M002",数据明细!$A$4:$A$243,0))</f>
        <v>2026-10-21</v>
      </c>
    </row>
    <row r="13" customFormat="false" ht="28.5" hidden="false" customHeight="true" outlineLevel="0" collapsed="false">
      <c r="A13" s="5" t="s">
        <v>28</v>
      </c>
      <c r="B13" s="11" t="n">
        <f aca="false">SUM(B17:B21)</f>
        <v>1</v>
      </c>
      <c r="C13" s="10" t="s">
        <v>17</v>
      </c>
      <c r="D13" s="10" t="s">
        <v>29</v>
      </c>
      <c r="E13" s="8" t="str">
        <f aca="false">INDEX(数据明细!$K$4:$K$243,MATCH("G041",数据明细!$A$4:$A$243,0))</f>
        <v>IEA《Energy and AI》</v>
      </c>
      <c r="F13" s="8" t="str">
        <f aca="false">INDEX(数据明细!$L$4:$L$243,MATCH("G041",数据明细!$A$4:$A$243,0))</f>
        <v>2025-04-10</v>
      </c>
    </row>
    <row r="15" customFormat="false" ht="25.5" hidden="false" customHeight="true" outlineLevel="0" collapsed="false">
      <c r="A15" s="12" t="s">
        <v>30</v>
      </c>
      <c r="B15" s="12"/>
      <c r="C15" s="12"/>
      <c r="D15" s="12"/>
      <c r="E15" s="12"/>
      <c r="F15" s="12"/>
    </row>
    <row r="16" customFormat="false" ht="30" hidden="false" customHeight="true" outlineLevel="0" collapsed="false">
      <c r="A16" s="4" t="s">
        <v>31</v>
      </c>
      <c r="B16" s="4" t="s">
        <v>32</v>
      </c>
      <c r="C16" s="4" t="s">
        <v>33</v>
      </c>
      <c r="D16" s="4" t="s">
        <v>34</v>
      </c>
      <c r="E16" s="4" t="s">
        <v>7</v>
      </c>
      <c r="F16" s="4" t="s">
        <v>8</v>
      </c>
    </row>
    <row r="17" customFormat="false" ht="27" hidden="false" customHeight="true" outlineLevel="0" collapsed="false">
      <c r="A17" s="10" t="s">
        <v>35</v>
      </c>
      <c r="B17" s="11" t="n">
        <f aca="false">INDEX(数据明细!$F$4:$F$243,MATCH("G039",数据明细!$A$4:$A$243,0))</f>
        <v>0.3</v>
      </c>
      <c r="C17" s="13" t="n">
        <f aca="false">B17*INDEX(数据明细!$F$4:$F$243,MATCH("G001",数据明细!$A$4:$A$243,0))</f>
        <v>124.5</v>
      </c>
      <c r="D17" s="7" t="s">
        <v>36</v>
      </c>
      <c r="E17" s="8" t="str">
        <f aca="false">INDEX(数据明细!$K$4:$K$243,MATCH("G039",数据明细!$A$4:$A$243,0))</f>
        <v>IEA《Energy and AI》</v>
      </c>
      <c r="F17" s="8" t="str">
        <f aca="false">INDEX(数据明细!$L$4:$L$243,MATCH("G039",数据明细!$A$4:$A$243,0))</f>
        <v>2025-04-10</v>
      </c>
    </row>
    <row r="18" customFormat="false" ht="27" hidden="false" customHeight="true" outlineLevel="0" collapsed="false">
      <c r="A18" s="10" t="s">
        <v>37</v>
      </c>
      <c r="B18" s="11" t="n">
        <f aca="false">INDEX(数据明细!$F$4:$F$243,MATCH("G038",数据明细!$A$4:$A$243,0))</f>
        <v>0.26</v>
      </c>
      <c r="C18" s="13" t="n">
        <f aca="false">B18*INDEX(数据明细!$F$4:$F$243,MATCH("G001",数据明细!$A$4:$A$243,0))</f>
        <v>107.9</v>
      </c>
      <c r="D18" s="7" t="s">
        <v>36</v>
      </c>
      <c r="E18" s="8" t="str">
        <f aca="false">INDEX(数据明细!$K$4:$K$243,MATCH("G038",数据明细!$A$4:$A$243,0))</f>
        <v>IEA《Energy and AI》</v>
      </c>
      <c r="F18" s="8" t="str">
        <f aca="false">INDEX(数据明细!$L$4:$L$243,MATCH("G038",数据明细!$A$4:$A$243,0))</f>
        <v>2025-04-10</v>
      </c>
    </row>
    <row r="19" customFormat="false" ht="27" hidden="false" customHeight="true" outlineLevel="0" collapsed="false">
      <c r="A19" s="10" t="s">
        <v>38</v>
      </c>
      <c r="B19" s="11" t="n">
        <f aca="false">INDEX(数据明细!$F$4:$F$243,MATCH("G037",数据明细!$A$4:$A$243,0))</f>
        <v>0.27</v>
      </c>
      <c r="C19" s="13" t="n">
        <f aca="false">B19*INDEX(数据明细!$F$4:$F$243,MATCH("G001",数据明细!$A$4:$A$243,0))</f>
        <v>112.05</v>
      </c>
      <c r="D19" s="7" t="s">
        <v>36</v>
      </c>
      <c r="E19" s="8" t="str">
        <f aca="false">INDEX(数据明细!$K$4:$K$243,MATCH("G037",数据明细!$A$4:$A$243,0))</f>
        <v>IEA《Energy and AI》</v>
      </c>
      <c r="F19" s="8" t="str">
        <f aca="false">INDEX(数据明细!$L$4:$L$243,MATCH("G037",数据明细!$A$4:$A$243,0))</f>
        <v>2025-04-10</v>
      </c>
    </row>
    <row r="20" customFormat="false" ht="27" hidden="false" customHeight="true" outlineLevel="0" collapsed="false">
      <c r="A20" s="10" t="s">
        <v>39</v>
      </c>
      <c r="B20" s="11" t="n">
        <f aca="false">INDEX(数据明细!$F$4:$F$243,MATCH("G040",数据明细!$A$4:$A$243,0))</f>
        <v>0.15</v>
      </c>
      <c r="C20" s="13" t="n">
        <f aca="false">B20*INDEX(数据明细!$F$4:$F$243,MATCH("G001",数据明细!$A$4:$A$243,0))</f>
        <v>62.25</v>
      </c>
      <c r="D20" s="7" t="s">
        <v>36</v>
      </c>
      <c r="E20" s="8" t="str">
        <f aca="false">INDEX(数据明细!$K$4:$K$243,MATCH("G040",数据明细!$A$4:$A$243,0))</f>
        <v>IEA《Energy and AI》</v>
      </c>
      <c r="F20" s="8" t="str">
        <f aca="false">INDEX(数据明细!$L$4:$L$243,MATCH("G040",数据明细!$A$4:$A$243,0))</f>
        <v>2025-04-10</v>
      </c>
    </row>
    <row r="21" customFormat="false" ht="27" hidden="false" customHeight="true" outlineLevel="0" collapsed="false">
      <c r="A21" s="10" t="s">
        <v>40</v>
      </c>
      <c r="B21" s="11" t="n">
        <f aca="false">INDEX(数据明细!$F$4:$F$243,MATCH("G041",数据明细!$A$4:$A$243,0))</f>
        <v>0.02</v>
      </c>
      <c r="C21" s="13" t="n">
        <f aca="false">B21*INDEX(数据明细!$F$4:$F$243,MATCH("G001",数据明细!$A$4:$A$243,0))</f>
        <v>8.30000000000001</v>
      </c>
      <c r="D21" s="7" t="s">
        <v>36</v>
      </c>
      <c r="E21" s="8" t="str">
        <f aca="false">INDEX(数据明细!$K$4:$K$243,MATCH("G041",数据明细!$A$4:$A$243,0))</f>
        <v>IEA《Energy and AI》</v>
      </c>
      <c r="F21" s="8" t="str">
        <f aca="false">INDEX(数据明细!$L$4:$L$243,MATCH("G041",数据明细!$A$4:$A$243,0))</f>
        <v>2025-04-10</v>
      </c>
    </row>
    <row r="22" customFormat="false" ht="15" hidden="false" customHeight="false" outlineLevel="0" collapsed="false">
      <c r="A22" s="10" t="s">
        <v>41</v>
      </c>
      <c r="B22" s="10" t="s">
        <v>42</v>
      </c>
      <c r="C22" s="13" t="n">
        <f aca="false">假设与模型!C14</f>
        <v>0</v>
      </c>
      <c r="D22" s="10" t="s">
        <v>43</v>
      </c>
      <c r="E22" s="10" t="s">
        <v>44</v>
      </c>
      <c r="F22" s="7" t="s">
        <v>45</v>
      </c>
    </row>
    <row r="23" customFormat="false" ht="15" hidden="false" customHeight="false" outlineLevel="0" collapsed="false">
      <c r="A23" s="14" t="s">
        <v>46</v>
      </c>
      <c r="B23" s="15" t="n">
        <f aca="false">SUM(B17:B21)</f>
        <v>1</v>
      </c>
      <c r="C23" s="16" t="n">
        <f aca="false">SUM(C17:C21)</f>
        <v>415</v>
      </c>
      <c r="D23" s="14" t="s">
        <v>47</v>
      </c>
      <c r="E23" s="14"/>
      <c r="F23" s="14"/>
    </row>
    <row r="25" customFormat="false" ht="25.5" hidden="false" customHeight="true" outlineLevel="0" collapsed="false">
      <c r="A25" s="12" t="s">
        <v>48</v>
      </c>
      <c r="B25" s="12"/>
      <c r="C25" s="12"/>
      <c r="D25" s="12"/>
      <c r="E25" s="12"/>
      <c r="F25" s="12"/>
    </row>
    <row r="26" customFormat="false" ht="30" hidden="false" customHeight="true" outlineLevel="0" collapsed="false">
      <c r="A26" s="4" t="s">
        <v>49</v>
      </c>
      <c r="B26" s="4" t="s">
        <v>4</v>
      </c>
      <c r="C26" s="4" t="s">
        <v>5</v>
      </c>
      <c r="D26" s="4" t="s">
        <v>50</v>
      </c>
      <c r="E26" s="4" t="s">
        <v>7</v>
      </c>
      <c r="F26" s="4" t="s">
        <v>8</v>
      </c>
    </row>
    <row r="27" customFormat="false" ht="33.75" hidden="false" customHeight="true" outlineLevel="0" collapsed="false">
      <c r="A27" s="7" t="s">
        <v>51</v>
      </c>
      <c r="B27" s="17" t="n">
        <f aca="false">INDEX(数据明细!$F$4:$F$243,MATCH("M002",数据明细!$A$4:$A$243,0))+INDEX(数据明细!$F$4:$F$243,MATCH("M003",数据明细!$A$4:$A$243,0))-INDEX(数据明细!$F$4:$F$243,MATCH("M001",数据明细!$A$4:$A$243,0))</f>
        <v>50.914</v>
      </c>
      <c r="C27" s="10" t="s">
        <v>24</v>
      </c>
      <c r="D27" s="7" t="s">
        <v>52</v>
      </c>
      <c r="E27" s="8" t="str">
        <f aca="false">INDEX(数据明细!$K$4:$K$243,MATCH("M001",数据明细!$A$4:$A$243,0))</f>
        <v>Meta 2026年三季度Form 10-Q</v>
      </c>
      <c r="F27" s="8" t="str">
        <f aca="false">INDEX(数据明细!$L$4:$L$243,MATCH("M001",数据明细!$A$4:$A$243,0))</f>
        <v>2026-10-21</v>
      </c>
    </row>
    <row r="28" customFormat="false" ht="33.75" hidden="false" customHeight="true" outlineLevel="0" collapsed="false">
      <c r="A28" s="7" t="s">
        <v>53</v>
      </c>
      <c r="B28" s="17" t="n">
        <f aca="false">INDEX(数据明细!$F$4:$F$243,MATCH("T001",数据明细!$A$4:$A$243,0))</f>
        <v>80.598</v>
      </c>
      <c r="C28" s="10" t="s">
        <v>24</v>
      </c>
      <c r="D28" s="7" t="s">
        <v>54</v>
      </c>
      <c r="E28" s="8" t="str">
        <f aca="false">INDEX(数据明细!$K$4:$K$243,MATCH("T001",数据明细!$A$4:$A$243,0))</f>
        <v>SEC Companyfacts：Alphabet</v>
      </c>
      <c r="F28" s="8" t="str">
        <f aca="false">INDEX(数据明细!$L$4:$L$243,MATCH("T001",数据明细!$A$4:$A$243,0))</f>
        <v>2026-07-23</v>
      </c>
    </row>
    <row r="29" customFormat="false" ht="33.75" hidden="false" customHeight="true" outlineLevel="0" collapsed="false">
      <c r="A29" s="7" t="s">
        <v>55</v>
      </c>
      <c r="B29" s="17" t="n">
        <f aca="false">INDEX(数据明细!$F$4:$F$243,MATCH("T007",数据明细!$A$4:$A$243,0))+INDEX(数据明细!$F$4:$F$243,MATCH("T005",数据明细!$A$4:$A$243,0))-INDEX(数据明细!$F$4:$F$243,MATCH("T006",数据明细!$A$4:$A$243,0))</f>
        <v>66.678</v>
      </c>
      <c r="C29" s="10" t="s">
        <v>24</v>
      </c>
      <c r="D29" s="10" t="s">
        <v>56</v>
      </c>
      <c r="E29" s="8" t="str">
        <f aca="false">INDEX(数据明细!$K$4:$K$243,MATCH("T005",数据明细!$A$4:$A$243,0))</f>
        <v>SEC Companyfacts：Microsoft</v>
      </c>
      <c r="F29" s="8" t="str">
        <f aca="false">INDEX(数据明细!$L$4:$L$243,MATCH("T005",数据明细!$A$4:$A$243,0))</f>
        <v>2026-07-29</v>
      </c>
    </row>
    <row r="30" customFormat="false" ht="33.75" hidden="false" customHeight="true" outlineLevel="0" collapsed="false">
      <c r="A30" s="7" t="s">
        <v>57</v>
      </c>
      <c r="B30" s="17" t="n">
        <f aca="false">INDEX(数据明细!$F$4:$F$243,MATCH("T003",数据明细!$A$4:$A$243,0))</f>
        <v>98.411</v>
      </c>
      <c r="C30" s="10" t="s">
        <v>24</v>
      </c>
      <c r="D30" s="7" t="s">
        <v>58</v>
      </c>
      <c r="E30" s="8" t="str">
        <f aca="false">INDEX(数据明细!$K$4:$K$243,MATCH("T003",数据明细!$A$4:$A$243,0))</f>
        <v>SEC Companyfacts：Amazon</v>
      </c>
      <c r="F30" s="8" t="str">
        <f aca="false">INDEX(数据明细!$L$4:$L$243,MATCH("T003",数据明细!$A$4:$A$243,0))</f>
        <v>2026-07-31</v>
      </c>
    </row>
    <row r="32" customFormat="false" ht="25.5" hidden="false" customHeight="true" outlineLevel="0" collapsed="false">
      <c r="A32" s="3" t="s">
        <v>59</v>
      </c>
      <c r="B32" s="3"/>
      <c r="C32" s="3"/>
      <c r="D32" s="3"/>
      <c r="E32" s="3"/>
      <c r="F32" s="3"/>
    </row>
    <row r="33" customFormat="false" ht="30" hidden="false" customHeight="true" outlineLevel="0" collapsed="false">
      <c r="A33" s="4" t="s">
        <v>60</v>
      </c>
      <c r="B33" s="4" t="s">
        <v>61</v>
      </c>
      <c r="C33" s="4" t="s">
        <v>5</v>
      </c>
      <c r="D33" s="4" t="s">
        <v>34</v>
      </c>
      <c r="E33" s="4" t="s">
        <v>7</v>
      </c>
      <c r="F33" s="4" t="s">
        <v>8</v>
      </c>
    </row>
    <row r="34" customFormat="false" ht="15" hidden="false" customHeight="false" outlineLevel="0" collapsed="false">
      <c r="A34" s="18" t="n">
        <v>2024</v>
      </c>
      <c r="B34" s="19" t="n">
        <f aca="false">INDEX(数据明细!$F$4:$F$243,MATCH("G001",数据明细!$A$4:$A$243,0))</f>
        <v>415</v>
      </c>
      <c r="C34" s="18" t="s">
        <v>10</v>
      </c>
      <c r="D34" s="18" t="s">
        <v>62</v>
      </c>
      <c r="E34" s="20" t="str">
        <f aca="false">INDEX(数据明细!$K$4:$K$243,MATCH("G001",数据明细!$A$4:$A$243,0))</f>
        <v>IEA《Energy and AI》</v>
      </c>
      <c r="F34" s="20" t="str">
        <f aca="false">INDEX(数据明细!$L$4:$L$243,MATCH("G001",数据明细!$A$4:$A$243,0))</f>
        <v>2025-04-10</v>
      </c>
    </row>
    <row r="35" customFormat="false" ht="15" hidden="false" customHeight="false" outlineLevel="0" collapsed="false">
      <c r="A35" s="18" t="n">
        <v>2025</v>
      </c>
      <c r="B35" s="19" t="n">
        <f aca="false">INDEX(数据明细!$F$4:$F$243,MATCH("G003",数据明细!$A$4:$A$243,0))</f>
        <v>485</v>
      </c>
      <c r="C35" s="18" t="s">
        <v>10</v>
      </c>
      <c r="D35" s="18" t="s">
        <v>63</v>
      </c>
      <c r="E35" s="20" t="str">
        <f aca="false">INDEX(数据明细!$K$4:$K$243,MATCH("G003",数据明细!$A$4:$A$243,0))</f>
        <v>IEA《Key Questions on Energy and AI》</v>
      </c>
      <c r="F35" s="20" t="str">
        <f aca="false">INDEX(数据明细!$L$4:$L$243,MATCH("G003",数据明细!$A$4:$A$243,0))</f>
        <v>2026-04-16</v>
      </c>
    </row>
    <row r="36" customFormat="false" ht="15" hidden="false" customHeight="false" outlineLevel="0" collapsed="false">
      <c r="A36" s="18" t="n">
        <v>2030</v>
      </c>
      <c r="B36" s="19" t="n">
        <f aca="false">INDEX(数据明细!$F$4:$F$243,MATCH("G006",数据明细!$A$4:$A$243,0))</f>
        <v>950</v>
      </c>
      <c r="C36" s="18" t="s">
        <v>10</v>
      </c>
      <c r="D36" s="18" t="s">
        <v>13</v>
      </c>
      <c r="E36" s="20" t="str">
        <f aca="false">INDEX(数据明细!$K$4:$K$243,MATCH("G006",数据明细!$A$4:$A$243,0))</f>
        <v>IEA《Key Questions on Energy and AI》</v>
      </c>
      <c r="F36" s="20" t="str">
        <f aca="false">INDEX(数据明细!$L$4:$L$243,MATCH("G006",数据明细!$A$4:$A$243,0))</f>
        <v>2026-04-16</v>
      </c>
    </row>
    <row r="38" customFormat="false" ht="25.5" hidden="false" customHeight="true" outlineLevel="0" collapsed="false">
      <c r="A38" s="12" t="s">
        <v>64</v>
      </c>
      <c r="B38" s="12"/>
      <c r="C38" s="12"/>
      <c r="D38" s="12"/>
      <c r="E38" s="12"/>
      <c r="F38" s="12"/>
    </row>
    <row r="39" customFormat="false" ht="30" hidden="false" customHeight="true" outlineLevel="0" collapsed="false">
      <c r="A39" s="4" t="s">
        <v>65</v>
      </c>
      <c r="B39" s="4" t="s">
        <v>61</v>
      </c>
      <c r="C39" s="4" t="s">
        <v>5</v>
      </c>
      <c r="D39" s="4" t="s">
        <v>66</v>
      </c>
      <c r="E39" s="4" t="s">
        <v>7</v>
      </c>
      <c r="F39" s="4" t="s">
        <v>8</v>
      </c>
    </row>
    <row r="40" customFormat="false" ht="15" hidden="false" customHeight="false" outlineLevel="0" collapsed="false">
      <c r="A40" s="21" t="s">
        <v>67</v>
      </c>
      <c r="B40" s="22" t="n">
        <f aca="false">假设与模型!C25</f>
        <v>760</v>
      </c>
      <c r="C40" s="18" t="s">
        <v>10</v>
      </c>
      <c r="D40" s="18" t="s">
        <v>68</v>
      </c>
      <c r="E40" s="18" t="s">
        <v>69</v>
      </c>
      <c r="F40" s="18" t="s">
        <v>45</v>
      </c>
    </row>
    <row r="41" customFormat="false" ht="15" hidden="false" customHeight="false" outlineLevel="0" collapsed="false">
      <c r="A41" s="21" t="s">
        <v>70</v>
      </c>
      <c r="B41" s="22" t="n">
        <f aca="false">假设与模型!C26</f>
        <v>950</v>
      </c>
      <c r="C41" s="18" t="s">
        <v>10</v>
      </c>
      <c r="D41" s="18" t="s">
        <v>68</v>
      </c>
      <c r="E41" s="18" t="s">
        <v>69</v>
      </c>
      <c r="F41" s="18" t="s">
        <v>45</v>
      </c>
    </row>
    <row r="42" customFormat="false" ht="15" hidden="false" customHeight="false" outlineLevel="0" collapsed="false">
      <c r="A42" s="21" t="s">
        <v>71</v>
      </c>
      <c r="B42" s="22" t="n">
        <f aca="false">假设与模型!C27</f>
        <v>1140</v>
      </c>
      <c r="C42" s="18" t="s">
        <v>10</v>
      </c>
      <c r="D42" s="18" t="s">
        <v>68</v>
      </c>
      <c r="E42" s="18" t="s">
        <v>69</v>
      </c>
      <c r="F42" s="18" t="s">
        <v>45</v>
      </c>
    </row>
    <row r="44" customFormat="false" ht="25.5" hidden="false" customHeight="true" outlineLevel="0" collapsed="false">
      <c r="A44" s="12" t="s">
        <v>72</v>
      </c>
      <c r="B44" s="12"/>
      <c r="C44" s="12"/>
      <c r="D44" s="12"/>
      <c r="E44" s="12"/>
      <c r="F44" s="12"/>
    </row>
    <row r="45" customFormat="false" ht="30" hidden="false" customHeight="true" outlineLevel="0" collapsed="false">
      <c r="A45" s="4" t="s">
        <v>73</v>
      </c>
      <c r="B45" s="4" t="s">
        <v>4</v>
      </c>
      <c r="C45" s="4" t="s">
        <v>5</v>
      </c>
      <c r="D45" s="4" t="s">
        <v>74</v>
      </c>
      <c r="E45" s="4" t="s">
        <v>7</v>
      </c>
      <c r="F45" s="4" t="s">
        <v>8</v>
      </c>
    </row>
    <row r="46" customFormat="false" ht="15" hidden="false" customHeight="false" outlineLevel="0" collapsed="false">
      <c r="A46" s="21" t="s">
        <v>75</v>
      </c>
      <c r="B46" s="23" t="n">
        <f aca="false">假设与模型!C20</f>
        <v>130</v>
      </c>
      <c r="C46" s="18" t="s">
        <v>76</v>
      </c>
      <c r="D46" s="21" t="s">
        <v>77</v>
      </c>
      <c r="E46" s="21" t="s">
        <v>78</v>
      </c>
      <c r="F46" s="18" t="s">
        <v>45</v>
      </c>
    </row>
    <row r="47" customFormat="false" ht="15" hidden="false" customHeight="false" outlineLevel="0" collapsed="false">
      <c r="A47" s="21" t="s">
        <v>79</v>
      </c>
      <c r="B47" s="23" t="n">
        <f aca="false">假设与模型!C21</f>
        <v>1.02492</v>
      </c>
      <c r="C47" s="18" t="s">
        <v>10</v>
      </c>
      <c r="D47" s="21" t="s">
        <v>77</v>
      </c>
      <c r="E47" s="21" t="s">
        <v>78</v>
      </c>
      <c r="F47" s="18" t="s">
        <v>45</v>
      </c>
    </row>
    <row r="48" customFormat="false" ht="15" hidden="false" customHeight="false" outlineLevel="0" collapsed="false">
      <c r="A48" s="21" t="s">
        <v>80</v>
      </c>
      <c r="B48" s="23" t="n">
        <f aca="false">假设与模型!C23</f>
        <v>1.09034042553192</v>
      </c>
      <c r="C48" s="18" t="s">
        <v>10</v>
      </c>
      <c r="D48" s="21" t="s">
        <v>77</v>
      </c>
      <c r="E48" s="21" t="s">
        <v>78</v>
      </c>
      <c r="F48" s="18" t="s">
        <v>45</v>
      </c>
    </row>
    <row r="49" customFormat="false" ht="15" hidden="false" customHeight="false" outlineLevel="0" collapsed="false">
      <c r="A49" s="21" t="s">
        <v>81</v>
      </c>
      <c r="B49" s="23" t="n">
        <f aca="false">假设与模型!C24</f>
        <v>81.9936</v>
      </c>
      <c r="C49" s="21" t="s">
        <v>82</v>
      </c>
      <c r="D49" s="21" t="s">
        <v>77</v>
      </c>
      <c r="E49" s="21" t="s">
        <v>78</v>
      </c>
      <c r="F49" s="18" t="s">
        <v>45</v>
      </c>
    </row>
  </sheetData>
  <mergeCells count="8">
    <mergeCell ref="A1:N1"/>
    <mergeCell ref="A2:N2"/>
    <mergeCell ref="A3:F3"/>
    <mergeCell ref="A15:F15"/>
    <mergeCell ref="A25:F25"/>
    <mergeCell ref="A32:F32"/>
    <mergeCell ref="A38:F38"/>
    <mergeCell ref="A44:F44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&amp;K7b8794AI 的电从哪来｜研究用途，不构成投资建议&amp;R&amp;"Calibri"&amp;8 &amp;K7b8794第 &amp;P 页 / 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3.65"/>
    <col collapsed="false" customWidth="true" hidden="false" outlineLevel="0" max="3" min="3" style="0" width="28.21"/>
    <col collapsed="false" customWidth="true" hidden="false" outlineLevel="0" max="4" min="4" style="0" width="24.56"/>
    <col collapsed="false" customWidth="true" hidden="false" outlineLevel="0" max="5" min="5" style="0" width="16.38"/>
    <col collapsed="false" customWidth="true" hidden="false" outlineLevel="0" max="7" min="6" style="0" width="12.74"/>
    <col collapsed="false" customWidth="true" hidden="false" outlineLevel="0" max="8" min="8" style="0" width="11.83"/>
    <col collapsed="false" customWidth="true" hidden="false" outlineLevel="0" max="9" min="9" style="0" width="45.49"/>
    <col collapsed="false" customWidth="true" hidden="false" outlineLevel="0" max="10" min="10" style="0" width="9.1"/>
    <col collapsed="false" customWidth="true" hidden="false" outlineLevel="0" max="11" min="11" style="0" width="32.76"/>
    <col collapsed="false" customWidth="true" hidden="false" outlineLevel="0" max="12" min="12" style="0" width="12.74"/>
    <col collapsed="false" customWidth="true" hidden="false" outlineLevel="0" max="13" min="13" style="0" width="40.94"/>
    <col collapsed="false" customWidth="true" hidden="false" outlineLevel="0" max="14" min="14" style="0" width="52.77"/>
    <col collapsed="false" customWidth="true" hidden="false" outlineLevel="0" max="15" min="15" style="0" width="12.74"/>
    <col collapsed="false" customWidth="true" hidden="false" outlineLevel="0" max="16" min="16" style="0" width="9.1"/>
    <col collapsed="false" customWidth="true" hidden="false" outlineLevel="0" max="17" min="17" style="0" width="34.57"/>
  </cols>
  <sheetData>
    <row r="1" customFormat="false" ht="42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3.7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4" t="s">
        <v>85</v>
      </c>
      <c r="B3" s="4" t="s">
        <v>86</v>
      </c>
      <c r="C3" s="4" t="s">
        <v>3</v>
      </c>
      <c r="D3" s="4" t="s">
        <v>87</v>
      </c>
      <c r="E3" s="4" t="s">
        <v>88</v>
      </c>
      <c r="F3" s="4" t="s">
        <v>89</v>
      </c>
      <c r="G3" s="4" t="s">
        <v>5</v>
      </c>
      <c r="H3" s="4" t="s">
        <v>90</v>
      </c>
      <c r="I3" s="4" t="s">
        <v>91</v>
      </c>
      <c r="J3" s="4" t="s">
        <v>92</v>
      </c>
      <c r="K3" s="4" t="s">
        <v>93</v>
      </c>
      <c r="L3" s="4" t="s">
        <v>8</v>
      </c>
      <c r="M3" s="4" t="s">
        <v>94</v>
      </c>
      <c r="N3" s="4" t="s">
        <v>95</v>
      </c>
      <c r="O3" s="4" t="s">
        <v>96</v>
      </c>
      <c r="P3" s="4" t="s">
        <v>97</v>
      </c>
      <c r="Q3" s="4" t="s">
        <v>98</v>
      </c>
    </row>
    <row r="4" customFormat="false" ht="43.5" hidden="false" customHeight="true" outlineLevel="0" collapsed="false">
      <c r="A4" s="24" t="s">
        <v>99</v>
      </c>
      <c r="B4" s="25" t="s">
        <v>100</v>
      </c>
      <c r="C4" s="25" t="s">
        <v>101</v>
      </c>
      <c r="D4" s="25" t="s">
        <v>102</v>
      </c>
      <c r="E4" s="26" t="s">
        <v>103</v>
      </c>
      <c r="F4" s="27" t="n">
        <v>415</v>
      </c>
      <c r="G4" s="24" t="s">
        <v>10</v>
      </c>
      <c r="H4" s="25" t="s">
        <v>104</v>
      </c>
      <c r="I4" s="25" t="s">
        <v>105</v>
      </c>
      <c r="J4" s="24" t="s">
        <v>106</v>
      </c>
      <c r="K4" s="26" t="s">
        <v>107</v>
      </c>
      <c r="L4" s="24" t="s">
        <v>108</v>
      </c>
      <c r="M4" s="25" t="s">
        <v>109</v>
      </c>
      <c r="N4" s="28" t="s">
        <v>110</v>
      </c>
      <c r="O4" s="24" t="s">
        <v>45</v>
      </c>
      <c r="P4" s="29" t="s">
        <v>111</v>
      </c>
      <c r="Q4" s="26"/>
    </row>
    <row r="5" customFormat="false" ht="43.5" hidden="false" customHeight="true" outlineLevel="0" collapsed="false">
      <c r="A5" s="24" t="s">
        <v>112</v>
      </c>
      <c r="B5" s="25" t="s">
        <v>100</v>
      </c>
      <c r="C5" s="25" t="s">
        <v>113</v>
      </c>
      <c r="D5" s="25" t="s">
        <v>102</v>
      </c>
      <c r="E5" s="26" t="s">
        <v>103</v>
      </c>
      <c r="F5" s="30" t="n">
        <v>0.015</v>
      </c>
      <c r="G5" s="29" t="s">
        <v>17</v>
      </c>
      <c r="H5" s="25" t="s">
        <v>104</v>
      </c>
      <c r="I5" s="25" t="s">
        <v>114</v>
      </c>
      <c r="J5" s="24" t="s">
        <v>106</v>
      </c>
      <c r="K5" s="26" t="s">
        <v>107</v>
      </c>
      <c r="L5" s="24" t="s">
        <v>108</v>
      </c>
      <c r="M5" s="25" t="s">
        <v>109</v>
      </c>
      <c r="N5" s="28" t="s">
        <v>110</v>
      </c>
      <c r="O5" s="24" t="s">
        <v>45</v>
      </c>
      <c r="P5" s="29" t="s">
        <v>111</v>
      </c>
      <c r="Q5" s="26"/>
    </row>
    <row r="6" customFormat="false" ht="43.5" hidden="false" customHeight="true" outlineLevel="0" collapsed="false">
      <c r="A6" s="24" t="s">
        <v>115</v>
      </c>
      <c r="B6" s="25" t="s">
        <v>100</v>
      </c>
      <c r="C6" s="25" t="s">
        <v>101</v>
      </c>
      <c r="D6" s="25" t="s">
        <v>102</v>
      </c>
      <c r="E6" s="26" t="s">
        <v>116</v>
      </c>
      <c r="F6" s="27" t="n">
        <v>485</v>
      </c>
      <c r="G6" s="24" t="s">
        <v>10</v>
      </c>
      <c r="H6" s="25" t="s">
        <v>104</v>
      </c>
      <c r="I6" s="26" t="s">
        <v>117</v>
      </c>
      <c r="J6" s="24" t="s">
        <v>118</v>
      </c>
      <c r="K6" s="26" t="s">
        <v>119</v>
      </c>
      <c r="L6" s="24" t="s">
        <v>120</v>
      </c>
      <c r="M6" s="25" t="s">
        <v>121</v>
      </c>
      <c r="N6" s="28" t="s">
        <v>122</v>
      </c>
      <c r="O6" s="24" t="s">
        <v>45</v>
      </c>
      <c r="P6" s="29" t="s">
        <v>111</v>
      </c>
      <c r="Q6" s="26"/>
    </row>
    <row r="7" customFormat="false" ht="43.5" hidden="false" customHeight="true" outlineLevel="0" collapsed="false">
      <c r="A7" s="24" t="s">
        <v>123</v>
      </c>
      <c r="B7" s="25" t="s">
        <v>100</v>
      </c>
      <c r="C7" s="25" t="s">
        <v>124</v>
      </c>
      <c r="D7" s="25" t="s">
        <v>102</v>
      </c>
      <c r="E7" s="26" t="s">
        <v>116</v>
      </c>
      <c r="F7" s="30" t="n">
        <v>0.17</v>
      </c>
      <c r="G7" s="29" t="s">
        <v>17</v>
      </c>
      <c r="H7" s="25" t="s">
        <v>104</v>
      </c>
      <c r="I7" s="26" t="s">
        <v>125</v>
      </c>
      <c r="J7" s="24" t="s">
        <v>118</v>
      </c>
      <c r="K7" s="26" t="s">
        <v>119</v>
      </c>
      <c r="L7" s="24" t="s">
        <v>120</v>
      </c>
      <c r="M7" s="25" t="s">
        <v>121</v>
      </c>
      <c r="N7" s="28" t="s">
        <v>122</v>
      </c>
      <c r="O7" s="24" t="s">
        <v>45</v>
      </c>
      <c r="P7" s="24" t="s">
        <v>126</v>
      </c>
      <c r="Q7" s="26"/>
    </row>
    <row r="8" customFormat="false" ht="43.5" hidden="false" customHeight="true" outlineLevel="0" collapsed="false">
      <c r="A8" s="24" t="s">
        <v>127</v>
      </c>
      <c r="B8" s="25" t="s">
        <v>100</v>
      </c>
      <c r="C8" s="25" t="s">
        <v>113</v>
      </c>
      <c r="D8" s="25" t="s">
        <v>102</v>
      </c>
      <c r="E8" s="26" t="s">
        <v>116</v>
      </c>
      <c r="F8" s="30" t="n">
        <v>0.015</v>
      </c>
      <c r="G8" s="29" t="s">
        <v>17</v>
      </c>
      <c r="H8" s="25" t="s">
        <v>104</v>
      </c>
      <c r="I8" s="26" t="s">
        <v>128</v>
      </c>
      <c r="J8" s="24" t="s">
        <v>118</v>
      </c>
      <c r="K8" s="26" t="s">
        <v>119</v>
      </c>
      <c r="L8" s="24" t="s">
        <v>120</v>
      </c>
      <c r="M8" s="25" t="s">
        <v>121</v>
      </c>
      <c r="N8" s="28" t="s">
        <v>122</v>
      </c>
      <c r="O8" s="24" t="s">
        <v>45</v>
      </c>
      <c r="P8" s="29" t="s">
        <v>129</v>
      </c>
      <c r="Q8" s="26"/>
    </row>
    <row r="9" customFormat="false" ht="43.5" hidden="false" customHeight="true" outlineLevel="0" collapsed="false">
      <c r="A9" s="24" t="s">
        <v>130</v>
      </c>
      <c r="B9" s="25" t="s">
        <v>100</v>
      </c>
      <c r="C9" s="26" t="s">
        <v>131</v>
      </c>
      <c r="D9" s="25" t="s">
        <v>102</v>
      </c>
      <c r="E9" s="26" t="s">
        <v>116</v>
      </c>
      <c r="F9" s="30" t="n">
        <v>0.5</v>
      </c>
      <c r="G9" s="29" t="s">
        <v>17</v>
      </c>
      <c r="H9" s="25" t="s">
        <v>104</v>
      </c>
      <c r="I9" s="26" t="s">
        <v>132</v>
      </c>
      <c r="J9" s="24" t="s">
        <v>118</v>
      </c>
      <c r="K9" s="26" t="s">
        <v>119</v>
      </c>
      <c r="L9" s="24" t="s">
        <v>120</v>
      </c>
      <c r="M9" s="25" t="s">
        <v>121</v>
      </c>
      <c r="N9" s="28" t="s">
        <v>122</v>
      </c>
      <c r="O9" s="24" t="s">
        <v>45</v>
      </c>
      <c r="P9" s="24" t="s">
        <v>126</v>
      </c>
      <c r="Q9" s="26"/>
    </row>
    <row r="10" customFormat="false" ht="43.5" hidden="false" customHeight="true" outlineLevel="0" collapsed="false">
      <c r="A10" s="24" t="s">
        <v>133</v>
      </c>
      <c r="B10" s="25" t="s">
        <v>100</v>
      </c>
      <c r="C10" s="25" t="s">
        <v>134</v>
      </c>
      <c r="D10" s="25" t="s">
        <v>102</v>
      </c>
      <c r="E10" s="26" t="s">
        <v>135</v>
      </c>
      <c r="F10" s="27" t="n">
        <v>950</v>
      </c>
      <c r="G10" s="24" t="s">
        <v>10</v>
      </c>
      <c r="H10" s="25" t="s">
        <v>136</v>
      </c>
      <c r="I10" s="26" t="s">
        <v>137</v>
      </c>
      <c r="J10" s="24" t="s">
        <v>118</v>
      </c>
      <c r="K10" s="26" t="s">
        <v>119</v>
      </c>
      <c r="L10" s="24" t="s">
        <v>120</v>
      </c>
      <c r="M10" s="25" t="s">
        <v>121</v>
      </c>
      <c r="N10" s="28" t="s">
        <v>122</v>
      </c>
      <c r="O10" s="24" t="s">
        <v>45</v>
      </c>
      <c r="P10" s="29" t="s">
        <v>111</v>
      </c>
      <c r="Q10" s="26"/>
    </row>
    <row r="11" customFormat="false" ht="43.5" hidden="false" customHeight="true" outlineLevel="0" collapsed="false">
      <c r="A11" s="24" t="s">
        <v>138</v>
      </c>
      <c r="B11" s="25" t="s">
        <v>100</v>
      </c>
      <c r="C11" s="25" t="s">
        <v>139</v>
      </c>
      <c r="D11" s="25" t="s">
        <v>102</v>
      </c>
      <c r="E11" s="26" t="s">
        <v>135</v>
      </c>
      <c r="F11" s="30" t="n">
        <v>0.03</v>
      </c>
      <c r="G11" s="29" t="s">
        <v>17</v>
      </c>
      <c r="H11" s="25" t="s">
        <v>136</v>
      </c>
      <c r="I11" s="25" t="s">
        <v>140</v>
      </c>
      <c r="J11" s="24" t="s">
        <v>118</v>
      </c>
      <c r="K11" s="26" t="s">
        <v>119</v>
      </c>
      <c r="L11" s="24" t="s">
        <v>120</v>
      </c>
      <c r="M11" s="25" t="s">
        <v>121</v>
      </c>
      <c r="N11" s="28" t="s">
        <v>122</v>
      </c>
      <c r="O11" s="24" t="s">
        <v>45</v>
      </c>
      <c r="P11" s="29" t="s">
        <v>111</v>
      </c>
      <c r="Q11" s="26"/>
    </row>
    <row r="12" customFormat="false" ht="43.5" hidden="false" customHeight="true" outlineLevel="0" collapsed="false">
      <c r="A12" s="24" t="s">
        <v>141</v>
      </c>
      <c r="B12" s="25" t="s">
        <v>100</v>
      </c>
      <c r="C12" s="26" t="s">
        <v>142</v>
      </c>
      <c r="D12" s="25" t="s">
        <v>102</v>
      </c>
      <c r="E12" s="26" t="s">
        <v>135</v>
      </c>
      <c r="F12" s="31" t="n">
        <v>3</v>
      </c>
      <c r="G12" s="29" t="s">
        <v>143</v>
      </c>
      <c r="H12" s="25" t="s">
        <v>136</v>
      </c>
      <c r="I12" s="26" t="s">
        <v>144</v>
      </c>
      <c r="J12" s="24" t="s">
        <v>118</v>
      </c>
      <c r="K12" s="26" t="s">
        <v>119</v>
      </c>
      <c r="L12" s="24" t="s">
        <v>120</v>
      </c>
      <c r="M12" s="25" t="s">
        <v>121</v>
      </c>
      <c r="N12" s="28" t="s">
        <v>122</v>
      </c>
      <c r="O12" s="24" t="s">
        <v>45</v>
      </c>
      <c r="P12" s="29" t="s">
        <v>111</v>
      </c>
      <c r="Q12" s="26"/>
    </row>
    <row r="13" customFormat="false" ht="43.5" hidden="false" customHeight="true" outlineLevel="0" collapsed="false">
      <c r="A13" s="24" t="s">
        <v>145</v>
      </c>
      <c r="B13" s="25" t="s">
        <v>100</v>
      </c>
      <c r="C13" s="25" t="s">
        <v>146</v>
      </c>
      <c r="D13" s="25" t="s">
        <v>102</v>
      </c>
      <c r="E13" s="26" t="s">
        <v>135</v>
      </c>
      <c r="F13" s="27" t="n">
        <v>945</v>
      </c>
      <c r="G13" s="24" t="s">
        <v>10</v>
      </c>
      <c r="H13" s="25" t="s">
        <v>136</v>
      </c>
      <c r="I13" s="26" t="s">
        <v>147</v>
      </c>
      <c r="J13" s="24" t="s">
        <v>106</v>
      </c>
      <c r="K13" s="26" t="s">
        <v>107</v>
      </c>
      <c r="L13" s="24" t="s">
        <v>108</v>
      </c>
      <c r="M13" s="25" t="s">
        <v>109</v>
      </c>
      <c r="N13" s="28" t="s">
        <v>110</v>
      </c>
      <c r="O13" s="24" t="s">
        <v>45</v>
      </c>
      <c r="P13" s="29" t="s">
        <v>111</v>
      </c>
      <c r="Q13" s="26"/>
    </row>
    <row r="14" customFormat="false" ht="43.5" hidden="false" customHeight="true" outlineLevel="0" collapsed="false">
      <c r="A14" s="24" t="s">
        <v>148</v>
      </c>
      <c r="B14" s="25" t="s">
        <v>100</v>
      </c>
      <c r="C14" s="25" t="s">
        <v>149</v>
      </c>
      <c r="D14" s="25" t="s">
        <v>150</v>
      </c>
      <c r="E14" s="26" t="s">
        <v>103</v>
      </c>
      <c r="F14" s="30" t="n">
        <v>0.45</v>
      </c>
      <c r="G14" s="29" t="s">
        <v>17</v>
      </c>
      <c r="H14" s="25" t="s">
        <v>104</v>
      </c>
      <c r="I14" s="25" t="s">
        <v>151</v>
      </c>
      <c r="J14" s="24" t="s">
        <v>106</v>
      </c>
      <c r="K14" s="26" t="s">
        <v>107</v>
      </c>
      <c r="L14" s="24" t="s">
        <v>108</v>
      </c>
      <c r="M14" s="25" t="s">
        <v>109</v>
      </c>
      <c r="N14" s="28" t="s">
        <v>110</v>
      </c>
      <c r="O14" s="24" t="s">
        <v>45</v>
      </c>
      <c r="P14" s="29" t="s">
        <v>111</v>
      </c>
      <c r="Q14" s="26"/>
    </row>
    <row r="15" customFormat="false" ht="43.5" hidden="false" customHeight="true" outlineLevel="0" collapsed="false">
      <c r="A15" s="24" t="s">
        <v>152</v>
      </c>
      <c r="B15" s="25" t="s">
        <v>100</v>
      </c>
      <c r="C15" s="25" t="s">
        <v>149</v>
      </c>
      <c r="D15" s="25" t="s">
        <v>153</v>
      </c>
      <c r="E15" s="26" t="s">
        <v>103</v>
      </c>
      <c r="F15" s="30" t="n">
        <v>0.25</v>
      </c>
      <c r="G15" s="29" t="s">
        <v>17</v>
      </c>
      <c r="H15" s="25" t="s">
        <v>104</v>
      </c>
      <c r="I15" s="25" t="s">
        <v>151</v>
      </c>
      <c r="J15" s="24" t="s">
        <v>106</v>
      </c>
      <c r="K15" s="26" t="s">
        <v>107</v>
      </c>
      <c r="L15" s="24" t="s">
        <v>108</v>
      </c>
      <c r="M15" s="25" t="s">
        <v>109</v>
      </c>
      <c r="N15" s="28" t="s">
        <v>110</v>
      </c>
      <c r="O15" s="24" t="s">
        <v>45</v>
      </c>
      <c r="P15" s="29" t="s">
        <v>111</v>
      </c>
      <c r="Q15" s="26"/>
    </row>
    <row r="16" customFormat="false" ht="43.5" hidden="false" customHeight="true" outlineLevel="0" collapsed="false">
      <c r="A16" s="24" t="s">
        <v>154</v>
      </c>
      <c r="B16" s="25" t="s">
        <v>100</v>
      </c>
      <c r="C16" s="25" t="s">
        <v>149</v>
      </c>
      <c r="D16" s="25" t="s">
        <v>155</v>
      </c>
      <c r="E16" s="26" t="s">
        <v>103</v>
      </c>
      <c r="F16" s="30" t="n">
        <v>0.15</v>
      </c>
      <c r="G16" s="29" t="s">
        <v>17</v>
      </c>
      <c r="H16" s="25" t="s">
        <v>104</v>
      </c>
      <c r="I16" s="25" t="s">
        <v>151</v>
      </c>
      <c r="J16" s="24" t="s">
        <v>106</v>
      </c>
      <c r="K16" s="26" t="s">
        <v>107</v>
      </c>
      <c r="L16" s="24" t="s">
        <v>108</v>
      </c>
      <c r="M16" s="25" t="s">
        <v>109</v>
      </c>
      <c r="N16" s="28" t="s">
        <v>110</v>
      </c>
      <c r="O16" s="24" t="s">
        <v>45</v>
      </c>
      <c r="P16" s="29" t="s">
        <v>111</v>
      </c>
      <c r="Q16" s="26"/>
    </row>
    <row r="17" customFormat="false" ht="43.5" hidden="false" customHeight="true" outlineLevel="0" collapsed="false">
      <c r="A17" s="24" t="s">
        <v>156</v>
      </c>
      <c r="B17" s="25" t="s">
        <v>100</v>
      </c>
      <c r="C17" s="26" t="s">
        <v>157</v>
      </c>
      <c r="D17" s="25" t="s">
        <v>150</v>
      </c>
      <c r="E17" s="26" t="s">
        <v>158</v>
      </c>
      <c r="F17" s="27" t="n">
        <v>240</v>
      </c>
      <c r="G17" s="24" t="s">
        <v>10</v>
      </c>
      <c r="H17" s="25" t="s">
        <v>136</v>
      </c>
      <c r="I17" s="26" t="s">
        <v>159</v>
      </c>
      <c r="J17" s="24" t="s">
        <v>106</v>
      </c>
      <c r="K17" s="26" t="s">
        <v>107</v>
      </c>
      <c r="L17" s="24" t="s">
        <v>108</v>
      </c>
      <c r="M17" s="25" t="s">
        <v>109</v>
      </c>
      <c r="N17" s="28" t="s">
        <v>110</v>
      </c>
      <c r="O17" s="24" t="s">
        <v>45</v>
      </c>
      <c r="P17" s="29" t="s">
        <v>111</v>
      </c>
      <c r="Q17" s="26"/>
    </row>
    <row r="18" customFormat="false" ht="43.5" hidden="false" customHeight="true" outlineLevel="0" collapsed="false">
      <c r="A18" s="24" t="s">
        <v>160</v>
      </c>
      <c r="B18" s="25" t="s">
        <v>100</v>
      </c>
      <c r="C18" s="25" t="s">
        <v>161</v>
      </c>
      <c r="D18" s="26" t="s">
        <v>162</v>
      </c>
      <c r="E18" s="26" t="s">
        <v>103</v>
      </c>
      <c r="F18" s="27" t="n">
        <v>110</v>
      </c>
      <c r="G18" s="24" t="s">
        <v>10</v>
      </c>
      <c r="H18" s="25" t="s">
        <v>104</v>
      </c>
      <c r="I18" s="26" t="s">
        <v>163</v>
      </c>
      <c r="J18" s="24" t="s">
        <v>118</v>
      </c>
      <c r="K18" s="26" t="s">
        <v>119</v>
      </c>
      <c r="L18" s="24" t="s">
        <v>120</v>
      </c>
      <c r="M18" s="25" t="s">
        <v>121</v>
      </c>
      <c r="N18" s="28" t="s">
        <v>122</v>
      </c>
      <c r="O18" s="24" t="s">
        <v>45</v>
      </c>
      <c r="P18" s="29" t="s">
        <v>111</v>
      </c>
      <c r="Q18" s="26"/>
    </row>
    <row r="19" customFormat="false" ht="43.5" hidden="false" customHeight="true" outlineLevel="0" collapsed="false">
      <c r="A19" s="24" t="s">
        <v>164</v>
      </c>
      <c r="B19" s="25" t="s">
        <v>100</v>
      </c>
      <c r="C19" s="25" t="s">
        <v>165</v>
      </c>
      <c r="D19" s="26" t="s">
        <v>162</v>
      </c>
      <c r="E19" s="26" t="s">
        <v>103</v>
      </c>
      <c r="F19" s="30" t="n">
        <v>0.2</v>
      </c>
      <c r="G19" s="29" t="s">
        <v>17</v>
      </c>
      <c r="H19" s="25" t="s">
        <v>104</v>
      </c>
      <c r="I19" s="25" t="s">
        <v>166</v>
      </c>
      <c r="J19" s="24" t="s">
        <v>118</v>
      </c>
      <c r="K19" s="26" t="s">
        <v>119</v>
      </c>
      <c r="L19" s="24" t="s">
        <v>120</v>
      </c>
      <c r="M19" s="25" t="s">
        <v>121</v>
      </c>
      <c r="N19" s="28" t="s">
        <v>122</v>
      </c>
      <c r="O19" s="24" t="s">
        <v>45</v>
      </c>
      <c r="P19" s="29" t="s">
        <v>111</v>
      </c>
      <c r="Q19" s="26"/>
    </row>
    <row r="20" customFormat="false" ht="43.5" hidden="false" customHeight="true" outlineLevel="0" collapsed="false">
      <c r="A20" s="24" t="s">
        <v>167</v>
      </c>
      <c r="B20" s="25" t="s">
        <v>168</v>
      </c>
      <c r="C20" s="26" t="s">
        <v>169</v>
      </c>
      <c r="D20" s="25" t="s">
        <v>102</v>
      </c>
      <c r="E20" s="26" t="s">
        <v>170</v>
      </c>
      <c r="F20" s="27" t="n">
        <v>3.9</v>
      </c>
      <c r="G20" s="29" t="s">
        <v>171</v>
      </c>
      <c r="H20" s="25" t="s">
        <v>136</v>
      </c>
      <c r="I20" s="25" t="s">
        <v>172</v>
      </c>
      <c r="J20" s="24" t="s">
        <v>118</v>
      </c>
      <c r="K20" s="26" t="s">
        <v>119</v>
      </c>
      <c r="L20" s="24" t="s">
        <v>120</v>
      </c>
      <c r="M20" s="25" t="s">
        <v>121</v>
      </c>
      <c r="N20" s="28" t="s">
        <v>122</v>
      </c>
      <c r="O20" s="24" t="s">
        <v>45</v>
      </c>
      <c r="P20" s="29" t="s">
        <v>111</v>
      </c>
      <c r="Q20" s="26"/>
    </row>
    <row r="21" customFormat="false" ht="43.5" hidden="false" customHeight="true" outlineLevel="0" collapsed="false">
      <c r="A21" s="24" t="s">
        <v>173</v>
      </c>
      <c r="B21" s="25" t="s">
        <v>168</v>
      </c>
      <c r="C21" s="26" t="s">
        <v>174</v>
      </c>
      <c r="D21" s="25" t="s">
        <v>175</v>
      </c>
      <c r="E21" s="26" t="s">
        <v>176</v>
      </c>
      <c r="F21" s="27" t="n">
        <v>715</v>
      </c>
      <c r="G21" s="29" t="s">
        <v>24</v>
      </c>
      <c r="H21" s="25" t="s">
        <v>104</v>
      </c>
      <c r="I21" s="25" t="s">
        <v>177</v>
      </c>
      <c r="J21" s="24" t="s">
        <v>118</v>
      </c>
      <c r="K21" s="26" t="s">
        <v>119</v>
      </c>
      <c r="L21" s="24" t="s">
        <v>120</v>
      </c>
      <c r="M21" s="25" t="s">
        <v>121</v>
      </c>
      <c r="N21" s="28" t="s">
        <v>122</v>
      </c>
      <c r="O21" s="24" t="s">
        <v>45</v>
      </c>
      <c r="P21" s="29" t="s">
        <v>111</v>
      </c>
      <c r="Q21" s="26"/>
    </row>
    <row r="22" customFormat="false" ht="43.5" hidden="false" customHeight="true" outlineLevel="0" collapsed="false">
      <c r="A22" s="24" t="s">
        <v>178</v>
      </c>
      <c r="B22" s="25" t="s">
        <v>168</v>
      </c>
      <c r="C22" s="25" t="s">
        <v>179</v>
      </c>
      <c r="D22" s="25" t="s">
        <v>180</v>
      </c>
      <c r="E22" s="26" t="s">
        <v>116</v>
      </c>
      <c r="F22" s="27" t="n">
        <v>400</v>
      </c>
      <c r="G22" s="29" t="s">
        <v>24</v>
      </c>
      <c r="H22" s="25" t="s">
        <v>104</v>
      </c>
      <c r="I22" s="26" t="s">
        <v>181</v>
      </c>
      <c r="J22" s="24" t="s">
        <v>118</v>
      </c>
      <c r="K22" s="26" t="s">
        <v>119</v>
      </c>
      <c r="L22" s="24" t="s">
        <v>120</v>
      </c>
      <c r="M22" s="25" t="s">
        <v>121</v>
      </c>
      <c r="N22" s="28" t="s">
        <v>122</v>
      </c>
      <c r="O22" s="24" t="s">
        <v>45</v>
      </c>
      <c r="P22" s="29" t="s">
        <v>182</v>
      </c>
      <c r="Q22" s="26"/>
    </row>
    <row r="23" customFormat="false" ht="43.5" hidden="false" customHeight="true" outlineLevel="0" collapsed="false">
      <c r="A23" s="24" t="s">
        <v>183</v>
      </c>
      <c r="B23" s="25" t="s">
        <v>168</v>
      </c>
      <c r="C23" s="26" t="s">
        <v>184</v>
      </c>
      <c r="D23" s="25" t="s">
        <v>175</v>
      </c>
      <c r="E23" s="26" t="s">
        <v>176</v>
      </c>
      <c r="F23" s="30" t="n">
        <v>0.75</v>
      </c>
      <c r="G23" s="29" t="s">
        <v>17</v>
      </c>
      <c r="H23" s="25" t="s">
        <v>136</v>
      </c>
      <c r="I23" s="25" t="s">
        <v>185</v>
      </c>
      <c r="J23" s="24" t="s">
        <v>118</v>
      </c>
      <c r="K23" s="26" t="s">
        <v>119</v>
      </c>
      <c r="L23" s="24" t="s">
        <v>120</v>
      </c>
      <c r="M23" s="25" t="s">
        <v>121</v>
      </c>
      <c r="N23" s="28" t="s">
        <v>122</v>
      </c>
      <c r="O23" s="24" t="s">
        <v>45</v>
      </c>
      <c r="P23" s="29" t="s">
        <v>111</v>
      </c>
      <c r="Q23" s="26"/>
    </row>
    <row r="24" customFormat="false" ht="43.5" hidden="false" customHeight="true" outlineLevel="0" collapsed="false">
      <c r="A24" s="24" t="s">
        <v>186</v>
      </c>
      <c r="B24" s="25" t="s">
        <v>168</v>
      </c>
      <c r="C24" s="25" t="s">
        <v>187</v>
      </c>
      <c r="D24" s="25" t="s">
        <v>102</v>
      </c>
      <c r="E24" s="26" t="s">
        <v>188</v>
      </c>
      <c r="F24" s="32" t="n">
        <v>25</v>
      </c>
      <c r="G24" s="24" t="s">
        <v>189</v>
      </c>
      <c r="H24" s="25" t="s">
        <v>104</v>
      </c>
      <c r="I24" s="25" t="s">
        <v>190</v>
      </c>
      <c r="J24" s="24" t="s">
        <v>118</v>
      </c>
      <c r="K24" s="26" t="s">
        <v>119</v>
      </c>
      <c r="L24" s="24" t="s">
        <v>120</v>
      </c>
      <c r="M24" s="25" t="s">
        <v>121</v>
      </c>
      <c r="N24" s="28" t="s">
        <v>122</v>
      </c>
      <c r="O24" s="24" t="s">
        <v>45</v>
      </c>
      <c r="P24" s="29" t="s">
        <v>111</v>
      </c>
      <c r="Q24" s="26"/>
    </row>
    <row r="25" customFormat="false" ht="43.5" hidden="false" customHeight="true" outlineLevel="0" collapsed="false">
      <c r="A25" s="24" t="s">
        <v>191</v>
      </c>
      <c r="B25" s="25" t="s">
        <v>168</v>
      </c>
      <c r="C25" s="25" t="s">
        <v>187</v>
      </c>
      <c r="D25" s="25" t="s">
        <v>102</v>
      </c>
      <c r="E25" s="26" t="s">
        <v>192</v>
      </c>
      <c r="F25" s="32" t="n">
        <v>45</v>
      </c>
      <c r="G25" s="24" t="s">
        <v>189</v>
      </c>
      <c r="H25" s="25" t="s">
        <v>104</v>
      </c>
      <c r="I25" s="25" t="s">
        <v>190</v>
      </c>
      <c r="J25" s="24" t="s">
        <v>118</v>
      </c>
      <c r="K25" s="26" t="s">
        <v>119</v>
      </c>
      <c r="L25" s="24" t="s">
        <v>120</v>
      </c>
      <c r="M25" s="25" t="s">
        <v>121</v>
      </c>
      <c r="N25" s="28" t="s">
        <v>122</v>
      </c>
      <c r="O25" s="24" t="s">
        <v>45</v>
      </c>
      <c r="P25" s="29" t="s">
        <v>111</v>
      </c>
      <c r="Q25" s="26"/>
    </row>
    <row r="26" customFormat="false" ht="43.5" hidden="false" customHeight="true" outlineLevel="0" collapsed="false">
      <c r="A26" s="24" t="s">
        <v>193</v>
      </c>
      <c r="B26" s="25" t="s">
        <v>168</v>
      </c>
      <c r="C26" s="25" t="s">
        <v>194</v>
      </c>
      <c r="D26" s="25" t="s">
        <v>102</v>
      </c>
      <c r="E26" s="26" t="s">
        <v>135</v>
      </c>
      <c r="F26" s="32" t="n">
        <v>20</v>
      </c>
      <c r="G26" s="24" t="s">
        <v>189</v>
      </c>
      <c r="H26" s="25" t="s">
        <v>136</v>
      </c>
      <c r="I26" s="25" t="s">
        <v>195</v>
      </c>
      <c r="J26" s="24" t="s">
        <v>118</v>
      </c>
      <c r="K26" s="26" t="s">
        <v>119</v>
      </c>
      <c r="L26" s="24" t="s">
        <v>120</v>
      </c>
      <c r="M26" s="25" t="s">
        <v>121</v>
      </c>
      <c r="N26" s="28" t="s">
        <v>122</v>
      </c>
      <c r="O26" s="24" t="s">
        <v>45</v>
      </c>
      <c r="P26" s="29" t="s">
        <v>111</v>
      </c>
      <c r="Q26" s="26"/>
    </row>
    <row r="27" customFormat="false" ht="43.5" hidden="false" customHeight="true" outlineLevel="0" collapsed="false">
      <c r="A27" s="24" t="s">
        <v>196</v>
      </c>
      <c r="B27" s="25" t="s">
        <v>168</v>
      </c>
      <c r="C27" s="25" t="s">
        <v>197</v>
      </c>
      <c r="D27" s="25" t="s">
        <v>102</v>
      </c>
      <c r="E27" s="26" t="s">
        <v>135</v>
      </c>
      <c r="F27" s="32" t="n">
        <v>25</v>
      </c>
      <c r="G27" s="24" t="s">
        <v>189</v>
      </c>
      <c r="H27" s="25" t="s">
        <v>136</v>
      </c>
      <c r="I27" s="25" t="s">
        <v>195</v>
      </c>
      <c r="J27" s="24" t="s">
        <v>118</v>
      </c>
      <c r="K27" s="26" t="s">
        <v>119</v>
      </c>
      <c r="L27" s="24" t="s">
        <v>120</v>
      </c>
      <c r="M27" s="25" t="s">
        <v>121</v>
      </c>
      <c r="N27" s="28" t="s">
        <v>122</v>
      </c>
      <c r="O27" s="24" t="s">
        <v>45</v>
      </c>
      <c r="P27" s="29" t="s">
        <v>111</v>
      </c>
      <c r="Q27" s="26"/>
    </row>
    <row r="28" customFormat="false" ht="43.5" hidden="false" customHeight="true" outlineLevel="0" collapsed="false">
      <c r="A28" s="24" t="s">
        <v>198</v>
      </c>
      <c r="B28" s="25" t="s">
        <v>168</v>
      </c>
      <c r="C28" s="25" t="s">
        <v>199</v>
      </c>
      <c r="D28" s="25" t="s">
        <v>200</v>
      </c>
      <c r="E28" s="26" t="s">
        <v>135</v>
      </c>
      <c r="F28" s="32" t="n">
        <v>15</v>
      </c>
      <c r="G28" s="24" t="s">
        <v>189</v>
      </c>
      <c r="H28" s="25" t="s">
        <v>136</v>
      </c>
      <c r="I28" s="25" t="s">
        <v>201</v>
      </c>
      <c r="J28" s="24" t="s">
        <v>118</v>
      </c>
      <c r="K28" s="26" t="s">
        <v>119</v>
      </c>
      <c r="L28" s="24" t="s">
        <v>120</v>
      </c>
      <c r="M28" s="25" t="s">
        <v>121</v>
      </c>
      <c r="N28" s="28" t="s">
        <v>122</v>
      </c>
      <c r="O28" s="24" t="s">
        <v>45</v>
      </c>
      <c r="P28" s="29" t="s">
        <v>111</v>
      </c>
      <c r="Q28" s="26"/>
    </row>
    <row r="29" customFormat="false" ht="43.5" hidden="false" customHeight="true" outlineLevel="0" collapsed="false">
      <c r="A29" s="24" t="s">
        <v>202</v>
      </c>
      <c r="B29" s="25" t="s">
        <v>168</v>
      </c>
      <c r="C29" s="25" t="s">
        <v>203</v>
      </c>
      <c r="D29" s="25" t="s">
        <v>200</v>
      </c>
      <c r="E29" s="26" t="s">
        <v>135</v>
      </c>
      <c r="F29" s="32" t="n">
        <v>27</v>
      </c>
      <c r="G29" s="24" t="s">
        <v>189</v>
      </c>
      <c r="H29" s="25" t="s">
        <v>136</v>
      </c>
      <c r="I29" s="25" t="s">
        <v>201</v>
      </c>
      <c r="J29" s="24" t="s">
        <v>118</v>
      </c>
      <c r="K29" s="26" t="s">
        <v>119</v>
      </c>
      <c r="L29" s="24" t="s">
        <v>120</v>
      </c>
      <c r="M29" s="25" t="s">
        <v>121</v>
      </c>
      <c r="N29" s="28" t="s">
        <v>122</v>
      </c>
      <c r="O29" s="24" t="s">
        <v>45</v>
      </c>
      <c r="P29" s="29" t="s">
        <v>111</v>
      </c>
      <c r="Q29" s="26"/>
    </row>
    <row r="30" customFormat="false" ht="43.5" hidden="false" customHeight="true" outlineLevel="0" collapsed="false">
      <c r="A30" s="24" t="s">
        <v>204</v>
      </c>
      <c r="B30" s="25" t="s">
        <v>168</v>
      </c>
      <c r="C30" s="25" t="s">
        <v>205</v>
      </c>
      <c r="D30" s="25" t="s">
        <v>206</v>
      </c>
      <c r="E30" s="26" t="s">
        <v>135</v>
      </c>
      <c r="F30" s="30" t="n">
        <v>0.3</v>
      </c>
      <c r="G30" s="29" t="s">
        <v>17</v>
      </c>
      <c r="H30" s="25" t="s">
        <v>104</v>
      </c>
      <c r="I30" s="25" t="s">
        <v>207</v>
      </c>
      <c r="J30" s="24" t="s">
        <v>118</v>
      </c>
      <c r="K30" s="26" t="s">
        <v>119</v>
      </c>
      <c r="L30" s="24" t="s">
        <v>120</v>
      </c>
      <c r="M30" s="25" t="s">
        <v>121</v>
      </c>
      <c r="N30" s="28" t="s">
        <v>122</v>
      </c>
      <c r="O30" s="24" t="s">
        <v>45</v>
      </c>
      <c r="P30" s="29" t="s">
        <v>111</v>
      </c>
      <c r="Q30" s="26"/>
    </row>
    <row r="31" customFormat="false" ht="43.5" hidden="false" customHeight="true" outlineLevel="0" collapsed="false">
      <c r="A31" s="24" t="s">
        <v>208</v>
      </c>
      <c r="B31" s="25" t="s">
        <v>168</v>
      </c>
      <c r="C31" s="25" t="s">
        <v>209</v>
      </c>
      <c r="D31" s="25" t="s">
        <v>206</v>
      </c>
      <c r="E31" s="26" t="s">
        <v>135</v>
      </c>
      <c r="F31" s="30" t="n">
        <v>0.7</v>
      </c>
      <c r="G31" s="29" t="s">
        <v>17</v>
      </c>
      <c r="H31" s="25" t="s">
        <v>104</v>
      </c>
      <c r="I31" s="25" t="s">
        <v>207</v>
      </c>
      <c r="J31" s="24" t="s">
        <v>118</v>
      </c>
      <c r="K31" s="26" t="s">
        <v>119</v>
      </c>
      <c r="L31" s="24" t="s">
        <v>120</v>
      </c>
      <c r="M31" s="25" t="s">
        <v>121</v>
      </c>
      <c r="N31" s="28" t="s">
        <v>122</v>
      </c>
      <c r="O31" s="24" t="s">
        <v>45</v>
      </c>
      <c r="P31" s="29" t="s">
        <v>111</v>
      </c>
      <c r="Q31" s="26"/>
    </row>
    <row r="32" customFormat="false" ht="43.5" hidden="false" customHeight="true" outlineLevel="0" collapsed="false">
      <c r="A32" s="24" t="s">
        <v>210</v>
      </c>
      <c r="B32" s="25" t="s">
        <v>168</v>
      </c>
      <c r="C32" s="25" t="s">
        <v>211</v>
      </c>
      <c r="D32" s="25" t="s">
        <v>102</v>
      </c>
      <c r="E32" s="26" t="s">
        <v>116</v>
      </c>
      <c r="F32" s="30" t="n">
        <v>0.7</v>
      </c>
      <c r="G32" s="29" t="s">
        <v>17</v>
      </c>
      <c r="H32" s="25" t="s">
        <v>104</v>
      </c>
      <c r="I32" s="25" t="s">
        <v>212</v>
      </c>
      <c r="J32" s="24" t="s">
        <v>118</v>
      </c>
      <c r="K32" s="26" t="s">
        <v>119</v>
      </c>
      <c r="L32" s="24" t="s">
        <v>120</v>
      </c>
      <c r="M32" s="25" t="s">
        <v>121</v>
      </c>
      <c r="N32" s="28" t="s">
        <v>122</v>
      </c>
      <c r="O32" s="24" t="s">
        <v>45</v>
      </c>
      <c r="P32" s="29" t="s">
        <v>111</v>
      </c>
      <c r="Q32" s="26"/>
    </row>
    <row r="33" customFormat="false" ht="43.5" hidden="false" customHeight="true" outlineLevel="0" collapsed="false">
      <c r="A33" s="24" t="s">
        <v>213</v>
      </c>
      <c r="B33" s="25" t="s">
        <v>168</v>
      </c>
      <c r="C33" s="25" t="s">
        <v>214</v>
      </c>
      <c r="D33" s="25" t="s">
        <v>102</v>
      </c>
      <c r="E33" s="25" t="s">
        <v>215</v>
      </c>
      <c r="F33" s="30" t="n">
        <v>0.2</v>
      </c>
      <c r="G33" s="29" t="s">
        <v>17</v>
      </c>
      <c r="H33" s="25" t="s">
        <v>104</v>
      </c>
      <c r="I33" s="26" t="s">
        <v>216</v>
      </c>
      <c r="J33" s="24" t="s">
        <v>106</v>
      </c>
      <c r="K33" s="26" t="s">
        <v>107</v>
      </c>
      <c r="L33" s="24" t="s">
        <v>108</v>
      </c>
      <c r="M33" s="25" t="s">
        <v>109</v>
      </c>
      <c r="N33" s="28" t="s">
        <v>110</v>
      </c>
      <c r="O33" s="24" t="s">
        <v>45</v>
      </c>
      <c r="P33" s="29" t="s">
        <v>111</v>
      </c>
      <c r="Q33" s="26"/>
    </row>
    <row r="34" customFormat="false" ht="43.5" hidden="false" customHeight="true" outlineLevel="0" collapsed="false">
      <c r="A34" s="24" t="s">
        <v>217</v>
      </c>
      <c r="B34" s="25" t="s">
        <v>168</v>
      </c>
      <c r="C34" s="25" t="s">
        <v>218</v>
      </c>
      <c r="D34" s="25" t="s">
        <v>219</v>
      </c>
      <c r="E34" s="25" t="s">
        <v>220</v>
      </c>
      <c r="F34" s="32" t="n">
        <v>4</v>
      </c>
      <c r="G34" s="29" t="s">
        <v>221</v>
      </c>
      <c r="H34" s="25" t="s">
        <v>104</v>
      </c>
      <c r="I34" s="25" t="s">
        <v>222</v>
      </c>
      <c r="J34" s="24" t="s">
        <v>106</v>
      </c>
      <c r="K34" s="26" t="s">
        <v>107</v>
      </c>
      <c r="L34" s="24" t="s">
        <v>108</v>
      </c>
      <c r="M34" s="25" t="s">
        <v>109</v>
      </c>
      <c r="N34" s="28" t="s">
        <v>110</v>
      </c>
      <c r="O34" s="24" t="s">
        <v>45</v>
      </c>
      <c r="P34" s="24" t="s">
        <v>126</v>
      </c>
      <c r="Q34" s="26"/>
    </row>
    <row r="35" customFormat="false" ht="43.5" hidden="false" customHeight="true" outlineLevel="0" collapsed="false">
      <c r="A35" s="24" t="s">
        <v>223</v>
      </c>
      <c r="B35" s="25" t="s">
        <v>168</v>
      </c>
      <c r="C35" s="25" t="s">
        <v>224</v>
      </c>
      <c r="D35" s="25" t="s">
        <v>219</v>
      </c>
      <c r="E35" s="25" t="s">
        <v>220</v>
      </c>
      <c r="F35" s="32" t="n">
        <v>8</v>
      </c>
      <c r="G35" s="29" t="s">
        <v>221</v>
      </c>
      <c r="H35" s="25" t="s">
        <v>104</v>
      </c>
      <c r="I35" s="25" t="s">
        <v>222</v>
      </c>
      <c r="J35" s="24" t="s">
        <v>106</v>
      </c>
      <c r="K35" s="26" t="s">
        <v>107</v>
      </c>
      <c r="L35" s="24" t="s">
        <v>108</v>
      </c>
      <c r="M35" s="25" t="s">
        <v>109</v>
      </c>
      <c r="N35" s="28" t="s">
        <v>110</v>
      </c>
      <c r="O35" s="24" t="s">
        <v>45</v>
      </c>
      <c r="P35" s="24" t="s">
        <v>126</v>
      </c>
      <c r="Q35" s="26"/>
    </row>
    <row r="36" customFormat="false" ht="43.5" hidden="false" customHeight="true" outlineLevel="0" collapsed="false">
      <c r="A36" s="24" t="s">
        <v>225</v>
      </c>
      <c r="B36" s="25" t="s">
        <v>168</v>
      </c>
      <c r="C36" s="25" t="s">
        <v>226</v>
      </c>
      <c r="D36" s="25" t="s">
        <v>102</v>
      </c>
      <c r="E36" s="26" t="s">
        <v>227</v>
      </c>
      <c r="F36" s="31" t="n">
        <v>2</v>
      </c>
      <c r="G36" s="29" t="s">
        <v>143</v>
      </c>
      <c r="H36" s="25" t="s">
        <v>104</v>
      </c>
      <c r="I36" s="26" t="s">
        <v>228</v>
      </c>
      <c r="J36" s="24" t="s">
        <v>106</v>
      </c>
      <c r="K36" s="26" t="s">
        <v>107</v>
      </c>
      <c r="L36" s="24" t="s">
        <v>108</v>
      </c>
      <c r="M36" s="25" t="s">
        <v>109</v>
      </c>
      <c r="N36" s="28" t="s">
        <v>110</v>
      </c>
      <c r="O36" s="24" t="s">
        <v>45</v>
      </c>
      <c r="P36" s="29" t="s">
        <v>111</v>
      </c>
      <c r="Q36" s="26"/>
    </row>
    <row r="37" customFormat="false" ht="43.5" hidden="false" customHeight="true" outlineLevel="0" collapsed="false">
      <c r="A37" s="24" t="s">
        <v>229</v>
      </c>
      <c r="B37" s="25" t="s">
        <v>168</v>
      </c>
      <c r="C37" s="25" t="s">
        <v>230</v>
      </c>
      <c r="D37" s="25" t="s">
        <v>231</v>
      </c>
      <c r="E37" s="25" t="s">
        <v>220</v>
      </c>
      <c r="F37" s="32" t="n">
        <v>2</v>
      </c>
      <c r="G37" s="29" t="s">
        <v>221</v>
      </c>
      <c r="H37" s="25" t="s">
        <v>104</v>
      </c>
      <c r="I37" s="25" t="s">
        <v>232</v>
      </c>
      <c r="J37" s="24" t="s">
        <v>106</v>
      </c>
      <c r="K37" s="26" t="s">
        <v>107</v>
      </c>
      <c r="L37" s="24" t="s">
        <v>108</v>
      </c>
      <c r="M37" s="25" t="s">
        <v>109</v>
      </c>
      <c r="N37" s="28" t="s">
        <v>110</v>
      </c>
      <c r="O37" s="24" t="s">
        <v>45</v>
      </c>
      <c r="P37" s="24" t="s">
        <v>126</v>
      </c>
      <c r="Q37" s="26"/>
    </row>
    <row r="38" customFormat="false" ht="43.5" hidden="false" customHeight="true" outlineLevel="0" collapsed="false">
      <c r="A38" s="24" t="s">
        <v>233</v>
      </c>
      <c r="B38" s="25" t="s">
        <v>168</v>
      </c>
      <c r="C38" s="25" t="s">
        <v>234</v>
      </c>
      <c r="D38" s="25" t="s">
        <v>231</v>
      </c>
      <c r="E38" s="25" t="s">
        <v>220</v>
      </c>
      <c r="F38" s="32" t="n">
        <v>3</v>
      </c>
      <c r="G38" s="29" t="s">
        <v>221</v>
      </c>
      <c r="H38" s="25" t="s">
        <v>104</v>
      </c>
      <c r="I38" s="25" t="s">
        <v>232</v>
      </c>
      <c r="J38" s="24" t="s">
        <v>106</v>
      </c>
      <c r="K38" s="26" t="s">
        <v>107</v>
      </c>
      <c r="L38" s="24" t="s">
        <v>108</v>
      </c>
      <c r="M38" s="25" t="s">
        <v>109</v>
      </c>
      <c r="N38" s="28" t="s">
        <v>110</v>
      </c>
      <c r="O38" s="24" t="s">
        <v>45</v>
      </c>
      <c r="P38" s="24" t="s">
        <v>126</v>
      </c>
      <c r="Q38" s="26"/>
    </row>
    <row r="39" customFormat="false" ht="43.5" hidden="false" customHeight="true" outlineLevel="0" collapsed="false">
      <c r="A39" s="24" t="s">
        <v>235</v>
      </c>
      <c r="B39" s="25" t="s">
        <v>168</v>
      </c>
      <c r="C39" s="25" t="s">
        <v>236</v>
      </c>
      <c r="D39" s="25" t="s">
        <v>231</v>
      </c>
      <c r="E39" s="26" t="s">
        <v>103</v>
      </c>
      <c r="F39" s="31" t="n">
        <v>1.41</v>
      </c>
      <c r="G39" s="29" t="s">
        <v>143</v>
      </c>
      <c r="H39" s="25" t="s">
        <v>104</v>
      </c>
      <c r="I39" s="25" t="s">
        <v>237</v>
      </c>
      <c r="J39" s="24" t="s">
        <v>106</v>
      </c>
      <c r="K39" s="26" t="s">
        <v>107</v>
      </c>
      <c r="L39" s="24" t="s">
        <v>108</v>
      </c>
      <c r="M39" s="25" t="s">
        <v>109</v>
      </c>
      <c r="N39" s="28" t="s">
        <v>110</v>
      </c>
      <c r="O39" s="24" t="s">
        <v>45</v>
      </c>
      <c r="P39" s="29" t="s">
        <v>111</v>
      </c>
      <c r="Q39" s="26"/>
    </row>
    <row r="40" customFormat="false" ht="43.5" hidden="false" customHeight="true" outlineLevel="0" collapsed="false">
      <c r="A40" s="24" t="s">
        <v>238</v>
      </c>
      <c r="B40" s="25" t="s">
        <v>168</v>
      </c>
      <c r="C40" s="25" t="s">
        <v>239</v>
      </c>
      <c r="D40" s="25" t="s">
        <v>231</v>
      </c>
      <c r="E40" s="26" t="s">
        <v>135</v>
      </c>
      <c r="F40" s="31" t="n">
        <v>1.29</v>
      </c>
      <c r="G40" s="29" t="s">
        <v>143</v>
      </c>
      <c r="H40" s="25" t="s">
        <v>136</v>
      </c>
      <c r="I40" s="26" t="s">
        <v>240</v>
      </c>
      <c r="J40" s="24" t="s">
        <v>106</v>
      </c>
      <c r="K40" s="26" t="s">
        <v>107</v>
      </c>
      <c r="L40" s="24" t="s">
        <v>108</v>
      </c>
      <c r="M40" s="25" t="s">
        <v>109</v>
      </c>
      <c r="N40" s="28" t="s">
        <v>110</v>
      </c>
      <c r="O40" s="24" t="s">
        <v>45</v>
      </c>
      <c r="P40" s="29" t="s">
        <v>111</v>
      </c>
      <c r="Q40" s="26"/>
    </row>
    <row r="41" customFormat="false" ht="43.5" hidden="false" customHeight="true" outlineLevel="0" collapsed="false">
      <c r="A41" s="24" t="s">
        <v>241</v>
      </c>
      <c r="B41" s="25" t="s">
        <v>242</v>
      </c>
      <c r="C41" s="26" t="s">
        <v>243</v>
      </c>
      <c r="D41" s="25" t="s">
        <v>38</v>
      </c>
      <c r="E41" s="26" t="s">
        <v>103</v>
      </c>
      <c r="F41" s="30" t="n">
        <v>0.27</v>
      </c>
      <c r="G41" s="29" t="s">
        <v>17</v>
      </c>
      <c r="H41" s="25" t="s">
        <v>104</v>
      </c>
      <c r="I41" s="25" t="s">
        <v>244</v>
      </c>
      <c r="J41" s="24" t="s">
        <v>106</v>
      </c>
      <c r="K41" s="26" t="s">
        <v>107</v>
      </c>
      <c r="L41" s="24" t="s">
        <v>108</v>
      </c>
      <c r="M41" s="25" t="s">
        <v>109</v>
      </c>
      <c r="N41" s="28" t="s">
        <v>110</v>
      </c>
      <c r="O41" s="24" t="s">
        <v>45</v>
      </c>
      <c r="P41" s="29" t="s">
        <v>111</v>
      </c>
      <c r="Q41" s="26"/>
    </row>
    <row r="42" customFormat="false" ht="43.5" hidden="false" customHeight="true" outlineLevel="0" collapsed="false">
      <c r="A42" s="24" t="s">
        <v>245</v>
      </c>
      <c r="B42" s="25" t="s">
        <v>242</v>
      </c>
      <c r="C42" s="26" t="s">
        <v>243</v>
      </c>
      <c r="D42" s="25" t="s">
        <v>37</v>
      </c>
      <c r="E42" s="26" t="s">
        <v>103</v>
      </c>
      <c r="F42" s="30" t="n">
        <v>0.26</v>
      </c>
      <c r="G42" s="29" t="s">
        <v>17</v>
      </c>
      <c r="H42" s="25" t="s">
        <v>104</v>
      </c>
      <c r="I42" s="25" t="s">
        <v>244</v>
      </c>
      <c r="J42" s="24" t="s">
        <v>106</v>
      </c>
      <c r="K42" s="26" t="s">
        <v>107</v>
      </c>
      <c r="L42" s="24" t="s">
        <v>108</v>
      </c>
      <c r="M42" s="25" t="s">
        <v>109</v>
      </c>
      <c r="N42" s="28" t="s">
        <v>110</v>
      </c>
      <c r="O42" s="24" t="s">
        <v>45</v>
      </c>
      <c r="P42" s="29" t="s">
        <v>111</v>
      </c>
      <c r="Q42" s="26"/>
    </row>
    <row r="43" customFormat="false" ht="43.5" hidden="false" customHeight="true" outlineLevel="0" collapsed="false">
      <c r="A43" s="24" t="s">
        <v>246</v>
      </c>
      <c r="B43" s="25" t="s">
        <v>242</v>
      </c>
      <c r="C43" s="26" t="s">
        <v>243</v>
      </c>
      <c r="D43" s="25" t="s">
        <v>35</v>
      </c>
      <c r="E43" s="26" t="s">
        <v>103</v>
      </c>
      <c r="F43" s="30" t="n">
        <v>0.3</v>
      </c>
      <c r="G43" s="29" t="s">
        <v>17</v>
      </c>
      <c r="H43" s="25" t="s">
        <v>104</v>
      </c>
      <c r="I43" s="25" t="s">
        <v>244</v>
      </c>
      <c r="J43" s="24" t="s">
        <v>106</v>
      </c>
      <c r="K43" s="26" t="s">
        <v>107</v>
      </c>
      <c r="L43" s="24" t="s">
        <v>108</v>
      </c>
      <c r="M43" s="25" t="s">
        <v>109</v>
      </c>
      <c r="N43" s="28" t="s">
        <v>110</v>
      </c>
      <c r="O43" s="24" t="s">
        <v>45</v>
      </c>
      <c r="P43" s="29" t="s">
        <v>111</v>
      </c>
      <c r="Q43" s="26"/>
    </row>
    <row r="44" customFormat="false" ht="43.5" hidden="false" customHeight="true" outlineLevel="0" collapsed="false">
      <c r="A44" s="24" t="s">
        <v>247</v>
      </c>
      <c r="B44" s="25" t="s">
        <v>242</v>
      </c>
      <c r="C44" s="26" t="s">
        <v>243</v>
      </c>
      <c r="D44" s="25" t="s">
        <v>39</v>
      </c>
      <c r="E44" s="26" t="s">
        <v>103</v>
      </c>
      <c r="F44" s="30" t="n">
        <v>0.15</v>
      </c>
      <c r="G44" s="29" t="s">
        <v>17</v>
      </c>
      <c r="H44" s="25" t="s">
        <v>104</v>
      </c>
      <c r="I44" s="25" t="s">
        <v>244</v>
      </c>
      <c r="J44" s="24" t="s">
        <v>106</v>
      </c>
      <c r="K44" s="26" t="s">
        <v>107</v>
      </c>
      <c r="L44" s="24" t="s">
        <v>108</v>
      </c>
      <c r="M44" s="25" t="s">
        <v>109</v>
      </c>
      <c r="N44" s="28" t="s">
        <v>110</v>
      </c>
      <c r="O44" s="24" t="s">
        <v>45</v>
      </c>
      <c r="P44" s="29" t="s">
        <v>111</v>
      </c>
      <c r="Q44" s="26"/>
    </row>
    <row r="45" customFormat="false" ht="43.5" hidden="false" customHeight="true" outlineLevel="0" collapsed="false">
      <c r="A45" s="24" t="s">
        <v>248</v>
      </c>
      <c r="B45" s="25" t="s">
        <v>242</v>
      </c>
      <c r="C45" s="26" t="s">
        <v>249</v>
      </c>
      <c r="D45" s="25" t="s">
        <v>250</v>
      </c>
      <c r="E45" s="26" t="s">
        <v>103</v>
      </c>
      <c r="F45" s="33" t="n">
        <f aca="false">1-SUM(F41,F42,F43,F44)</f>
        <v>0.02</v>
      </c>
      <c r="G45" s="29" t="s">
        <v>17</v>
      </c>
      <c r="H45" s="25" t="s">
        <v>251</v>
      </c>
      <c r="I45" s="26" t="s">
        <v>252</v>
      </c>
      <c r="J45" s="24" t="s">
        <v>106</v>
      </c>
      <c r="K45" s="26" t="s">
        <v>107</v>
      </c>
      <c r="L45" s="24" t="s">
        <v>108</v>
      </c>
      <c r="M45" s="25" t="s">
        <v>109</v>
      </c>
      <c r="N45" s="28" t="s">
        <v>110</v>
      </c>
      <c r="O45" s="24" t="s">
        <v>45</v>
      </c>
      <c r="P45" s="29" t="s">
        <v>111</v>
      </c>
      <c r="Q45" s="26" t="s">
        <v>253</v>
      </c>
    </row>
    <row r="46" customFormat="false" ht="43.5" hidden="false" customHeight="true" outlineLevel="0" collapsed="false">
      <c r="A46" s="24" t="s">
        <v>254</v>
      </c>
      <c r="B46" s="25" t="s">
        <v>242</v>
      </c>
      <c r="C46" s="25" t="s">
        <v>255</v>
      </c>
      <c r="D46" s="25" t="s">
        <v>102</v>
      </c>
      <c r="E46" s="26" t="s">
        <v>158</v>
      </c>
      <c r="F46" s="30" t="n">
        <v>0.5</v>
      </c>
      <c r="G46" s="29" t="s">
        <v>17</v>
      </c>
      <c r="H46" s="25" t="s">
        <v>136</v>
      </c>
      <c r="I46" s="25" t="s">
        <v>256</v>
      </c>
      <c r="J46" s="24" t="s">
        <v>106</v>
      </c>
      <c r="K46" s="26" t="s">
        <v>107</v>
      </c>
      <c r="L46" s="24" t="s">
        <v>108</v>
      </c>
      <c r="M46" s="25" t="s">
        <v>109</v>
      </c>
      <c r="N46" s="28" t="s">
        <v>110</v>
      </c>
      <c r="O46" s="24" t="s">
        <v>45</v>
      </c>
      <c r="P46" s="29" t="s">
        <v>257</v>
      </c>
      <c r="Q46" s="26"/>
    </row>
    <row r="47" customFormat="false" ht="43.5" hidden="false" customHeight="true" outlineLevel="0" collapsed="false">
      <c r="A47" s="24" t="s">
        <v>258</v>
      </c>
      <c r="B47" s="25" t="s">
        <v>242</v>
      </c>
      <c r="C47" s="25" t="s">
        <v>259</v>
      </c>
      <c r="D47" s="25" t="s">
        <v>102</v>
      </c>
      <c r="E47" s="26" t="s">
        <v>158</v>
      </c>
      <c r="F47" s="30" t="n">
        <v>0.4</v>
      </c>
      <c r="G47" s="29" t="s">
        <v>17</v>
      </c>
      <c r="H47" s="25" t="s">
        <v>136</v>
      </c>
      <c r="I47" s="25" t="s">
        <v>260</v>
      </c>
      <c r="J47" s="24" t="s">
        <v>106</v>
      </c>
      <c r="K47" s="26" t="s">
        <v>107</v>
      </c>
      <c r="L47" s="24" t="s">
        <v>108</v>
      </c>
      <c r="M47" s="25" t="s">
        <v>109</v>
      </c>
      <c r="N47" s="28" t="s">
        <v>110</v>
      </c>
      <c r="O47" s="24" t="s">
        <v>45</v>
      </c>
      <c r="P47" s="29" t="s">
        <v>182</v>
      </c>
      <c r="Q47" s="26"/>
    </row>
    <row r="48" customFormat="false" ht="43.5" hidden="false" customHeight="true" outlineLevel="0" collapsed="false">
      <c r="A48" s="24" t="s">
        <v>261</v>
      </c>
      <c r="B48" s="25" t="s">
        <v>242</v>
      </c>
      <c r="C48" s="25" t="s">
        <v>262</v>
      </c>
      <c r="D48" s="25" t="s">
        <v>150</v>
      </c>
      <c r="E48" s="26" t="s">
        <v>158</v>
      </c>
      <c r="F48" s="27" t="n">
        <v>130</v>
      </c>
      <c r="G48" s="24" t="s">
        <v>10</v>
      </c>
      <c r="H48" s="25" t="s">
        <v>136</v>
      </c>
      <c r="I48" s="26" t="s">
        <v>263</v>
      </c>
      <c r="J48" s="24" t="s">
        <v>106</v>
      </c>
      <c r="K48" s="26" t="s">
        <v>107</v>
      </c>
      <c r="L48" s="24" t="s">
        <v>108</v>
      </c>
      <c r="M48" s="25" t="s">
        <v>109</v>
      </c>
      <c r="N48" s="28" t="s">
        <v>110</v>
      </c>
      <c r="O48" s="24" t="s">
        <v>45</v>
      </c>
      <c r="P48" s="29" t="s">
        <v>182</v>
      </c>
      <c r="Q48" s="26"/>
    </row>
    <row r="49" customFormat="false" ht="43.5" hidden="false" customHeight="true" outlineLevel="0" collapsed="false">
      <c r="A49" s="24" t="s">
        <v>264</v>
      </c>
      <c r="B49" s="25" t="s">
        <v>242</v>
      </c>
      <c r="C49" s="25" t="s">
        <v>265</v>
      </c>
      <c r="D49" s="25" t="s">
        <v>150</v>
      </c>
      <c r="E49" s="26" t="s">
        <v>158</v>
      </c>
      <c r="F49" s="27" t="n">
        <v>110</v>
      </c>
      <c r="G49" s="24" t="s">
        <v>10</v>
      </c>
      <c r="H49" s="25" t="s">
        <v>136</v>
      </c>
      <c r="I49" s="26" t="s">
        <v>240</v>
      </c>
      <c r="J49" s="24" t="s">
        <v>106</v>
      </c>
      <c r="K49" s="26" t="s">
        <v>107</v>
      </c>
      <c r="L49" s="24" t="s">
        <v>108</v>
      </c>
      <c r="M49" s="25" t="s">
        <v>109</v>
      </c>
      <c r="N49" s="28" t="s">
        <v>110</v>
      </c>
      <c r="O49" s="24" t="s">
        <v>45</v>
      </c>
      <c r="P49" s="29" t="s">
        <v>111</v>
      </c>
      <c r="Q49" s="26"/>
    </row>
    <row r="50" customFormat="false" ht="43.5" hidden="false" customHeight="true" outlineLevel="0" collapsed="false">
      <c r="A50" s="24" t="s">
        <v>266</v>
      </c>
      <c r="B50" s="25" t="s">
        <v>242</v>
      </c>
      <c r="C50" s="25" t="s">
        <v>267</v>
      </c>
      <c r="D50" s="25" t="s">
        <v>102</v>
      </c>
      <c r="E50" s="26" t="s">
        <v>135</v>
      </c>
      <c r="F50" s="27" t="n">
        <v>320</v>
      </c>
      <c r="G50" s="24" t="s">
        <v>268</v>
      </c>
      <c r="H50" s="25" t="s">
        <v>136</v>
      </c>
      <c r="I50" s="26" t="s">
        <v>269</v>
      </c>
      <c r="J50" s="24" t="s">
        <v>106</v>
      </c>
      <c r="K50" s="26" t="s">
        <v>107</v>
      </c>
      <c r="L50" s="24" t="s">
        <v>108</v>
      </c>
      <c r="M50" s="25" t="s">
        <v>109</v>
      </c>
      <c r="N50" s="28" t="s">
        <v>110</v>
      </c>
      <c r="O50" s="24" t="s">
        <v>45</v>
      </c>
      <c r="P50" s="29" t="s">
        <v>111</v>
      </c>
      <c r="Q50" s="26"/>
    </row>
    <row r="51" customFormat="false" ht="43.5" hidden="false" customHeight="true" outlineLevel="0" collapsed="false">
      <c r="A51" s="24" t="s">
        <v>270</v>
      </c>
      <c r="B51" s="25" t="s">
        <v>271</v>
      </c>
      <c r="C51" s="25" t="s">
        <v>272</v>
      </c>
      <c r="D51" s="25" t="s">
        <v>273</v>
      </c>
      <c r="E51" s="26" t="s">
        <v>274</v>
      </c>
      <c r="F51" s="27" t="n">
        <v>60</v>
      </c>
      <c r="G51" s="24" t="s">
        <v>275</v>
      </c>
      <c r="H51" s="25" t="s">
        <v>104</v>
      </c>
      <c r="I51" s="25" t="s">
        <v>276</v>
      </c>
      <c r="J51" s="24" t="s">
        <v>106</v>
      </c>
      <c r="K51" s="26" t="s">
        <v>107</v>
      </c>
      <c r="L51" s="24" t="s">
        <v>108</v>
      </c>
      <c r="M51" s="25" t="s">
        <v>277</v>
      </c>
      <c r="N51" s="28" t="s">
        <v>110</v>
      </c>
      <c r="O51" s="24" t="s">
        <v>45</v>
      </c>
      <c r="P51" s="29" t="s">
        <v>111</v>
      </c>
      <c r="Q51" s="26"/>
    </row>
    <row r="52" customFormat="false" ht="43.5" hidden="false" customHeight="true" outlineLevel="0" collapsed="false">
      <c r="A52" s="24" t="s">
        <v>278</v>
      </c>
      <c r="B52" s="25" t="s">
        <v>271</v>
      </c>
      <c r="C52" s="25" t="s">
        <v>279</v>
      </c>
      <c r="D52" s="25" t="s">
        <v>273</v>
      </c>
      <c r="E52" s="26" t="s">
        <v>274</v>
      </c>
      <c r="F52" s="32" t="n">
        <v>1</v>
      </c>
      <c r="G52" s="29" t="s">
        <v>221</v>
      </c>
      <c r="H52" s="25" t="s">
        <v>104</v>
      </c>
      <c r="I52" s="25" t="s">
        <v>280</v>
      </c>
      <c r="J52" s="24" t="s">
        <v>106</v>
      </c>
      <c r="K52" s="26" t="s">
        <v>107</v>
      </c>
      <c r="L52" s="24" t="s">
        <v>108</v>
      </c>
      <c r="M52" s="25" t="s">
        <v>281</v>
      </c>
      <c r="N52" s="28" t="s">
        <v>110</v>
      </c>
      <c r="O52" s="24" t="s">
        <v>45</v>
      </c>
      <c r="P52" s="29" t="s">
        <v>111</v>
      </c>
      <c r="Q52" s="26"/>
    </row>
    <row r="53" customFormat="false" ht="43.5" hidden="false" customHeight="true" outlineLevel="0" collapsed="false">
      <c r="A53" s="24" t="s">
        <v>282</v>
      </c>
      <c r="B53" s="25" t="s">
        <v>271</v>
      </c>
      <c r="C53" s="25" t="s">
        <v>283</v>
      </c>
      <c r="D53" s="25" t="s">
        <v>273</v>
      </c>
      <c r="E53" s="26" t="s">
        <v>274</v>
      </c>
      <c r="F53" s="32" t="n">
        <v>4</v>
      </c>
      <c r="G53" s="29" t="s">
        <v>221</v>
      </c>
      <c r="H53" s="25" t="s">
        <v>104</v>
      </c>
      <c r="I53" s="25" t="s">
        <v>280</v>
      </c>
      <c r="J53" s="24" t="s">
        <v>106</v>
      </c>
      <c r="K53" s="26" t="s">
        <v>107</v>
      </c>
      <c r="L53" s="24" t="s">
        <v>108</v>
      </c>
      <c r="M53" s="25" t="s">
        <v>281</v>
      </c>
      <c r="N53" s="28" t="s">
        <v>110</v>
      </c>
      <c r="O53" s="24" t="s">
        <v>45</v>
      </c>
      <c r="P53" s="29" t="s">
        <v>111</v>
      </c>
      <c r="Q53" s="26"/>
    </row>
    <row r="54" customFormat="false" ht="43.5" hidden="false" customHeight="true" outlineLevel="0" collapsed="false">
      <c r="A54" s="24" t="s">
        <v>284</v>
      </c>
      <c r="B54" s="25" t="s">
        <v>271</v>
      </c>
      <c r="C54" s="25" t="s">
        <v>272</v>
      </c>
      <c r="D54" s="25" t="s">
        <v>285</v>
      </c>
      <c r="E54" s="26" t="s">
        <v>274</v>
      </c>
      <c r="F54" s="27" t="n">
        <v>50</v>
      </c>
      <c r="G54" s="24" t="s">
        <v>275</v>
      </c>
      <c r="H54" s="25" t="s">
        <v>104</v>
      </c>
      <c r="I54" s="25" t="s">
        <v>276</v>
      </c>
      <c r="J54" s="24" t="s">
        <v>106</v>
      </c>
      <c r="K54" s="26" t="s">
        <v>107</v>
      </c>
      <c r="L54" s="24" t="s">
        <v>108</v>
      </c>
      <c r="M54" s="25" t="s">
        <v>277</v>
      </c>
      <c r="N54" s="28" t="s">
        <v>110</v>
      </c>
      <c r="O54" s="24" t="s">
        <v>45</v>
      </c>
      <c r="P54" s="29" t="s">
        <v>111</v>
      </c>
      <c r="Q54" s="26"/>
    </row>
    <row r="55" customFormat="false" ht="43.5" hidden="false" customHeight="true" outlineLevel="0" collapsed="false">
      <c r="A55" s="24" t="s">
        <v>286</v>
      </c>
      <c r="B55" s="25" t="s">
        <v>271</v>
      </c>
      <c r="C55" s="25" t="s">
        <v>279</v>
      </c>
      <c r="D55" s="25" t="s">
        <v>285</v>
      </c>
      <c r="E55" s="26" t="s">
        <v>274</v>
      </c>
      <c r="F55" s="32" t="n">
        <v>2</v>
      </c>
      <c r="G55" s="29" t="s">
        <v>221</v>
      </c>
      <c r="H55" s="25" t="s">
        <v>104</v>
      </c>
      <c r="I55" s="25" t="s">
        <v>280</v>
      </c>
      <c r="J55" s="24" t="s">
        <v>106</v>
      </c>
      <c r="K55" s="26" t="s">
        <v>107</v>
      </c>
      <c r="L55" s="24" t="s">
        <v>108</v>
      </c>
      <c r="M55" s="25" t="s">
        <v>281</v>
      </c>
      <c r="N55" s="28" t="s">
        <v>110</v>
      </c>
      <c r="O55" s="24" t="s">
        <v>45</v>
      </c>
      <c r="P55" s="29" t="s">
        <v>111</v>
      </c>
      <c r="Q55" s="26"/>
    </row>
    <row r="56" customFormat="false" ht="43.5" hidden="false" customHeight="true" outlineLevel="0" collapsed="false">
      <c r="A56" s="24" t="s">
        <v>287</v>
      </c>
      <c r="B56" s="25" t="s">
        <v>271</v>
      </c>
      <c r="C56" s="25" t="s">
        <v>283</v>
      </c>
      <c r="D56" s="25" t="s">
        <v>285</v>
      </c>
      <c r="E56" s="26" t="s">
        <v>274</v>
      </c>
      <c r="F56" s="32" t="n">
        <v>5</v>
      </c>
      <c r="G56" s="29" t="s">
        <v>221</v>
      </c>
      <c r="H56" s="25" t="s">
        <v>104</v>
      </c>
      <c r="I56" s="25" t="s">
        <v>280</v>
      </c>
      <c r="J56" s="24" t="s">
        <v>106</v>
      </c>
      <c r="K56" s="26" t="s">
        <v>107</v>
      </c>
      <c r="L56" s="24" t="s">
        <v>108</v>
      </c>
      <c r="M56" s="25" t="s">
        <v>281</v>
      </c>
      <c r="N56" s="28" t="s">
        <v>110</v>
      </c>
      <c r="O56" s="24" t="s">
        <v>45</v>
      </c>
      <c r="P56" s="29" t="s">
        <v>111</v>
      </c>
      <c r="Q56" s="26"/>
    </row>
    <row r="57" customFormat="false" ht="43.5" hidden="false" customHeight="true" outlineLevel="0" collapsed="false">
      <c r="A57" s="24" t="s">
        <v>288</v>
      </c>
      <c r="B57" s="25" t="s">
        <v>271</v>
      </c>
      <c r="C57" s="25" t="s">
        <v>272</v>
      </c>
      <c r="D57" s="25" t="s">
        <v>289</v>
      </c>
      <c r="E57" s="26" t="s">
        <v>274</v>
      </c>
      <c r="F57" s="27" t="n">
        <v>110</v>
      </c>
      <c r="G57" s="24" t="s">
        <v>275</v>
      </c>
      <c r="H57" s="25" t="s">
        <v>104</v>
      </c>
      <c r="I57" s="25" t="s">
        <v>276</v>
      </c>
      <c r="J57" s="24" t="s">
        <v>106</v>
      </c>
      <c r="K57" s="26" t="s">
        <v>107</v>
      </c>
      <c r="L57" s="24" t="s">
        <v>108</v>
      </c>
      <c r="M57" s="25" t="s">
        <v>277</v>
      </c>
      <c r="N57" s="28" t="s">
        <v>110</v>
      </c>
      <c r="O57" s="24" t="s">
        <v>45</v>
      </c>
      <c r="P57" s="29" t="s">
        <v>111</v>
      </c>
      <c r="Q57" s="26"/>
    </row>
    <row r="58" customFormat="false" ht="43.5" hidden="false" customHeight="true" outlineLevel="0" collapsed="false">
      <c r="A58" s="24" t="s">
        <v>290</v>
      </c>
      <c r="B58" s="25" t="s">
        <v>271</v>
      </c>
      <c r="C58" s="25" t="s">
        <v>279</v>
      </c>
      <c r="D58" s="25" t="s">
        <v>289</v>
      </c>
      <c r="E58" s="26" t="s">
        <v>274</v>
      </c>
      <c r="F58" s="32" t="n">
        <v>3</v>
      </c>
      <c r="G58" s="29" t="s">
        <v>221</v>
      </c>
      <c r="H58" s="25" t="s">
        <v>104</v>
      </c>
      <c r="I58" s="25" t="s">
        <v>280</v>
      </c>
      <c r="J58" s="24" t="s">
        <v>106</v>
      </c>
      <c r="K58" s="26" t="s">
        <v>107</v>
      </c>
      <c r="L58" s="24" t="s">
        <v>108</v>
      </c>
      <c r="M58" s="25" t="s">
        <v>281</v>
      </c>
      <c r="N58" s="28" t="s">
        <v>110</v>
      </c>
      <c r="O58" s="24" t="s">
        <v>45</v>
      </c>
      <c r="P58" s="29" t="s">
        <v>111</v>
      </c>
      <c r="Q58" s="26"/>
    </row>
    <row r="59" customFormat="false" ht="43.5" hidden="false" customHeight="true" outlineLevel="0" collapsed="false">
      <c r="A59" s="24" t="s">
        <v>291</v>
      </c>
      <c r="B59" s="25" t="s">
        <v>271</v>
      </c>
      <c r="C59" s="25" t="s">
        <v>283</v>
      </c>
      <c r="D59" s="25" t="s">
        <v>289</v>
      </c>
      <c r="E59" s="26" t="s">
        <v>274</v>
      </c>
      <c r="F59" s="32" t="n">
        <v>7</v>
      </c>
      <c r="G59" s="29" t="s">
        <v>221</v>
      </c>
      <c r="H59" s="25" t="s">
        <v>104</v>
      </c>
      <c r="I59" s="25" t="s">
        <v>280</v>
      </c>
      <c r="J59" s="24" t="s">
        <v>106</v>
      </c>
      <c r="K59" s="26" t="s">
        <v>107</v>
      </c>
      <c r="L59" s="24" t="s">
        <v>108</v>
      </c>
      <c r="M59" s="25" t="s">
        <v>281</v>
      </c>
      <c r="N59" s="28" t="s">
        <v>110</v>
      </c>
      <c r="O59" s="24" t="s">
        <v>45</v>
      </c>
      <c r="P59" s="29" t="s">
        <v>111</v>
      </c>
      <c r="Q59" s="26"/>
    </row>
    <row r="60" customFormat="false" ht="43.5" hidden="false" customHeight="true" outlineLevel="0" collapsed="false">
      <c r="A60" s="24" t="s">
        <v>292</v>
      </c>
      <c r="B60" s="25" t="s">
        <v>271</v>
      </c>
      <c r="C60" s="25" t="s">
        <v>272</v>
      </c>
      <c r="D60" s="25" t="s">
        <v>293</v>
      </c>
      <c r="E60" s="26" t="s">
        <v>274</v>
      </c>
      <c r="F60" s="27" t="n">
        <v>80</v>
      </c>
      <c r="G60" s="24" t="s">
        <v>275</v>
      </c>
      <c r="H60" s="25" t="s">
        <v>104</v>
      </c>
      <c r="I60" s="25" t="s">
        <v>276</v>
      </c>
      <c r="J60" s="24" t="s">
        <v>106</v>
      </c>
      <c r="K60" s="26" t="s">
        <v>107</v>
      </c>
      <c r="L60" s="24" t="s">
        <v>108</v>
      </c>
      <c r="M60" s="25" t="s">
        <v>277</v>
      </c>
      <c r="N60" s="28" t="s">
        <v>110</v>
      </c>
      <c r="O60" s="24" t="s">
        <v>45</v>
      </c>
      <c r="P60" s="29" t="s">
        <v>111</v>
      </c>
      <c r="Q60" s="26"/>
    </row>
    <row r="61" customFormat="false" ht="43.5" hidden="false" customHeight="true" outlineLevel="0" collapsed="false">
      <c r="A61" s="24" t="s">
        <v>294</v>
      </c>
      <c r="B61" s="25" t="s">
        <v>271</v>
      </c>
      <c r="C61" s="25" t="s">
        <v>279</v>
      </c>
      <c r="D61" s="25" t="s">
        <v>293</v>
      </c>
      <c r="E61" s="26" t="s">
        <v>274</v>
      </c>
      <c r="F61" s="32" t="n">
        <v>5</v>
      </c>
      <c r="G61" s="29" t="s">
        <v>221</v>
      </c>
      <c r="H61" s="25" t="s">
        <v>104</v>
      </c>
      <c r="I61" s="25" t="s">
        <v>280</v>
      </c>
      <c r="J61" s="24" t="s">
        <v>106</v>
      </c>
      <c r="K61" s="26" t="s">
        <v>107</v>
      </c>
      <c r="L61" s="24" t="s">
        <v>108</v>
      </c>
      <c r="M61" s="25" t="s">
        <v>281</v>
      </c>
      <c r="N61" s="28" t="s">
        <v>110</v>
      </c>
      <c r="O61" s="24" t="s">
        <v>45</v>
      </c>
      <c r="P61" s="29" t="s">
        <v>111</v>
      </c>
      <c r="Q61" s="26"/>
    </row>
    <row r="62" customFormat="false" ht="43.5" hidden="false" customHeight="true" outlineLevel="0" collapsed="false">
      <c r="A62" s="24" t="s">
        <v>295</v>
      </c>
      <c r="B62" s="25" t="s">
        <v>271</v>
      </c>
      <c r="C62" s="25" t="s">
        <v>283</v>
      </c>
      <c r="D62" s="25" t="s">
        <v>293</v>
      </c>
      <c r="E62" s="26" t="s">
        <v>274</v>
      </c>
      <c r="F62" s="32" t="n">
        <v>15</v>
      </c>
      <c r="G62" s="29" t="s">
        <v>221</v>
      </c>
      <c r="H62" s="25" t="s">
        <v>104</v>
      </c>
      <c r="I62" s="25" t="s">
        <v>280</v>
      </c>
      <c r="J62" s="24" t="s">
        <v>106</v>
      </c>
      <c r="K62" s="26" t="s">
        <v>107</v>
      </c>
      <c r="L62" s="24" t="s">
        <v>108</v>
      </c>
      <c r="M62" s="25" t="s">
        <v>281</v>
      </c>
      <c r="N62" s="28" t="s">
        <v>110</v>
      </c>
      <c r="O62" s="24" t="s">
        <v>45</v>
      </c>
      <c r="P62" s="29" t="s">
        <v>111</v>
      </c>
      <c r="Q62" s="26"/>
    </row>
    <row r="63" customFormat="false" ht="43.5" hidden="false" customHeight="true" outlineLevel="0" collapsed="false">
      <c r="A63" s="24" t="s">
        <v>296</v>
      </c>
      <c r="B63" s="25" t="s">
        <v>271</v>
      </c>
      <c r="C63" s="25" t="s">
        <v>272</v>
      </c>
      <c r="D63" s="25" t="s">
        <v>297</v>
      </c>
      <c r="E63" s="26" t="s">
        <v>274</v>
      </c>
      <c r="F63" s="27" t="n">
        <v>80</v>
      </c>
      <c r="G63" s="24" t="s">
        <v>275</v>
      </c>
      <c r="H63" s="25" t="s">
        <v>104</v>
      </c>
      <c r="I63" s="25" t="s">
        <v>276</v>
      </c>
      <c r="J63" s="24" t="s">
        <v>106</v>
      </c>
      <c r="K63" s="26" t="s">
        <v>107</v>
      </c>
      <c r="L63" s="24" t="s">
        <v>108</v>
      </c>
      <c r="M63" s="25" t="s">
        <v>277</v>
      </c>
      <c r="N63" s="28" t="s">
        <v>110</v>
      </c>
      <c r="O63" s="24" t="s">
        <v>45</v>
      </c>
      <c r="P63" s="29" t="s">
        <v>111</v>
      </c>
      <c r="Q63" s="26"/>
    </row>
    <row r="64" customFormat="false" ht="43.5" hidden="false" customHeight="true" outlineLevel="0" collapsed="false">
      <c r="A64" s="24" t="s">
        <v>298</v>
      </c>
      <c r="B64" s="25" t="s">
        <v>271</v>
      </c>
      <c r="C64" s="25" t="s">
        <v>279</v>
      </c>
      <c r="D64" s="25" t="s">
        <v>297</v>
      </c>
      <c r="E64" s="26" t="s">
        <v>274</v>
      </c>
      <c r="F64" s="32" t="n">
        <v>3</v>
      </c>
      <c r="G64" s="29" t="s">
        <v>221</v>
      </c>
      <c r="H64" s="25" t="s">
        <v>104</v>
      </c>
      <c r="I64" s="25" t="s">
        <v>280</v>
      </c>
      <c r="J64" s="24" t="s">
        <v>106</v>
      </c>
      <c r="K64" s="26" t="s">
        <v>107</v>
      </c>
      <c r="L64" s="24" t="s">
        <v>108</v>
      </c>
      <c r="M64" s="25" t="s">
        <v>281</v>
      </c>
      <c r="N64" s="28" t="s">
        <v>110</v>
      </c>
      <c r="O64" s="24" t="s">
        <v>45</v>
      </c>
      <c r="P64" s="29" t="s">
        <v>111</v>
      </c>
      <c r="Q64" s="26"/>
    </row>
    <row r="65" customFormat="false" ht="43.5" hidden="false" customHeight="true" outlineLevel="0" collapsed="false">
      <c r="A65" s="24" t="s">
        <v>299</v>
      </c>
      <c r="B65" s="25" t="s">
        <v>271</v>
      </c>
      <c r="C65" s="25" t="s">
        <v>283</v>
      </c>
      <c r="D65" s="25" t="s">
        <v>297</v>
      </c>
      <c r="E65" s="26" t="s">
        <v>274</v>
      </c>
      <c r="F65" s="32" t="n">
        <v>8</v>
      </c>
      <c r="G65" s="29" t="s">
        <v>221</v>
      </c>
      <c r="H65" s="25" t="s">
        <v>104</v>
      </c>
      <c r="I65" s="25" t="s">
        <v>280</v>
      </c>
      <c r="J65" s="24" t="s">
        <v>106</v>
      </c>
      <c r="K65" s="26" t="s">
        <v>107</v>
      </c>
      <c r="L65" s="24" t="s">
        <v>108</v>
      </c>
      <c r="M65" s="25" t="s">
        <v>281</v>
      </c>
      <c r="N65" s="28" t="s">
        <v>110</v>
      </c>
      <c r="O65" s="24" t="s">
        <v>45</v>
      </c>
      <c r="P65" s="29" t="s">
        <v>111</v>
      </c>
      <c r="Q65" s="26"/>
    </row>
    <row r="66" customFormat="false" ht="43.5" hidden="false" customHeight="true" outlineLevel="0" collapsed="false">
      <c r="A66" s="24" t="s">
        <v>300</v>
      </c>
      <c r="B66" s="25" t="s">
        <v>271</v>
      </c>
      <c r="C66" s="25" t="s">
        <v>272</v>
      </c>
      <c r="D66" s="25" t="s">
        <v>301</v>
      </c>
      <c r="E66" s="26" t="s">
        <v>274</v>
      </c>
      <c r="F66" s="27" t="n">
        <v>90</v>
      </c>
      <c r="G66" s="24" t="s">
        <v>275</v>
      </c>
      <c r="H66" s="25" t="s">
        <v>104</v>
      </c>
      <c r="I66" s="25" t="s">
        <v>276</v>
      </c>
      <c r="J66" s="24" t="s">
        <v>106</v>
      </c>
      <c r="K66" s="26" t="s">
        <v>107</v>
      </c>
      <c r="L66" s="24" t="s">
        <v>108</v>
      </c>
      <c r="M66" s="25" t="s">
        <v>277</v>
      </c>
      <c r="N66" s="28" t="s">
        <v>110</v>
      </c>
      <c r="O66" s="24" t="s">
        <v>45</v>
      </c>
      <c r="P66" s="29" t="s">
        <v>111</v>
      </c>
      <c r="Q66" s="26"/>
    </row>
    <row r="67" customFormat="false" ht="43.5" hidden="false" customHeight="true" outlineLevel="0" collapsed="false">
      <c r="A67" s="24" t="s">
        <v>302</v>
      </c>
      <c r="B67" s="25" t="s">
        <v>271</v>
      </c>
      <c r="C67" s="25" t="s">
        <v>279</v>
      </c>
      <c r="D67" s="25" t="s">
        <v>301</v>
      </c>
      <c r="E67" s="26" t="s">
        <v>274</v>
      </c>
      <c r="F67" s="32" t="n">
        <v>5</v>
      </c>
      <c r="G67" s="29" t="s">
        <v>221</v>
      </c>
      <c r="H67" s="25" t="s">
        <v>104</v>
      </c>
      <c r="I67" s="25" t="s">
        <v>280</v>
      </c>
      <c r="J67" s="24" t="s">
        <v>106</v>
      </c>
      <c r="K67" s="26" t="s">
        <v>107</v>
      </c>
      <c r="L67" s="24" t="s">
        <v>108</v>
      </c>
      <c r="M67" s="25" t="s">
        <v>281</v>
      </c>
      <c r="N67" s="28" t="s">
        <v>110</v>
      </c>
      <c r="O67" s="24" t="s">
        <v>45</v>
      </c>
      <c r="P67" s="29" t="s">
        <v>111</v>
      </c>
      <c r="Q67" s="26"/>
    </row>
    <row r="68" customFormat="false" ht="43.5" hidden="false" customHeight="true" outlineLevel="0" collapsed="false">
      <c r="A68" s="24" t="s">
        <v>303</v>
      </c>
      <c r="B68" s="25" t="s">
        <v>271</v>
      </c>
      <c r="C68" s="25" t="s">
        <v>283</v>
      </c>
      <c r="D68" s="25" t="s">
        <v>301</v>
      </c>
      <c r="E68" s="26" t="s">
        <v>274</v>
      </c>
      <c r="F68" s="32" t="n">
        <v>15</v>
      </c>
      <c r="G68" s="29" t="s">
        <v>221</v>
      </c>
      <c r="H68" s="25" t="s">
        <v>104</v>
      </c>
      <c r="I68" s="25" t="s">
        <v>280</v>
      </c>
      <c r="J68" s="24" t="s">
        <v>106</v>
      </c>
      <c r="K68" s="26" t="s">
        <v>107</v>
      </c>
      <c r="L68" s="24" t="s">
        <v>108</v>
      </c>
      <c r="M68" s="25" t="s">
        <v>281</v>
      </c>
      <c r="N68" s="28" t="s">
        <v>110</v>
      </c>
      <c r="O68" s="24" t="s">
        <v>45</v>
      </c>
      <c r="P68" s="29" t="s">
        <v>111</v>
      </c>
      <c r="Q68" s="26"/>
    </row>
    <row r="69" customFormat="false" ht="43.5" hidden="false" customHeight="true" outlineLevel="0" collapsed="false">
      <c r="A69" s="24" t="s">
        <v>304</v>
      </c>
      <c r="B69" s="25" t="s">
        <v>271</v>
      </c>
      <c r="C69" s="25" t="s">
        <v>272</v>
      </c>
      <c r="D69" s="25" t="s">
        <v>305</v>
      </c>
      <c r="E69" s="26" t="s">
        <v>274</v>
      </c>
      <c r="F69" s="27" t="n">
        <v>60</v>
      </c>
      <c r="G69" s="24" t="s">
        <v>275</v>
      </c>
      <c r="H69" s="25" t="s">
        <v>104</v>
      </c>
      <c r="I69" s="25" t="s">
        <v>276</v>
      </c>
      <c r="J69" s="24" t="s">
        <v>106</v>
      </c>
      <c r="K69" s="26" t="s">
        <v>107</v>
      </c>
      <c r="L69" s="24" t="s">
        <v>108</v>
      </c>
      <c r="M69" s="25" t="s">
        <v>277</v>
      </c>
      <c r="N69" s="28" t="s">
        <v>110</v>
      </c>
      <c r="O69" s="24" t="s">
        <v>45</v>
      </c>
      <c r="P69" s="29" t="s">
        <v>111</v>
      </c>
      <c r="Q69" s="26"/>
    </row>
    <row r="70" customFormat="false" ht="43.5" hidden="false" customHeight="true" outlineLevel="0" collapsed="false">
      <c r="A70" s="24" t="s">
        <v>306</v>
      </c>
      <c r="B70" s="25" t="s">
        <v>271</v>
      </c>
      <c r="C70" s="25" t="s">
        <v>279</v>
      </c>
      <c r="D70" s="25" t="s">
        <v>305</v>
      </c>
      <c r="E70" s="26" t="s">
        <v>274</v>
      </c>
      <c r="F70" s="32" t="n">
        <v>2</v>
      </c>
      <c r="G70" s="29" t="s">
        <v>221</v>
      </c>
      <c r="H70" s="25" t="s">
        <v>104</v>
      </c>
      <c r="I70" s="25" t="s">
        <v>280</v>
      </c>
      <c r="J70" s="24" t="s">
        <v>106</v>
      </c>
      <c r="K70" s="26" t="s">
        <v>107</v>
      </c>
      <c r="L70" s="24" t="s">
        <v>108</v>
      </c>
      <c r="M70" s="25" t="s">
        <v>281</v>
      </c>
      <c r="N70" s="28" t="s">
        <v>110</v>
      </c>
      <c r="O70" s="24" t="s">
        <v>45</v>
      </c>
      <c r="P70" s="29" t="s">
        <v>111</v>
      </c>
      <c r="Q70" s="26"/>
    </row>
    <row r="71" customFormat="false" ht="43.5" hidden="false" customHeight="true" outlineLevel="0" collapsed="false">
      <c r="A71" s="24" t="s">
        <v>307</v>
      </c>
      <c r="B71" s="25" t="s">
        <v>271</v>
      </c>
      <c r="C71" s="25" t="s">
        <v>283</v>
      </c>
      <c r="D71" s="25" t="s">
        <v>305</v>
      </c>
      <c r="E71" s="26" t="s">
        <v>274</v>
      </c>
      <c r="F71" s="32" t="n">
        <v>5</v>
      </c>
      <c r="G71" s="29" t="s">
        <v>221</v>
      </c>
      <c r="H71" s="25" t="s">
        <v>104</v>
      </c>
      <c r="I71" s="25" t="s">
        <v>280</v>
      </c>
      <c r="J71" s="24" t="s">
        <v>106</v>
      </c>
      <c r="K71" s="26" t="s">
        <v>107</v>
      </c>
      <c r="L71" s="24" t="s">
        <v>108</v>
      </c>
      <c r="M71" s="25" t="s">
        <v>281</v>
      </c>
      <c r="N71" s="28" t="s">
        <v>110</v>
      </c>
      <c r="O71" s="24" t="s">
        <v>45</v>
      </c>
      <c r="P71" s="29" t="s">
        <v>111</v>
      </c>
      <c r="Q71" s="26"/>
    </row>
    <row r="72" customFormat="false" ht="43.5" hidden="false" customHeight="true" outlineLevel="0" collapsed="false">
      <c r="A72" s="24" t="s">
        <v>308</v>
      </c>
      <c r="B72" s="25" t="s">
        <v>271</v>
      </c>
      <c r="C72" s="25" t="s">
        <v>272</v>
      </c>
      <c r="D72" s="25" t="s">
        <v>309</v>
      </c>
      <c r="E72" s="26" t="s">
        <v>274</v>
      </c>
      <c r="F72" s="27" t="n">
        <v>80</v>
      </c>
      <c r="G72" s="24" t="s">
        <v>275</v>
      </c>
      <c r="H72" s="25" t="s">
        <v>104</v>
      </c>
      <c r="I72" s="25" t="s">
        <v>276</v>
      </c>
      <c r="J72" s="24" t="s">
        <v>106</v>
      </c>
      <c r="K72" s="26" t="s">
        <v>107</v>
      </c>
      <c r="L72" s="24" t="s">
        <v>108</v>
      </c>
      <c r="M72" s="25" t="s">
        <v>277</v>
      </c>
      <c r="N72" s="28" t="s">
        <v>110</v>
      </c>
      <c r="O72" s="24" t="s">
        <v>45</v>
      </c>
      <c r="P72" s="29" t="s">
        <v>111</v>
      </c>
      <c r="Q72" s="26"/>
    </row>
    <row r="73" customFormat="false" ht="43.5" hidden="false" customHeight="true" outlineLevel="0" collapsed="false">
      <c r="A73" s="24" t="s">
        <v>310</v>
      </c>
      <c r="B73" s="25" t="s">
        <v>271</v>
      </c>
      <c r="C73" s="25" t="s">
        <v>279</v>
      </c>
      <c r="D73" s="25" t="s">
        <v>309</v>
      </c>
      <c r="E73" s="26" t="s">
        <v>274</v>
      </c>
      <c r="F73" s="32" t="n">
        <v>3</v>
      </c>
      <c r="G73" s="29" t="s">
        <v>221</v>
      </c>
      <c r="H73" s="25" t="s">
        <v>104</v>
      </c>
      <c r="I73" s="25" t="s">
        <v>280</v>
      </c>
      <c r="J73" s="24" t="s">
        <v>106</v>
      </c>
      <c r="K73" s="26" t="s">
        <v>107</v>
      </c>
      <c r="L73" s="24" t="s">
        <v>108</v>
      </c>
      <c r="M73" s="25" t="s">
        <v>281</v>
      </c>
      <c r="N73" s="28" t="s">
        <v>110</v>
      </c>
      <c r="O73" s="24" t="s">
        <v>45</v>
      </c>
      <c r="P73" s="29" t="s">
        <v>111</v>
      </c>
      <c r="Q73" s="26"/>
    </row>
    <row r="74" customFormat="false" ht="43.5" hidden="false" customHeight="true" outlineLevel="0" collapsed="false">
      <c r="A74" s="24" t="s">
        <v>311</v>
      </c>
      <c r="B74" s="25" t="s">
        <v>271</v>
      </c>
      <c r="C74" s="25" t="s">
        <v>283</v>
      </c>
      <c r="D74" s="25" t="s">
        <v>309</v>
      </c>
      <c r="E74" s="26" t="s">
        <v>274</v>
      </c>
      <c r="F74" s="32" t="n">
        <v>6</v>
      </c>
      <c r="G74" s="29" t="s">
        <v>221</v>
      </c>
      <c r="H74" s="25" t="s">
        <v>104</v>
      </c>
      <c r="I74" s="25" t="s">
        <v>280</v>
      </c>
      <c r="J74" s="24" t="s">
        <v>106</v>
      </c>
      <c r="K74" s="26" t="s">
        <v>107</v>
      </c>
      <c r="L74" s="24" t="s">
        <v>108</v>
      </c>
      <c r="M74" s="25" t="s">
        <v>281</v>
      </c>
      <c r="N74" s="28" t="s">
        <v>110</v>
      </c>
      <c r="O74" s="24" t="s">
        <v>45</v>
      </c>
      <c r="P74" s="29" t="s">
        <v>111</v>
      </c>
      <c r="Q74" s="26"/>
    </row>
    <row r="75" customFormat="false" ht="43.5" hidden="false" customHeight="true" outlineLevel="0" collapsed="false">
      <c r="A75" s="24" t="s">
        <v>312</v>
      </c>
      <c r="B75" s="25" t="s">
        <v>271</v>
      </c>
      <c r="C75" s="25" t="s">
        <v>272</v>
      </c>
      <c r="D75" s="25" t="s">
        <v>313</v>
      </c>
      <c r="E75" s="26" t="s">
        <v>274</v>
      </c>
      <c r="F75" s="27" t="n">
        <v>80</v>
      </c>
      <c r="G75" s="24" t="s">
        <v>275</v>
      </c>
      <c r="H75" s="25" t="s">
        <v>104</v>
      </c>
      <c r="I75" s="25" t="s">
        <v>276</v>
      </c>
      <c r="J75" s="24" t="s">
        <v>106</v>
      </c>
      <c r="K75" s="26" t="s">
        <v>107</v>
      </c>
      <c r="L75" s="24" t="s">
        <v>108</v>
      </c>
      <c r="M75" s="25" t="s">
        <v>277</v>
      </c>
      <c r="N75" s="28" t="s">
        <v>110</v>
      </c>
      <c r="O75" s="24" t="s">
        <v>45</v>
      </c>
      <c r="P75" s="29" t="s">
        <v>111</v>
      </c>
      <c r="Q75" s="26"/>
    </row>
    <row r="76" customFormat="false" ht="43.5" hidden="false" customHeight="true" outlineLevel="0" collapsed="false">
      <c r="A76" s="24" t="s">
        <v>314</v>
      </c>
      <c r="B76" s="25" t="s">
        <v>271</v>
      </c>
      <c r="C76" s="25" t="s">
        <v>279</v>
      </c>
      <c r="D76" s="25" t="s">
        <v>313</v>
      </c>
      <c r="E76" s="26" t="s">
        <v>274</v>
      </c>
      <c r="F76" s="32" t="n">
        <v>2</v>
      </c>
      <c r="G76" s="29" t="s">
        <v>221</v>
      </c>
      <c r="H76" s="25" t="s">
        <v>104</v>
      </c>
      <c r="I76" s="25" t="s">
        <v>280</v>
      </c>
      <c r="J76" s="24" t="s">
        <v>106</v>
      </c>
      <c r="K76" s="26" t="s">
        <v>107</v>
      </c>
      <c r="L76" s="24" t="s">
        <v>108</v>
      </c>
      <c r="M76" s="25" t="s">
        <v>281</v>
      </c>
      <c r="N76" s="28" t="s">
        <v>110</v>
      </c>
      <c r="O76" s="24" t="s">
        <v>45</v>
      </c>
      <c r="P76" s="29" t="s">
        <v>111</v>
      </c>
      <c r="Q76" s="26"/>
    </row>
    <row r="77" customFormat="false" ht="43.5" hidden="false" customHeight="true" outlineLevel="0" collapsed="false">
      <c r="A77" s="24" t="s">
        <v>315</v>
      </c>
      <c r="B77" s="25" t="s">
        <v>271</v>
      </c>
      <c r="C77" s="25" t="s">
        <v>283</v>
      </c>
      <c r="D77" s="25" t="s">
        <v>313</v>
      </c>
      <c r="E77" s="26" t="s">
        <v>274</v>
      </c>
      <c r="F77" s="32" t="n">
        <v>4</v>
      </c>
      <c r="G77" s="29" t="s">
        <v>221</v>
      </c>
      <c r="H77" s="25" t="s">
        <v>104</v>
      </c>
      <c r="I77" s="25" t="s">
        <v>280</v>
      </c>
      <c r="J77" s="24" t="s">
        <v>106</v>
      </c>
      <c r="K77" s="26" t="s">
        <v>107</v>
      </c>
      <c r="L77" s="24" t="s">
        <v>108</v>
      </c>
      <c r="M77" s="25" t="s">
        <v>281</v>
      </c>
      <c r="N77" s="28" t="s">
        <v>110</v>
      </c>
      <c r="O77" s="24" t="s">
        <v>45</v>
      </c>
      <c r="P77" s="29" t="s">
        <v>111</v>
      </c>
      <c r="Q77" s="26"/>
    </row>
    <row r="78" customFormat="false" ht="43.5" hidden="false" customHeight="true" outlineLevel="0" collapsed="false">
      <c r="A78" s="24" t="s">
        <v>316</v>
      </c>
      <c r="B78" s="25" t="s">
        <v>271</v>
      </c>
      <c r="C78" s="25" t="s">
        <v>272</v>
      </c>
      <c r="D78" s="25" t="s">
        <v>317</v>
      </c>
      <c r="E78" s="26" t="s">
        <v>274</v>
      </c>
      <c r="F78" s="27" t="n">
        <v>220</v>
      </c>
      <c r="G78" s="24" t="s">
        <v>275</v>
      </c>
      <c r="H78" s="25" t="s">
        <v>104</v>
      </c>
      <c r="I78" s="25" t="s">
        <v>276</v>
      </c>
      <c r="J78" s="24" t="s">
        <v>106</v>
      </c>
      <c r="K78" s="26" t="s">
        <v>107</v>
      </c>
      <c r="L78" s="24" t="s">
        <v>108</v>
      </c>
      <c r="M78" s="25" t="s">
        <v>277</v>
      </c>
      <c r="N78" s="28" t="s">
        <v>110</v>
      </c>
      <c r="O78" s="24" t="s">
        <v>45</v>
      </c>
      <c r="P78" s="29" t="s">
        <v>111</v>
      </c>
      <c r="Q78" s="26"/>
    </row>
    <row r="79" customFormat="false" ht="43.5" hidden="false" customHeight="true" outlineLevel="0" collapsed="false">
      <c r="A79" s="24" t="s">
        <v>318</v>
      </c>
      <c r="B79" s="25" t="s">
        <v>271</v>
      </c>
      <c r="C79" s="25" t="s">
        <v>279</v>
      </c>
      <c r="D79" s="25" t="s">
        <v>317</v>
      </c>
      <c r="E79" s="26" t="s">
        <v>274</v>
      </c>
      <c r="F79" s="32" t="n">
        <v>1</v>
      </c>
      <c r="G79" s="29" t="s">
        <v>221</v>
      </c>
      <c r="H79" s="25" t="s">
        <v>104</v>
      </c>
      <c r="I79" s="25" t="s">
        <v>280</v>
      </c>
      <c r="J79" s="24" t="s">
        <v>106</v>
      </c>
      <c r="K79" s="26" t="s">
        <v>107</v>
      </c>
      <c r="L79" s="24" t="s">
        <v>108</v>
      </c>
      <c r="M79" s="25" t="s">
        <v>281</v>
      </c>
      <c r="N79" s="28" t="s">
        <v>110</v>
      </c>
      <c r="O79" s="24" t="s">
        <v>45</v>
      </c>
      <c r="P79" s="29" t="s">
        <v>111</v>
      </c>
      <c r="Q79" s="26"/>
    </row>
    <row r="80" customFormat="false" ht="43.5" hidden="false" customHeight="true" outlineLevel="0" collapsed="false">
      <c r="A80" s="24" t="s">
        <v>319</v>
      </c>
      <c r="B80" s="25" t="s">
        <v>271</v>
      </c>
      <c r="C80" s="25" t="s">
        <v>283</v>
      </c>
      <c r="D80" s="25" t="s">
        <v>317</v>
      </c>
      <c r="E80" s="26" t="s">
        <v>274</v>
      </c>
      <c r="F80" s="32" t="n">
        <v>3</v>
      </c>
      <c r="G80" s="29" t="s">
        <v>221</v>
      </c>
      <c r="H80" s="25" t="s">
        <v>104</v>
      </c>
      <c r="I80" s="25" t="s">
        <v>280</v>
      </c>
      <c r="J80" s="24" t="s">
        <v>106</v>
      </c>
      <c r="K80" s="26" t="s">
        <v>107</v>
      </c>
      <c r="L80" s="24" t="s">
        <v>108</v>
      </c>
      <c r="M80" s="25" t="s">
        <v>281</v>
      </c>
      <c r="N80" s="28" t="s">
        <v>110</v>
      </c>
      <c r="O80" s="24" t="s">
        <v>45</v>
      </c>
      <c r="P80" s="29" t="s">
        <v>111</v>
      </c>
      <c r="Q80" s="26"/>
    </row>
    <row r="81" customFormat="false" ht="43.5" hidden="false" customHeight="true" outlineLevel="0" collapsed="false">
      <c r="A81" s="24" t="s">
        <v>320</v>
      </c>
      <c r="B81" s="25" t="s">
        <v>271</v>
      </c>
      <c r="C81" s="26" t="s">
        <v>321</v>
      </c>
      <c r="D81" s="25" t="s">
        <v>150</v>
      </c>
      <c r="E81" s="26" t="s">
        <v>322</v>
      </c>
      <c r="F81" s="27" t="n">
        <v>80</v>
      </c>
      <c r="G81" s="24" t="s">
        <v>275</v>
      </c>
      <c r="H81" s="25" t="s">
        <v>104</v>
      </c>
      <c r="I81" s="25" t="s">
        <v>323</v>
      </c>
      <c r="J81" s="24" t="s">
        <v>106</v>
      </c>
      <c r="K81" s="26" t="s">
        <v>107</v>
      </c>
      <c r="L81" s="24" t="s">
        <v>108</v>
      </c>
      <c r="M81" s="25" t="s">
        <v>324</v>
      </c>
      <c r="N81" s="28" t="s">
        <v>110</v>
      </c>
      <c r="O81" s="24" t="s">
        <v>45</v>
      </c>
      <c r="P81" s="29" t="s">
        <v>111</v>
      </c>
      <c r="Q81" s="26"/>
    </row>
    <row r="82" customFormat="false" ht="43.5" hidden="false" customHeight="true" outlineLevel="0" collapsed="false">
      <c r="A82" s="24" t="s">
        <v>325</v>
      </c>
      <c r="B82" s="25" t="s">
        <v>271</v>
      </c>
      <c r="C82" s="26" t="s">
        <v>321</v>
      </c>
      <c r="D82" s="25" t="s">
        <v>155</v>
      </c>
      <c r="E82" s="26" t="s">
        <v>322</v>
      </c>
      <c r="F82" s="27" t="n">
        <v>100</v>
      </c>
      <c r="G82" s="24" t="s">
        <v>275</v>
      </c>
      <c r="H82" s="25" t="s">
        <v>104</v>
      </c>
      <c r="I82" s="25" t="s">
        <v>326</v>
      </c>
      <c r="J82" s="24" t="s">
        <v>106</v>
      </c>
      <c r="K82" s="26" t="s">
        <v>107</v>
      </c>
      <c r="L82" s="24" t="s">
        <v>108</v>
      </c>
      <c r="M82" s="25" t="s">
        <v>327</v>
      </c>
      <c r="N82" s="28" t="s">
        <v>110</v>
      </c>
      <c r="O82" s="24" t="s">
        <v>45</v>
      </c>
      <c r="P82" s="29" t="s">
        <v>111</v>
      </c>
      <c r="Q82" s="26"/>
    </row>
    <row r="83" customFormat="false" ht="43.5" hidden="false" customHeight="true" outlineLevel="0" collapsed="false">
      <c r="A83" s="24" t="s">
        <v>328</v>
      </c>
      <c r="B83" s="25" t="s">
        <v>271</v>
      </c>
      <c r="C83" s="26" t="s">
        <v>321</v>
      </c>
      <c r="D83" s="25" t="s">
        <v>153</v>
      </c>
      <c r="E83" s="26" t="s">
        <v>322</v>
      </c>
      <c r="F83" s="27" t="n">
        <v>70</v>
      </c>
      <c r="G83" s="24" t="s">
        <v>275</v>
      </c>
      <c r="H83" s="25" t="s">
        <v>104</v>
      </c>
      <c r="I83" s="25" t="s">
        <v>329</v>
      </c>
      <c r="J83" s="24" t="s">
        <v>106</v>
      </c>
      <c r="K83" s="26" t="s">
        <v>107</v>
      </c>
      <c r="L83" s="24" t="s">
        <v>108</v>
      </c>
      <c r="M83" s="25" t="s">
        <v>327</v>
      </c>
      <c r="N83" s="28" t="s">
        <v>110</v>
      </c>
      <c r="O83" s="24" t="s">
        <v>45</v>
      </c>
      <c r="P83" s="29" t="s">
        <v>111</v>
      </c>
      <c r="Q83" s="26"/>
    </row>
    <row r="84" customFormat="false" ht="43.5" hidden="false" customHeight="true" outlineLevel="0" collapsed="false">
      <c r="A84" s="24" t="s">
        <v>330</v>
      </c>
      <c r="B84" s="25" t="s">
        <v>271</v>
      </c>
      <c r="C84" s="26" t="s">
        <v>331</v>
      </c>
      <c r="D84" s="25" t="s">
        <v>155</v>
      </c>
      <c r="E84" s="26" t="s">
        <v>322</v>
      </c>
      <c r="F84" s="27" t="n">
        <v>105</v>
      </c>
      <c r="G84" s="24" t="s">
        <v>275</v>
      </c>
      <c r="H84" s="25" t="s">
        <v>104</v>
      </c>
      <c r="I84" s="25" t="s">
        <v>332</v>
      </c>
      <c r="J84" s="24" t="s">
        <v>106</v>
      </c>
      <c r="K84" s="26" t="s">
        <v>107</v>
      </c>
      <c r="L84" s="24" t="s">
        <v>108</v>
      </c>
      <c r="M84" s="25" t="s">
        <v>327</v>
      </c>
      <c r="N84" s="28" t="s">
        <v>110</v>
      </c>
      <c r="O84" s="24" t="s">
        <v>45</v>
      </c>
      <c r="P84" s="29" t="s">
        <v>111</v>
      </c>
      <c r="Q84" s="26"/>
    </row>
    <row r="85" customFormat="false" ht="43.5" hidden="false" customHeight="true" outlineLevel="0" collapsed="false">
      <c r="A85" s="24" t="s">
        <v>333</v>
      </c>
      <c r="B85" s="25" t="s">
        <v>271</v>
      </c>
      <c r="C85" s="26" t="s">
        <v>334</v>
      </c>
      <c r="D85" s="25" t="s">
        <v>155</v>
      </c>
      <c r="E85" s="26" t="s">
        <v>322</v>
      </c>
      <c r="F85" s="27" t="n">
        <v>150</v>
      </c>
      <c r="G85" s="24" t="s">
        <v>275</v>
      </c>
      <c r="H85" s="25" t="s">
        <v>104</v>
      </c>
      <c r="I85" s="25" t="s">
        <v>335</v>
      </c>
      <c r="J85" s="24" t="s">
        <v>106</v>
      </c>
      <c r="K85" s="26" t="s">
        <v>107</v>
      </c>
      <c r="L85" s="24" t="s">
        <v>108</v>
      </c>
      <c r="M85" s="25" t="s">
        <v>327</v>
      </c>
      <c r="N85" s="28" t="s">
        <v>110</v>
      </c>
      <c r="O85" s="24" t="s">
        <v>45</v>
      </c>
      <c r="P85" s="29" t="s">
        <v>336</v>
      </c>
      <c r="Q85" s="26"/>
    </row>
    <row r="86" customFormat="false" ht="43.5" hidden="false" customHeight="true" outlineLevel="0" collapsed="false">
      <c r="A86" s="24" t="s">
        <v>337</v>
      </c>
      <c r="B86" s="25" t="s">
        <v>271</v>
      </c>
      <c r="C86" s="25" t="s">
        <v>338</v>
      </c>
      <c r="D86" s="25" t="s">
        <v>150</v>
      </c>
      <c r="E86" s="26" t="s">
        <v>322</v>
      </c>
      <c r="F86" s="30" t="n">
        <v>0.5</v>
      </c>
      <c r="G86" s="29" t="s">
        <v>17</v>
      </c>
      <c r="H86" s="25" t="s">
        <v>104</v>
      </c>
      <c r="I86" s="25" t="s">
        <v>339</v>
      </c>
      <c r="J86" s="24" t="s">
        <v>106</v>
      </c>
      <c r="K86" s="26" t="s">
        <v>107</v>
      </c>
      <c r="L86" s="24" t="s">
        <v>108</v>
      </c>
      <c r="M86" s="25" t="s">
        <v>327</v>
      </c>
      <c r="N86" s="28" t="s">
        <v>110</v>
      </c>
      <c r="O86" s="24" t="s">
        <v>45</v>
      </c>
      <c r="P86" s="29" t="s">
        <v>182</v>
      </c>
      <c r="Q86" s="26"/>
    </row>
    <row r="87" customFormat="false" ht="43.5" hidden="false" customHeight="true" outlineLevel="0" collapsed="false">
      <c r="A87" s="24" t="s">
        <v>340</v>
      </c>
      <c r="B87" s="25" t="s">
        <v>341</v>
      </c>
      <c r="C87" s="25" t="s">
        <v>342</v>
      </c>
      <c r="D87" s="25" t="s">
        <v>102</v>
      </c>
      <c r="E87" s="26" t="s">
        <v>103</v>
      </c>
      <c r="F87" s="27" t="n">
        <v>500</v>
      </c>
      <c r="G87" s="29" t="s">
        <v>24</v>
      </c>
      <c r="H87" s="25" t="s">
        <v>104</v>
      </c>
      <c r="I87" s="25" t="s">
        <v>343</v>
      </c>
      <c r="J87" s="24" t="s">
        <v>106</v>
      </c>
      <c r="K87" s="26" t="s">
        <v>107</v>
      </c>
      <c r="L87" s="24" t="s">
        <v>108</v>
      </c>
      <c r="M87" s="25" t="s">
        <v>109</v>
      </c>
      <c r="N87" s="28" t="s">
        <v>110</v>
      </c>
      <c r="O87" s="24" t="s">
        <v>45</v>
      </c>
      <c r="P87" s="29" t="s">
        <v>182</v>
      </c>
      <c r="Q87" s="26"/>
    </row>
    <row r="88" customFormat="false" ht="43.5" hidden="false" customHeight="true" outlineLevel="0" collapsed="false">
      <c r="A88" s="24" t="s">
        <v>344</v>
      </c>
      <c r="B88" s="25" t="s">
        <v>341</v>
      </c>
      <c r="C88" s="25" t="s">
        <v>345</v>
      </c>
      <c r="D88" s="25" t="s">
        <v>102</v>
      </c>
      <c r="E88" s="26" t="s">
        <v>346</v>
      </c>
      <c r="F88" s="27" t="n">
        <v>480</v>
      </c>
      <c r="G88" s="29" t="s">
        <v>24</v>
      </c>
      <c r="H88" s="25" t="s">
        <v>136</v>
      </c>
      <c r="I88" s="25" t="s">
        <v>347</v>
      </c>
      <c r="J88" s="24" t="s">
        <v>106</v>
      </c>
      <c r="K88" s="26" t="s">
        <v>107</v>
      </c>
      <c r="L88" s="24" t="s">
        <v>108</v>
      </c>
      <c r="M88" s="25" t="s">
        <v>109</v>
      </c>
      <c r="N88" s="28" t="s">
        <v>110</v>
      </c>
      <c r="O88" s="24" t="s">
        <v>45</v>
      </c>
      <c r="P88" s="29" t="s">
        <v>111</v>
      </c>
      <c r="Q88" s="26"/>
    </row>
    <row r="89" customFormat="false" ht="43.5" hidden="false" customHeight="true" outlineLevel="0" collapsed="false">
      <c r="A89" s="24" t="s">
        <v>348</v>
      </c>
      <c r="B89" s="25" t="s">
        <v>341</v>
      </c>
      <c r="C89" s="25" t="s">
        <v>349</v>
      </c>
      <c r="D89" s="25" t="s">
        <v>102</v>
      </c>
      <c r="E89" s="26" t="s">
        <v>135</v>
      </c>
      <c r="F89" s="30" t="n">
        <v>0.45</v>
      </c>
      <c r="G89" s="29" t="s">
        <v>17</v>
      </c>
      <c r="H89" s="25" t="s">
        <v>136</v>
      </c>
      <c r="I89" s="26" t="s">
        <v>350</v>
      </c>
      <c r="J89" s="24" t="s">
        <v>106</v>
      </c>
      <c r="K89" s="26" t="s">
        <v>107</v>
      </c>
      <c r="L89" s="24" t="s">
        <v>108</v>
      </c>
      <c r="M89" s="25" t="s">
        <v>109</v>
      </c>
      <c r="N89" s="28" t="s">
        <v>110</v>
      </c>
      <c r="O89" s="24" t="s">
        <v>45</v>
      </c>
      <c r="P89" s="29" t="s">
        <v>111</v>
      </c>
      <c r="Q89" s="26"/>
    </row>
    <row r="90" customFormat="false" ht="43.5" hidden="false" customHeight="true" outlineLevel="0" collapsed="false">
      <c r="A90" s="24" t="s">
        <v>351</v>
      </c>
      <c r="B90" s="25" t="s">
        <v>341</v>
      </c>
      <c r="C90" s="25" t="s">
        <v>352</v>
      </c>
      <c r="D90" s="25" t="s">
        <v>353</v>
      </c>
      <c r="E90" s="26" t="s">
        <v>103</v>
      </c>
      <c r="F90" s="27" t="n">
        <v>6000</v>
      </c>
      <c r="G90" s="24" t="s">
        <v>354</v>
      </c>
      <c r="H90" s="25" t="s">
        <v>104</v>
      </c>
      <c r="I90" s="25" t="s">
        <v>355</v>
      </c>
      <c r="J90" s="24" t="s">
        <v>106</v>
      </c>
      <c r="K90" s="26" t="s">
        <v>107</v>
      </c>
      <c r="L90" s="24" t="s">
        <v>108</v>
      </c>
      <c r="M90" s="25" t="s">
        <v>109</v>
      </c>
      <c r="N90" s="28" t="s">
        <v>110</v>
      </c>
      <c r="O90" s="24" t="s">
        <v>45</v>
      </c>
      <c r="P90" s="29" t="s">
        <v>111</v>
      </c>
      <c r="Q90" s="26"/>
    </row>
    <row r="91" customFormat="false" ht="43.5" hidden="false" customHeight="true" outlineLevel="0" collapsed="false">
      <c r="A91" s="24" t="s">
        <v>356</v>
      </c>
      <c r="B91" s="25" t="s">
        <v>341</v>
      </c>
      <c r="C91" s="25" t="s">
        <v>357</v>
      </c>
      <c r="D91" s="25" t="s">
        <v>358</v>
      </c>
      <c r="E91" s="26" t="s">
        <v>103</v>
      </c>
      <c r="F91" s="27" t="n">
        <v>10000</v>
      </c>
      <c r="G91" s="24" t="s">
        <v>354</v>
      </c>
      <c r="H91" s="25" t="s">
        <v>104</v>
      </c>
      <c r="I91" s="25" t="s">
        <v>359</v>
      </c>
      <c r="J91" s="24" t="s">
        <v>106</v>
      </c>
      <c r="K91" s="26" t="s">
        <v>107</v>
      </c>
      <c r="L91" s="24" t="s">
        <v>108</v>
      </c>
      <c r="M91" s="25" t="s">
        <v>109</v>
      </c>
      <c r="N91" s="28" t="s">
        <v>110</v>
      </c>
      <c r="O91" s="24" t="s">
        <v>45</v>
      </c>
      <c r="P91" s="29" t="s">
        <v>182</v>
      </c>
      <c r="Q91" s="26"/>
    </row>
    <row r="92" customFormat="false" ht="43.5" hidden="false" customHeight="true" outlineLevel="0" collapsed="false">
      <c r="A92" s="24" t="s">
        <v>360</v>
      </c>
      <c r="B92" s="25" t="s">
        <v>341</v>
      </c>
      <c r="C92" s="26" t="s">
        <v>361</v>
      </c>
      <c r="D92" s="25" t="s">
        <v>362</v>
      </c>
      <c r="E92" s="25" t="s">
        <v>363</v>
      </c>
      <c r="F92" s="32" t="n">
        <v>4</v>
      </c>
      <c r="G92" s="29" t="s">
        <v>221</v>
      </c>
      <c r="H92" s="25" t="s">
        <v>104</v>
      </c>
      <c r="I92" s="25" t="s">
        <v>364</v>
      </c>
      <c r="J92" s="24" t="s">
        <v>106</v>
      </c>
      <c r="K92" s="26" t="s">
        <v>107</v>
      </c>
      <c r="L92" s="24" t="s">
        <v>108</v>
      </c>
      <c r="M92" s="25" t="s">
        <v>109</v>
      </c>
      <c r="N92" s="28" t="s">
        <v>110</v>
      </c>
      <c r="O92" s="24" t="s">
        <v>45</v>
      </c>
      <c r="P92" s="29" t="s">
        <v>111</v>
      </c>
      <c r="Q92" s="26"/>
    </row>
    <row r="93" customFormat="false" ht="43.5" hidden="false" customHeight="true" outlineLevel="0" collapsed="false">
      <c r="A93" s="24" t="s">
        <v>365</v>
      </c>
      <c r="B93" s="25" t="s">
        <v>341</v>
      </c>
      <c r="C93" s="26" t="s">
        <v>366</v>
      </c>
      <c r="D93" s="25" t="s">
        <v>362</v>
      </c>
      <c r="E93" s="25" t="s">
        <v>363</v>
      </c>
      <c r="F93" s="32" t="n">
        <v>6</v>
      </c>
      <c r="G93" s="29" t="s">
        <v>221</v>
      </c>
      <c r="H93" s="25" t="s">
        <v>104</v>
      </c>
      <c r="I93" s="25" t="s">
        <v>364</v>
      </c>
      <c r="J93" s="24" t="s">
        <v>106</v>
      </c>
      <c r="K93" s="26" t="s">
        <v>107</v>
      </c>
      <c r="L93" s="24" t="s">
        <v>108</v>
      </c>
      <c r="M93" s="25" t="s">
        <v>109</v>
      </c>
      <c r="N93" s="28" t="s">
        <v>110</v>
      </c>
      <c r="O93" s="24" t="s">
        <v>45</v>
      </c>
      <c r="P93" s="29" t="s">
        <v>111</v>
      </c>
      <c r="Q93" s="26"/>
    </row>
    <row r="94" customFormat="false" ht="43.5" hidden="false" customHeight="true" outlineLevel="0" collapsed="false">
      <c r="A94" s="24" t="s">
        <v>367</v>
      </c>
      <c r="B94" s="25" t="s">
        <v>341</v>
      </c>
      <c r="C94" s="25" t="s">
        <v>368</v>
      </c>
      <c r="D94" s="25" t="s">
        <v>369</v>
      </c>
      <c r="E94" s="26" t="s">
        <v>346</v>
      </c>
      <c r="F94" s="30" t="n">
        <v>0.04</v>
      </c>
      <c r="G94" s="29" t="s">
        <v>17</v>
      </c>
      <c r="H94" s="25" t="s">
        <v>136</v>
      </c>
      <c r="I94" s="25" t="s">
        <v>370</v>
      </c>
      <c r="J94" s="24" t="s">
        <v>106</v>
      </c>
      <c r="K94" s="26" t="s">
        <v>107</v>
      </c>
      <c r="L94" s="24" t="s">
        <v>108</v>
      </c>
      <c r="M94" s="25" t="s">
        <v>109</v>
      </c>
      <c r="N94" s="28" t="s">
        <v>110</v>
      </c>
      <c r="O94" s="24" t="s">
        <v>45</v>
      </c>
      <c r="P94" s="29" t="s">
        <v>336</v>
      </c>
      <c r="Q94" s="26"/>
    </row>
    <row r="95" customFormat="false" ht="43.5" hidden="false" customHeight="true" outlineLevel="0" collapsed="false">
      <c r="A95" s="24" t="s">
        <v>371</v>
      </c>
      <c r="B95" s="25" t="s">
        <v>341</v>
      </c>
      <c r="C95" s="25" t="s">
        <v>372</v>
      </c>
      <c r="D95" s="25" t="s">
        <v>150</v>
      </c>
      <c r="E95" s="26" t="s">
        <v>346</v>
      </c>
      <c r="F95" s="30" t="n">
        <v>0.15</v>
      </c>
      <c r="G95" s="29" t="s">
        <v>17</v>
      </c>
      <c r="H95" s="25" t="s">
        <v>136</v>
      </c>
      <c r="I95" s="25" t="s">
        <v>373</v>
      </c>
      <c r="J95" s="24" t="s">
        <v>106</v>
      </c>
      <c r="K95" s="26" t="s">
        <v>107</v>
      </c>
      <c r="L95" s="24" t="s">
        <v>108</v>
      </c>
      <c r="M95" s="25" t="s">
        <v>109</v>
      </c>
      <c r="N95" s="28" t="s">
        <v>110</v>
      </c>
      <c r="O95" s="24" t="s">
        <v>45</v>
      </c>
      <c r="P95" s="29" t="s">
        <v>182</v>
      </c>
      <c r="Q95" s="26"/>
    </row>
    <row r="96" customFormat="false" ht="43.5" hidden="false" customHeight="true" outlineLevel="0" collapsed="false">
      <c r="A96" s="24" t="s">
        <v>374</v>
      </c>
      <c r="B96" s="26" t="s">
        <v>375</v>
      </c>
      <c r="C96" s="25" t="s">
        <v>376</v>
      </c>
      <c r="D96" s="26" t="s">
        <v>51</v>
      </c>
      <c r="E96" s="26" t="s">
        <v>377</v>
      </c>
      <c r="F96" s="27" t="n">
        <v>34.91</v>
      </c>
      <c r="G96" s="29" t="s">
        <v>24</v>
      </c>
      <c r="H96" s="25" t="s">
        <v>378</v>
      </c>
      <c r="I96" s="25" t="s">
        <v>379</v>
      </c>
      <c r="J96" s="24" t="s">
        <v>380</v>
      </c>
      <c r="K96" s="26" t="s">
        <v>381</v>
      </c>
      <c r="L96" s="24" t="s">
        <v>382</v>
      </c>
      <c r="M96" s="26" t="s">
        <v>383</v>
      </c>
      <c r="N96" s="25" t="s">
        <v>384</v>
      </c>
      <c r="O96" s="24" t="s">
        <v>45</v>
      </c>
      <c r="P96" s="24" t="s">
        <v>126</v>
      </c>
      <c r="Q96" s="26"/>
    </row>
    <row r="97" customFormat="false" ht="43.5" hidden="false" customHeight="true" outlineLevel="0" collapsed="false">
      <c r="A97" s="24" t="s">
        <v>385</v>
      </c>
      <c r="B97" s="26" t="s">
        <v>375</v>
      </c>
      <c r="C97" s="25" t="s">
        <v>386</v>
      </c>
      <c r="D97" s="26" t="s">
        <v>51</v>
      </c>
      <c r="E97" s="26" t="s">
        <v>387</v>
      </c>
      <c r="F97" s="27" t="n">
        <v>83.055</v>
      </c>
      <c r="G97" s="29" t="s">
        <v>24</v>
      </c>
      <c r="H97" s="25" t="s">
        <v>378</v>
      </c>
      <c r="I97" s="25" t="s">
        <v>388</v>
      </c>
      <c r="J97" s="24" t="s">
        <v>380</v>
      </c>
      <c r="K97" s="26" t="s">
        <v>381</v>
      </c>
      <c r="L97" s="24" t="s">
        <v>382</v>
      </c>
      <c r="M97" s="26" t="s">
        <v>389</v>
      </c>
      <c r="N97" s="25" t="s">
        <v>384</v>
      </c>
      <c r="O97" s="24" t="s">
        <v>45</v>
      </c>
      <c r="P97" s="24" t="s">
        <v>126</v>
      </c>
      <c r="Q97" s="26"/>
    </row>
    <row r="98" customFormat="false" ht="43.5" hidden="false" customHeight="true" outlineLevel="0" collapsed="false">
      <c r="A98" s="24" t="s">
        <v>390</v>
      </c>
      <c r="B98" s="26" t="s">
        <v>375</v>
      </c>
      <c r="C98" s="25" t="s">
        <v>391</v>
      </c>
      <c r="D98" s="26" t="s">
        <v>51</v>
      </c>
      <c r="E98" s="26" t="s">
        <v>387</v>
      </c>
      <c r="F98" s="27" t="n">
        <v>2.769</v>
      </c>
      <c r="G98" s="29" t="s">
        <v>24</v>
      </c>
      <c r="H98" s="25" t="s">
        <v>378</v>
      </c>
      <c r="I98" s="25" t="s">
        <v>392</v>
      </c>
      <c r="J98" s="24" t="s">
        <v>380</v>
      </c>
      <c r="K98" s="26" t="s">
        <v>381</v>
      </c>
      <c r="L98" s="24" t="s">
        <v>382</v>
      </c>
      <c r="M98" s="26" t="s">
        <v>389</v>
      </c>
      <c r="N98" s="25" t="s">
        <v>384</v>
      </c>
      <c r="O98" s="24" t="s">
        <v>45</v>
      </c>
      <c r="P98" s="24" t="s">
        <v>126</v>
      </c>
      <c r="Q98" s="26"/>
    </row>
    <row r="99" customFormat="false" ht="43.5" hidden="false" customHeight="true" outlineLevel="0" collapsed="false">
      <c r="A99" s="24" t="s">
        <v>393</v>
      </c>
      <c r="B99" s="26" t="s">
        <v>375</v>
      </c>
      <c r="C99" s="25" t="s">
        <v>376</v>
      </c>
      <c r="D99" s="26" t="s">
        <v>51</v>
      </c>
      <c r="E99" s="26" t="s">
        <v>387</v>
      </c>
      <c r="F99" s="27" t="n">
        <v>85.82</v>
      </c>
      <c r="G99" s="29" t="s">
        <v>24</v>
      </c>
      <c r="H99" s="25" t="s">
        <v>378</v>
      </c>
      <c r="I99" s="26" t="s">
        <v>394</v>
      </c>
      <c r="J99" s="24" t="s">
        <v>380</v>
      </c>
      <c r="K99" s="26" t="s">
        <v>381</v>
      </c>
      <c r="L99" s="24" t="s">
        <v>382</v>
      </c>
      <c r="M99" s="26" t="s">
        <v>395</v>
      </c>
      <c r="N99" s="25" t="s">
        <v>384</v>
      </c>
      <c r="O99" s="24" t="s">
        <v>45</v>
      </c>
      <c r="P99" s="24" t="s">
        <v>126</v>
      </c>
      <c r="Q99" s="26"/>
    </row>
    <row r="100" customFormat="false" ht="43.5" hidden="false" customHeight="true" outlineLevel="0" collapsed="false">
      <c r="A100" s="24" t="s">
        <v>396</v>
      </c>
      <c r="B100" s="26" t="s">
        <v>375</v>
      </c>
      <c r="C100" s="25" t="s">
        <v>386</v>
      </c>
      <c r="D100" s="26" t="s">
        <v>51</v>
      </c>
      <c r="E100" s="26" t="s">
        <v>397</v>
      </c>
      <c r="F100" s="27" t="n">
        <v>48.308</v>
      </c>
      <c r="G100" s="29" t="s">
        <v>24</v>
      </c>
      <c r="H100" s="25" t="s">
        <v>378</v>
      </c>
      <c r="I100" s="25" t="s">
        <v>398</v>
      </c>
      <c r="J100" s="24" t="s">
        <v>380</v>
      </c>
      <c r="K100" s="26" t="s">
        <v>381</v>
      </c>
      <c r="L100" s="24" t="s">
        <v>382</v>
      </c>
      <c r="M100" s="26" t="s">
        <v>389</v>
      </c>
      <c r="N100" s="25" t="s">
        <v>384</v>
      </c>
      <c r="O100" s="24" t="s">
        <v>45</v>
      </c>
      <c r="P100" s="24" t="s">
        <v>126</v>
      </c>
      <c r="Q100" s="26"/>
    </row>
    <row r="101" customFormat="false" ht="43.5" hidden="false" customHeight="true" outlineLevel="0" collapsed="false">
      <c r="A101" s="24" t="s">
        <v>399</v>
      </c>
      <c r="B101" s="26" t="s">
        <v>375</v>
      </c>
      <c r="C101" s="25" t="s">
        <v>391</v>
      </c>
      <c r="D101" s="26" t="s">
        <v>51</v>
      </c>
      <c r="E101" s="26" t="s">
        <v>397</v>
      </c>
      <c r="F101" s="27" t="n">
        <v>1.77</v>
      </c>
      <c r="G101" s="29" t="s">
        <v>24</v>
      </c>
      <c r="H101" s="25" t="s">
        <v>378</v>
      </c>
      <c r="I101" s="25" t="s">
        <v>400</v>
      </c>
      <c r="J101" s="24" t="s">
        <v>380</v>
      </c>
      <c r="K101" s="26" t="s">
        <v>381</v>
      </c>
      <c r="L101" s="24" t="s">
        <v>382</v>
      </c>
      <c r="M101" s="26" t="s">
        <v>389</v>
      </c>
      <c r="N101" s="25" t="s">
        <v>384</v>
      </c>
      <c r="O101" s="24" t="s">
        <v>45</v>
      </c>
      <c r="P101" s="24" t="s">
        <v>126</v>
      </c>
      <c r="Q101" s="26"/>
    </row>
    <row r="102" customFormat="false" ht="43.5" hidden="false" customHeight="true" outlineLevel="0" collapsed="false">
      <c r="A102" s="24" t="s">
        <v>401</v>
      </c>
      <c r="B102" s="26" t="s">
        <v>375</v>
      </c>
      <c r="C102" s="26" t="s">
        <v>402</v>
      </c>
      <c r="D102" s="26" t="s">
        <v>51</v>
      </c>
      <c r="E102" s="26" t="s">
        <v>403</v>
      </c>
      <c r="F102" s="27" t="n">
        <v>135</v>
      </c>
      <c r="G102" s="29" t="s">
        <v>24</v>
      </c>
      <c r="H102" s="25" t="s">
        <v>404</v>
      </c>
      <c r="I102" s="25" t="s">
        <v>405</v>
      </c>
      <c r="J102" s="24" t="s">
        <v>380</v>
      </c>
      <c r="K102" s="26" t="s">
        <v>381</v>
      </c>
      <c r="L102" s="24" t="s">
        <v>382</v>
      </c>
      <c r="M102" s="26" t="s">
        <v>406</v>
      </c>
      <c r="N102" s="25" t="s">
        <v>384</v>
      </c>
      <c r="O102" s="24" t="s">
        <v>45</v>
      </c>
      <c r="P102" s="24" t="s">
        <v>126</v>
      </c>
      <c r="Q102" s="26"/>
    </row>
    <row r="103" customFormat="false" ht="43.5" hidden="false" customHeight="true" outlineLevel="0" collapsed="false">
      <c r="A103" s="24" t="s">
        <v>407</v>
      </c>
      <c r="B103" s="26" t="s">
        <v>375</v>
      </c>
      <c r="C103" s="26" t="s">
        <v>408</v>
      </c>
      <c r="D103" s="26" t="s">
        <v>51</v>
      </c>
      <c r="E103" s="26" t="s">
        <v>403</v>
      </c>
      <c r="F103" s="27" t="n">
        <v>145</v>
      </c>
      <c r="G103" s="29" t="s">
        <v>24</v>
      </c>
      <c r="H103" s="25" t="s">
        <v>404</v>
      </c>
      <c r="I103" s="25" t="s">
        <v>405</v>
      </c>
      <c r="J103" s="24" t="s">
        <v>380</v>
      </c>
      <c r="K103" s="26" t="s">
        <v>381</v>
      </c>
      <c r="L103" s="24" t="s">
        <v>382</v>
      </c>
      <c r="M103" s="26" t="s">
        <v>406</v>
      </c>
      <c r="N103" s="25" t="s">
        <v>384</v>
      </c>
      <c r="O103" s="24" t="s">
        <v>45</v>
      </c>
      <c r="P103" s="24" t="s">
        <v>126</v>
      </c>
      <c r="Q103" s="26"/>
    </row>
    <row r="104" customFormat="false" ht="43.5" hidden="false" customHeight="true" outlineLevel="0" collapsed="false">
      <c r="A104" s="24" t="s">
        <v>409</v>
      </c>
      <c r="B104" s="26" t="s">
        <v>375</v>
      </c>
      <c r="C104" s="25" t="s">
        <v>410</v>
      </c>
      <c r="D104" s="26" t="s">
        <v>51</v>
      </c>
      <c r="E104" s="26" t="s">
        <v>411</v>
      </c>
      <c r="F104" s="27" t="n">
        <v>89.499</v>
      </c>
      <c r="G104" s="29" t="s">
        <v>24</v>
      </c>
      <c r="H104" s="25" t="s">
        <v>378</v>
      </c>
      <c r="I104" s="25" t="s">
        <v>412</v>
      </c>
      <c r="J104" s="24" t="s">
        <v>380</v>
      </c>
      <c r="K104" s="26" t="s">
        <v>381</v>
      </c>
      <c r="L104" s="24" t="s">
        <v>382</v>
      </c>
      <c r="M104" s="26" t="s">
        <v>413</v>
      </c>
      <c r="N104" s="25" t="s">
        <v>384</v>
      </c>
      <c r="O104" s="24" t="s">
        <v>45</v>
      </c>
      <c r="P104" s="24" t="s">
        <v>126</v>
      </c>
      <c r="Q104" s="26"/>
    </row>
    <row r="105" customFormat="false" ht="43.5" hidden="false" customHeight="true" outlineLevel="0" collapsed="false">
      <c r="A105" s="24" t="s">
        <v>414</v>
      </c>
      <c r="B105" s="26" t="s">
        <v>375</v>
      </c>
      <c r="C105" s="25" t="s">
        <v>410</v>
      </c>
      <c r="D105" s="26" t="s">
        <v>51</v>
      </c>
      <c r="E105" s="26" t="s">
        <v>415</v>
      </c>
      <c r="F105" s="27" t="n">
        <v>50.521</v>
      </c>
      <c r="G105" s="29" t="s">
        <v>24</v>
      </c>
      <c r="H105" s="25" t="s">
        <v>378</v>
      </c>
      <c r="I105" s="25" t="s">
        <v>416</v>
      </c>
      <c r="J105" s="24" t="s">
        <v>380</v>
      </c>
      <c r="K105" s="26" t="s">
        <v>381</v>
      </c>
      <c r="L105" s="24" t="s">
        <v>382</v>
      </c>
      <c r="M105" s="26" t="s">
        <v>413</v>
      </c>
      <c r="N105" s="25" t="s">
        <v>384</v>
      </c>
      <c r="O105" s="24" t="s">
        <v>45</v>
      </c>
      <c r="P105" s="24" t="s">
        <v>126</v>
      </c>
      <c r="Q105" s="26"/>
    </row>
    <row r="106" customFormat="false" ht="43.5" hidden="false" customHeight="true" outlineLevel="0" collapsed="false">
      <c r="A106" s="24" t="s">
        <v>417</v>
      </c>
      <c r="B106" s="26" t="s">
        <v>375</v>
      </c>
      <c r="C106" s="25" t="s">
        <v>418</v>
      </c>
      <c r="D106" s="26" t="s">
        <v>51</v>
      </c>
      <c r="E106" s="26" t="s">
        <v>411</v>
      </c>
      <c r="F106" s="27" t="n">
        <v>253.222</v>
      </c>
      <c r="G106" s="29" t="s">
        <v>24</v>
      </c>
      <c r="H106" s="25" t="s">
        <v>378</v>
      </c>
      <c r="I106" s="25" t="s">
        <v>419</v>
      </c>
      <c r="J106" s="24" t="s">
        <v>380</v>
      </c>
      <c r="K106" s="26" t="s">
        <v>381</v>
      </c>
      <c r="L106" s="24" t="s">
        <v>382</v>
      </c>
      <c r="M106" s="26" t="s">
        <v>420</v>
      </c>
      <c r="N106" s="25" t="s">
        <v>384</v>
      </c>
      <c r="O106" s="24" t="s">
        <v>45</v>
      </c>
      <c r="P106" s="24" t="s">
        <v>126</v>
      </c>
      <c r="Q106" s="26"/>
    </row>
    <row r="107" customFormat="false" ht="43.5" hidden="false" customHeight="true" outlineLevel="0" collapsed="false">
      <c r="A107" s="24" t="s">
        <v>421</v>
      </c>
      <c r="B107" s="26" t="s">
        <v>375</v>
      </c>
      <c r="C107" s="25" t="s">
        <v>418</v>
      </c>
      <c r="D107" s="26" t="s">
        <v>51</v>
      </c>
      <c r="E107" s="26" t="s">
        <v>415</v>
      </c>
      <c r="F107" s="27" t="n">
        <v>176.4</v>
      </c>
      <c r="G107" s="29" t="s">
        <v>24</v>
      </c>
      <c r="H107" s="25" t="s">
        <v>378</v>
      </c>
      <c r="I107" s="25" t="s">
        <v>422</v>
      </c>
      <c r="J107" s="24" t="s">
        <v>380</v>
      </c>
      <c r="K107" s="26" t="s">
        <v>381</v>
      </c>
      <c r="L107" s="24" t="s">
        <v>382</v>
      </c>
      <c r="M107" s="26" t="s">
        <v>420</v>
      </c>
      <c r="N107" s="25" t="s">
        <v>384</v>
      </c>
      <c r="O107" s="24" t="s">
        <v>45</v>
      </c>
      <c r="P107" s="24" t="s">
        <v>126</v>
      </c>
      <c r="Q107" s="26"/>
    </row>
    <row r="108" customFormat="false" ht="43.5" hidden="false" customHeight="true" outlineLevel="0" collapsed="false">
      <c r="A108" s="24" t="s">
        <v>423</v>
      </c>
      <c r="B108" s="26" t="s">
        <v>375</v>
      </c>
      <c r="C108" s="25" t="s">
        <v>424</v>
      </c>
      <c r="D108" s="26" t="s">
        <v>51</v>
      </c>
      <c r="E108" s="26" t="s">
        <v>411</v>
      </c>
      <c r="F108" s="27" t="n">
        <v>355.73</v>
      </c>
      <c r="G108" s="29" t="s">
        <v>24</v>
      </c>
      <c r="H108" s="25" t="s">
        <v>378</v>
      </c>
      <c r="I108" s="25" t="s">
        <v>425</v>
      </c>
      <c r="J108" s="24" t="s">
        <v>380</v>
      </c>
      <c r="K108" s="26" t="s">
        <v>381</v>
      </c>
      <c r="L108" s="24" t="s">
        <v>382</v>
      </c>
      <c r="M108" s="26" t="s">
        <v>426</v>
      </c>
      <c r="N108" s="25" t="s">
        <v>384</v>
      </c>
      <c r="O108" s="24" t="s">
        <v>45</v>
      </c>
      <c r="P108" s="24" t="s">
        <v>126</v>
      </c>
      <c r="Q108" s="26"/>
    </row>
    <row r="109" customFormat="false" ht="43.5" hidden="false" customHeight="true" outlineLevel="0" collapsed="false">
      <c r="A109" s="24" t="s">
        <v>427</v>
      </c>
      <c r="B109" s="26" t="s">
        <v>375</v>
      </c>
      <c r="C109" s="25" t="s">
        <v>428</v>
      </c>
      <c r="D109" s="26" t="s">
        <v>51</v>
      </c>
      <c r="E109" s="26" t="s">
        <v>411</v>
      </c>
      <c r="F109" s="27" t="n">
        <v>454.52</v>
      </c>
      <c r="G109" s="29" t="s">
        <v>24</v>
      </c>
      <c r="H109" s="25" t="s">
        <v>378</v>
      </c>
      <c r="I109" s="25" t="s">
        <v>429</v>
      </c>
      <c r="J109" s="24" t="s">
        <v>380</v>
      </c>
      <c r="K109" s="26" t="s">
        <v>381</v>
      </c>
      <c r="L109" s="24" t="s">
        <v>382</v>
      </c>
      <c r="M109" s="26" t="s">
        <v>426</v>
      </c>
      <c r="N109" s="25" t="s">
        <v>384</v>
      </c>
      <c r="O109" s="24" t="s">
        <v>45</v>
      </c>
      <c r="P109" s="24" t="s">
        <v>126</v>
      </c>
      <c r="Q109" s="26"/>
    </row>
    <row r="110" customFormat="false" ht="43.5" hidden="false" customHeight="true" outlineLevel="0" collapsed="false">
      <c r="A110" s="24" t="s">
        <v>430</v>
      </c>
      <c r="B110" s="26" t="s">
        <v>375</v>
      </c>
      <c r="C110" s="25" t="s">
        <v>431</v>
      </c>
      <c r="D110" s="26" t="s">
        <v>51</v>
      </c>
      <c r="E110" s="26" t="s">
        <v>176</v>
      </c>
      <c r="F110" s="27" t="n">
        <v>45.85</v>
      </c>
      <c r="G110" s="29" t="s">
        <v>24</v>
      </c>
      <c r="H110" s="25" t="s">
        <v>378</v>
      </c>
      <c r="I110" s="26" t="s">
        <v>432</v>
      </c>
      <c r="J110" s="24" t="s">
        <v>380</v>
      </c>
      <c r="K110" s="26" t="s">
        <v>381</v>
      </c>
      <c r="L110" s="24" t="s">
        <v>382</v>
      </c>
      <c r="M110" s="26" t="s">
        <v>426</v>
      </c>
      <c r="N110" s="25" t="s">
        <v>384</v>
      </c>
      <c r="O110" s="24" t="s">
        <v>45</v>
      </c>
      <c r="P110" s="24" t="s">
        <v>126</v>
      </c>
      <c r="Q110" s="26"/>
    </row>
    <row r="111" customFormat="false" ht="43.5" hidden="false" customHeight="true" outlineLevel="0" collapsed="false">
      <c r="A111" s="24" t="s">
        <v>433</v>
      </c>
      <c r="B111" s="26" t="s">
        <v>375</v>
      </c>
      <c r="C111" s="25" t="s">
        <v>434</v>
      </c>
      <c r="D111" s="26" t="s">
        <v>51</v>
      </c>
      <c r="E111" s="26" t="s">
        <v>435</v>
      </c>
      <c r="F111" s="27" t="n">
        <v>121.41</v>
      </c>
      <c r="G111" s="29" t="s">
        <v>24</v>
      </c>
      <c r="H111" s="25" t="s">
        <v>378</v>
      </c>
      <c r="I111" s="26" t="s">
        <v>432</v>
      </c>
      <c r="J111" s="24" t="s">
        <v>380</v>
      </c>
      <c r="K111" s="26" t="s">
        <v>381</v>
      </c>
      <c r="L111" s="24" t="s">
        <v>382</v>
      </c>
      <c r="M111" s="26" t="s">
        <v>426</v>
      </c>
      <c r="N111" s="25" t="s">
        <v>384</v>
      </c>
      <c r="O111" s="24" t="s">
        <v>45</v>
      </c>
      <c r="P111" s="24" t="s">
        <v>126</v>
      </c>
      <c r="Q111" s="26"/>
    </row>
    <row r="112" customFormat="false" ht="43.5" hidden="false" customHeight="true" outlineLevel="0" collapsed="false">
      <c r="A112" s="24" t="s">
        <v>436</v>
      </c>
      <c r="B112" s="26" t="s">
        <v>375</v>
      </c>
      <c r="C112" s="25" t="s">
        <v>437</v>
      </c>
      <c r="D112" s="26" t="s">
        <v>51</v>
      </c>
      <c r="E112" s="26" t="s">
        <v>411</v>
      </c>
      <c r="F112" s="27" t="n">
        <v>10.8</v>
      </c>
      <c r="G112" s="29" t="s">
        <v>24</v>
      </c>
      <c r="H112" s="25" t="s">
        <v>378</v>
      </c>
      <c r="I112" s="25" t="s">
        <v>438</v>
      </c>
      <c r="J112" s="24" t="s">
        <v>380</v>
      </c>
      <c r="K112" s="26" t="s">
        <v>381</v>
      </c>
      <c r="L112" s="24" t="s">
        <v>382</v>
      </c>
      <c r="M112" s="26" t="s">
        <v>395</v>
      </c>
      <c r="N112" s="25" t="s">
        <v>384</v>
      </c>
      <c r="O112" s="24" t="s">
        <v>45</v>
      </c>
      <c r="P112" s="24" t="s">
        <v>126</v>
      </c>
      <c r="Q112" s="26"/>
    </row>
    <row r="113" customFormat="false" ht="43.5" hidden="false" customHeight="true" outlineLevel="0" collapsed="false">
      <c r="A113" s="24" t="s">
        <v>439</v>
      </c>
      <c r="B113" s="26" t="s">
        <v>375</v>
      </c>
      <c r="C113" s="25" t="s">
        <v>440</v>
      </c>
      <c r="D113" s="26" t="s">
        <v>51</v>
      </c>
      <c r="E113" s="26" t="s">
        <v>411</v>
      </c>
      <c r="F113" s="27" t="n">
        <v>68.404</v>
      </c>
      <c r="G113" s="29" t="s">
        <v>24</v>
      </c>
      <c r="H113" s="25" t="s">
        <v>378</v>
      </c>
      <c r="I113" s="25" t="s">
        <v>441</v>
      </c>
      <c r="J113" s="24" t="s">
        <v>380</v>
      </c>
      <c r="K113" s="26" t="s">
        <v>381</v>
      </c>
      <c r="L113" s="24" t="s">
        <v>382</v>
      </c>
      <c r="M113" s="26" t="s">
        <v>442</v>
      </c>
      <c r="N113" s="25" t="s">
        <v>384</v>
      </c>
      <c r="O113" s="24" t="s">
        <v>45</v>
      </c>
      <c r="P113" s="24" t="s">
        <v>126</v>
      </c>
      <c r="Q113" s="26"/>
    </row>
    <row r="114" customFormat="false" ht="43.5" hidden="false" customHeight="true" outlineLevel="0" collapsed="false">
      <c r="A114" s="24" t="s">
        <v>443</v>
      </c>
      <c r="B114" s="26" t="s">
        <v>444</v>
      </c>
      <c r="C114" s="25" t="s">
        <v>101</v>
      </c>
      <c r="D114" s="26" t="s">
        <v>51</v>
      </c>
      <c r="E114" s="26" t="s">
        <v>103</v>
      </c>
      <c r="F114" s="32" t="n">
        <v>18061781</v>
      </c>
      <c r="G114" s="24" t="s">
        <v>445</v>
      </c>
      <c r="H114" s="25" t="s">
        <v>378</v>
      </c>
      <c r="I114" s="25" t="s">
        <v>446</v>
      </c>
      <c r="J114" s="24" t="s">
        <v>447</v>
      </c>
      <c r="K114" s="26" t="s">
        <v>448</v>
      </c>
      <c r="L114" s="24" t="s">
        <v>449</v>
      </c>
      <c r="M114" s="26" t="s">
        <v>450</v>
      </c>
      <c r="N114" s="28" t="s">
        <v>451</v>
      </c>
      <c r="O114" s="24" t="s">
        <v>45</v>
      </c>
      <c r="P114" s="24" t="s">
        <v>126</v>
      </c>
      <c r="Q114" s="26"/>
    </row>
    <row r="115" customFormat="false" ht="43.5" hidden="false" customHeight="true" outlineLevel="0" collapsed="false">
      <c r="A115" s="24" t="s">
        <v>452</v>
      </c>
      <c r="B115" s="26" t="s">
        <v>444</v>
      </c>
      <c r="C115" s="25" t="s">
        <v>101</v>
      </c>
      <c r="D115" s="26" t="s">
        <v>51</v>
      </c>
      <c r="E115" s="26" t="s">
        <v>453</v>
      </c>
      <c r="F115" s="32" t="n">
        <v>14975435</v>
      </c>
      <c r="G115" s="24" t="s">
        <v>445</v>
      </c>
      <c r="H115" s="25" t="s">
        <v>378</v>
      </c>
      <c r="I115" s="25" t="s">
        <v>454</v>
      </c>
      <c r="J115" s="24" t="s">
        <v>447</v>
      </c>
      <c r="K115" s="26" t="s">
        <v>448</v>
      </c>
      <c r="L115" s="24" t="s">
        <v>449</v>
      </c>
      <c r="M115" s="26" t="s">
        <v>450</v>
      </c>
      <c r="N115" s="28" t="s">
        <v>451</v>
      </c>
      <c r="O115" s="24" t="s">
        <v>45</v>
      </c>
      <c r="P115" s="24" t="s">
        <v>126</v>
      </c>
      <c r="Q115" s="26"/>
    </row>
    <row r="116" customFormat="false" ht="43.5" hidden="false" customHeight="true" outlineLevel="0" collapsed="false">
      <c r="A116" s="24" t="s">
        <v>455</v>
      </c>
      <c r="B116" s="26" t="s">
        <v>444</v>
      </c>
      <c r="C116" s="25" t="s">
        <v>456</v>
      </c>
      <c r="D116" s="26" t="s">
        <v>51</v>
      </c>
      <c r="E116" s="26" t="s">
        <v>103</v>
      </c>
      <c r="F116" s="32" t="n">
        <v>18423634</v>
      </c>
      <c r="G116" s="24" t="s">
        <v>445</v>
      </c>
      <c r="H116" s="25" t="s">
        <v>378</v>
      </c>
      <c r="I116" s="25" t="s">
        <v>457</v>
      </c>
      <c r="J116" s="24" t="s">
        <v>447</v>
      </c>
      <c r="K116" s="26" t="s">
        <v>448</v>
      </c>
      <c r="L116" s="24" t="s">
        <v>449</v>
      </c>
      <c r="M116" s="26" t="s">
        <v>450</v>
      </c>
      <c r="N116" s="28" t="s">
        <v>451</v>
      </c>
      <c r="O116" s="24" t="s">
        <v>45</v>
      </c>
      <c r="P116" s="24" t="s">
        <v>126</v>
      </c>
      <c r="Q116" s="26"/>
    </row>
    <row r="117" customFormat="false" ht="43.5" hidden="false" customHeight="true" outlineLevel="0" collapsed="false">
      <c r="A117" s="24" t="s">
        <v>458</v>
      </c>
      <c r="B117" s="26" t="s">
        <v>444</v>
      </c>
      <c r="C117" s="25" t="s">
        <v>459</v>
      </c>
      <c r="D117" s="26" t="s">
        <v>51</v>
      </c>
      <c r="E117" s="26" t="s">
        <v>103</v>
      </c>
      <c r="F117" s="31" t="n">
        <v>1.08</v>
      </c>
      <c r="G117" s="29" t="s">
        <v>143</v>
      </c>
      <c r="H117" s="25" t="s">
        <v>378</v>
      </c>
      <c r="I117" s="25" t="s">
        <v>460</v>
      </c>
      <c r="J117" s="24" t="s">
        <v>447</v>
      </c>
      <c r="K117" s="26" t="s">
        <v>448</v>
      </c>
      <c r="L117" s="24" t="s">
        <v>449</v>
      </c>
      <c r="M117" s="26" t="s">
        <v>461</v>
      </c>
      <c r="N117" s="28" t="s">
        <v>451</v>
      </c>
      <c r="O117" s="24" t="s">
        <v>45</v>
      </c>
      <c r="P117" s="24" t="s">
        <v>126</v>
      </c>
      <c r="Q117" s="26"/>
    </row>
    <row r="118" customFormat="false" ht="43.5" hidden="false" customHeight="true" outlineLevel="0" collapsed="false">
      <c r="A118" s="24" t="s">
        <v>462</v>
      </c>
      <c r="B118" s="26" t="s">
        <v>444</v>
      </c>
      <c r="C118" s="25" t="s">
        <v>463</v>
      </c>
      <c r="D118" s="26" t="s">
        <v>51</v>
      </c>
      <c r="E118" s="26" t="s">
        <v>103</v>
      </c>
      <c r="F118" s="27" t="n">
        <v>0.19</v>
      </c>
      <c r="G118" s="24" t="s">
        <v>464</v>
      </c>
      <c r="H118" s="25" t="s">
        <v>378</v>
      </c>
      <c r="I118" s="25" t="s">
        <v>465</v>
      </c>
      <c r="J118" s="24" t="s">
        <v>447</v>
      </c>
      <c r="K118" s="26" t="s">
        <v>448</v>
      </c>
      <c r="L118" s="24" t="s">
        <v>449</v>
      </c>
      <c r="M118" s="26" t="s">
        <v>466</v>
      </c>
      <c r="N118" s="28" t="s">
        <v>451</v>
      </c>
      <c r="O118" s="24" t="s">
        <v>45</v>
      </c>
      <c r="P118" s="24" t="s">
        <v>126</v>
      </c>
      <c r="Q118" s="26"/>
    </row>
    <row r="119" customFormat="false" ht="43.5" hidden="false" customHeight="true" outlineLevel="0" collapsed="false">
      <c r="A119" s="24" t="s">
        <v>467</v>
      </c>
      <c r="B119" s="26" t="s">
        <v>444</v>
      </c>
      <c r="C119" s="25" t="s">
        <v>468</v>
      </c>
      <c r="D119" s="26" t="s">
        <v>51</v>
      </c>
      <c r="E119" s="26" t="s">
        <v>103</v>
      </c>
      <c r="F119" s="30" t="n">
        <v>1</v>
      </c>
      <c r="G119" s="29" t="s">
        <v>17</v>
      </c>
      <c r="H119" s="25" t="s">
        <v>378</v>
      </c>
      <c r="I119" s="25" t="s">
        <v>469</v>
      </c>
      <c r="J119" s="24" t="s">
        <v>447</v>
      </c>
      <c r="K119" s="26" t="s">
        <v>448</v>
      </c>
      <c r="L119" s="24" t="s">
        <v>449</v>
      </c>
      <c r="M119" s="26" t="s">
        <v>470</v>
      </c>
      <c r="N119" s="28" t="s">
        <v>451</v>
      </c>
      <c r="O119" s="24" t="s">
        <v>45</v>
      </c>
      <c r="P119" s="24" t="s">
        <v>126</v>
      </c>
      <c r="Q119" s="26"/>
    </row>
    <row r="120" customFormat="false" ht="43.5" hidden="false" customHeight="true" outlineLevel="0" collapsed="false">
      <c r="A120" s="24" t="s">
        <v>471</v>
      </c>
      <c r="B120" s="26" t="s">
        <v>444</v>
      </c>
      <c r="C120" s="25" t="s">
        <v>472</v>
      </c>
      <c r="D120" s="26" t="s">
        <v>51</v>
      </c>
      <c r="E120" s="26" t="s">
        <v>103</v>
      </c>
      <c r="F120" s="30" t="n">
        <v>0.99</v>
      </c>
      <c r="G120" s="29" t="s">
        <v>17</v>
      </c>
      <c r="H120" s="25" t="s">
        <v>378</v>
      </c>
      <c r="I120" s="25" t="s">
        <v>473</v>
      </c>
      <c r="J120" s="24" t="s">
        <v>447</v>
      </c>
      <c r="K120" s="26" t="s">
        <v>448</v>
      </c>
      <c r="L120" s="24" t="s">
        <v>449</v>
      </c>
      <c r="M120" s="26" t="s">
        <v>474</v>
      </c>
      <c r="N120" s="28" t="s">
        <v>451</v>
      </c>
      <c r="O120" s="24" t="s">
        <v>45</v>
      </c>
      <c r="P120" s="29" t="s">
        <v>182</v>
      </c>
      <c r="Q120" s="26"/>
    </row>
    <row r="121" customFormat="false" ht="43.5" hidden="false" customHeight="true" outlineLevel="0" collapsed="false">
      <c r="A121" s="24" t="s">
        <v>475</v>
      </c>
      <c r="B121" s="26" t="s">
        <v>444</v>
      </c>
      <c r="C121" s="25" t="s">
        <v>476</v>
      </c>
      <c r="D121" s="26" t="s">
        <v>51</v>
      </c>
      <c r="E121" s="25" t="s">
        <v>477</v>
      </c>
      <c r="F121" s="32" t="n">
        <v>28</v>
      </c>
      <c r="G121" s="24" t="s">
        <v>189</v>
      </c>
      <c r="H121" s="25" t="s">
        <v>378</v>
      </c>
      <c r="I121" s="25" t="s">
        <v>478</v>
      </c>
      <c r="J121" s="24" t="s">
        <v>479</v>
      </c>
      <c r="K121" s="26" t="s">
        <v>480</v>
      </c>
      <c r="L121" s="24" t="s">
        <v>481</v>
      </c>
      <c r="M121" s="26" t="s">
        <v>482</v>
      </c>
      <c r="N121" s="28" t="s">
        <v>483</v>
      </c>
      <c r="O121" s="24" t="s">
        <v>45</v>
      </c>
      <c r="P121" s="29" t="s">
        <v>257</v>
      </c>
      <c r="Q121" s="26"/>
    </row>
    <row r="122" customFormat="false" ht="43.5" hidden="false" customHeight="true" outlineLevel="0" collapsed="false">
      <c r="A122" s="24" t="s">
        <v>484</v>
      </c>
      <c r="B122" s="26" t="s">
        <v>444</v>
      </c>
      <c r="C122" s="25" t="s">
        <v>485</v>
      </c>
      <c r="D122" s="26" t="s">
        <v>51</v>
      </c>
      <c r="E122" s="25" t="s">
        <v>477</v>
      </c>
      <c r="F122" s="32" t="n">
        <v>27</v>
      </c>
      <c r="G122" s="29" t="s">
        <v>486</v>
      </c>
      <c r="H122" s="25" t="s">
        <v>378</v>
      </c>
      <c r="I122" s="25" t="s">
        <v>487</v>
      </c>
      <c r="J122" s="24" t="s">
        <v>479</v>
      </c>
      <c r="K122" s="26" t="s">
        <v>480</v>
      </c>
      <c r="L122" s="24" t="s">
        <v>481</v>
      </c>
      <c r="M122" s="26" t="s">
        <v>482</v>
      </c>
      <c r="N122" s="28" t="s">
        <v>483</v>
      </c>
      <c r="O122" s="24" t="s">
        <v>45</v>
      </c>
      <c r="P122" s="24" t="s">
        <v>126</v>
      </c>
      <c r="Q122" s="26"/>
    </row>
    <row r="123" customFormat="false" ht="43.5" hidden="false" customHeight="true" outlineLevel="0" collapsed="false">
      <c r="A123" s="24" t="s">
        <v>488</v>
      </c>
      <c r="B123" s="25" t="s">
        <v>242</v>
      </c>
      <c r="C123" s="25" t="s">
        <v>489</v>
      </c>
      <c r="D123" s="25" t="s">
        <v>102</v>
      </c>
      <c r="E123" s="26" t="s">
        <v>103</v>
      </c>
      <c r="F123" s="27" t="n">
        <v>460</v>
      </c>
      <c r="G123" s="24" t="s">
        <v>10</v>
      </c>
      <c r="H123" s="25" t="s">
        <v>104</v>
      </c>
      <c r="I123" s="25" t="s">
        <v>490</v>
      </c>
      <c r="J123" s="24" t="s">
        <v>106</v>
      </c>
      <c r="K123" s="26" t="s">
        <v>107</v>
      </c>
      <c r="L123" s="24" t="s">
        <v>108</v>
      </c>
      <c r="M123" s="25" t="s">
        <v>491</v>
      </c>
      <c r="N123" s="28" t="s">
        <v>110</v>
      </c>
      <c r="O123" s="24" t="s">
        <v>45</v>
      </c>
      <c r="P123" s="29" t="s">
        <v>111</v>
      </c>
      <c r="Q123" s="26"/>
    </row>
    <row r="124" customFormat="false" ht="43.5" hidden="false" customHeight="true" outlineLevel="0" collapsed="false">
      <c r="A124" s="24" t="s">
        <v>492</v>
      </c>
      <c r="B124" s="25" t="s">
        <v>242</v>
      </c>
      <c r="C124" s="25" t="s">
        <v>493</v>
      </c>
      <c r="D124" s="25" t="s">
        <v>102</v>
      </c>
      <c r="E124" s="26" t="s">
        <v>135</v>
      </c>
      <c r="F124" s="27" t="n">
        <v>1000</v>
      </c>
      <c r="G124" s="24" t="s">
        <v>10</v>
      </c>
      <c r="H124" s="25" t="s">
        <v>136</v>
      </c>
      <c r="I124" s="25" t="s">
        <v>494</v>
      </c>
      <c r="J124" s="24" t="s">
        <v>106</v>
      </c>
      <c r="K124" s="26" t="s">
        <v>107</v>
      </c>
      <c r="L124" s="24" t="s">
        <v>108</v>
      </c>
      <c r="M124" s="25" t="s">
        <v>495</v>
      </c>
      <c r="N124" s="28" t="s">
        <v>110</v>
      </c>
      <c r="O124" s="24" t="s">
        <v>45</v>
      </c>
      <c r="P124" s="29" t="s">
        <v>182</v>
      </c>
      <c r="Q124" s="26"/>
    </row>
    <row r="125" customFormat="false" ht="43.5" hidden="false" customHeight="true" outlineLevel="0" collapsed="false">
      <c r="A125" s="24" t="s">
        <v>496</v>
      </c>
      <c r="B125" s="25" t="s">
        <v>497</v>
      </c>
      <c r="C125" s="25" t="s">
        <v>101</v>
      </c>
      <c r="D125" s="25" t="s">
        <v>150</v>
      </c>
      <c r="E125" s="26" t="s">
        <v>498</v>
      </c>
      <c r="F125" s="27" t="n">
        <v>58</v>
      </c>
      <c r="G125" s="24" t="s">
        <v>10</v>
      </c>
      <c r="H125" s="25" t="s">
        <v>104</v>
      </c>
      <c r="I125" s="26" t="s">
        <v>499</v>
      </c>
      <c r="J125" s="24" t="s">
        <v>500</v>
      </c>
      <c r="K125" s="26" t="s">
        <v>501</v>
      </c>
      <c r="L125" s="24" t="s">
        <v>502</v>
      </c>
      <c r="M125" s="26" t="s">
        <v>503</v>
      </c>
      <c r="N125" s="28" t="s">
        <v>504</v>
      </c>
      <c r="O125" s="24" t="s">
        <v>45</v>
      </c>
      <c r="P125" s="29" t="s">
        <v>111</v>
      </c>
      <c r="Q125" s="26"/>
    </row>
    <row r="126" customFormat="false" ht="43.5" hidden="false" customHeight="true" outlineLevel="0" collapsed="false">
      <c r="A126" s="24" t="s">
        <v>505</v>
      </c>
      <c r="B126" s="25" t="s">
        <v>497</v>
      </c>
      <c r="C126" s="25" t="s">
        <v>101</v>
      </c>
      <c r="D126" s="25" t="s">
        <v>150</v>
      </c>
      <c r="E126" s="26" t="s">
        <v>506</v>
      </c>
      <c r="F126" s="27" t="n">
        <v>76</v>
      </c>
      <c r="G126" s="24" t="s">
        <v>10</v>
      </c>
      <c r="H126" s="25" t="s">
        <v>104</v>
      </c>
      <c r="I126" s="26" t="s">
        <v>499</v>
      </c>
      <c r="J126" s="24" t="s">
        <v>500</v>
      </c>
      <c r="K126" s="26" t="s">
        <v>501</v>
      </c>
      <c r="L126" s="24" t="s">
        <v>502</v>
      </c>
      <c r="M126" s="26" t="s">
        <v>503</v>
      </c>
      <c r="N126" s="28" t="s">
        <v>504</v>
      </c>
      <c r="O126" s="24" t="s">
        <v>45</v>
      </c>
      <c r="P126" s="29" t="s">
        <v>111</v>
      </c>
      <c r="Q126" s="26"/>
    </row>
    <row r="127" customFormat="false" ht="43.5" hidden="false" customHeight="true" outlineLevel="0" collapsed="false">
      <c r="A127" s="24" t="s">
        <v>507</v>
      </c>
      <c r="B127" s="25" t="s">
        <v>497</v>
      </c>
      <c r="C127" s="25" t="s">
        <v>101</v>
      </c>
      <c r="D127" s="25" t="s">
        <v>150</v>
      </c>
      <c r="E127" s="26" t="s">
        <v>453</v>
      </c>
      <c r="F127" s="27" t="n">
        <v>176</v>
      </c>
      <c r="G127" s="24" t="s">
        <v>10</v>
      </c>
      <c r="H127" s="25" t="s">
        <v>104</v>
      </c>
      <c r="I127" s="26" t="s">
        <v>508</v>
      </c>
      <c r="J127" s="24" t="s">
        <v>500</v>
      </c>
      <c r="K127" s="26" t="s">
        <v>501</v>
      </c>
      <c r="L127" s="24" t="s">
        <v>502</v>
      </c>
      <c r="M127" s="26" t="s">
        <v>503</v>
      </c>
      <c r="N127" s="28" t="s">
        <v>504</v>
      </c>
      <c r="O127" s="24" t="s">
        <v>45</v>
      </c>
      <c r="P127" s="29" t="s">
        <v>111</v>
      </c>
      <c r="Q127" s="26"/>
    </row>
    <row r="128" customFormat="false" ht="43.5" hidden="false" customHeight="true" outlineLevel="0" collapsed="false">
      <c r="A128" s="24" t="s">
        <v>509</v>
      </c>
      <c r="B128" s="25" t="s">
        <v>497</v>
      </c>
      <c r="C128" s="25" t="s">
        <v>510</v>
      </c>
      <c r="D128" s="25" t="s">
        <v>150</v>
      </c>
      <c r="E128" s="26" t="s">
        <v>453</v>
      </c>
      <c r="F128" s="30" t="n">
        <v>0.044</v>
      </c>
      <c r="G128" s="29" t="s">
        <v>17</v>
      </c>
      <c r="H128" s="25" t="s">
        <v>104</v>
      </c>
      <c r="I128" s="25" t="s">
        <v>511</v>
      </c>
      <c r="J128" s="24" t="s">
        <v>500</v>
      </c>
      <c r="K128" s="26" t="s">
        <v>501</v>
      </c>
      <c r="L128" s="24" t="s">
        <v>502</v>
      </c>
      <c r="M128" s="26" t="s">
        <v>503</v>
      </c>
      <c r="N128" s="28" t="s">
        <v>504</v>
      </c>
      <c r="O128" s="24" t="s">
        <v>45</v>
      </c>
      <c r="P128" s="29" t="s">
        <v>111</v>
      </c>
      <c r="Q128" s="26"/>
    </row>
    <row r="129" customFormat="false" ht="43.5" hidden="false" customHeight="true" outlineLevel="0" collapsed="false">
      <c r="A129" s="24" t="s">
        <v>512</v>
      </c>
      <c r="B129" s="25" t="s">
        <v>497</v>
      </c>
      <c r="C129" s="25" t="s">
        <v>513</v>
      </c>
      <c r="D129" s="25" t="s">
        <v>150</v>
      </c>
      <c r="E129" s="26" t="s">
        <v>514</v>
      </c>
      <c r="F129" s="27" t="n">
        <v>325</v>
      </c>
      <c r="G129" s="24" t="s">
        <v>10</v>
      </c>
      <c r="H129" s="25" t="s">
        <v>136</v>
      </c>
      <c r="I129" s="25" t="s">
        <v>515</v>
      </c>
      <c r="J129" s="24" t="s">
        <v>500</v>
      </c>
      <c r="K129" s="26" t="s">
        <v>501</v>
      </c>
      <c r="L129" s="24" t="s">
        <v>502</v>
      </c>
      <c r="M129" s="26" t="s">
        <v>503</v>
      </c>
      <c r="N129" s="28" t="s">
        <v>504</v>
      </c>
      <c r="O129" s="24" t="s">
        <v>45</v>
      </c>
      <c r="P129" s="29" t="s">
        <v>111</v>
      </c>
      <c r="Q129" s="26"/>
    </row>
    <row r="130" customFormat="false" ht="43.5" hidden="false" customHeight="true" outlineLevel="0" collapsed="false">
      <c r="A130" s="24" t="s">
        <v>516</v>
      </c>
      <c r="B130" s="25" t="s">
        <v>497</v>
      </c>
      <c r="C130" s="25" t="s">
        <v>517</v>
      </c>
      <c r="D130" s="25" t="s">
        <v>150</v>
      </c>
      <c r="E130" s="26" t="s">
        <v>514</v>
      </c>
      <c r="F130" s="27" t="n">
        <v>580</v>
      </c>
      <c r="G130" s="24" t="s">
        <v>10</v>
      </c>
      <c r="H130" s="25" t="s">
        <v>136</v>
      </c>
      <c r="I130" s="25" t="s">
        <v>515</v>
      </c>
      <c r="J130" s="24" t="s">
        <v>500</v>
      </c>
      <c r="K130" s="26" t="s">
        <v>501</v>
      </c>
      <c r="L130" s="24" t="s">
        <v>502</v>
      </c>
      <c r="M130" s="26" t="s">
        <v>503</v>
      </c>
      <c r="N130" s="28" t="s">
        <v>504</v>
      </c>
      <c r="O130" s="24" t="s">
        <v>45</v>
      </c>
      <c r="P130" s="29" t="s">
        <v>111</v>
      </c>
      <c r="Q130" s="26"/>
    </row>
    <row r="131" customFormat="false" ht="43.5" hidden="false" customHeight="true" outlineLevel="0" collapsed="false">
      <c r="A131" s="24" t="s">
        <v>518</v>
      </c>
      <c r="B131" s="25" t="s">
        <v>497</v>
      </c>
      <c r="C131" s="25" t="s">
        <v>519</v>
      </c>
      <c r="D131" s="25" t="s">
        <v>150</v>
      </c>
      <c r="E131" s="26" t="s">
        <v>514</v>
      </c>
      <c r="F131" s="30" t="n">
        <v>0.067</v>
      </c>
      <c r="G131" s="29" t="s">
        <v>17</v>
      </c>
      <c r="H131" s="25" t="s">
        <v>136</v>
      </c>
      <c r="I131" s="25" t="s">
        <v>520</v>
      </c>
      <c r="J131" s="24" t="s">
        <v>500</v>
      </c>
      <c r="K131" s="26" t="s">
        <v>501</v>
      </c>
      <c r="L131" s="24" t="s">
        <v>502</v>
      </c>
      <c r="M131" s="26" t="s">
        <v>503</v>
      </c>
      <c r="N131" s="28" t="s">
        <v>504</v>
      </c>
      <c r="O131" s="24" t="s">
        <v>45</v>
      </c>
      <c r="P131" s="29" t="s">
        <v>111</v>
      </c>
      <c r="Q131" s="26"/>
    </row>
    <row r="132" customFormat="false" ht="43.5" hidden="false" customHeight="true" outlineLevel="0" collapsed="false">
      <c r="A132" s="24" t="s">
        <v>521</v>
      </c>
      <c r="B132" s="25" t="s">
        <v>497</v>
      </c>
      <c r="C132" s="25" t="s">
        <v>522</v>
      </c>
      <c r="D132" s="25" t="s">
        <v>150</v>
      </c>
      <c r="E132" s="26" t="s">
        <v>514</v>
      </c>
      <c r="F132" s="30" t="n">
        <v>0.12</v>
      </c>
      <c r="G132" s="29" t="s">
        <v>17</v>
      </c>
      <c r="H132" s="25" t="s">
        <v>136</v>
      </c>
      <c r="I132" s="25" t="s">
        <v>523</v>
      </c>
      <c r="J132" s="24" t="s">
        <v>500</v>
      </c>
      <c r="K132" s="26" t="s">
        <v>501</v>
      </c>
      <c r="L132" s="24" t="s">
        <v>502</v>
      </c>
      <c r="M132" s="26" t="s">
        <v>503</v>
      </c>
      <c r="N132" s="28" t="s">
        <v>504</v>
      </c>
      <c r="O132" s="24" t="s">
        <v>45</v>
      </c>
      <c r="P132" s="29" t="s">
        <v>111</v>
      </c>
      <c r="Q132" s="26"/>
    </row>
    <row r="133" customFormat="false" ht="43.5" hidden="false" customHeight="true" outlineLevel="0" collapsed="false">
      <c r="A133" s="24" t="s">
        <v>524</v>
      </c>
      <c r="B133" s="25" t="s">
        <v>497</v>
      </c>
      <c r="C133" s="25" t="s">
        <v>101</v>
      </c>
      <c r="D133" s="25" t="s">
        <v>150</v>
      </c>
      <c r="E133" s="26" t="s">
        <v>103</v>
      </c>
      <c r="F133" s="27" t="n">
        <v>180</v>
      </c>
      <c r="G133" s="24" t="s">
        <v>10</v>
      </c>
      <c r="H133" s="25" t="s">
        <v>104</v>
      </c>
      <c r="I133" s="26" t="s">
        <v>525</v>
      </c>
      <c r="J133" s="24" t="s">
        <v>106</v>
      </c>
      <c r="K133" s="26" t="s">
        <v>107</v>
      </c>
      <c r="L133" s="24" t="s">
        <v>108</v>
      </c>
      <c r="M133" s="25" t="s">
        <v>109</v>
      </c>
      <c r="N133" s="28" t="s">
        <v>110</v>
      </c>
      <c r="O133" s="24" t="s">
        <v>45</v>
      </c>
      <c r="P133" s="29" t="s">
        <v>111</v>
      </c>
      <c r="Q133" s="26"/>
    </row>
    <row r="134" customFormat="false" ht="43.5" hidden="false" customHeight="true" outlineLevel="0" collapsed="false">
      <c r="A134" s="24" t="s">
        <v>526</v>
      </c>
      <c r="B134" s="25" t="s">
        <v>497</v>
      </c>
      <c r="C134" s="25" t="s">
        <v>510</v>
      </c>
      <c r="D134" s="25" t="s">
        <v>150</v>
      </c>
      <c r="E134" s="26" t="s">
        <v>103</v>
      </c>
      <c r="F134" s="30" t="n">
        <v>0.04</v>
      </c>
      <c r="G134" s="29" t="s">
        <v>17</v>
      </c>
      <c r="H134" s="25" t="s">
        <v>104</v>
      </c>
      <c r="I134" s="25" t="s">
        <v>527</v>
      </c>
      <c r="J134" s="24" t="s">
        <v>106</v>
      </c>
      <c r="K134" s="26" t="s">
        <v>107</v>
      </c>
      <c r="L134" s="24" t="s">
        <v>108</v>
      </c>
      <c r="M134" s="25" t="s">
        <v>109</v>
      </c>
      <c r="N134" s="28" t="s">
        <v>110</v>
      </c>
      <c r="O134" s="24" t="s">
        <v>45</v>
      </c>
      <c r="P134" s="29" t="s">
        <v>182</v>
      </c>
      <c r="Q134" s="26"/>
    </row>
    <row r="135" customFormat="false" ht="43.5" hidden="false" customHeight="true" outlineLevel="0" collapsed="false">
      <c r="A135" s="24" t="s">
        <v>528</v>
      </c>
      <c r="B135" s="25" t="s">
        <v>497</v>
      </c>
      <c r="C135" s="25" t="s">
        <v>529</v>
      </c>
      <c r="D135" s="25" t="s">
        <v>150</v>
      </c>
      <c r="E135" s="26" t="s">
        <v>158</v>
      </c>
      <c r="F135" s="30" t="n">
        <v>1.3</v>
      </c>
      <c r="G135" s="29" t="s">
        <v>17</v>
      </c>
      <c r="H135" s="25" t="s">
        <v>136</v>
      </c>
      <c r="I135" s="26" t="s">
        <v>530</v>
      </c>
      <c r="J135" s="24" t="s">
        <v>106</v>
      </c>
      <c r="K135" s="26" t="s">
        <v>107</v>
      </c>
      <c r="L135" s="24" t="s">
        <v>108</v>
      </c>
      <c r="M135" s="25" t="s">
        <v>109</v>
      </c>
      <c r="N135" s="28" t="s">
        <v>110</v>
      </c>
      <c r="O135" s="24" t="s">
        <v>45</v>
      </c>
      <c r="P135" s="29" t="s">
        <v>111</v>
      </c>
      <c r="Q135" s="26"/>
    </row>
    <row r="136" customFormat="false" ht="43.5" hidden="false" customHeight="true" outlineLevel="0" collapsed="false">
      <c r="A136" s="24" t="s">
        <v>531</v>
      </c>
      <c r="B136" s="25" t="s">
        <v>532</v>
      </c>
      <c r="C136" s="25" t="s">
        <v>533</v>
      </c>
      <c r="D136" s="25" t="s">
        <v>150</v>
      </c>
      <c r="E136" s="26" t="s">
        <v>192</v>
      </c>
      <c r="F136" s="32" t="n">
        <v>1312</v>
      </c>
      <c r="G136" s="24" t="s">
        <v>189</v>
      </c>
      <c r="H136" s="25" t="s">
        <v>378</v>
      </c>
      <c r="I136" s="25" t="s">
        <v>534</v>
      </c>
      <c r="J136" s="24" t="s">
        <v>535</v>
      </c>
      <c r="K136" s="26" t="s">
        <v>536</v>
      </c>
      <c r="L136" s="24" t="s">
        <v>537</v>
      </c>
      <c r="M136" s="26" t="s">
        <v>538</v>
      </c>
      <c r="N136" s="28" t="s">
        <v>539</v>
      </c>
      <c r="O136" s="24" t="s">
        <v>45</v>
      </c>
      <c r="P136" s="24" t="s">
        <v>126</v>
      </c>
      <c r="Q136" s="26"/>
    </row>
    <row r="137" customFormat="false" ht="43.5" hidden="false" customHeight="true" outlineLevel="0" collapsed="false">
      <c r="A137" s="24" t="s">
        <v>540</v>
      </c>
      <c r="B137" s="25" t="s">
        <v>532</v>
      </c>
      <c r="C137" s="25" t="s">
        <v>541</v>
      </c>
      <c r="D137" s="25" t="s">
        <v>150</v>
      </c>
      <c r="E137" s="26" t="s">
        <v>542</v>
      </c>
      <c r="F137" s="32" t="n">
        <v>5</v>
      </c>
      <c r="G137" s="29" t="s">
        <v>221</v>
      </c>
      <c r="H137" s="25" t="s">
        <v>378</v>
      </c>
      <c r="I137" s="25" t="s">
        <v>543</v>
      </c>
      <c r="J137" s="24" t="s">
        <v>535</v>
      </c>
      <c r="K137" s="26" t="s">
        <v>536</v>
      </c>
      <c r="L137" s="24" t="s">
        <v>537</v>
      </c>
      <c r="M137" s="26" t="s">
        <v>538</v>
      </c>
      <c r="N137" s="28" t="s">
        <v>539</v>
      </c>
      <c r="O137" s="24" t="s">
        <v>45</v>
      </c>
      <c r="P137" s="29" t="s">
        <v>182</v>
      </c>
      <c r="Q137" s="26"/>
    </row>
    <row r="138" customFormat="false" ht="43.5" hidden="false" customHeight="true" outlineLevel="0" collapsed="false">
      <c r="A138" s="24" t="s">
        <v>544</v>
      </c>
      <c r="B138" s="25" t="s">
        <v>532</v>
      </c>
      <c r="C138" s="26" t="s">
        <v>545</v>
      </c>
      <c r="D138" s="25" t="s">
        <v>150</v>
      </c>
      <c r="E138" s="25" t="s">
        <v>546</v>
      </c>
      <c r="F138" s="30" t="n">
        <v>0.13</v>
      </c>
      <c r="G138" s="29" t="s">
        <v>17</v>
      </c>
      <c r="H138" s="25" t="s">
        <v>378</v>
      </c>
      <c r="I138" s="25" t="s">
        <v>547</v>
      </c>
      <c r="J138" s="24" t="s">
        <v>535</v>
      </c>
      <c r="K138" s="26" t="s">
        <v>536</v>
      </c>
      <c r="L138" s="24" t="s">
        <v>537</v>
      </c>
      <c r="M138" s="26" t="s">
        <v>538</v>
      </c>
      <c r="N138" s="28" t="s">
        <v>539</v>
      </c>
      <c r="O138" s="24" t="s">
        <v>45</v>
      </c>
      <c r="P138" s="24" t="s">
        <v>126</v>
      </c>
      <c r="Q138" s="26"/>
    </row>
    <row r="139" customFormat="false" ht="43.5" hidden="false" customHeight="true" outlineLevel="0" collapsed="false">
      <c r="A139" s="24" t="s">
        <v>548</v>
      </c>
      <c r="B139" s="25" t="s">
        <v>532</v>
      </c>
      <c r="C139" s="26" t="s">
        <v>549</v>
      </c>
      <c r="D139" s="25" t="s">
        <v>150</v>
      </c>
      <c r="E139" s="25" t="s">
        <v>546</v>
      </c>
      <c r="F139" s="30" t="n">
        <v>0.75</v>
      </c>
      <c r="G139" s="29" t="s">
        <v>17</v>
      </c>
      <c r="H139" s="25" t="s">
        <v>378</v>
      </c>
      <c r="I139" s="25" t="s">
        <v>550</v>
      </c>
      <c r="J139" s="24" t="s">
        <v>535</v>
      </c>
      <c r="K139" s="26" t="s">
        <v>536</v>
      </c>
      <c r="L139" s="24" t="s">
        <v>537</v>
      </c>
      <c r="M139" s="26" t="s">
        <v>538</v>
      </c>
      <c r="N139" s="28" t="s">
        <v>539</v>
      </c>
      <c r="O139" s="24" t="s">
        <v>45</v>
      </c>
      <c r="P139" s="24" t="s">
        <v>126</v>
      </c>
      <c r="Q139" s="26"/>
    </row>
    <row r="140" customFormat="false" ht="43.5" hidden="false" customHeight="true" outlineLevel="0" collapsed="false">
      <c r="A140" s="24" t="s">
        <v>551</v>
      </c>
      <c r="B140" s="25" t="s">
        <v>532</v>
      </c>
      <c r="C140" s="25" t="s">
        <v>552</v>
      </c>
      <c r="D140" s="25" t="s">
        <v>553</v>
      </c>
      <c r="E140" s="26" t="s">
        <v>103</v>
      </c>
      <c r="F140" s="30" t="n">
        <v>0.3</v>
      </c>
      <c r="G140" s="29" t="s">
        <v>17</v>
      </c>
      <c r="H140" s="25" t="s">
        <v>104</v>
      </c>
      <c r="I140" s="25" t="s">
        <v>554</v>
      </c>
      <c r="J140" s="24" t="s">
        <v>106</v>
      </c>
      <c r="K140" s="26" t="s">
        <v>107</v>
      </c>
      <c r="L140" s="24" t="s">
        <v>108</v>
      </c>
      <c r="M140" s="25" t="s">
        <v>555</v>
      </c>
      <c r="N140" s="28" t="s">
        <v>110</v>
      </c>
      <c r="O140" s="24" t="s">
        <v>45</v>
      </c>
      <c r="P140" s="29" t="s">
        <v>182</v>
      </c>
      <c r="Q140" s="26"/>
    </row>
    <row r="141" customFormat="false" ht="43.5" hidden="false" customHeight="true" outlineLevel="0" collapsed="false">
      <c r="A141" s="24" t="s">
        <v>556</v>
      </c>
      <c r="B141" s="25" t="s">
        <v>532</v>
      </c>
      <c r="C141" s="25" t="s">
        <v>557</v>
      </c>
      <c r="D141" s="25" t="s">
        <v>558</v>
      </c>
      <c r="E141" s="26" t="s">
        <v>559</v>
      </c>
      <c r="F141" s="31" t="n">
        <v>1.5</v>
      </c>
      <c r="G141" s="29" t="s">
        <v>143</v>
      </c>
      <c r="H141" s="25" t="s">
        <v>104</v>
      </c>
      <c r="I141" s="25" t="s">
        <v>560</v>
      </c>
      <c r="J141" s="24" t="s">
        <v>106</v>
      </c>
      <c r="K141" s="26" t="s">
        <v>107</v>
      </c>
      <c r="L141" s="24" t="s">
        <v>108</v>
      </c>
      <c r="M141" s="25" t="s">
        <v>561</v>
      </c>
      <c r="N141" s="28" t="s">
        <v>110</v>
      </c>
      <c r="O141" s="24" t="s">
        <v>45</v>
      </c>
      <c r="P141" s="29" t="s">
        <v>111</v>
      </c>
      <c r="Q141" s="26"/>
    </row>
    <row r="142" customFormat="false" ht="43.5" hidden="false" customHeight="true" outlineLevel="0" collapsed="false">
      <c r="A142" s="24" t="s">
        <v>562</v>
      </c>
      <c r="B142" s="25" t="s">
        <v>532</v>
      </c>
      <c r="C142" s="25" t="s">
        <v>563</v>
      </c>
      <c r="D142" s="25" t="s">
        <v>564</v>
      </c>
      <c r="E142" s="26" t="s">
        <v>565</v>
      </c>
      <c r="F142" s="31" t="n">
        <v>2.6</v>
      </c>
      <c r="G142" s="29" t="s">
        <v>143</v>
      </c>
      <c r="H142" s="25" t="s">
        <v>104</v>
      </c>
      <c r="I142" s="25" t="s">
        <v>566</v>
      </c>
      <c r="J142" s="24" t="s">
        <v>106</v>
      </c>
      <c r="K142" s="26" t="s">
        <v>107</v>
      </c>
      <c r="L142" s="24" t="s">
        <v>108</v>
      </c>
      <c r="M142" s="25" t="s">
        <v>567</v>
      </c>
      <c r="N142" s="28" t="s">
        <v>110</v>
      </c>
      <c r="O142" s="24" t="s">
        <v>45</v>
      </c>
      <c r="P142" s="29" t="s">
        <v>111</v>
      </c>
      <c r="Q142" s="26"/>
    </row>
    <row r="143" customFormat="false" ht="43.5" hidden="false" customHeight="true" outlineLevel="0" collapsed="false">
      <c r="A143" s="24" t="s">
        <v>568</v>
      </c>
      <c r="B143" s="25" t="s">
        <v>532</v>
      </c>
      <c r="C143" s="25" t="s">
        <v>569</v>
      </c>
      <c r="D143" s="25" t="s">
        <v>570</v>
      </c>
      <c r="E143" s="25" t="s">
        <v>220</v>
      </c>
      <c r="F143" s="32" t="n">
        <v>3</v>
      </c>
      <c r="G143" s="29" t="s">
        <v>221</v>
      </c>
      <c r="H143" s="25" t="s">
        <v>104</v>
      </c>
      <c r="I143" s="25" t="s">
        <v>571</v>
      </c>
      <c r="J143" s="24" t="s">
        <v>106</v>
      </c>
      <c r="K143" s="26" t="s">
        <v>107</v>
      </c>
      <c r="L143" s="24" t="s">
        <v>108</v>
      </c>
      <c r="M143" s="25" t="s">
        <v>567</v>
      </c>
      <c r="N143" s="28" t="s">
        <v>110</v>
      </c>
      <c r="O143" s="24" t="s">
        <v>45</v>
      </c>
      <c r="P143" s="29" t="s">
        <v>111</v>
      </c>
      <c r="Q143" s="26"/>
    </row>
    <row r="144" customFormat="false" ht="43.5" hidden="false" customHeight="true" outlineLevel="0" collapsed="false">
      <c r="A144" s="24" t="s">
        <v>572</v>
      </c>
      <c r="B144" s="25" t="s">
        <v>532</v>
      </c>
      <c r="C144" s="25" t="s">
        <v>573</v>
      </c>
      <c r="D144" s="25" t="s">
        <v>570</v>
      </c>
      <c r="E144" s="25" t="s">
        <v>220</v>
      </c>
      <c r="F144" s="32" t="n">
        <v>4</v>
      </c>
      <c r="G144" s="29" t="s">
        <v>221</v>
      </c>
      <c r="H144" s="25" t="s">
        <v>104</v>
      </c>
      <c r="I144" s="25" t="s">
        <v>571</v>
      </c>
      <c r="J144" s="24" t="s">
        <v>106</v>
      </c>
      <c r="K144" s="26" t="s">
        <v>107</v>
      </c>
      <c r="L144" s="24" t="s">
        <v>108</v>
      </c>
      <c r="M144" s="25" t="s">
        <v>567</v>
      </c>
      <c r="N144" s="28" t="s">
        <v>110</v>
      </c>
      <c r="O144" s="24" t="s">
        <v>45</v>
      </c>
      <c r="P144" s="29" t="s">
        <v>111</v>
      </c>
      <c r="Q144" s="26"/>
    </row>
    <row r="145" customFormat="false" ht="43.5" hidden="false" customHeight="true" outlineLevel="0" collapsed="false">
      <c r="A145" s="24" t="s">
        <v>574</v>
      </c>
      <c r="B145" s="25" t="s">
        <v>532</v>
      </c>
      <c r="C145" s="26" t="s">
        <v>575</v>
      </c>
      <c r="D145" s="25" t="s">
        <v>576</v>
      </c>
      <c r="E145" s="25" t="s">
        <v>577</v>
      </c>
      <c r="F145" s="27" t="n">
        <v>14</v>
      </c>
      <c r="G145" s="29" t="s">
        <v>24</v>
      </c>
      <c r="H145" s="25" t="s">
        <v>378</v>
      </c>
      <c r="I145" s="25" t="s">
        <v>578</v>
      </c>
      <c r="J145" s="24" t="s">
        <v>579</v>
      </c>
      <c r="K145" s="26" t="s">
        <v>580</v>
      </c>
      <c r="L145" s="24" t="s">
        <v>581</v>
      </c>
      <c r="M145" s="26" t="s">
        <v>582</v>
      </c>
      <c r="N145" s="28" t="s">
        <v>583</v>
      </c>
      <c r="O145" s="24" t="s">
        <v>45</v>
      </c>
      <c r="P145" s="24" t="s">
        <v>126</v>
      </c>
      <c r="Q145" s="26"/>
    </row>
    <row r="146" customFormat="false" ht="43.5" hidden="false" customHeight="true" outlineLevel="0" collapsed="false">
      <c r="A146" s="24" t="s">
        <v>584</v>
      </c>
      <c r="B146" s="25" t="s">
        <v>532</v>
      </c>
      <c r="C146" s="26" t="s">
        <v>585</v>
      </c>
      <c r="D146" s="25" t="s">
        <v>576</v>
      </c>
      <c r="E146" s="26" t="s">
        <v>103</v>
      </c>
      <c r="F146" s="27" t="n">
        <v>30</v>
      </c>
      <c r="G146" s="29" t="s">
        <v>24</v>
      </c>
      <c r="H146" s="25" t="s">
        <v>378</v>
      </c>
      <c r="I146" s="25" t="s">
        <v>586</v>
      </c>
      <c r="J146" s="24" t="s">
        <v>579</v>
      </c>
      <c r="K146" s="26" t="s">
        <v>580</v>
      </c>
      <c r="L146" s="24" t="s">
        <v>581</v>
      </c>
      <c r="M146" s="26" t="s">
        <v>582</v>
      </c>
      <c r="N146" s="28" t="s">
        <v>583</v>
      </c>
      <c r="O146" s="24" t="s">
        <v>45</v>
      </c>
      <c r="P146" s="29" t="s">
        <v>182</v>
      </c>
      <c r="Q146" s="26"/>
    </row>
    <row r="147" customFormat="false" ht="43.5" hidden="false" customHeight="true" outlineLevel="0" collapsed="false">
      <c r="A147" s="24" t="s">
        <v>587</v>
      </c>
      <c r="B147" s="25" t="s">
        <v>532</v>
      </c>
      <c r="C147" s="26" t="s">
        <v>588</v>
      </c>
      <c r="D147" s="25" t="s">
        <v>576</v>
      </c>
      <c r="E147" s="26" t="s">
        <v>589</v>
      </c>
      <c r="F147" s="32" t="n">
        <v>7</v>
      </c>
      <c r="G147" s="29" t="s">
        <v>221</v>
      </c>
      <c r="H147" s="25" t="s">
        <v>590</v>
      </c>
      <c r="I147" s="25" t="s">
        <v>591</v>
      </c>
      <c r="J147" s="24" t="s">
        <v>579</v>
      </c>
      <c r="K147" s="26" t="s">
        <v>580</v>
      </c>
      <c r="L147" s="24" t="s">
        <v>581</v>
      </c>
      <c r="M147" s="26" t="s">
        <v>582</v>
      </c>
      <c r="N147" s="28" t="s">
        <v>583</v>
      </c>
      <c r="O147" s="24" t="s">
        <v>45</v>
      </c>
      <c r="P147" s="29" t="s">
        <v>111</v>
      </c>
      <c r="Q147" s="26"/>
    </row>
    <row r="148" customFormat="false" ht="43.5" hidden="false" customHeight="true" outlineLevel="0" collapsed="false">
      <c r="A148" s="24" t="s">
        <v>592</v>
      </c>
      <c r="B148" s="25" t="s">
        <v>593</v>
      </c>
      <c r="C148" s="25" t="s">
        <v>594</v>
      </c>
      <c r="D148" s="26" t="s">
        <v>595</v>
      </c>
      <c r="E148" s="26" t="s">
        <v>116</v>
      </c>
      <c r="F148" s="32" t="n">
        <v>182690</v>
      </c>
      <c r="G148" s="24" t="s">
        <v>596</v>
      </c>
      <c r="H148" s="25" t="s">
        <v>378</v>
      </c>
      <c r="I148" s="25" t="s">
        <v>597</v>
      </c>
      <c r="J148" s="24" t="s">
        <v>598</v>
      </c>
      <c r="K148" s="26" t="s">
        <v>599</v>
      </c>
      <c r="L148" s="24" t="s">
        <v>600</v>
      </c>
      <c r="M148" s="26" t="s">
        <v>601</v>
      </c>
      <c r="N148" s="25" t="s">
        <v>602</v>
      </c>
      <c r="O148" s="24" t="s">
        <v>45</v>
      </c>
      <c r="P148" s="24" t="s">
        <v>126</v>
      </c>
      <c r="Q148" s="26"/>
    </row>
    <row r="149" customFormat="false" ht="43.5" hidden="false" customHeight="true" outlineLevel="0" collapsed="false">
      <c r="A149" s="24" t="s">
        <v>603</v>
      </c>
      <c r="B149" s="25" t="s">
        <v>593</v>
      </c>
      <c r="C149" s="25" t="s">
        <v>604</v>
      </c>
      <c r="D149" s="26" t="s">
        <v>595</v>
      </c>
      <c r="E149" s="26" t="s">
        <v>116</v>
      </c>
      <c r="F149" s="30" t="n">
        <v>0.947</v>
      </c>
      <c r="G149" s="29" t="s">
        <v>17</v>
      </c>
      <c r="H149" s="25" t="s">
        <v>378</v>
      </c>
      <c r="I149" s="25" t="s">
        <v>605</v>
      </c>
      <c r="J149" s="24" t="s">
        <v>598</v>
      </c>
      <c r="K149" s="26" t="s">
        <v>599</v>
      </c>
      <c r="L149" s="24" t="s">
        <v>600</v>
      </c>
      <c r="M149" s="26" t="s">
        <v>606</v>
      </c>
      <c r="N149" s="25" t="s">
        <v>602</v>
      </c>
      <c r="O149" s="24" t="s">
        <v>45</v>
      </c>
      <c r="P149" s="24" t="s">
        <v>126</v>
      </c>
      <c r="Q149" s="26"/>
    </row>
    <row r="150" customFormat="false" ht="43.5" hidden="false" customHeight="true" outlineLevel="0" collapsed="false">
      <c r="A150" s="24" t="s">
        <v>607</v>
      </c>
      <c r="B150" s="25" t="s">
        <v>593</v>
      </c>
      <c r="C150" s="25" t="s">
        <v>594</v>
      </c>
      <c r="D150" s="26" t="s">
        <v>595</v>
      </c>
      <c r="E150" s="26" t="s">
        <v>608</v>
      </c>
      <c r="F150" s="32" t="n">
        <v>88827</v>
      </c>
      <c r="G150" s="24" t="s">
        <v>596</v>
      </c>
      <c r="H150" s="25" t="s">
        <v>378</v>
      </c>
      <c r="I150" s="25" t="s">
        <v>597</v>
      </c>
      <c r="J150" s="24" t="s">
        <v>609</v>
      </c>
      <c r="K150" s="26" t="s">
        <v>610</v>
      </c>
      <c r="L150" s="24" t="s">
        <v>611</v>
      </c>
      <c r="M150" s="26" t="s">
        <v>612</v>
      </c>
      <c r="N150" s="25" t="s">
        <v>613</v>
      </c>
      <c r="O150" s="24" t="s">
        <v>45</v>
      </c>
      <c r="P150" s="24" t="s">
        <v>126</v>
      </c>
      <c r="Q150" s="26"/>
    </row>
    <row r="151" customFormat="false" ht="43.5" hidden="false" customHeight="true" outlineLevel="0" collapsed="false">
      <c r="A151" s="24" t="s">
        <v>614</v>
      </c>
      <c r="B151" s="25" t="s">
        <v>593</v>
      </c>
      <c r="C151" s="25" t="s">
        <v>604</v>
      </c>
      <c r="D151" s="26" t="s">
        <v>595</v>
      </c>
      <c r="E151" s="26" t="s">
        <v>608</v>
      </c>
      <c r="F151" s="30" t="n">
        <v>0.927</v>
      </c>
      <c r="G151" s="29" t="s">
        <v>17</v>
      </c>
      <c r="H151" s="25" t="s">
        <v>378</v>
      </c>
      <c r="I151" s="25" t="s">
        <v>615</v>
      </c>
      <c r="J151" s="24" t="s">
        <v>609</v>
      </c>
      <c r="K151" s="26" t="s">
        <v>610</v>
      </c>
      <c r="L151" s="24" t="s">
        <v>611</v>
      </c>
      <c r="M151" s="26" t="s">
        <v>616</v>
      </c>
      <c r="N151" s="25" t="s">
        <v>613</v>
      </c>
      <c r="O151" s="24" t="s">
        <v>45</v>
      </c>
      <c r="P151" s="24" t="s">
        <v>126</v>
      </c>
      <c r="Q151" s="26"/>
    </row>
    <row r="152" customFormat="false" ht="43.5" hidden="false" customHeight="true" outlineLevel="0" collapsed="false">
      <c r="A152" s="24" t="s">
        <v>617</v>
      </c>
      <c r="B152" s="25" t="s">
        <v>593</v>
      </c>
      <c r="C152" s="25" t="s">
        <v>618</v>
      </c>
      <c r="D152" s="26" t="s">
        <v>595</v>
      </c>
      <c r="E152" s="26" t="s">
        <v>192</v>
      </c>
      <c r="F152" s="32" t="n">
        <v>22</v>
      </c>
      <c r="G152" s="24" t="s">
        <v>189</v>
      </c>
      <c r="H152" s="25" t="s">
        <v>378</v>
      </c>
      <c r="I152" s="25" t="s">
        <v>619</v>
      </c>
      <c r="J152" s="24" t="s">
        <v>598</v>
      </c>
      <c r="K152" s="26" t="s">
        <v>599</v>
      </c>
      <c r="L152" s="24" t="s">
        <v>600</v>
      </c>
      <c r="M152" s="26" t="s">
        <v>620</v>
      </c>
      <c r="N152" s="25" t="s">
        <v>602</v>
      </c>
      <c r="O152" s="24" t="s">
        <v>45</v>
      </c>
      <c r="P152" s="29" t="s">
        <v>111</v>
      </c>
      <c r="Q152" s="26"/>
    </row>
    <row r="153" customFormat="false" ht="43.5" hidden="false" customHeight="true" outlineLevel="0" collapsed="false">
      <c r="A153" s="24" t="s">
        <v>621</v>
      </c>
      <c r="B153" s="25" t="s">
        <v>593</v>
      </c>
      <c r="C153" s="26" t="s">
        <v>622</v>
      </c>
      <c r="D153" s="26" t="s">
        <v>623</v>
      </c>
      <c r="E153" s="26" t="s">
        <v>624</v>
      </c>
      <c r="F153" s="32" t="n">
        <v>21</v>
      </c>
      <c r="G153" s="24" t="s">
        <v>189</v>
      </c>
      <c r="H153" s="25" t="s">
        <v>378</v>
      </c>
      <c r="I153" s="26" t="s">
        <v>625</v>
      </c>
      <c r="J153" s="24" t="s">
        <v>598</v>
      </c>
      <c r="K153" s="26" t="s">
        <v>599</v>
      </c>
      <c r="L153" s="24" t="s">
        <v>600</v>
      </c>
      <c r="M153" s="26" t="s">
        <v>626</v>
      </c>
      <c r="N153" s="25" t="s">
        <v>602</v>
      </c>
      <c r="O153" s="24" t="s">
        <v>45</v>
      </c>
      <c r="P153" s="29" t="s">
        <v>111</v>
      </c>
      <c r="Q153" s="26"/>
    </row>
    <row r="154" customFormat="false" ht="43.5" hidden="false" customHeight="true" outlineLevel="0" collapsed="false">
      <c r="A154" s="24" t="s">
        <v>627</v>
      </c>
      <c r="B154" s="25" t="s">
        <v>593</v>
      </c>
      <c r="C154" s="25" t="s">
        <v>628</v>
      </c>
      <c r="D154" s="26" t="s">
        <v>629</v>
      </c>
      <c r="E154" s="26" t="s">
        <v>624</v>
      </c>
      <c r="F154" s="32" t="n">
        <v>55</v>
      </c>
      <c r="G154" s="24" t="s">
        <v>189</v>
      </c>
      <c r="H154" s="25" t="s">
        <v>378</v>
      </c>
      <c r="I154" s="25" t="s">
        <v>630</v>
      </c>
      <c r="J154" s="24" t="s">
        <v>598</v>
      </c>
      <c r="K154" s="26" t="s">
        <v>599</v>
      </c>
      <c r="L154" s="24" t="s">
        <v>600</v>
      </c>
      <c r="M154" s="26" t="s">
        <v>631</v>
      </c>
      <c r="N154" s="25" t="s">
        <v>602</v>
      </c>
      <c r="O154" s="24" t="s">
        <v>45</v>
      </c>
      <c r="P154" s="29" t="s">
        <v>111</v>
      </c>
      <c r="Q154" s="26"/>
    </row>
    <row r="155" customFormat="false" ht="43.5" hidden="false" customHeight="true" outlineLevel="0" collapsed="false">
      <c r="A155" s="24" t="s">
        <v>632</v>
      </c>
      <c r="B155" s="25" t="s">
        <v>593</v>
      </c>
      <c r="C155" s="26" t="s">
        <v>633</v>
      </c>
      <c r="D155" s="26" t="s">
        <v>623</v>
      </c>
      <c r="E155" s="26" t="s">
        <v>624</v>
      </c>
      <c r="F155" s="32" t="n">
        <v>800</v>
      </c>
      <c r="G155" s="24" t="s">
        <v>76</v>
      </c>
      <c r="H155" s="25" t="s">
        <v>378</v>
      </c>
      <c r="I155" s="25" t="s">
        <v>634</v>
      </c>
      <c r="J155" s="24" t="s">
        <v>598</v>
      </c>
      <c r="K155" s="26" t="s">
        <v>599</v>
      </c>
      <c r="L155" s="24" t="s">
        <v>600</v>
      </c>
      <c r="M155" s="26" t="s">
        <v>631</v>
      </c>
      <c r="N155" s="25" t="s">
        <v>602</v>
      </c>
      <c r="O155" s="24" t="s">
        <v>45</v>
      </c>
      <c r="P155" s="29" t="s">
        <v>111</v>
      </c>
      <c r="Q155" s="26"/>
    </row>
    <row r="156" customFormat="false" ht="43.5" hidden="false" customHeight="true" outlineLevel="0" collapsed="false">
      <c r="A156" s="24" t="s">
        <v>635</v>
      </c>
      <c r="B156" s="25" t="s">
        <v>593</v>
      </c>
      <c r="C156" s="26" t="s">
        <v>636</v>
      </c>
      <c r="D156" s="26" t="s">
        <v>623</v>
      </c>
      <c r="E156" s="26" t="s">
        <v>624</v>
      </c>
      <c r="F156" s="32" t="n">
        <v>730</v>
      </c>
      <c r="G156" s="24" t="s">
        <v>76</v>
      </c>
      <c r="H156" s="25" t="s">
        <v>378</v>
      </c>
      <c r="I156" s="26" t="s">
        <v>637</v>
      </c>
      <c r="J156" s="24" t="s">
        <v>598</v>
      </c>
      <c r="K156" s="26" t="s">
        <v>599</v>
      </c>
      <c r="L156" s="24" t="s">
        <v>600</v>
      </c>
      <c r="M156" s="26" t="s">
        <v>631</v>
      </c>
      <c r="N156" s="25" t="s">
        <v>602</v>
      </c>
      <c r="O156" s="24" t="s">
        <v>45</v>
      </c>
      <c r="P156" s="29" t="s">
        <v>111</v>
      </c>
      <c r="Q156" s="26"/>
    </row>
    <row r="157" customFormat="false" ht="43.5" hidden="false" customHeight="true" outlineLevel="0" collapsed="false">
      <c r="A157" s="24" t="s">
        <v>638</v>
      </c>
      <c r="B157" s="25" t="s">
        <v>639</v>
      </c>
      <c r="C157" s="26" t="s">
        <v>640</v>
      </c>
      <c r="D157" s="26" t="s">
        <v>641</v>
      </c>
      <c r="E157" s="26" t="s">
        <v>642</v>
      </c>
      <c r="F157" s="32" t="n">
        <v>20</v>
      </c>
      <c r="G157" s="29" t="s">
        <v>221</v>
      </c>
      <c r="H157" s="25" t="s">
        <v>378</v>
      </c>
      <c r="I157" s="25" t="s">
        <v>643</v>
      </c>
      <c r="J157" s="24" t="s">
        <v>598</v>
      </c>
      <c r="K157" s="26" t="s">
        <v>599</v>
      </c>
      <c r="L157" s="24" t="s">
        <v>600</v>
      </c>
      <c r="M157" s="26" t="s">
        <v>644</v>
      </c>
      <c r="N157" s="25" t="s">
        <v>602</v>
      </c>
      <c r="O157" s="24" t="s">
        <v>45</v>
      </c>
      <c r="P157" s="24" t="s">
        <v>126</v>
      </c>
      <c r="Q157" s="26"/>
    </row>
    <row r="158" customFormat="false" ht="43.5" hidden="false" customHeight="true" outlineLevel="0" collapsed="false">
      <c r="A158" s="24" t="s">
        <v>645</v>
      </c>
      <c r="B158" s="25" t="s">
        <v>639</v>
      </c>
      <c r="C158" s="26" t="s">
        <v>646</v>
      </c>
      <c r="D158" s="26" t="s">
        <v>641</v>
      </c>
      <c r="E158" s="25" t="s">
        <v>647</v>
      </c>
      <c r="F158" s="32" t="n">
        <v>835</v>
      </c>
      <c r="G158" s="24" t="s">
        <v>76</v>
      </c>
      <c r="H158" s="25" t="s">
        <v>648</v>
      </c>
      <c r="I158" s="25" t="s">
        <v>649</v>
      </c>
      <c r="J158" s="24" t="s">
        <v>598</v>
      </c>
      <c r="K158" s="26" t="s">
        <v>599</v>
      </c>
      <c r="L158" s="24" t="s">
        <v>600</v>
      </c>
      <c r="M158" s="26" t="s">
        <v>644</v>
      </c>
      <c r="N158" s="25" t="s">
        <v>602</v>
      </c>
      <c r="O158" s="24" t="s">
        <v>45</v>
      </c>
      <c r="P158" s="29" t="s">
        <v>111</v>
      </c>
      <c r="Q158" s="26"/>
    </row>
    <row r="159" customFormat="false" ht="43.5" hidden="false" customHeight="true" outlineLevel="0" collapsed="false">
      <c r="A159" s="24" t="s">
        <v>650</v>
      </c>
      <c r="B159" s="25" t="s">
        <v>639</v>
      </c>
      <c r="C159" s="26" t="s">
        <v>651</v>
      </c>
      <c r="D159" s="25" t="s">
        <v>652</v>
      </c>
      <c r="E159" s="26" t="s">
        <v>653</v>
      </c>
      <c r="F159" s="27" t="n">
        <v>1</v>
      </c>
      <c r="G159" s="29" t="s">
        <v>24</v>
      </c>
      <c r="H159" s="25" t="s">
        <v>378</v>
      </c>
      <c r="I159" s="25" t="s">
        <v>654</v>
      </c>
      <c r="J159" s="24" t="s">
        <v>609</v>
      </c>
      <c r="K159" s="26" t="s">
        <v>610</v>
      </c>
      <c r="L159" s="24" t="s">
        <v>611</v>
      </c>
      <c r="M159" s="26" t="s">
        <v>655</v>
      </c>
      <c r="N159" s="25" t="s">
        <v>613</v>
      </c>
      <c r="O159" s="24" t="s">
        <v>45</v>
      </c>
      <c r="P159" s="24" t="s">
        <v>126</v>
      </c>
      <c r="Q159" s="26"/>
    </row>
    <row r="160" customFormat="false" ht="43.5" hidden="false" customHeight="true" outlineLevel="0" collapsed="false">
      <c r="A160" s="24" t="s">
        <v>656</v>
      </c>
      <c r="B160" s="25" t="s">
        <v>639</v>
      </c>
      <c r="C160" s="26" t="s">
        <v>657</v>
      </c>
      <c r="D160" s="25" t="s">
        <v>652</v>
      </c>
      <c r="E160" s="26" t="s">
        <v>658</v>
      </c>
      <c r="F160" s="30" t="n">
        <v>0.00375</v>
      </c>
      <c r="G160" s="29" t="s">
        <v>17</v>
      </c>
      <c r="H160" s="25" t="s">
        <v>378</v>
      </c>
      <c r="I160" s="25" t="s">
        <v>659</v>
      </c>
      <c r="J160" s="24" t="s">
        <v>609</v>
      </c>
      <c r="K160" s="26" t="s">
        <v>610</v>
      </c>
      <c r="L160" s="24" t="s">
        <v>611</v>
      </c>
      <c r="M160" s="26" t="s">
        <v>660</v>
      </c>
      <c r="N160" s="25" t="s">
        <v>613</v>
      </c>
      <c r="O160" s="24" t="s">
        <v>45</v>
      </c>
      <c r="P160" s="24" t="s">
        <v>126</v>
      </c>
      <c r="Q160" s="26"/>
    </row>
    <row r="161" customFormat="false" ht="43.5" hidden="false" customHeight="true" outlineLevel="0" collapsed="false">
      <c r="A161" s="24" t="s">
        <v>661</v>
      </c>
      <c r="B161" s="25" t="s">
        <v>639</v>
      </c>
      <c r="C161" s="26" t="s">
        <v>662</v>
      </c>
      <c r="D161" s="26" t="s">
        <v>663</v>
      </c>
      <c r="E161" s="26" t="s">
        <v>664</v>
      </c>
      <c r="F161" s="32" t="n">
        <v>2030</v>
      </c>
      <c r="G161" s="29" t="s">
        <v>221</v>
      </c>
      <c r="H161" s="25" t="s">
        <v>104</v>
      </c>
      <c r="I161" s="25" t="s">
        <v>665</v>
      </c>
      <c r="J161" s="24" t="s">
        <v>609</v>
      </c>
      <c r="K161" s="26" t="s">
        <v>610</v>
      </c>
      <c r="L161" s="24" t="s">
        <v>611</v>
      </c>
      <c r="M161" s="26" t="s">
        <v>666</v>
      </c>
      <c r="N161" s="25" t="s">
        <v>613</v>
      </c>
      <c r="O161" s="24" t="s">
        <v>45</v>
      </c>
      <c r="P161" s="24" t="s">
        <v>126</v>
      </c>
      <c r="Q161" s="26"/>
    </row>
    <row r="162" customFormat="false" ht="43.5" hidden="false" customHeight="true" outlineLevel="0" collapsed="false">
      <c r="A162" s="24" t="s">
        <v>667</v>
      </c>
      <c r="B162" s="25" t="s">
        <v>639</v>
      </c>
      <c r="C162" s="26" t="s">
        <v>668</v>
      </c>
      <c r="D162" s="26" t="s">
        <v>669</v>
      </c>
      <c r="E162" s="26" t="s">
        <v>670</v>
      </c>
      <c r="F162" s="32" t="n">
        <v>20</v>
      </c>
      <c r="G162" s="29" t="s">
        <v>221</v>
      </c>
      <c r="H162" s="25" t="s">
        <v>378</v>
      </c>
      <c r="I162" s="25" t="s">
        <v>671</v>
      </c>
      <c r="J162" s="24" t="s">
        <v>598</v>
      </c>
      <c r="K162" s="26" t="s">
        <v>599</v>
      </c>
      <c r="L162" s="24" t="s">
        <v>600</v>
      </c>
      <c r="M162" s="26" t="s">
        <v>672</v>
      </c>
      <c r="N162" s="25" t="s">
        <v>602</v>
      </c>
      <c r="O162" s="24" t="s">
        <v>45</v>
      </c>
      <c r="P162" s="24" t="s">
        <v>126</v>
      </c>
      <c r="Q162" s="26"/>
    </row>
    <row r="163" customFormat="false" ht="43.5" hidden="false" customHeight="true" outlineLevel="0" collapsed="false">
      <c r="A163" s="24" t="s">
        <v>673</v>
      </c>
      <c r="B163" s="25" t="s">
        <v>639</v>
      </c>
      <c r="C163" s="26" t="s">
        <v>674</v>
      </c>
      <c r="D163" s="26" t="s">
        <v>669</v>
      </c>
      <c r="E163" s="26" t="s">
        <v>675</v>
      </c>
      <c r="F163" s="32" t="n">
        <v>2027</v>
      </c>
      <c r="G163" s="29" t="s">
        <v>221</v>
      </c>
      <c r="H163" s="25" t="s">
        <v>648</v>
      </c>
      <c r="I163" s="26" t="s">
        <v>676</v>
      </c>
      <c r="J163" s="24" t="s">
        <v>598</v>
      </c>
      <c r="K163" s="26" t="s">
        <v>599</v>
      </c>
      <c r="L163" s="24" t="s">
        <v>600</v>
      </c>
      <c r="M163" s="26" t="s">
        <v>677</v>
      </c>
      <c r="N163" s="25" t="s">
        <v>602</v>
      </c>
      <c r="O163" s="24" t="s">
        <v>45</v>
      </c>
      <c r="P163" s="24" t="s">
        <v>126</v>
      </c>
      <c r="Q163" s="26"/>
    </row>
    <row r="164" customFormat="false" ht="43.5" hidden="false" customHeight="true" outlineLevel="0" collapsed="false">
      <c r="A164" s="24" t="s">
        <v>678</v>
      </c>
      <c r="B164" s="25" t="s">
        <v>639</v>
      </c>
      <c r="C164" s="26" t="s">
        <v>679</v>
      </c>
      <c r="D164" s="26" t="s">
        <v>669</v>
      </c>
      <c r="E164" s="25" t="s">
        <v>680</v>
      </c>
      <c r="F164" s="32" t="n">
        <v>30</v>
      </c>
      <c r="G164" s="24" t="s">
        <v>76</v>
      </c>
      <c r="H164" s="25" t="s">
        <v>648</v>
      </c>
      <c r="I164" s="25" t="s">
        <v>681</v>
      </c>
      <c r="J164" s="24" t="s">
        <v>598</v>
      </c>
      <c r="K164" s="26" t="s">
        <v>599</v>
      </c>
      <c r="L164" s="24" t="s">
        <v>600</v>
      </c>
      <c r="M164" s="26" t="s">
        <v>677</v>
      </c>
      <c r="N164" s="25" t="s">
        <v>602</v>
      </c>
      <c r="O164" s="24" t="s">
        <v>45</v>
      </c>
      <c r="P164" s="24" t="s">
        <v>126</v>
      </c>
      <c r="Q164" s="26"/>
    </row>
    <row r="165" customFormat="false" ht="43.5" hidden="false" customHeight="true" outlineLevel="0" collapsed="false">
      <c r="A165" s="24" t="s">
        <v>682</v>
      </c>
      <c r="B165" s="25" t="s">
        <v>639</v>
      </c>
      <c r="C165" s="26" t="s">
        <v>683</v>
      </c>
      <c r="D165" s="26" t="s">
        <v>669</v>
      </c>
      <c r="E165" s="26" t="s">
        <v>684</v>
      </c>
      <c r="F165" s="32" t="n">
        <v>2029</v>
      </c>
      <c r="G165" s="29" t="s">
        <v>221</v>
      </c>
      <c r="H165" s="25" t="s">
        <v>685</v>
      </c>
      <c r="I165" s="25" t="s">
        <v>686</v>
      </c>
      <c r="J165" s="24" t="s">
        <v>598</v>
      </c>
      <c r="K165" s="26" t="s">
        <v>599</v>
      </c>
      <c r="L165" s="24" t="s">
        <v>600</v>
      </c>
      <c r="M165" s="26" t="s">
        <v>677</v>
      </c>
      <c r="N165" s="25" t="s">
        <v>602</v>
      </c>
      <c r="O165" s="24" t="s">
        <v>45</v>
      </c>
      <c r="P165" s="24" t="s">
        <v>126</v>
      </c>
      <c r="Q165" s="26"/>
    </row>
    <row r="166" customFormat="false" ht="43.5" hidden="false" customHeight="true" outlineLevel="0" collapsed="false">
      <c r="A166" s="24" t="s">
        <v>687</v>
      </c>
      <c r="B166" s="25" t="s">
        <v>639</v>
      </c>
      <c r="C166" s="26" t="s">
        <v>688</v>
      </c>
      <c r="D166" s="26" t="s">
        <v>669</v>
      </c>
      <c r="E166" s="26" t="s">
        <v>689</v>
      </c>
      <c r="F166" s="32" t="n">
        <v>1121</v>
      </c>
      <c r="G166" s="24" t="s">
        <v>76</v>
      </c>
      <c r="H166" s="25" t="s">
        <v>378</v>
      </c>
      <c r="I166" s="25" t="s">
        <v>690</v>
      </c>
      <c r="J166" s="24" t="s">
        <v>691</v>
      </c>
      <c r="K166" s="26" t="s">
        <v>692</v>
      </c>
      <c r="L166" s="24" t="s">
        <v>693</v>
      </c>
      <c r="M166" s="25" t="s">
        <v>694</v>
      </c>
      <c r="N166" s="28" t="s">
        <v>695</v>
      </c>
      <c r="O166" s="24" t="s">
        <v>45</v>
      </c>
      <c r="P166" s="24" t="s">
        <v>126</v>
      </c>
      <c r="Q166" s="26"/>
    </row>
    <row r="167" customFormat="false" ht="43.5" hidden="false" customHeight="true" outlineLevel="0" collapsed="false">
      <c r="A167" s="24" t="s">
        <v>696</v>
      </c>
      <c r="B167" s="25" t="s">
        <v>639</v>
      </c>
      <c r="C167" s="26" t="s">
        <v>697</v>
      </c>
      <c r="D167" s="26" t="s">
        <v>595</v>
      </c>
      <c r="E167" s="26" t="s">
        <v>192</v>
      </c>
      <c r="F167" s="32" t="n">
        <v>1092</v>
      </c>
      <c r="G167" s="24" t="s">
        <v>76</v>
      </c>
      <c r="H167" s="25" t="s">
        <v>378</v>
      </c>
      <c r="I167" s="26" t="s">
        <v>698</v>
      </c>
      <c r="J167" s="24" t="s">
        <v>598</v>
      </c>
      <c r="K167" s="26" t="s">
        <v>599</v>
      </c>
      <c r="L167" s="24" t="s">
        <v>600</v>
      </c>
      <c r="M167" s="26" t="s">
        <v>620</v>
      </c>
      <c r="N167" s="25" t="s">
        <v>602</v>
      </c>
      <c r="O167" s="24" t="s">
        <v>45</v>
      </c>
      <c r="P167" s="24" t="s">
        <v>126</v>
      </c>
      <c r="Q167" s="26"/>
    </row>
    <row r="168" customFormat="false" ht="43.5" hidden="false" customHeight="true" outlineLevel="0" collapsed="false">
      <c r="A168" s="24" t="s">
        <v>699</v>
      </c>
      <c r="B168" s="25" t="s">
        <v>639</v>
      </c>
      <c r="C168" s="25" t="s">
        <v>700</v>
      </c>
      <c r="D168" s="26" t="s">
        <v>701</v>
      </c>
      <c r="E168" s="26" t="s">
        <v>658</v>
      </c>
      <c r="F168" s="32" t="n">
        <v>920</v>
      </c>
      <c r="G168" s="24" t="s">
        <v>76</v>
      </c>
      <c r="H168" s="25" t="s">
        <v>378</v>
      </c>
      <c r="I168" s="25" t="s">
        <v>702</v>
      </c>
      <c r="J168" s="24" t="s">
        <v>609</v>
      </c>
      <c r="K168" s="26" t="s">
        <v>610</v>
      </c>
      <c r="L168" s="24" t="s">
        <v>611</v>
      </c>
      <c r="M168" s="26" t="s">
        <v>703</v>
      </c>
      <c r="N168" s="25" t="s">
        <v>613</v>
      </c>
      <c r="O168" s="24" t="s">
        <v>45</v>
      </c>
      <c r="P168" s="24" t="s">
        <v>126</v>
      </c>
      <c r="Q168" s="26"/>
    </row>
    <row r="169" customFormat="false" ht="43.5" hidden="false" customHeight="true" outlineLevel="0" collapsed="false">
      <c r="A169" s="24" t="s">
        <v>704</v>
      </c>
      <c r="B169" s="25" t="s">
        <v>639</v>
      </c>
      <c r="C169" s="25" t="s">
        <v>705</v>
      </c>
      <c r="D169" s="26" t="s">
        <v>701</v>
      </c>
      <c r="E169" s="26" t="s">
        <v>658</v>
      </c>
      <c r="F169" s="32" t="n">
        <v>15</v>
      </c>
      <c r="G169" s="29" t="s">
        <v>221</v>
      </c>
      <c r="H169" s="25" t="s">
        <v>378</v>
      </c>
      <c r="I169" s="25" t="s">
        <v>706</v>
      </c>
      <c r="J169" s="24" t="s">
        <v>609</v>
      </c>
      <c r="K169" s="26" t="s">
        <v>610</v>
      </c>
      <c r="L169" s="24" t="s">
        <v>611</v>
      </c>
      <c r="M169" s="26" t="s">
        <v>703</v>
      </c>
      <c r="N169" s="25" t="s">
        <v>613</v>
      </c>
      <c r="O169" s="24" t="s">
        <v>45</v>
      </c>
      <c r="P169" s="24" t="s">
        <v>126</v>
      </c>
      <c r="Q169" s="26"/>
    </row>
    <row r="170" customFormat="false" ht="43.5" hidden="false" customHeight="true" outlineLevel="0" collapsed="false">
      <c r="A170" s="24" t="s">
        <v>707</v>
      </c>
      <c r="B170" s="25" t="s">
        <v>639</v>
      </c>
      <c r="C170" s="25" t="s">
        <v>708</v>
      </c>
      <c r="D170" s="26" t="s">
        <v>701</v>
      </c>
      <c r="E170" s="26" t="s">
        <v>658</v>
      </c>
      <c r="F170" s="32" t="n">
        <v>20</v>
      </c>
      <c r="G170" s="29" t="s">
        <v>221</v>
      </c>
      <c r="H170" s="25" t="s">
        <v>378</v>
      </c>
      <c r="I170" s="25" t="s">
        <v>706</v>
      </c>
      <c r="J170" s="24" t="s">
        <v>609</v>
      </c>
      <c r="K170" s="26" t="s">
        <v>610</v>
      </c>
      <c r="L170" s="24" t="s">
        <v>611</v>
      </c>
      <c r="M170" s="26" t="s">
        <v>703</v>
      </c>
      <c r="N170" s="25" t="s">
        <v>613</v>
      </c>
      <c r="O170" s="24" t="s">
        <v>45</v>
      </c>
      <c r="P170" s="24" t="s">
        <v>126</v>
      </c>
      <c r="Q170" s="26"/>
    </row>
    <row r="171" customFormat="false" ht="43.5" hidden="false" customHeight="true" outlineLevel="0" collapsed="false">
      <c r="A171" s="24" t="s">
        <v>709</v>
      </c>
      <c r="B171" s="25" t="s">
        <v>639</v>
      </c>
      <c r="C171" s="25" t="s">
        <v>710</v>
      </c>
      <c r="D171" s="26" t="s">
        <v>701</v>
      </c>
      <c r="E171" s="26" t="s">
        <v>684</v>
      </c>
      <c r="F171" s="32" t="n">
        <v>2029</v>
      </c>
      <c r="G171" s="29" t="s">
        <v>221</v>
      </c>
      <c r="H171" s="25" t="s">
        <v>648</v>
      </c>
      <c r="I171" s="25" t="s">
        <v>711</v>
      </c>
      <c r="J171" s="24" t="s">
        <v>609</v>
      </c>
      <c r="K171" s="26" t="s">
        <v>610</v>
      </c>
      <c r="L171" s="24" t="s">
        <v>611</v>
      </c>
      <c r="M171" s="26" t="s">
        <v>703</v>
      </c>
      <c r="N171" s="25" t="s">
        <v>613</v>
      </c>
      <c r="O171" s="24" t="s">
        <v>45</v>
      </c>
      <c r="P171" s="24" t="s">
        <v>126</v>
      </c>
      <c r="Q171" s="26"/>
    </row>
    <row r="172" customFormat="false" ht="43.5" hidden="false" customHeight="true" outlineLevel="0" collapsed="false">
      <c r="A172" s="24" t="s">
        <v>712</v>
      </c>
      <c r="B172" s="25" t="s">
        <v>639</v>
      </c>
      <c r="C172" s="25" t="s">
        <v>713</v>
      </c>
      <c r="D172" s="26" t="s">
        <v>701</v>
      </c>
      <c r="E172" s="26" t="s">
        <v>714</v>
      </c>
      <c r="F172" s="32" t="n">
        <v>2032</v>
      </c>
      <c r="G172" s="29" t="s">
        <v>221</v>
      </c>
      <c r="H172" s="25" t="s">
        <v>648</v>
      </c>
      <c r="I172" s="25" t="s">
        <v>711</v>
      </c>
      <c r="J172" s="24" t="s">
        <v>609</v>
      </c>
      <c r="K172" s="26" t="s">
        <v>610</v>
      </c>
      <c r="L172" s="24" t="s">
        <v>611</v>
      </c>
      <c r="M172" s="26" t="s">
        <v>703</v>
      </c>
      <c r="N172" s="25" t="s">
        <v>613</v>
      </c>
      <c r="O172" s="24" t="s">
        <v>45</v>
      </c>
      <c r="P172" s="24" t="s">
        <v>126</v>
      </c>
      <c r="Q172" s="26"/>
    </row>
    <row r="173" customFormat="false" ht="43.5" hidden="false" customHeight="true" outlineLevel="0" collapsed="false">
      <c r="A173" s="24" t="s">
        <v>715</v>
      </c>
      <c r="B173" s="25" t="s">
        <v>639</v>
      </c>
      <c r="C173" s="26" t="s">
        <v>716</v>
      </c>
      <c r="D173" s="26" t="s">
        <v>717</v>
      </c>
      <c r="E173" s="26" t="s">
        <v>658</v>
      </c>
      <c r="F173" s="32" t="n">
        <v>176</v>
      </c>
      <c r="G173" s="24" t="s">
        <v>76</v>
      </c>
      <c r="H173" s="25" t="s">
        <v>378</v>
      </c>
      <c r="I173" s="25" t="s">
        <v>718</v>
      </c>
      <c r="J173" s="24" t="s">
        <v>609</v>
      </c>
      <c r="K173" s="26" t="s">
        <v>610</v>
      </c>
      <c r="L173" s="24" t="s">
        <v>611</v>
      </c>
      <c r="M173" s="26" t="s">
        <v>703</v>
      </c>
      <c r="N173" s="25" t="s">
        <v>613</v>
      </c>
      <c r="O173" s="24" t="s">
        <v>45</v>
      </c>
      <c r="P173" s="24" t="s">
        <v>126</v>
      </c>
      <c r="Q173" s="26"/>
    </row>
    <row r="174" customFormat="false" ht="43.5" hidden="false" customHeight="true" outlineLevel="0" collapsed="false">
      <c r="A174" s="24" t="s">
        <v>719</v>
      </c>
      <c r="B174" s="25" t="s">
        <v>639</v>
      </c>
      <c r="C174" s="26" t="s">
        <v>720</v>
      </c>
      <c r="D174" s="26" t="s">
        <v>717</v>
      </c>
      <c r="E174" s="26" t="s">
        <v>658</v>
      </c>
      <c r="F174" s="32" t="n">
        <v>30</v>
      </c>
      <c r="G174" s="24" t="s">
        <v>76</v>
      </c>
      <c r="H174" s="25" t="s">
        <v>648</v>
      </c>
      <c r="I174" s="26" t="s">
        <v>721</v>
      </c>
      <c r="J174" s="24" t="s">
        <v>609</v>
      </c>
      <c r="K174" s="26" t="s">
        <v>610</v>
      </c>
      <c r="L174" s="24" t="s">
        <v>611</v>
      </c>
      <c r="M174" s="26" t="s">
        <v>703</v>
      </c>
      <c r="N174" s="25" t="s">
        <v>613</v>
      </c>
      <c r="O174" s="24" t="s">
        <v>45</v>
      </c>
      <c r="P174" s="24" t="s">
        <v>126</v>
      </c>
      <c r="Q174" s="26"/>
    </row>
    <row r="175" customFormat="false" ht="43.5" hidden="false" customHeight="true" outlineLevel="0" collapsed="false">
      <c r="A175" s="24" t="s">
        <v>722</v>
      </c>
      <c r="B175" s="25" t="s">
        <v>639</v>
      </c>
      <c r="C175" s="26" t="s">
        <v>723</v>
      </c>
      <c r="D175" s="26" t="s">
        <v>724</v>
      </c>
      <c r="E175" s="26" t="s">
        <v>725</v>
      </c>
      <c r="F175" s="32" t="n">
        <v>890</v>
      </c>
      <c r="G175" s="24" t="s">
        <v>76</v>
      </c>
      <c r="H175" s="25" t="s">
        <v>648</v>
      </c>
      <c r="I175" s="26" t="s">
        <v>726</v>
      </c>
      <c r="J175" s="24" t="s">
        <v>727</v>
      </c>
      <c r="K175" s="26" t="s">
        <v>728</v>
      </c>
      <c r="L175" s="24" t="s">
        <v>729</v>
      </c>
      <c r="M175" s="25" t="s">
        <v>730</v>
      </c>
      <c r="N175" s="28" t="s">
        <v>731</v>
      </c>
      <c r="O175" s="24" t="s">
        <v>45</v>
      </c>
      <c r="P175" s="24" t="s">
        <v>126</v>
      </c>
      <c r="Q175" s="26"/>
    </row>
    <row r="176" customFormat="false" ht="43.5" hidden="false" customHeight="true" outlineLevel="0" collapsed="false">
      <c r="A176" s="24" t="s">
        <v>732</v>
      </c>
      <c r="B176" s="25" t="s">
        <v>639</v>
      </c>
      <c r="C176" s="26" t="s">
        <v>733</v>
      </c>
      <c r="D176" s="26" t="s">
        <v>724</v>
      </c>
      <c r="E176" s="26" t="s">
        <v>725</v>
      </c>
      <c r="F176" s="32" t="n">
        <v>20</v>
      </c>
      <c r="G176" s="29" t="s">
        <v>221</v>
      </c>
      <c r="H176" s="25" t="s">
        <v>378</v>
      </c>
      <c r="I176" s="25" t="s">
        <v>734</v>
      </c>
      <c r="J176" s="24" t="s">
        <v>727</v>
      </c>
      <c r="K176" s="26" t="s">
        <v>728</v>
      </c>
      <c r="L176" s="24" t="s">
        <v>729</v>
      </c>
      <c r="M176" s="25" t="s">
        <v>730</v>
      </c>
      <c r="N176" s="28" t="s">
        <v>731</v>
      </c>
      <c r="O176" s="24" t="s">
        <v>45</v>
      </c>
      <c r="P176" s="24" t="s">
        <v>126</v>
      </c>
      <c r="Q176" s="26"/>
    </row>
    <row r="177" customFormat="false" ht="43.5" hidden="false" customHeight="true" outlineLevel="0" collapsed="false">
      <c r="A177" s="24" t="s">
        <v>735</v>
      </c>
      <c r="B177" s="25" t="s">
        <v>639</v>
      </c>
      <c r="C177" s="26" t="s">
        <v>736</v>
      </c>
      <c r="D177" s="26" t="s">
        <v>724</v>
      </c>
      <c r="E177" s="26" t="s">
        <v>514</v>
      </c>
      <c r="F177" s="32" t="n">
        <v>2028</v>
      </c>
      <c r="G177" s="29" t="s">
        <v>221</v>
      </c>
      <c r="H177" s="25" t="s">
        <v>685</v>
      </c>
      <c r="I177" s="25" t="s">
        <v>737</v>
      </c>
      <c r="J177" s="24" t="s">
        <v>727</v>
      </c>
      <c r="K177" s="26" t="s">
        <v>728</v>
      </c>
      <c r="L177" s="24" t="s">
        <v>729</v>
      </c>
      <c r="M177" s="25" t="s">
        <v>730</v>
      </c>
      <c r="N177" s="28" t="s">
        <v>731</v>
      </c>
      <c r="O177" s="24" t="s">
        <v>45</v>
      </c>
      <c r="P177" s="24" t="s">
        <v>126</v>
      </c>
      <c r="Q177" s="26"/>
    </row>
    <row r="178" customFormat="false" ht="43.5" hidden="false" customHeight="true" outlineLevel="0" collapsed="false">
      <c r="A178" s="24" t="s">
        <v>738</v>
      </c>
      <c r="B178" s="25" t="s">
        <v>639</v>
      </c>
      <c r="C178" s="26" t="s">
        <v>739</v>
      </c>
      <c r="D178" s="26" t="s">
        <v>595</v>
      </c>
      <c r="E178" s="26" t="s">
        <v>725</v>
      </c>
      <c r="F178" s="27" t="n">
        <v>4.3</v>
      </c>
      <c r="G178" s="29" t="s">
        <v>24</v>
      </c>
      <c r="H178" s="25" t="s">
        <v>378</v>
      </c>
      <c r="I178" s="25" t="s">
        <v>740</v>
      </c>
      <c r="J178" s="24" t="s">
        <v>727</v>
      </c>
      <c r="K178" s="26" t="s">
        <v>728</v>
      </c>
      <c r="L178" s="24" t="s">
        <v>729</v>
      </c>
      <c r="M178" s="25" t="s">
        <v>730</v>
      </c>
      <c r="N178" s="28" t="s">
        <v>731</v>
      </c>
      <c r="O178" s="24" t="s">
        <v>45</v>
      </c>
      <c r="P178" s="29" t="s">
        <v>182</v>
      </c>
      <c r="Q178" s="26"/>
    </row>
    <row r="179" customFormat="false" ht="43.5" hidden="false" customHeight="true" outlineLevel="0" collapsed="false">
      <c r="A179" s="24" t="s">
        <v>741</v>
      </c>
      <c r="B179" s="25" t="s">
        <v>639</v>
      </c>
      <c r="C179" s="26" t="s">
        <v>742</v>
      </c>
      <c r="D179" s="26" t="s">
        <v>724</v>
      </c>
      <c r="E179" s="26" t="s">
        <v>725</v>
      </c>
      <c r="F179" s="32" t="n">
        <v>2700</v>
      </c>
      <c r="G179" s="24" t="s">
        <v>76</v>
      </c>
      <c r="H179" s="25" t="s">
        <v>378</v>
      </c>
      <c r="I179" s="25" t="s">
        <v>743</v>
      </c>
      <c r="J179" s="24" t="s">
        <v>727</v>
      </c>
      <c r="K179" s="26" t="s">
        <v>728</v>
      </c>
      <c r="L179" s="24" t="s">
        <v>729</v>
      </c>
      <c r="M179" s="25" t="s">
        <v>730</v>
      </c>
      <c r="N179" s="28" t="s">
        <v>731</v>
      </c>
      <c r="O179" s="24" t="s">
        <v>45</v>
      </c>
      <c r="P179" s="24" t="s">
        <v>126</v>
      </c>
      <c r="Q179" s="26"/>
    </row>
    <row r="180" customFormat="false" ht="43.5" hidden="false" customHeight="true" outlineLevel="0" collapsed="false">
      <c r="A180" s="24" t="s">
        <v>744</v>
      </c>
      <c r="B180" s="25" t="s">
        <v>639</v>
      </c>
      <c r="C180" s="26" t="s">
        <v>745</v>
      </c>
      <c r="D180" s="26" t="s">
        <v>724</v>
      </c>
      <c r="E180" s="26" t="s">
        <v>725</v>
      </c>
      <c r="F180" s="32" t="n">
        <v>15</v>
      </c>
      <c r="G180" s="29" t="s">
        <v>221</v>
      </c>
      <c r="H180" s="25" t="s">
        <v>378</v>
      </c>
      <c r="I180" s="25" t="s">
        <v>746</v>
      </c>
      <c r="J180" s="24" t="s">
        <v>727</v>
      </c>
      <c r="K180" s="26" t="s">
        <v>728</v>
      </c>
      <c r="L180" s="24" t="s">
        <v>729</v>
      </c>
      <c r="M180" s="25" t="s">
        <v>730</v>
      </c>
      <c r="N180" s="28" t="s">
        <v>731</v>
      </c>
      <c r="O180" s="24" t="s">
        <v>45</v>
      </c>
      <c r="P180" s="24" t="s">
        <v>126</v>
      </c>
      <c r="Q180" s="26"/>
    </row>
    <row r="181" customFormat="false" ht="43.5" hidden="false" customHeight="true" outlineLevel="0" collapsed="false">
      <c r="A181" s="24" t="s">
        <v>747</v>
      </c>
      <c r="B181" s="25" t="s">
        <v>639</v>
      </c>
      <c r="C181" s="26" t="s">
        <v>748</v>
      </c>
      <c r="D181" s="26" t="s">
        <v>749</v>
      </c>
      <c r="E181" s="26" t="s">
        <v>750</v>
      </c>
      <c r="F181" s="32" t="n">
        <v>690</v>
      </c>
      <c r="G181" s="24" t="s">
        <v>76</v>
      </c>
      <c r="H181" s="25" t="s">
        <v>378</v>
      </c>
      <c r="I181" s="25" t="s">
        <v>751</v>
      </c>
      <c r="J181" s="24" t="s">
        <v>752</v>
      </c>
      <c r="K181" s="26" t="s">
        <v>753</v>
      </c>
      <c r="L181" s="24" t="s">
        <v>411</v>
      </c>
      <c r="M181" s="25" t="s">
        <v>754</v>
      </c>
      <c r="N181" s="28" t="s">
        <v>755</v>
      </c>
      <c r="O181" s="24" t="s">
        <v>45</v>
      </c>
      <c r="P181" s="24" t="s">
        <v>126</v>
      </c>
      <c r="Q181" s="26"/>
    </row>
    <row r="182" customFormat="false" ht="43.5" hidden="false" customHeight="true" outlineLevel="0" collapsed="false">
      <c r="A182" s="24" t="s">
        <v>756</v>
      </c>
      <c r="B182" s="25" t="s">
        <v>639</v>
      </c>
      <c r="C182" s="26" t="s">
        <v>757</v>
      </c>
      <c r="D182" s="26" t="s">
        <v>749</v>
      </c>
      <c r="E182" s="26" t="s">
        <v>758</v>
      </c>
      <c r="F182" s="32" t="n">
        <v>190</v>
      </c>
      <c r="G182" s="24" t="s">
        <v>76</v>
      </c>
      <c r="H182" s="25" t="s">
        <v>648</v>
      </c>
      <c r="I182" s="25" t="s">
        <v>759</v>
      </c>
      <c r="J182" s="24" t="s">
        <v>752</v>
      </c>
      <c r="K182" s="26" t="s">
        <v>753</v>
      </c>
      <c r="L182" s="24" t="s">
        <v>411</v>
      </c>
      <c r="M182" s="25" t="s">
        <v>754</v>
      </c>
      <c r="N182" s="28" t="s">
        <v>755</v>
      </c>
      <c r="O182" s="24" t="s">
        <v>45</v>
      </c>
      <c r="P182" s="29" t="s">
        <v>111</v>
      </c>
      <c r="Q182" s="26"/>
    </row>
    <row r="183" customFormat="false" ht="43.5" hidden="false" customHeight="true" outlineLevel="0" collapsed="false">
      <c r="A183" s="24" t="s">
        <v>760</v>
      </c>
      <c r="B183" s="25" t="s">
        <v>639</v>
      </c>
      <c r="C183" s="26" t="s">
        <v>761</v>
      </c>
      <c r="D183" s="26" t="s">
        <v>749</v>
      </c>
      <c r="E183" s="26" t="s">
        <v>750</v>
      </c>
      <c r="F183" s="32" t="n">
        <v>20</v>
      </c>
      <c r="G183" s="29" t="s">
        <v>221</v>
      </c>
      <c r="H183" s="25" t="s">
        <v>378</v>
      </c>
      <c r="I183" s="25" t="s">
        <v>762</v>
      </c>
      <c r="J183" s="24" t="s">
        <v>752</v>
      </c>
      <c r="K183" s="26" t="s">
        <v>753</v>
      </c>
      <c r="L183" s="24" t="s">
        <v>411</v>
      </c>
      <c r="M183" s="25" t="s">
        <v>754</v>
      </c>
      <c r="N183" s="28" t="s">
        <v>755</v>
      </c>
      <c r="O183" s="24" t="s">
        <v>45</v>
      </c>
      <c r="P183" s="24" t="s">
        <v>126</v>
      </c>
      <c r="Q183" s="26"/>
    </row>
    <row r="184" customFormat="false" ht="43.5" hidden="false" customHeight="true" outlineLevel="0" collapsed="false">
      <c r="A184" s="24" t="s">
        <v>763</v>
      </c>
      <c r="B184" s="25" t="s">
        <v>639</v>
      </c>
      <c r="C184" s="26" t="s">
        <v>764</v>
      </c>
      <c r="D184" s="26" t="s">
        <v>749</v>
      </c>
      <c r="E184" s="26" t="s">
        <v>135</v>
      </c>
      <c r="F184" s="32" t="n">
        <v>2030</v>
      </c>
      <c r="G184" s="29" t="s">
        <v>221</v>
      </c>
      <c r="H184" s="25" t="s">
        <v>685</v>
      </c>
      <c r="I184" s="25" t="s">
        <v>765</v>
      </c>
      <c r="J184" s="24" t="s">
        <v>752</v>
      </c>
      <c r="K184" s="26" t="s">
        <v>753</v>
      </c>
      <c r="L184" s="24" t="s">
        <v>411</v>
      </c>
      <c r="M184" s="25" t="s">
        <v>754</v>
      </c>
      <c r="N184" s="28" t="s">
        <v>755</v>
      </c>
      <c r="O184" s="24" t="s">
        <v>45</v>
      </c>
      <c r="P184" s="24" t="s">
        <v>126</v>
      </c>
      <c r="Q184" s="26"/>
    </row>
    <row r="185" customFormat="false" ht="43.5" hidden="false" customHeight="true" outlineLevel="0" collapsed="false">
      <c r="A185" s="24" t="s">
        <v>766</v>
      </c>
      <c r="B185" s="25" t="s">
        <v>639</v>
      </c>
      <c r="C185" s="26" t="s">
        <v>767</v>
      </c>
      <c r="D185" s="26" t="s">
        <v>749</v>
      </c>
      <c r="E185" s="26" t="s">
        <v>714</v>
      </c>
      <c r="F185" s="32" t="n">
        <v>2032</v>
      </c>
      <c r="G185" s="29" t="s">
        <v>221</v>
      </c>
      <c r="H185" s="25" t="s">
        <v>685</v>
      </c>
      <c r="I185" s="25" t="s">
        <v>765</v>
      </c>
      <c r="J185" s="24" t="s">
        <v>752</v>
      </c>
      <c r="K185" s="26" t="s">
        <v>753</v>
      </c>
      <c r="L185" s="24" t="s">
        <v>411</v>
      </c>
      <c r="M185" s="25" t="s">
        <v>754</v>
      </c>
      <c r="N185" s="28" t="s">
        <v>755</v>
      </c>
      <c r="O185" s="24" t="s">
        <v>45</v>
      </c>
      <c r="P185" s="24" t="s">
        <v>126</v>
      </c>
      <c r="Q185" s="26"/>
    </row>
    <row r="186" customFormat="false" ht="43.5" hidden="false" customHeight="true" outlineLevel="0" collapsed="false">
      <c r="A186" s="24" t="s">
        <v>768</v>
      </c>
      <c r="B186" s="25" t="s">
        <v>639</v>
      </c>
      <c r="C186" s="26" t="s">
        <v>769</v>
      </c>
      <c r="D186" s="26" t="s">
        <v>595</v>
      </c>
      <c r="E186" s="26" t="s">
        <v>750</v>
      </c>
      <c r="F186" s="27" t="n">
        <v>3</v>
      </c>
      <c r="G186" s="29" t="s">
        <v>24</v>
      </c>
      <c r="H186" s="25" t="s">
        <v>378</v>
      </c>
      <c r="I186" s="25" t="s">
        <v>770</v>
      </c>
      <c r="J186" s="24" t="s">
        <v>752</v>
      </c>
      <c r="K186" s="26" t="s">
        <v>753</v>
      </c>
      <c r="L186" s="24" t="s">
        <v>411</v>
      </c>
      <c r="M186" s="25" t="s">
        <v>754</v>
      </c>
      <c r="N186" s="28" t="s">
        <v>755</v>
      </c>
      <c r="O186" s="24" t="s">
        <v>45</v>
      </c>
      <c r="P186" s="29" t="s">
        <v>182</v>
      </c>
      <c r="Q186" s="26"/>
    </row>
    <row r="187" customFormat="false" ht="43.5" hidden="false" customHeight="true" outlineLevel="0" collapsed="false">
      <c r="A187" s="24" t="s">
        <v>771</v>
      </c>
      <c r="B187" s="25" t="s">
        <v>639</v>
      </c>
      <c r="C187" s="26" t="s">
        <v>772</v>
      </c>
      <c r="D187" s="26" t="s">
        <v>773</v>
      </c>
      <c r="E187" s="26" t="s">
        <v>774</v>
      </c>
      <c r="F187" s="32" t="n">
        <v>2.1</v>
      </c>
      <c r="G187" s="24" t="s">
        <v>189</v>
      </c>
      <c r="H187" s="25" t="s">
        <v>648</v>
      </c>
      <c r="I187" s="25" t="s">
        <v>775</v>
      </c>
      <c r="J187" s="24" t="s">
        <v>479</v>
      </c>
      <c r="K187" s="26" t="s">
        <v>480</v>
      </c>
      <c r="L187" s="24" t="s">
        <v>481</v>
      </c>
      <c r="M187" s="26" t="s">
        <v>776</v>
      </c>
      <c r="N187" s="28" t="s">
        <v>483</v>
      </c>
      <c r="O187" s="24" t="s">
        <v>45</v>
      </c>
      <c r="P187" s="29" t="s">
        <v>182</v>
      </c>
      <c r="Q187" s="26"/>
    </row>
    <row r="188" customFormat="false" ht="43.5" hidden="false" customHeight="true" outlineLevel="0" collapsed="false">
      <c r="A188" s="24" t="s">
        <v>777</v>
      </c>
      <c r="B188" s="25" t="s">
        <v>639</v>
      </c>
      <c r="C188" s="26" t="s">
        <v>778</v>
      </c>
      <c r="D188" s="26" t="s">
        <v>773</v>
      </c>
      <c r="E188" s="26" t="s">
        <v>779</v>
      </c>
      <c r="F188" s="32" t="n">
        <v>433</v>
      </c>
      <c r="G188" s="24" t="s">
        <v>76</v>
      </c>
      <c r="H188" s="25" t="s">
        <v>648</v>
      </c>
      <c r="I188" s="26" t="s">
        <v>780</v>
      </c>
      <c r="J188" s="24" t="s">
        <v>479</v>
      </c>
      <c r="K188" s="26" t="s">
        <v>480</v>
      </c>
      <c r="L188" s="24" t="s">
        <v>481</v>
      </c>
      <c r="M188" s="26" t="s">
        <v>776</v>
      </c>
      <c r="N188" s="28" t="s">
        <v>483</v>
      </c>
      <c r="O188" s="24" t="s">
        <v>45</v>
      </c>
      <c r="P188" s="24" t="s">
        <v>126</v>
      </c>
      <c r="Q188" s="26"/>
    </row>
    <row r="189" customFormat="false" ht="43.5" hidden="false" customHeight="true" outlineLevel="0" collapsed="false">
      <c r="A189" s="24" t="s">
        <v>781</v>
      </c>
      <c r="B189" s="25" t="s">
        <v>639</v>
      </c>
      <c r="C189" s="26" t="s">
        <v>782</v>
      </c>
      <c r="D189" s="26" t="s">
        <v>773</v>
      </c>
      <c r="E189" s="26" t="s">
        <v>774</v>
      </c>
      <c r="F189" s="32" t="n">
        <v>20</v>
      </c>
      <c r="G189" s="29" t="s">
        <v>221</v>
      </c>
      <c r="H189" s="25" t="s">
        <v>378</v>
      </c>
      <c r="I189" s="25" t="s">
        <v>783</v>
      </c>
      <c r="J189" s="24" t="s">
        <v>479</v>
      </c>
      <c r="K189" s="26" t="s">
        <v>480</v>
      </c>
      <c r="L189" s="24" t="s">
        <v>481</v>
      </c>
      <c r="M189" s="26" t="s">
        <v>776</v>
      </c>
      <c r="N189" s="28" t="s">
        <v>483</v>
      </c>
      <c r="O189" s="24" t="s">
        <v>45</v>
      </c>
      <c r="P189" s="24" t="s">
        <v>126</v>
      </c>
      <c r="Q189" s="26"/>
    </row>
    <row r="190" customFormat="false" ht="43.5" hidden="false" customHeight="true" outlineLevel="0" collapsed="false">
      <c r="A190" s="24" t="s">
        <v>784</v>
      </c>
      <c r="B190" s="25" t="s">
        <v>639</v>
      </c>
      <c r="C190" s="26" t="s">
        <v>785</v>
      </c>
      <c r="D190" s="26" t="s">
        <v>786</v>
      </c>
      <c r="E190" s="26" t="s">
        <v>787</v>
      </c>
      <c r="F190" s="32" t="n">
        <v>690</v>
      </c>
      <c r="G190" s="24" t="s">
        <v>76</v>
      </c>
      <c r="H190" s="25" t="s">
        <v>648</v>
      </c>
      <c r="I190" s="25" t="s">
        <v>788</v>
      </c>
      <c r="J190" s="24" t="s">
        <v>479</v>
      </c>
      <c r="K190" s="26" t="s">
        <v>480</v>
      </c>
      <c r="L190" s="24" t="s">
        <v>481</v>
      </c>
      <c r="M190" s="26" t="s">
        <v>776</v>
      </c>
      <c r="N190" s="28" t="s">
        <v>483</v>
      </c>
      <c r="O190" s="24" t="s">
        <v>45</v>
      </c>
      <c r="P190" s="29" t="s">
        <v>789</v>
      </c>
      <c r="Q190" s="26"/>
    </row>
    <row r="191" customFormat="false" ht="43.5" hidden="false" customHeight="true" outlineLevel="0" collapsed="false">
      <c r="A191" s="24" t="s">
        <v>790</v>
      </c>
      <c r="B191" s="25" t="s">
        <v>639</v>
      </c>
      <c r="C191" s="26" t="s">
        <v>791</v>
      </c>
      <c r="D191" s="26" t="s">
        <v>786</v>
      </c>
      <c r="E191" s="26" t="s">
        <v>714</v>
      </c>
      <c r="F191" s="32" t="n">
        <v>2032</v>
      </c>
      <c r="G191" s="29" t="s">
        <v>221</v>
      </c>
      <c r="H191" s="25" t="s">
        <v>685</v>
      </c>
      <c r="I191" s="26" t="s">
        <v>792</v>
      </c>
      <c r="J191" s="24" t="s">
        <v>479</v>
      </c>
      <c r="K191" s="26" t="s">
        <v>480</v>
      </c>
      <c r="L191" s="24" t="s">
        <v>481</v>
      </c>
      <c r="M191" s="26" t="s">
        <v>776</v>
      </c>
      <c r="N191" s="28" t="s">
        <v>483</v>
      </c>
      <c r="O191" s="24" t="s">
        <v>45</v>
      </c>
      <c r="P191" s="24" t="s">
        <v>126</v>
      </c>
      <c r="Q191" s="26"/>
    </row>
    <row r="192" customFormat="false" ht="43.5" hidden="false" customHeight="true" outlineLevel="0" collapsed="false">
      <c r="A192" s="24" t="s">
        <v>793</v>
      </c>
      <c r="B192" s="25" t="s">
        <v>639</v>
      </c>
      <c r="C192" s="26" t="s">
        <v>794</v>
      </c>
      <c r="D192" s="26" t="s">
        <v>786</v>
      </c>
      <c r="E192" s="26" t="s">
        <v>795</v>
      </c>
      <c r="F192" s="32" t="n">
        <v>2.1</v>
      </c>
      <c r="G192" s="24" t="s">
        <v>189</v>
      </c>
      <c r="H192" s="25" t="s">
        <v>648</v>
      </c>
      <c r="I192" s="25" t="s">
        <v>796</v>
      </c>
      <c r="J192" s="24" t="s">
        <v>479</v>
      </c>
      <c r="K192" s="26" t="s">
        <v>480</v>
      </c>
      <c r="L192" s="24" t="s">
        <v>481</v>
      </c>
      <c r="M192" s="26" t="s">
        <v>776</v>
      </c>
      <c r="N192" s="28" t="s">
        <v>483</v>
      </c>
      <c r="O192" s="24" t="s">
        <v>45</v>
      </c>
      <c r="P192" s="29" t="s">
        <v>789</v>
      </c>
      <c r="Q192" s="26"/>
    </row>
    <row r="193" customFormat="false" ht="43.5" hidden="false" customHeight="true" outlineLevel="0" collapsed="false">
      <c r="A193" s="24" t="s">
        <v>797</v>
      </c>
      <c r="B193" s="25" t="s">
        <v>639</v>
      </c>
      <c r="C193" s="26" t="s">
        <v>798</v>
      </c>
      <c r="D193" s="26" t="s">
        <v>786</v>
      </c>
      <c r="E193" s="26" t="s">
        <v>795</v>
      </c>
      <c r="F193" s="32" t="n">
        <v>2.8</v>
      </c>
      <c r="G193" s="24" t="s">
        <v>189</v>
      </c>
      <c r="H193" s="25" t="s">
        <v>648</v>
      </c>
      <c r="I193" s="25" t="s">
        <v>799</v>
      </c>
      <c r="J193" s="24" t="s">
        <v>479</v>
      </c>
      <c r="K193" s="26" t="s">
        <v>480</v>
      </c>
      <c r="L193" s="24" t="s">
        <v>481</v>
      </c>
      <c r="M193" s="26" t="s">
        <v>776</v>
      </c>
      <c r="N193" s="28" t="s">
        <v>483</v>
      </c>
      <c r="O193" s="24" t="s">
        <v>45</v>
      </c>
      <c r="P193" s="29" t="s">
        <v>111</v>
      </c>
      <c r="Q193" s="26"/>
    </row>
    <row r="194" customFormat="false" ht="43.5" hidden="false" customHeight="true" outlineLevel="0" collapsed="false">
      <c r="A194" s="24" t="s">
        <v>800</v>
      </c>
      <c r="B194" s="25" t="s">
        <v>639</v>
      </c>
      <c r="C194" s="26" t="s">
        <v>801</v>
      </c>
      <c r="D194" s="26" t="s">
        <v>786</v>
      </c>
      <c r="E194" s="26" t="s">
        <v>795</v>
      </c>
      <c r="F194" s="32" t="n">
        <v>1.2</v>
      </c>
      <c r="G194" s="24" t="s">
        <v>189</v>
      </c>
      <c r="H194" s="25" t="s">
        <v>648</v>
      </c>
      <c r="I194" s="25" t="s">
        <v>802</v>
      </c>
      <c r="J194" s="24" t="s">
        <v>479</v>
      </c>
      <c r="K194" s="26" t="s">
        <v>480</v>
      </c>
      <c r="L194" s="24" t="s">
        <v>481</v>
      </c>
      <c r="M194" s="26" t="s">
        <v>776</v>
      </c>
      <c r="N194" s="28" t="s">
        <v>483</v>
      </c>
      <c r="O194" s="24" t="s">
        <v>45</v>
      </c>
      <c r="P194" s="29" t="s">
        <v>111</v>
      </c>
      <c r="Q194" s="26"/>
    </row>
    <row r="195" customFormat="false" ht="43.5" hidden="false" customHeight="true" outlineLevel="0" collapsed="false">
      <c r="A195" s="24" t="s">
        <v>803</v>
      </c>
      <c r="B195" s="25" t="s">
        <v>639</v>
      </c>
      <c r="C195" s="26" t="s">
        <v>804</v>
      </c>
      <c r="D195" s="26" t="s">
        <v>805</v>
      </c>
      <c r="E195" s="26" t="s">
        <v>806</v>
      </c>
      <c r="F195" s="32" t="n">
        <v>1.2</v>
      </c>
      <c r="G195" s="24" t="s">
        <v>189</v>
      </c>
      <c r="H195" s="25" t="s">
        <v>648</v>
      </c>
      <c r="I195" s="25" t="s">
        <v>807</v>
      </c>
      <c r="J195" s="24" t="s">
        <v>479</v>
      </c>
      <c r="K195" s="26" t="s">
        <v>480</v>
      </c>
      <c r="L195" s="24" t="s">
        <v>481</v>
      </c>
      <c r="M195" s="26" t="s">
        <v>776</v>
      </c>
      <c r="N195" s="28" t="s">
        <v>483</v>
      </c>
      <c r="O195" s="24" t="s">
        <v>45</v>
      </c>
      <c r="P195" s="29" t="s">
        <v>789</v>
      </c>
      <c r="Q195" s="26"/>
    </row>
    <row r="196" customFormat="false" ht="43.5" hidden="false" customHeight="true" outlineLevel="0" collapsed="false">
      <c r="A196" s="24" t="s">
        <v>808</v>
      </c>
      <c r="B196" s="25" t="s">
        <v>639</v>
      </c>
      <c r="C196" s="26" t="s">
        <v>809</v>
      </c>
      <c r="D196" s="26" t="s">
        <v>805</v>
      </c>
      <c r="E196" s="26" t="s">
        <v>135</v>
      </c>
      <c r="F196" s="32" t="n">
        <v>2030</v>
      </c>
      <c r="G196" s="29" t="s">
        <v>221</v>
      </c>
      <c r="H196" s="25" t="s">
        <v>685</v>
      </c>
      <c r="I196" s="26" t="s">
        <v>810</v>
      </c>
      <c r="J196" s="24" t="s">
        <v>479</v>
      </c>
      <c r="K196" s="26" t="s">
        <v>480</v>
      </c>
      <c r="L196" s="24" t="s">
        <v>481</v>
      </c>
      <c r="M196" s="26" t="s">
        <v>776</v>
      </c>
      <c r="N196" s="28" t="s">
        <v>483</v>
      </c>
      <c r="O196" s="24" t="s">
        <v>45</v>
      </c>
      <c r="P196" s="24" t="s">
        <v>126</v>
      </c>
      <c r="Q196" s="26"/>
    </row>
    <row r="197" customFormat="false" ht="43.5" hidden="false" customHeight="true" outlineLevel="0" collapsed="false">
      <c r="A197" s="24" t="s">
        <v>811</v>
      </c>
      <c r="B197" s="25" t="s">
        <v>639</v>
      </c>
      <c r="C197" s="26" t="s">
        <v>812</v>
      </c>
      <c r="D197" s="26" t="s">
        <v>813</v>
      </c>
      <c r="E197" s="25" t="s">
        <v>814</v>
      </c>
      <c r="F197" s="32" t="n">
        <v>6.6</v>
      </c>
      <c r="G197" s="24" t="s">
        <v>189</v>
      </c>
      <c r="H197" s="25" t="s">
        <v>648</v>
      </c>
      <c r="I197" s="25" t="s">
        <v>815</v>
      </c>
      <c r="J197" s="24" t="s">
        <v>479</v>
      </c>
      <c r="K197" s="26" t="s">
        <v>480</v>
      </c>
      <c r="L197" s="24" t="s">
        <v>481</v>
      </c>
      <c r="M197" s="26" t="s">
        <v>776</v>
      </c>
      <c r="N197" s="28" t="s">
        <v>483</v>
      </c>
      <c r="O197" s="24" t="s">
        <v>45</v>
      </c>
      <c r="P197" s="29" t="s">
        <v>789</v>
      </c>
      <c r="Q197" s="26"/>
    </row>
    <row r="198" customFormat="false" ht="43.5" hidden="false" customHeight="true" outlineLevel="0" collapsed="false">
      <c r="A198" s="24" t="s">
        <v>816</v>
      </c>
      <c r="B198" s="25" t="s">
        <v>817</v>
      </c>
      <c r="C198" s="25" t="s">
        <v>386</v>
      </c>
      <c r="D198" s="26" t="s">
        <v>53</v>
      </c>
      <c r="E198" s="26" t="s">
        <v>608</v>
      </c>
      <c r="F198" s="27" t="n">
        <v>80.598</v>
      </c>
      <c r="G198" s="29" t="s">
        <v>24</v>
      </c>
      <c r="H198" s="25" t="s">
        <v>378</v>
      </c>
      <c r="I198" s="25" t="s">
        <v>818</v>
      </c>
      <c r="J198" s="24" t="s">
        <v>819</v>
      </c>
      <c r="K198" s="26" t="s">
        <v>820</v>
      </c>
      <c r="L198" s="24" t="s">
        <v>821</v>
      </c>
      <c r="M198" s="26" t="s">
        <v>822</v>
      </c>
      <c r="N198" s="28" t="s">
        <v>823</v>
      </c>
      <c r="O198" s="24" t="s">
        <v>45</v>
      </c>
      <c r="P198" s="24" t="s">
        <v>126</v>
      </c>
      <c r="Q198" s="26"/>
    </row>
    <row r="199" customFormat="false" ht="43.5" hidden="false" customHeight="true" outlineLevel="0" collapsed="false">
      <c r="A199" s="24" t="s">
        <v>824</v>
      </c>
      <c r="B199" s="25" t="s">
        <v>817</v>
      </c>
      <c r="C199" s="25" t="s">
        <v>386</v>
      </c>
      <c r="D199" s="26" t="s">
        <v>53</v>
      </c>
      <c r="E199" s="26" t="s">
        <v>825</v>
      </c>
      <c r="F199" s="27" t="n">
        <v>39.643</v>
      </c>
      <c r="G199" s="29" t="s">
        <v>24</v>
      </c>
      <c r="H199" s="25" t="s">
        <v>378</v>
      </c>
      <c r="I199" s="25" t="s">
        <v>826</v>
      </c>
      <c r="J199" s="24" t="s">
        <v>819</v>
      </c>
      <c r="K199" s="26" t="s">
        <v>820</v>
      </c>
      <c r="L199" s="24" t="s">
        <v>821</v>
      </c>
      <c r="M199" s="26" t="s">
        <v>822</v>
      </c>
      <c r="N199" s="28" t="s">
        <v>823</v>
      </c>
      <c r="O199" s="24" t="s">
        <v>45</v>
      </c>
      <c r="P199" s="24" t="s">
        <v>126</v>
      </c>
      <c r="Q199" s="26"/>
    </row>
    <row r="200" customFormat="false" ht="43.5" hidden="false" customHeight="true" outlineLevel="0" collapsed="false">
      <c r="A200" s="24" t="s">
        <v>827</v>
      </c>
      <c r="B200" s="25" t="s">
        <v>817</v>
      </c>
      <c r="C200" s="25" t="s">
        <v>828</v>
      </c>
      <c r="D200" s="26" t="s">
        <v>57</v>
      </c>
      <c r="E200" s="26" t="s">
        <v>608</v>
      </c>
      <c r="F200" s="27" t="n">
        <v>98.411</v>
      </c>
      <c r="G200" s="29" t="s">
        <v>24</v>
      </c>
      <c r="H200" s="25" t="s">
        <v>378</v>
      </c>
      <c r="I200" s="25" t="s">
        <v>829</v>
      </c>
      <c r="J200" s="24" t="s">
        <v>830</v>
      </c>
      <c r="K200" s="26" t="s">
        <v>831</v>
      </c>
      <c r="L200" s="24" t="s">
        <v>832</v>
      </c>
      <c r="M200" s="26" t="s">
        <v>833</v>
      </c>
      <c r="N200" s="28" t="s">
        <v>834</v>
      </c>
      <c r="O200" s="24" t="s">
        <v>45</v>
      </c>
      <c r="P200" s="24" t="s">
        <v>126</v>
      </c>
      <c r="Q200" s="26"/>
    </row>
    <row r="201" customFormat="false" ht="43.5" hidden="false" customHeight="true" outlineLevel="0" collapsed="false">
      <c r="A201" s="24" t="s">
        <v>835</v>
      </c>
      <c r="B201" s="25" t="s">
        <v>817</v>
      </c>
      <c r="C201" s="25" t="s">
        <v>828</v>
      </c>
      <c r="D201" s="26" t="s">
        <v>57</v>
      </c>
      <c r="E201" s="26" t="s">
        <v>825</v>
      </c>
      <c r="F201" s="27" t="n">
        <v>57.202</v>
      </c>
      <c r="G201" s="29" t="s">
        <v>24</v>
      </c>
      <c r="H201" s="25" t="s">
        <v>378</v>
      </c>
      <c r="I201" s="25" t="s">
        <v>836</v>
      </c>
      <c r="J201" s="24" t="s">
        <v>830</v>
      </c>
      <c r="K201" s="26" t="s">
        <v>831</v>
      </c>
      <c r="L201" s="24" t="s">
        <v>832</v>
      </c>
      <c r="M201" s="26" t="s">
        <v>833</v>
      </c>
      <c r="N201" s="28" t="s">
        <v>834</v>
      </c>
      <c r="O201" s="24" t="s">
        <v>45</v>
      </c>
      <c r="P201" s="24" t="s">
        <v>126</v>
      </c>
      <c r="Q201" s="26"/>
    </row>
    <row r="202" customFormat="false" ht="43.5" hidden="false" customHeight="true" outlineLevel="0" collapsed="false">
      <c r="A202" s="24" t="s">
        <v>837</v>
      </c>
      <c r="B202" s="25" t="s">
        <v>817</v>
      </c>
      <c r="C202" s="25" t="s">
        <v>386</v>
      </c>
      <c r="D202" s="26" t="s">
        <v>55</v>
      </c>
      <c r="E202" s="26" t="s">
        <v>838</v>
      </c>
      <c r="F202" s="27" t="n">
        <v>115.948</v>
      </c>
      <c r="G202" s="29" t="s">
        <v>24</v>
      </c>
      <c r="H202" s="25" t="s">
        <v>378</v>
      </c>
      <c r="I202" s="25" t="s">
        <v>839</v>
      </c>
      <c r="J202" s="24" t="s">
        <v>840</v>
      </c>
      <c r="K202" s="26" t="s">
        <v>841</v>
      </c>
      <c r="L202" s="24" t="s">
        <v>842</v>
      </c>
      <c r="M202" s="26" t="s">
        <v>843</v>
      </c>
      <c r="N202" s="28" t="s">
        <v>844</v>
      </c>
      <c r="O202" s="24" t="s">
        <v>45</v>
      </c>
      <c r="P202" s="24" t="s">
        <v>126</v>
      </c>
      <c r="Q202" s="26"/>
    </row>
    <row r="203" customFormat="false" ht="43.5" hidden="false" customHeight="true" outlineLevel="0" collapsed="false">
      <c r="A203" s="24" t="s">
        <v>845</v>
      </c>
      <c r="B203" s="25" t="s">
        <v>817</v>
      </c>
      <c r="C203" s="25" t="s">
        <v>386</v>
      </c>
      <c r="D203" s="26" t="s">
        <v>55</v>
      </c>
      <c r="E203" s="26" t="s">
        <v>846</v>
      </c>
      <c r="F203" s="27" t="n">
        <v>80.146</v>
      </c>
      <c r="G203" s="29" t="s">
        <v>24</v>
      </c>
      <c r="H203" s="25" t="s">
        <v>378</v>
      </c>
      <c r="I203" s="26" t="s">
        <v>847</v>
      </c>
      <c r="J203" s="24" t="s">
        <v>840</v>
      </c>
      <c r="K203" s="26" t="s">
        <v>841</v>
      </c>
      <c r="L203" s="24" t="s">
        <v>842</v>
      </c>
      <c r="M203" s="26" t="s">
        <v>843</v>
      </c>
      <c r="N203" s="28" t="s">
        <v>844</v>
      </c>
      <c r="O203" s="24" t="s">
        <v>45</v>
      </c>
      <c r="P203" s="24" t="s">
        <v>126</v>
      </c>
      <c r="Q203" s="26"/>
    </row>
    <row r="204" customFormat="false" ht="43.5" hidden="false" customHeight="true" outlineLevel="0" collapsed="false">
      <c r="A204" s="24" t="s">
        <v>848</v>
      </c>
      <c r="B204" s="25" t="s">
        <v>817</v>
      </c>
      <c r="C204" s="25" t="s">
        <v>386</v>
      </c>
      <c r="D204" s="26" t="s">
        <v>55</v>
      </c>
      <c r="E204" s="26" t="s">
        <v>849</v>
      </c>
      <c r="F204" s="27" t="n">
        <v>30.876</v>
      </c>
      <c r="G204" s="29" t="s">
        <v>24</v>
      </c>
      <c r="H204" s="25" t="s">
        <v>378</v>
      </c>
      <c r="I204" s="25" t="s">
        <v>850</v>
      </c>
      <c r="J204" s="24" t="s">
        <v>840</v>
      </c>
      <c r="K204" s="26" t="s">
        <v>841</v>
      </c>
      <c r="L204" s="24" t="s">
        <v>842</v>
      </c>
      <c r="M204" s="26" t="s">
        <v>843</v>
      </c>
      <c r="N204" s="28" t="s">
        <v>844</v>
      </c>
      <c r="O204" s="24" t="s">
        <v>45</v>
      </c>
      <c r="P204" s="24" t="s">
        <v>126</v>
      </c>
      <c r="Q204" s="26"/>
    </row>
    <row r="205" customFormat="false" ht="43.5" hidden="false" customHeight="true" outlineLevel="0" collapsed="false">
      <c r="A205" s="24" t="s">
        <v>851</v>
      </c>
      <c r="B205" s="25" t="s">
        <v>852</v>
      </c>
      <c r="C205" s="26" t="s">
        <v>853</v>
      </c>
      <c r="D205" s="26" t="s">
        <v>854</v>
      </c>
      <c r="E205" s="26" t="s">
        <v>670</v>
      </c>
      <c r="F205" s="32" t="n">
        <v>200</v>
      </c>
      <c r="G205" s="24" t="s">
        <v>76</v>
      </c>
      <c r="H205" s="25" t="s">
        <v>378</v>
      </c>
      <c r="I205" s="25" t="s">
        <v>855</v>
      </c>
      <c r="J205" s="24" t="s">
        <v>856</v>
      </c>
      <c r="K205" s="26" t="s">
        <v>857</v>
      </c>
      <c r="L205" s="24" t="s">
        <v>858</v>
      </c>
      <c r="M205" s="25" t="s">
        <v>859</v>
      </c>
      <c r="N205" s="28" t="s">
        <v>860</v>
      </c>
      <c r="O205" s="24" t="s">
        <v>45</v>
      </c>
      <c r="P205" s="24" t="s">
        <v>126</v>
      </c>
      <c r="Q205" s="26"/>
    </row>
    <row r="206" customFormat="false" ht="43.5" hidden="false" customHeight="true" outlineLevel="0" collapsed="false">
      <c r="A206" s="24" t="s">
        <v>861</v>
      </c>
      <c r="B206" s="25" t="s">
        <v>852</v>
      </c>
      <c r="C206" s="26" t="s">
        <v>862</v>
      </c>
      <c r="D206" s="26" t="s">
        <v>863</v>
      </c>
      <c r="E206" s="26" t="s">
        <v>779</v>
      </c>
      <c r="F206" s="32" t="n">
        <v>400</v>
      </c>
      <c r="G206" s="24" t="s">
        <v>76</v>
      </c>
      <c r="H206" s="25" t="s">
        <v>685</v>
      </c>
      <c r="I206" s="25" t="s">
        <v>864</v>
      </c>
      <c r="J206" s="24" t="s">
        <v>856</v>
      </c>
      <c r="K206" s="26" t="s">
        <v>857</v>
      </c>
      <c r="L206" s="24" t="s">
        <v>858</v>
      </c>
      <c r="M206" s="25" t="s">
        <v>859</v>
      </c>
      <c r="N206" s="28" t="s">
        <v>860</v>
      </c>
      <c r="O206" s="24" t="s">
        <v>45</v>
      </c>
      <c r="P206" s="29" t="s">
        <v>111</v>
      </c>
      <c r="Q206" s="26"/>
    </row>
    <row r="207" customFormat="false" ht="43.5" hidden="false" customHeight="true" outlineLevel="0" collapsed="false">
      <c r="A207" s="24" t="s">
        <v>865</v>
      </c>
      <c r="B207" s="25" t="s">
        <v>852</v>
      </c>
      <c r="C207" s="26" t="s">
        <v>866</v>
      </c>
      <c r="D207" s="26" t="s">
        <v>863</v>
      </c>
      <c r="E207" s="26" t="s">
        <v>867</v>
      </c>
      <c r="F207" s="32" t="n">
        <v>2030</v>
      </c>
      <c r="G207" s="29" t="s">
        <v>868</v>
      </c>
      <c r="H207" s="25" t="s">
        <v>685</v>
      </c>
      <c r="I207" s="26" t="s">
        <v>869</v>
      </c>
      <c r="J207" s="24" t="s">
        <v>856</v>
      </c>
      <c r="K207" s="26" t="s">
        <v>857</v>
      </c>
      <c r="L207" s="24" t="s">
        <v>858</v>
      </c>
      <c r="M207" s="25" t="s">
        <v>859</v>
      </c>
      <c r="N207" s="28" t="s">
        <v>860</v>
      </c>
      <c r="O207" s="24" t="s">
        <v>45</v>
      </c>
      <c r="P207" s="29" t="s">
        <v>111</v>
      </c>
      <c r="Q207" s="26"/>
    </row>
    <row r="208" customFormat="false" ht="43.5" hidden="false" customHeight="true" outlineLevel="0" collapsed="false">
      <c r="A208" s="24" t="s">
        <v>870</v>
      </c>
      <c r="B208" s="25" t="s">
        <v>871</v>
      </c>
      <c r="C208" s="26" t="s">
        <v>872</v>
      </c>
      <c r="D208" s="26" t="s">
        <v>863</v>
      </c>
      <c r="E208" s="26" t="s">
        <v>873</v>
      </c>
      <c r="F208" s="27" t="n">
        <v>1</v>
      </c>
      <c r="G208" s="29" t="s">
        <v>24</v>
      </c>
      <c r="H208" s="25" t="s">
        <v>378</v>
      </c>
      <c r="I208" s="25" t="s">
        <v>874</v>
      </c>
      <c r="J208" s="24" t="s">
        <v>875</v>
      </c>
      <c r="K208" s="26" t="s">
        <v>876</v>
      </c>
      <c r="L208" s="24" t="s">
        <v>877</v>
      </c>
      <c r="M208" s="25" t="s">
        <v>878</v>
      </c>
      <c r="N208" s="28" t="s">
        <v>879</v>
      </c>
      <c r="O208" s="24" t="s">
        <v>45</v>
      </c>
      <c r="P208" s="24" t="s">
        <v>126</v>
      </c>
      <c r="Q208" s="26"/>
    </row>
    <row r="209" customFormat="false" ht="43.5" hidden="false" customHeight="true" outlineLevel="0" collapsed="false">
      <c r="A209" s="24" t="s">
        <v>880</v>
      </c>
      <c r="B209" s="25" t="s">
        <v>871</v>
      </c>
      <c r="C209" s="26" t="s">
        <v>881</v>
      </c>
      <c r="D209" s="26" t="s">
        <v>863</v>
      </c>
      <c r="E209" s="25" t="s">
        <v>882</v>
      </c>
      <c r="F209" s="27" t="n">
        <v>4</v>
      </c>
      <c r="G209" s="29" t="s">
        <v>24</v>
      </c>
      <c r="H209" s="25" t="s">
        <v>378</v>
      </c>
      <c r="I209" s="25" t="s">
        <v>883</v>
      </c>
      <c r="J209" s="24" t="s">
        <v>875</v>
      </c>
      <c r="K209" s="26" t="s">
        <v>876</v>
      </c>
      <c r="L209" s="24" t="s">
        <v>877</v>
      </c>
      <c r="M209" s="25" t="s">
        <v>878</v>
      </c>
      <c r="N209" s="28" t="s">
        <v>879</v>
      </c>
      <c r="O209" s="24" t="s">
        <v>45</v>
      </c>
      <c r="P209" s="24" t="s">
        <v>126</v>
      </c>
      <c r="Q209" s="26"/>
    </row>
    <row r="210" customFormat="false" ht="43.5" hidden="false" customHeight="true" outlineLevel="0" collapsed="false">
      <c r="A210" s="24" t="s">
        <v>884</v>
      </c>
      <c r="B210" s="25" t="s">
        <v>871</v>
      </c>
      <c r="C210" s="26" t="s">
        <v>885</v>
      </c>
      <c r="D210" s="26" t="s">
        <v>863</v>
      </c>
      <c r="E210" s="26" t="s">
        <v>886</v>
      </c>
      <c r="F210" s="27" t="n">
        <v>0.863</v>
      </c>
      <c r="G210" s="29" t="s">
        <v>24</v>
      </c>
      <c r="H210" s="25" t="s">
        <v>378</v>
      </c>
      <c r="I210" s="25" t="s">
        <v>887</v>
      </c>
      <c r="J210" s="24" t="s">
        <v>875</v>
      </c>
      <c r="K210" s="26" t="s">
        <v>876</v>
      </c>
      <c r="L210" s="24" t="s">
        <v>877</v>
      </c>
      <c r="M210" s="25" t="s">
        <v>878</v>
      </c>
      <c r="N210" s="28" t="s">
        <v>879</v>
      </c>
      <c r="O210" s="24" t="s">
        <v>45</v>
      </c>
      <c r="P210" s="24" t="s">
        <v>126</v>
      </c>
      <c r="Q210" s="26"/>
    </row>
    <row r="211" customFormat="false" ht="43.5" hidden="false" customHeight="true" outlineLevel="0" collapsed="false">
      <c r="A211" s="24" t="s">
        <v>888</v>
      </c>
      <c r="B211" s="25" t="s">
        <v>852</v>
      </c>
      <c r="C211" s="26" t="s">
        <v>889</v>
      </c>
      <c r="D211" s="26" t="s">
        <v>890</v>
      </c>
      <c r="E211" s="26" t="s">
        <v>891</v>
      </c>
      <c r="F211" s="32" t="n">
        <v>50</v>
      </c>
      <c r="G211" s="24" t="s">
        <v>76</v>
      </c>
      <c r="H211" s="25" t="s">
        <v>685</v>
      </c>
      <c r="I211" s="25" t="s">
        <v>892</v>
      </c>
      <c r="J211" s="24" t="s">
        <v>893</v>
      </c>
      <c r="K211" s="26" t="s">
        <v>894</v>
      </c>
      <c r="L211" s="24" t="s">
        <v>895</v>
      </c>
      <c r="M211" s="25" t="s">
        <v>896</v>
      </c>
      <c r="N211" s="28" t="s">
        <v>897</v>
      </c>
      <c r="O211" s="24" t="s">
        <v>45</v>
      </c>
      <c r="P211" s="29" t="s">
        <v>898</v>
      </c>
      <c r="Q211" s="26"/>
    </row>
    <row r="212" customFormat="false" ht="43.5" hidden="false" customHeight="true" outlineLevel="0" collapsed="false">
      <c r="A212" s="24" t="s">
        <v>899</v>
      </c>
      <c r="B212" s="25" t="s">
        <v>852</v>
      </c>
      <c r="C212" s="26" t="s">
        <v>900</v>
      </c>
      <c r="D212" s="26" t="s">
        <v>890</v>
      </c>
      <c r="E212" s="26" t="s">
        <v>514</v>
      </c>
      <c r="F212" s="32" t="n">
        <v>2028</v>
      </c>
      <c r="G212" s="29" t="s">
        <v>221</v>
      </c>
      <c r="H212" s="25" t="s">
        <v>685</v>
      </c>
      <c r="I212" s="25" t="s">
        <v>901</v>
      </c>
      <c r="J212" s="24" t="s">
        <v>893</v>
      </c>
      <c r="K212" s="26" t="s">
        <v>894</v>
      </c>
      <c r="L212" s="24" t="s">
        <v>895</v>
      </c>
      <c r="M212" s="25" t="s">
        <v>896</v>
      </c>
      <c r="N212" s="28" t="s">
        <v>897</v>
      </c>
      <c r="O212" s="24" t="s">
        <v>45</v>
      </c>
      <c r="P212" s="24" t="s">
        <v>126</v>
      </c>
      <c r="Q212" s="26"/>
    </row>
    <row r="213" customFormat="false" ht="43.5" hidden="false" customHeight="true" outlineLevel="0" collapsed="false">
      <c r="A213" s="24" t="s">
        <v>902</v>
      </c>
      <c r="B213" s="25" t="s">
        <v>852</v>
      </c>
      <c r="C213" s="26" t="s">
        <v>903</v>
      </c>
      <c r="D213" s="26" t="s">
        <v>890</v>
      </c>
      <c r="E213" s="25" t="s">
        <v>904</v>
      </c>
      <c r="F213" s="32" t="n">
        <v>1</v>
      </c>
      <c r="G213" s="29" t="s">
        <v>221</v>
      </c>
      <c r="H213" s="25" t="s">
        <v>648</v>
      </c>
      <c r="I213" s="25" t="s">
        <v>905</v>
      </c>
      <c r="J213" s="24" t="s">
        <v>893</v>
      </c>
      <c r="K213" s="26" t="s">
        <v>894</v>
      </c>
      <c r="L213" s="24" t="s">
        <v>895</v>
      </c>
      <c r="M213" s="25" t="s">
        <v>896</v>
      </c>
      <c r="N213" s="28" t="s">
        <v>897</v>
      </c>
      <c r="O213" s="24" t="s">
        <v>45</v>
      </c>
      <c r="P213" s="24" t="s">
        <v>126</v>
      </c>
      <c r="Q213" s="26"/>
    </row>
    <row r="214" customFormat="false" ht="43.5" hidden="false" customHeight="true" outlineLevel="0" collapsed="false">
      <c r="A214" s="24" t="s">
        <v>906</v>
      </c>
      <c r="B214" s="25" t="s">
        <v>871</v>
      </c>
      <c r="C214" s="26" t="s">
        <v>907</v>
      </c>
      <c r="D214" s="26" t="s">
        <v>908</v>
      </c>
      <c r="E214" s="26" t="s">
        <v>909</v>
      </c>
      <c r="F214" s="27" t="n">
        <v>0.5</v>
      </c>
      <c r="G214" s="29" t="s">
        <v>24</v>
      </c>
      <c r="H214" s="25" t="s">
        <v>378</v>
      </c>
      <c r="I214" s="25" t="s">
        <v>910</v>
      </c>
      <c r="J214" s="24" t="s">
        <v>911</v>
      </c>
      <c r="K214" s="26" t="s">
        <v>912</v>
      </c>
      <c r="L214" s="24" t="s">
        <v>913</v>
      </c>
      <c r="M214" s="25" t="s">
        <v>914</v>
      </c>
      <c r="N214" s="28" t="s">
        <v>915</v>
      </c>
      <c r="O214" s="24" t="s">
        <v>45</v>
      </c>
      <c r="P214" s="24" t="s">
        <v>126</v>
      </c>
      <c r="Q214" s="26"/>
    </row>
    <row r="215" customFormat="false" ht="43.5" hidden="false" customHeight="true" outlineLevel="0" collapsed="false">
      <c r="A215" s="24" t="s">
        <v>916</v>
      </c>
      <c r="B215" s="25" t="s">
        <v>871</v>
      </c>
      <c r="C215" s="26" t="s">
        <v>917</v>
      </c>
      <c r="D215" s="26" t="s">
        <v>908</v>
      </c>
      <c r="E215" s="26" t="s">
        <v>918</v>
      </c>
      <c r="F215" s="27" t="n">
        <v>0.465</v>
      </c>
      <c r="G215" s="29" t="s">
        <v>24</v>
      </c>
      <c r="H215" s="25" t="s">
        <v>378</v>
      </c>
      <c r="I215" s="25" t="s">
        <v>919</v>
      </c>
      <c r="J215" s="24" t="s">
        <v>911</v>
      </c>
      <c r="K215" s="26" t="s">
        <v>912</v>
      </c>
      <c r="L215" s="24" t="s">
        <v>913</v>
      </c>
      <c r="M215" s="25" t="s">
        <v>914</v>
      </c>
      <c r="N215" s="28" t="s">
        <v>915</v>
      </c>
      <c r="O215" s="24" t="s">
        <v>45</v>
      </c>
      <c r="P215" s="24" t="s">
        <v>126</v>
      </c>
      <c r="Q215" s="26"/>
    </row>
    <row r="216" customFormat="false" ht="43.5" hidden="false" customHeight="true" outlineLevel="0" collapsed="false">
      <c r="A216" s="24" t="s">
        <v>920</v>
      </c>
      <c r="B216" s="25" t="s">
        <v>871</v>
      </c>
      <c r="C216" s="26" t="s">
        <v>921</v>
      </c>
      <c r="D216" s="26" t="s">
        <v>908</v>
      </c>
      <c r="E216" s="26" t="s">
        <v>918</v>
      </c>
      <c r="F216" s="27" t="n">
        <v>1.5</v>
      </c>
      <c r="G216" s="29" t="s">
        <v>24</v>
      </c>
      <c r="H216" s="25" t="s">
        <v>378</v>
      </c>
      <c r="I216" s="25" t="s">
        <v>922</v>
      </c>
      <c r="J216" s="24" t="s">
        <v>911</v>
      </c>
      <c r="K216" s="26" t="s">
        <v>912</v>
      </c>
      <c r="L216" s="24" t="s">
        <v>913</v>
      </c>
      <c r="M216" s="25" t="s">
        <v>914</v>
      </c>
      <c r="N216" s="28" t="s">
        <v>915</v>
      </c>
      <c r="O216" s="24" t="s">
        <v>45</v>
      </c>
      <c r="P216" s="24" t="s">
        <v>126</v>
      </c>
      <c r="Q216" s="26"/>
    </row>
    <row r="217" customFormat="false" ht="43.5" hidden="false" customHeight="true" outlineLevel="0" collapsed="false">
      <c r="A217" s="24" t="s">
        <v>923</v>
      </c>
      <c r="B217" s="25" t="s">
        <v>871</v>
      </c>
      <c r="C217" s="26" t="s">
        <v>924</v>
      </c>
      <c r="D217" s="26" t="s">
        <v>925</v>
      </c>
      <c r="E217" s="25" t="s">
        <v>926</v>
      </c>
      <c r="F217" s="27" t="n">
        <v>1.6</v>
      </c>
      <c r="G217" s="29" t="s">
        <v>24</v>
      </c>
      <c r="H217" s="25" t="s">
        <v>378</v>
      </c>
      <c r="I217" s="26" t="s">
        <v>927</v>
      </c>
      <c r="J217" s="24" t="s">
        <v>928</v>
      </c>
      <c r="K217" s="26" t="s">
        <v>929</v>
      </c>
      <c r="L217" s="24" t="s">
        <v>411</v>
      </c>
      <c r="M217" s="26" t="s">
        <v>930</v>
      </c>
      <c r="N217" s="28" t="s">
        <v>931</v>
      </c>
      <c r="O217" s="24" t="s">
        <v>45</v>
      </c>
      <c r="P217" s="29" t="s">
        <v>182</v>
      </c>
      <c r="Q217" s="26"/>
    </row>
    <row r="218" customFormat="false" ht="43.5" hidden="false" customHeight="true" outlineLevel="0" collapsed="false">
      <c r="A218" s="24" t="s">
        <v>932</v>
      </c>
      <c r="B218" s="25" t="s">
        <v>871</v>
      </c>
      <c r="C218" s="26" t="s">
        <v>933</v>
      </c>
      <c r="D218" s="26" t="s">
        <v>925</v>
      </c>
      <c r="E218" s="25" t="s">
        <v>934</v>
      </c>
      <c r="F218" s="27" t="n">
        <v>0.2</v>
      </c>
      <c r="G218" s="29" t="s">
        <v>24</v>
      </c>
      <c r="H218" s="25" t="s">
        <v>378</v>
      </c>
      <c r="I218" s="26" t="s">
        <v>935</v>
      </c>
      <c r="J218" s="24" t="s">
        <v>928</v>
      </c>
      <c r="K218" s="26" t="s">
        <v>929</v>
      </c>
      <c r="L218" s="24" t="s">
        <v>411</v>
      </c>
      <c r="M218" s="26" t="s">
        <v>930</v>
      </c>
      <c r="N218" s="28" t="s">
        <v>931</v>
      </c>
      <c r="O218" s="24" t="s">
        <v>45</v>
      </c>
      <c r="P218" s="24" t="s">
        <v>126</v>
      </c>
      <c r="Q218" s="26"/>
    </row>
    <row r="219" customFormat="false" ht="43.5" hidden="false" customHeight="true" outlineLevel="0" collapsed="false">
      <c r="A219" s="24" t="s">
        <v>936</v>
      </c>
      <c r="B219" s="25" t="s">
        <v>871</v>
      </c>
      <c r="C219" s="26" t="s">
        <v>937</v>
      </c>
      <c r="D219" s="26" t="s">
        <v>925</v>
      </c>
      <c r="E219" s="25" t="s">
        <v>926</v>
      </c>
      <c r="F219" s="27" t="n">
        <v>0.1</v>
      </c>
      <c r="G219" s="29" t="s">
        <v>24</v>
      </c>
      <c r="H219" s="25" t="s">
        <v>378</v>
      </c>
      <c r="I219" s="26" t="s">
        <v>938</v>
      </c>
      <c r="J219" s="24" t="s">
        <v>928</v>
      </c>
      <c r="K219" s="26" t="s">
        <v>929</v>
      </c>
      <c r="L219" s="24" t="s">
        <v>411</v>
      </c>
      <c r="M219" s="26" t="s">
        <v>930</v>
      </c>
      <c r="N219" s="28" t="s">
        <v>931</v>
      </c>
      <c r="O219" s="24" t="s">
        <v>45</v>
      </c>
      <c r="P219" s="29" t="s">
        <v>789</v>
      </c>
      <c r="Q219" s="26"/>
    </row>
    <row r="220" customFormat="false" ht="43.5" hidden="false" customHeight="true" outlineLevel="0" collapsed="false">
      <c r="A220" s="24" t="s">
        <v>939</v>
      </c>
      <c r="B220" s="25" t="s">
        <v>852</v>
      </c>
      <c r="C220" s="26" t="s">
        <v>940</v>
      </c>
      <c r="D220" s="26" t="s">
        <v>925</v>
      </c>
      <c r="E220" s="25" t="s">
        <v>941</v>
      </c>
      <c r="F220" s="27" t="n">
        <v>50</v>
      </c>
      <c r="G220" s="24" t="s">
        <v>942</v>
      </c>
      <c r="H220" s="25" t="s">
        <v>685</v>
      </c>
      <c r="I220" s="25" t="s">
        <v>943</v>
      </c>
      <c r="J220" s="24" t="s">
        <v>928</v>
      </c>
      <c r="K220" s="26" t="s">
        <v>929</v>
      </c>
      <c r="L220" s="24" t="s">
        <v>411</v>
      </c>
      <c r="M220" s="26" t="s">
        <v>930</v>
      </c>
      <c r="N220" s="28" t="s">
        <v>931</v>
      </c>
      <c r="O220" s="24" t="s">
        <v>45</v>
      </c>
      <c r="P220" s="29" t="s">
        <v>111</v>
      </c>
      <c r="Q220" s="26"/>
    </row>
    <row r="221" customFormat="false" ht="43.5" hidden="false" customHeight="true" outlineLevel="0" collapsed="false">
      <c r="A221" s="24" t="s">
        <v>944</v>
      </c>
      <c r="B221" s="25" t="s">
        <v>852</v>
      </c>
      <c r="C221" s="26" t="s">
        <v>945</v>
      </c>
      <c r="D221" s="26" t="s">
        <v>925</v>
      </c>
      <c r="E221" s="26" t="s">
        <v>684</v>
      </c>
      <c r="F221" s="32" t="n">
        <v>2029</v>
      </c>
      <c r="G221" s="29" t="s">
        <v>221</v>
      </c>
      <c r="H221" s="25" t="s">
        <v>685</v>
      </c>
      <c r="I221" s="26" t="s">
        <v>946</v>
      </c>
      <c r="J221" s="24" t="s">
        <v>928</v>
      </c>
      <c r="K221" s="26" t="s">
        <v>929</v>
      </c>
      <c r="L221" s="24" t="s">
        <v>411</v>
      </c>
      <c r="M221" s="26" t="s">
        <v>930</v>
      </c>
      <c r="N221" s="28" t="s">
        <v>931</v>
      </c>
      <c r="O221" s="24" t="s">
        <v>45</v>
      </c>
      <c r="P221" s="24" t="s">
        <v>126</v>
      </c>
      <c r="Q221" s="26"/>
    </row>
    <row r="222" customFormat="false" ht="43.5" hidden="false" customHeight="true" outlineLevel="0" collapsed="false">
      <c r="A222" s="24" t="s">
        <v>947</v>
      </c>
      <c r="B222" s="25" t="s">
        <v>852</v>
      </c>
      <c r="C222" s="26" t="s">
        <v>948</v>
      </c>
      <c r="D222" s="26" t="s">
        <v>925</v>
      </c>
      <c r="E222" s="26" t="s">
        <v>949</v>
      </c>
      <c r="F222" s="32" t="n">
        <v>2031</v>
      </c>
      <c r="G222" s="29" t="s">
        <v>221</v>
      </c>
      <c r="H222" s="25" t="s">
        <v>685</v>
      </c>
      <c r="I222" s="26" t="s">
        <v>950</v>
      </c>
      <c r="J222" s="24" t="s">
        <v>928</v>
      </c>
      <c r="K222" s="26" t="s">
        <v>929</v>
      </c>
      <c r="L222" s="24" t="s">
        <v>411</v>
      </c>
      <c r="M222" s="26" t="s">
        <v>930</v>
      </c>
      <c r="N222" s="28" t="s">
        <v>931</v>
      </c>
      <c r="O222" s="24" t="s">
        <v>45</v>
      </c>
      <c r="P222" s="24" t="s">
        <v>126</v>
      </c>
      <c r="Q222" s="26"/>
    </row>
    <row r="223" customFormat="false" ht="43.5" hidden="false" customHeight="true" outlineLevel="0" collapsed="false">
      <c r="A223" s="24" t="s">
        <v>951</v>
      </c>
      <c r="B223" s="25" t="s">
        <v>871</v>
      </c>
      <c r="C223" s="26" t="s">
        <v>952</v>
      </c>
      <c r="D223" s="26" t="s">
        <v>953</v>
      </c>
      <c r="E223" s="26" t="s">
        <v>954</v>
      </c>
      <c r="F223" s="27" t="n">
        <v>0.9</v>
      </c>
      <c r="G223" s="29" t="s">
        <v>24</v>
      </c>
      <c r="H223" s="25" t="s">
        <v>378</v>
      </c>
      <c r="I223" s="25" t="s">
        <v>955</v>
      </c>
      <c r="J223" s="24" t="s">
        <v>956</v>
      </c>
      <c r="K223" s="26" t="s">
        <v>957</v>
      </c>
      <c r="L223" s="24" t="s">
        <v>958</v>
      </c>
      <c r="M223" s="26" t="s">
        <v>959</v>
      </c>
      <c r="N223" s="28" t="s">
        <v>960</v>
      </c>
      <c r="O223" s="24" t="s">
        <v>45</v>
      </c>
      <c r="P223" s="29" t="s">
        <v>182</v>
      </c>
      <c r="Q223" s="26"/>
    </row>
    <row r="224" customFormat="false" ht="43.5" hidden="false" customHeight="true" outlineLevel="0" collapsed="false">
      <c r="A224" s="24" t="s">
        <v>961</v>
      </c>
      <c r="B224" s="25" t="s">
        <v>871</v>
      </c>
      <c r="C224" s="26" t="s">
        <v>962</v>
      </c>
      <c r="D224" s="26" t="s">
        <v>953</v>
      </c>
      <c r="E224" s="26" t="s">
        <v>963</v>
      </c>
      <c r="F224" s="27" t="n">
        <v>1</v>
      </c>
      <c r="G224" s="29" t="s">
        <v>24</v>
      </c>
      <c r="H224" s="25" t="s">
        <v>378</v>
      </c>
      <c r="I224" s="26" t="s">
        <v>964</v>
      </c>
      <c r="J224" s="24" t="s">
        <v>965</v>
      </c>
      <c r="K224" s="26" t="s">
        <v>966</v>
      </c>
      <c r="L224" s="24" t="s">
        <v>967</v>
      </c>
      <c r="M224" s="25" t="s">
        <v>968</v>
      </c>
      <c r="N224" s="28" t="s">
        <v>969</v>
      </c>
      <c r="O224" s="24" t="s">
        <v>45</v>
      </c>
      <c r="P224" s="29" t="s">
        <v>111</v>
      </c>
      <c r="Q224" s="26"/>
    </row>
    <row r="225" customFormat="false" ht="43.5" hidden="false" customHeight="true" outlineLevel="0" collapsed="false">
      <c r="A225" s="24" t="s">
        <v>970</v>
      </c>
      <c r="B225" s="25" t="s">
        <v>852</v>
      </c>
      <c r="C225" s="26" t="s">
        <v>971</v>
      </c>
      <c r="D225" s="26" t="s">
        <v>953</v>
      </c>
      <c r="E225" s="26" t="s">
        <v>135</v>
      </c>
      <c r="F225" s="32" t="n">
        <v>2030</v>
      </c>
      <c r="G225" s="29" t="s">
        <v>221</v>
      </c>
      <c r="H225" s="25" t="s">
        <v>685</v>
      </c>
      <c r="I225" s="26" t="s">
        <v>972</v>
      </c>
      <c r="J225" s="24" t="s">
        <v>965</v>
      </c>
      <c r="K225" s="26" t="s">
        <v>966</v>
      </c>
      <c r="L225" s="24" t="s">
        <v>967</v>
      </c>
      <c r="M225" s="25" t="s">
        <v>968</v>
      </c>
      <c r="N225" s="28" t="s">
        <v>969</v>
      </c>
      <c r="O225" s="24" t="s">
        <v>45</v>
      </c>
      <c r="P225" s="24" t="s">
        <v>126</v>
      </c>
      <c r="Q225" s="26"/>
    </row>
    <row r="226" customFormat="false" ht="43.5" hidden="false" customHeight="true" outlineLevel="0" collapsed="false">
      <c r="A226" s="24" t="s">
        <v>973</v>
      </c>
      <c r="B226" s="25" t="s">
        <v>852</v>
      </c>
      <c r="C226" s="26" t="s">
        <v>974</v>
      </c>
      <c r="D226" s="26" t="s">
        <v>953</v>
      </c>
      <c r="E226" s="26" t="s">
        <v>975</v>
      </c>
      <c r="F226" s="27" t="n">
        <v>100</v>
      </c>
      <c r="G226" s="24" t="s">
        <v>976</v>
      </c>
      <c r="H226" s="25" t="s">
        <v>685</v>
      </c>
      <c r="I226" s="25" t="s">
        <v>977</v>
      </c>
      <c r="J226" s="24" t="s">
        <v>965</v>
      </c>
      <c r="K226" s="26" t="s">
        <v>966</v>
      </c>
      <c r="L226" s="24" t="s">
        <v>967</v>
      </c>
      <c r="M226" s="25" t="s">
        <v>968</v>
      </c>
      <c r="N226" s="28" t="s">
        <v>969</v>
      </c>
      <c r="O226" s="24" t="s">
        <v>45</v>
      </c>
      <c r="P226" s="29" t="s">
        <v>182</v>
      </c>
      <c r="Q226" s="26"/>
    </row>
    <row r="227" customFormat="false" ht="43.5" hidden="false" customHeight="true" outlineLevel="0" collapsed="false">
      <c r="A227" s="24" t="s">
        <v>978</v>
      </c>
      <c r="B227" s="25" t="s">
        <v>871</v>
      </c>
      <c r="C227" s="26" t="s">
        <v>979</v>
      </c>
      <c r="D227" s="26" t="s">
        <v>980</v>
      </c>
      <c r="E227" s="26" t="s">
        <v>873</v>
      </c>
      <c r="F227" s="27" t="n">
        <v>411</v>
      </c>
      <c r="G227" s="29" t="s">
        <v>981</v>
      </c>
      <c r="H227" s="25" t="s">
        <v>378</v>
      </c>
      <c r="I227" s="26" t="s">
        <v>982</v>
      </c>
      <c r="J227" s="24" t="s">
        <v>983</v>
      </c>
      <c r="K227" s="26" t="s">
        <v>984</v>
      </c>
      <c r="L227" s="24" t="s">
        <v>985</v>
      </c>
      <c r="M227" s="25" t="s">
        <v>986</v>
      </c>
      <c r="N227" s="28" t="s">
        <v>987</v>
      </c>
      <c r="O227" s="24" t="s">
        <v>45</v>
      </c>
      <c r="P227" s="24" t="s">
        <v>126</v>
      </c>
      <c r="Q227" s="26"/>
    </row>
    <row r="228" customFormat="false" ht="43.5" hidden="false" customHeight="true" outlineLevel="0" collapsed="false">
      <c r="A228" s="24" t="s">
        <v>988</v>
      </c>
      <c r="B228" s="25" t="s">
        <v>871</v>
      </c>
      <c r="C228" s="26" t="s">
        <v>989</v>
      </c>
      <c r="D228" s="26" t="s">
        <v>980</v>
      </c>
      <c r="E228" s="25" t="s">
        <v>882</v>
      </c>
      <c r="F228" s="27" t="n">
        <v>650</v>
      </c>
      <c r="G228" s="29" t="s">
        <v>981</v>
      </c>
      <c r="H228" s="25" t="s">
        <v>378</v>
      </c>
      <c r="I228" s="25" t="s">
        <v>990</v>
      </c>
      <c r="J228" s="24" t="s">
        <v>983</v>
      </c>
      <c r="K228" s="26" t="s">
        <v>984</v>
      </c>
      <c r="L228" s="24" t="s">
        <v>985</v>
      </c>
      <c r="M228" s="25" t="s">
        <v>986</v>
      </c>
      <c r="N228" s="28" t="s">
        <v>987</v>
      </c>
      <c r="O228" s="24" t="s">
        <v>45</v>
      </c>
      <c r="P228" s="29" t="s">
        <v>182</v>
      </c>
      <c r="Q228" s="26"/>
    </row>
    <row r="229" customFormat="false" ht="43.5" hidden="false" customHeight="true" outlineLevel="0" collapsed="false">
      <c r="A229" s="24" t="s">
        <v>991</v>
      </c>
      <c r="B229" s="25" t="s">
        <v>871</v>
      </c>
      <c r="C229" s="26" t="s">
        <v>992</v>
      </c>
      <c r="D229" s="26" t="s">
        <v>980</v>
      </c>
      <c r="E229" s="25" t="s">
        <v>882</v>
      </c>
      <c r="F229" s="27" t="n">
        <v>95</v>
      </c>
      <c r="G229" s="29" t="s">
        <v>981</v>
      </c>
      <c r="H229" s="25" t="s">
        <v>378</v>
      </c>
      <c r="I229" s="25" t="s">
        <v>993</v>
      </c>
      <c r="J229" s="24" t="s">
        <v>983</v>
      </c>
      <c r="K229" s="26" t="s">
        <v>984</v>
      </c>
      <c r="L229" s="24" t="s">
        <v>985</v>
      </c>
      <c r="M229" s="25" t="s">
        <v>986</v>
      </c>
      <c r="N229" s="28" t="s">
        <v>987</v>
      </c>
      <c r="O229" s="24" t="s">
        <v>45</v>
      </c>
      <c r="P229" s="24" t="s">
        <v>126</v>
      </c>
      <c r="Q229" s="26"/>
    </row>
    <row r="230" customFormat="false" ht="43.5" hidden="false" customHeight="true" outlineLevel="0" collapsed="false">
      <c r="A230" s="24" t="s">
        <v>994</v>
      </c>
      <c r="B230" s="25" t="s">
        <v>852</v>
      </c>
      <c r="C230" s="26" t="s">
        <v>995</v>
      </c>
      <c r="D230" s="26" t="s">
        <v>980</v>
      </c>
      <c r="E230" s="26" t="s">
        <v>867</v>
      </c>
      <c r="F230" s="32" t="n">
        <v>2030</v>
      </c>
      <c r="G230" s="29" t="s">
        <v>868</v>
      </c>
      <c r="H230" s="25" t="s">
        <v>685</v>
      </c>
      <c r="I230" s="26" t="s">
        <v>996</v>
      </c>
      <c r="J230" s="24" t="s">
        <v>983</v>
      </c>
      <c r="K230" s="26" t="s">
        <v>984</v>
      </c>
      <c r="L230" s="24" t="s">
        <v>985</v>
      </c>
      <c r="M230" s="25" t="s">
        <v>986</v>
      </c>
      <c r="N230" s="28" t="s">
        <v>987</v>
      </c>
      <c r="O230" s="24" t="s">
        <v>45</v>
      </c>
      <c r="P230" s="29" t="s">
        <v>111</v>
      </c>
      <c r="Q230" s="26"/>
    </row>
    <row r="231" customFormat="false" ht="43.5" hidden="false" customHeight="true" outlineLevel="0" collapsed="false">
      <c r="A231" s="24" t="s">
        <v>997</v>
      </c>
      <c r="B231" s="25" t="s">
        <v>998</v>
      </c>
      <c r="C231" s="25" t="s">
        <v>101</v>
      </c>
      <c r="D231" s="26" t="s">
        <v>53</v>
      </c>
      <c r="E231" s="26" t="s">
        <v>116</v>
      </c>
      <c r="F231" s="32" t="n">
        <v>42415800</v>
      </c>
      <c r="G231" s="24" t="s">
        <v>445</v>
      </c>
      <c r="H231" s="25" t="s">
        <v>378</v>
      </c>
      <c r="I231" s="25" t="s">
        <v>999</v>
      </c>
      <c r="J231" s="24" t="s">
        <v>1000</v>
      </c>
      <c r="K231" s="26" t="s">
        <v>1001</v>
      </c>
      <c r="L231" s="24" t="s">
        <v>1002</v>
      </c>
      <c r="M231" s="26" t="s">
        <v>1003</v>
      </c>
      <c r="N231" s="28" t="s">
        <v>1004</v>
      </c>
      <c r="O231" s="24" t="s">
        <v>45</v>
      </c>
      <c r="P231" s="24" t="s">
        <v>126</v>
      </c>
      <c r="Q231" s="26"/>
    </row>
    <row r="232" customFormat="false" ht="43.5" hidden="false" customHeight="true" outlineLevel="0" collapsed="false">
      <c r="A232" s="24" t="s">
        <v>1005</v>
      </c>
      <c r="B232" s="25" t="s">
        <v>998</v>
      </c>
      <c r="C232" s="25" t="s">
        <v>1006</v>
      </c>
      <c r="D232" s="26" t="s">
        <v>53</v>
      </c>
      <c r="E232" s="26" t="s">
        <v>116</v>
      </c>
      <c r="F232" s="32" t="n">
        <v>43586600</v>
      </c>
      <c r="G232" s="24" t="s">
        <v>445</v>
      </c>
      <c r="H232" s="25" t="s">
        <v>378</v>
      </c>
      <c r="I232" s="25" t="s">
        <v>1007</v>
      </c>
      <c r="J232" s="24" t="s">
        <v>1000</v>
      </c>
      <c r="K232" s="26" t="s">
        <v>1001</v>
      </c>
      <c r="L232" s="24" t="s">
        <v>1002</v>
      </c>
      <c r="M232" s="26" t="s">
        <v>1003</v>
      </c>
      <c r="N232" s="28" t="s">
        <v>1004</v>
      </c>
      <c r="O232" s="24" t="s">
        <v>45</v>
      </c>
      <c r="P232" s="24" t="s">
        <v>126</v>
      </c>
      <c r="Q232" s="26"/>
    </row>
    <row r="233" customFormat="false" ht="43.5" hidden="false" customHeight="true" outlineLevel="0" collapsed="false">
      <c r="A233" s="24" t="s">
        <v>1008</v>
      </c>
      <c r="B233" s="25" t="s">
        <v>998</v>
      </c>
      <c r="C233" s="25" t="s">
        <v>1009</v>
      </c>
      <c r="D233" s="26" t="s">
        <v>53</v>
      </c>
      <c r="E233" s="26" t="s">
        <v>116</v>
      </c>
      <c r="F233" s="30" t="n">
        <v>1</v>
      </c>
      <c r="G233" s="29" t="s">
        <v>17</v>
      </c>
      <c r="H233" s="25" t="s">
        <v>378</v>
      </c>
      <c r="I233" s="25" t="s">
        <v>1010</v>
      </c>
      <c r="J233" s="24" t="s">
        <v>1000</v>
      </c>
      <c r="K233" s="26" t="s">
        <v>1001</v>
      </c>
      <c r="L233" s="24" t="s">
        <v>1002</v>
      </c>
      <c r="M233" s="26" t="s">
        <v>1011</v>
      </c>
      <c r="N233" s="28" t="s">
        <v>1004</v>
      </c>
      <c r="O233" s="24" t="s">
        <v>45</v>
      </c>
      <c r="P233" s="24" t="s">
        <v>126</v>
      </c>
      <c r="Q233" s="26"/>
    </row>
    <row r="234" customFormat="false" ht="43.5" hidden="false" customHeight="true" outlineLevel="0" collapsed="false">
      <c r="A234" s="24" t="s">
        <v>1012</v>
      </c>
      <c r="B234" s="25" t="s">
        <v>817</v>
      </c>
      <c r="C234" s="26" t="s">
        <v>402</v>
      </c>
      <c r="D234" s="26" t="s">
        <v>53</v>
      </c>
      <c r="E234" s="26" t="s">
        <v>403</v>
      </c>
      <c r="F234" s="27" t="n">
        <v>195</v>
      </c>
      <c r="G234" s="29" t="s">
        <v>24</v>
      </c>
      <c r="H234" s="25" t="s">
        <v>404</v>
      </c>
      <c r="I234" s="25" t="s">
        <v>1013</v>
      </c>
      <c r="J234" s="24" t="s">
        <v>1014</v>
      </c>
      <c r="K234" s="26" t="s">
        <v>1015</v>
      </c>
      <c r="L234" s="24" t="s">
        <v>1016</v>
      </c>
      <c r="M234" s="26" t="s">
        <v>1017</v>
      </c>
      <c r="N234" s="28" t="s">
        <v>1018</v>
      </c>
      <c r="O234" s="24" t="s">
        <v>45</v>
      </c>
      <c r="P234" s="24" t="s">
        <v>126</v>
      </c>
      <c r="Q234" s="26"/>
    </row>
    <row r="235" customFormat="false" ht="43.5" hidden="false" customHeight="true" outlineLevel="0" collapsed="false">
      <c r="A235" s="24" t="s">
        <v>1019</v>
      </c>
      <c r="B235" s="25" t="s">
        <v>817</v>
      </c>
      <c r="C235" s="26" t="s">
        <v>408</v>
      </c>
      <c r="D235" s="26" t="s">
        <v>53</v>
      </c>
      <c r="E235" s="26" t="s">
        <v>403</v>
      </c>
      <c r="F235" s="27" t="n">
        <v>205</v>
      </c>
      <c r="G235" s="29" t="s">
        <v>24</v>
      </c>
      <c r="H235" s="25" t="s">
        <v>404</v>
      </c>
      <c r="I235" s="25" t="s">
        <v>1020</v>
      </c>
      <c r="J235" s="24" t="s">
        <v>1014</v>
      </c>
      <c r="K235" s="26" t="s">
        <v>1015</v>
      </c>
      <c r="L235" s="24" t="s">
        <v>1016</v>
      </c>
      <c r="M235" s="26" t="s">
        <v>1017</v>
      </c>
      <c r="N235" s="28" t="s">
        <v>1018</v>
      </c>
      <c r="O235" s="24" t="s">
        <v>45</v>
      </c>
      <c r="P235" s="24" t="s">
        <v>126</v>
      </c>
      <c r="Q235" s="26"/>
    </row>
    <row r="236" customFormat="false" ht="43.5" hidden="false" customHeight="true" outlineLevel="0" collapsed="false">
      <c r="A236" s="24" t="s">
        <v>1021</v>
      </c>
      <c r="B236" s="25" t="s">
        <v>817</v>
      </c>
      <c r="C236" s="26" t="s">
        <v>1022</v>
      </c>
      <c r="D236" s="26" t="s">
        <v>53</v>
      </c>
      <c r="E236" s="26" t="s">
        <v>1023</v>
      </c>
      <c r="F236" s="30" t="n">
        <v>0.6</v>
      </c>
      <c r="G236" s="29" t="s">
        <v>17</v>
      </c>
      <c r="H236" s="25" t="s">
        <v>378</v>
      </c>
      <c r="I236" s="25" t="s">
        <v>1024</v>
      </c>
      <c r="J236" s="24" t="s">
        <v>1014</v>
      </c>
      <c r="K236" s="26" t="s">
        <v>1015</v>
      </c>
      <c r="L236" s="24" t="s">
        <v>1016</v>
      </c>
      <c r="M236" s="26" t="s">
        <v>1025</v>
      </c>
      <c r="N236" s="28" t="s">
        <v>1018</v>
      </c>
      <c r="O236" s="24" t="s">
        <v>45</v>
      </c>
      <c r="P236" s="29" t="s">
        <v>111</v>
      </c>
      <c r="Q236" s="26"/>
    </row>
    <row r="237" customFormat="false" ht="43.5" hidden="false" customHeight="true" outlineLevel="0" collapsed="false">
      <c r="A237" s="24" t="s">
        <v>1026</v>
      </c>
      <c r="B237" s="25" t="s">
        <v>817</v>
      </c>
      <c r="C237" s="26" t="s">
        <v>1027</v>
      </c>
      <c r="D237" s="26" t="s">
        <v>53</v>
      </c>
      <c r="E237" s="26" t="s">
        <v>1023</v>
      </c>
      <c r="F237" s="30" t="n">
        <v>0.4</v>
      </c>
      <c r="G237" s="29" t="s">
        <v>17</v>
      </c>
      <c r="H237" s="25" t="s">
        <v>378</v>
      </c>
      <c r="I237" s="25" t="s">
        <v>1028</v>
      </c>
      <c r="J237" s="24" t="s">
        <v>1014</v>
      </c>
      <c r="K237" s="26" t="s">
        <v>1015</v>
      </c>
      <c r="L237" s="24" t="s">
        <v>1016</v>
      </c>
      <c r="M237" s="26" t="s">
        <v>1025</v>
      </c>
      <c r="N237" s="28" t="s">
        <v>1018</v>
      </c>
      <c r="O237" s="24" t="s">
        <v>45</v>
      </c>
      <c r="P237" s="29" t="s">
        <v>111</v>
      </c>
      <c r="Q237" s="26"/>
    </row>
    <row r="238" customFormat="false" ht="43.5" hidden="false" customHeight="true" outlineLevel="0" collapsed="false">
      <c r="A238" s="24" t="s">
        <v>1029</v>
      </c>
      <c r="B238" s="25" t="s">
        <v>998</v>
      </c>
      <c r="C238" s="25" t="s">
        <v>1006</v>
      </c>
      <c r="D238" s="26" t="s">
        <v>55</v>
      </c>
      <c r="E238" s="26" t="s">
        <v>1030</v>
      </c>
      <c r="F238" s="32" t="n">
        <v>37026353</v>
      </c>
      <c r="G238" s="24" t="s">
        <v>445</v>
      </c>
      <c r="H238" s="25" t="s">
        <v>378</v>
      </c>
      <c r="I238" s="25" t="s">
        <v>1031</v>
      </c>
      <c r="J238" s="24" t="s">
        <v>1032</v>
      </c>
      <c r="K238" s="26" t="s">
        <v>1033</v>
      </c>
      <c r="L238" s="24" t="s">
        <v>1034</v>
      </c>
      <c r="M238" s="26" t="s">
        <v>1035</v>
      </c>
      <c r="N238" s="28" t="s">
        <v>1036</v>
      </c>
      <c r="O238" s="24" t="s">
        <v>45</v>
      </c>
      <c r="P238" s="24" t="s">
        <v>126</v>
      </c>
      <c r="Q238" s="26"/>
    </row>
    <row r="239" customFormat="false" ht="43.5" hidden="false" customHeight="true" outlineLevel="0" collapsed="false">
      <c r="A239" s="24" t="s">
        <v>1037</v>
      </c>
      <c r="B239" s="25" t="s">
        <v>998</v>
      </c>
      <c r="C239" s="25" t="s">
        <v>1038</v>
      </c>
      <c r="D239" s="26" t="s">
        <v>55</v>
      </c>
      <c r="E239" s="26" t="s">
        <v>1039</v>
      </c>
      <c r="F239" s="30" t="n">
        <v>1</v>
      </c>
      <c r="G239" s="29" t="s">
        <v>17</v>
      </c>
      <c r="H239" s="25" t="s">
        <v>378</v>
      </c>
      <c r="I239" s="25" t="s">
        <v>1040</v>
      </c>
      <c r="J239" s="24" t="s">
        <v>1032</v>
      </c>
      <c r="K239" s="26" t="s">
        <v>1033</v>
      </c>
      <c r="L239" s="24" t="s">
        <v>1034</v>
      </c>
      <c r="M239" s="26" t="s">
        <v>1041</v>
      </c>
      <c r="N239" s="28" t="s">
        <v>1036</v>
      </c>
      <c r="O239" s="24" t="s">
        <v>45</v>
      </c>
      <c r="P239" s="24" t="s">
        <v>126</v>
      </c>
      <c r="Q239" s="26"/>
    </row>
    <row r="240" customFormat="false" ht="43.5" hidden="false" customHeight="true" outlineLevel="0" collapsed="false">
      <c r="A240" s="24" t="s">
        <v>1042</v>
      </c>
      <c r="B240" s="25" t="s">
        <v>817</v>
      </c>
      <c r="C240" s="25" t="s">
        <v>1043</v>
      </c>
      <c r="D240" s="26" t="s">
        <v>55</v>
      </c>
      <c r="E240" s="26" t="s">
        <v>1044</v>
      </c>
      <c r="F240" s="27" t="n">
        <v>175</v>
      </c>
      <c r="G240" s="29" t="s">
        <v>24</v>
      </c>
      <c r="H240" s="25" t="s">
        <v>404</v>
      </c>
      <c r="I240" s="25" t="s">
        <v>1045</v>
      </c>
      <c r="J240" s="24" t="s">
        <v>1046</v>
      </c>
      <c r="K240" s="26" t="s">
        <v>1047</v>
      </c>
      <c r="L240" s="24" t="s">
        <v>842</v>
      </c>
      <c r="M240" s="26" t="s">
        <v>1048</v>
      </c>
      <c r="N240" s="28" t="s">
        <v>1049</v>
      </c>
      <c r="O240" s="24" t="s">
        <v>45</v>
      </c>
      <c r="P240" s="29" t="s">
        <v>111</v>
      </c>
      <c r="Q240" s="26"/>
    </row>
    <row r="241" customFormat="false" ht="43.5" hidden="false" customHeight="true" outlineLevel="0" collapsed="false">
      <c r="A241" s="24" t="s">
        <v>1050</v>
      </c>
      <c r="B241" s="25" t="s">
        <v>998</v>
      </c>
      <c r="C241" s="25" t="s">
        <v>1051</v>
      </c>
      <c r="D241" s="26" t="s">
        <v>57</v>
      </c>
      <c r="E241" s="26" t="s">
        <v>116</v>
      </c>
      <c r="F241" s="31" t="n">
        <v>1.14</v>
      </c>
      <c r="G241" s="29" t="s">
        <v>143</v>
      </c>
      <c r="H241" s="25" t="s">
        <v>378</v>
      </c>
      <c r="I241" s="25" t="s">
        <v>1052</v>
      </c>
      <c r="J241" s="24" t="s">
        <v>1053</v>
      </c>
      <c r="K241" s="26" t="s">
        <v>1054</v>
      </c>
      <c r="L241" s="24" t="s">
        <v>1055</v>
      </c>
      <c r="M241" s="26" t="s">
        <v>1056</v>
      </c>
      <c r="N241" s="28" t="s">
        <v>1057</v>
      </c>
      <c r="O241" s="24" t="s">
        <v>45</v>
      </c>
      <c r="P241" s="24" t="s">
        <v>126</v>
      </c>
      <c r="Q241" s="26"/>
    </row>
    <row r="242" customFormat="false" ht="43.5" hidden="false" customHeight="true" outlineLevel="0" collapsed="false">
      <c r="A242" s="24" t="s">
        <v>1058</v>
      </c>
      <c r="B242" s="25" t="s">
        <v>998</v>
      </c>
      <c r="C242" s="25" t="s">
        <v>1059</v>
      </c>
      <c r="D242" s="26" t="s">
        <v>57</v>
      </c>
      <c r="E242" s="25" t="s">
        <v>477</v>
      </c>
      <c r="F242" s="32" t="n">
        <v>41670</v>
      </c>
      <c r="G242" s="24" t="s">
        <v>76</v>
      </c>
      <c r="H242" s="25" t="s">
        <v>378</v>
      </c>
      <c r="I242" s="25" t="s">
        <v>1060</v>
      </c>
      <c r="J242" s="24" t="s">
        <v>1053</v>
      </c>
      <c r="K242" s="26" t="s">
        <v>1054</v>
      </c>
      <c r="L242" s="24" t="s">
        <v>1055</v>
      </c>
      <c r="M242" s="26" t="s">
        <v>1061</v>
      </c>
      <c r="N242" s="28" t="s">
        <v>1057</v>
      </c>
      <c r="O242" s="24" t="s">
        <v>45</v>
      </c>
      <c r="P242" s="29" t="s">
        <v>111</v>
      </c>
      <c r="Q242" s="26"/>
    </row>
    <row r="243" customFormat="false" ht="43.5" hidden="false" customHeight="true" outlineLevel="0" collapsed="false">
      <c r="A243" s="24" t="s">
        <v>1062</v>
      </c>
      <c r="B243" s="25" t="s">
        <v>998</v>
      </c>
      <c r="C243" s="25" t="s">
        <v>1009</v>
      </c>
      <c r="D243" s="26" t="s">
        <v>1063</v>
      </c>
      <c r="E243" s="26" t="s">
        <v>116</v>
      </c>
      <c r="F243" s="30" t="n">
        <v>1</v>
      </c>
      <c r="G243" s="29" t="s">
        <v>17</v>
      </c>
      <c r="H243" s="25" t="s">
        <v>378</v>
      </c>
      <c r="I243" s="25" t="s">
        <v>1064</v>
      </c>
      <c r="J243" s="24" t="s">
        <v>1053</v>
      </c>
      <c r="K243" s="26" t="s">
        <v>1054</v>
      </c>
      <c r="L243" s="24" t="s">
        <v>1055</v>
      </c>
      <c r="M243" s="26" t="s">
        <v>1065</v>
      </c>
      <c r="N243" s="28" t="s">
        <v>1057</v>
      </c>
      <c r="O243" s="24" t="s">
        <v>45</v>
      </c>
      <c r="P243" s="24" t="s">
        <v>126</v>
      </c>
      <c r="Q243" s="26"/>
    </row>
  </sheetData>
  <autoFilter ref="A3:Q243"/>
  <mergeCells count="2">
    <mergeCell ref="A1:Q1"/>
    <mergeCell ref="A2:Q2"/>
  </mergeCells>
  <hyperlinks>
    <hyperlink ref="N4" r:id="rId1" display="https://www.iea.org/reports/energy-and-ai"/>
    <hyperlink ref="N5" r:id="rId2" display="https://www.iea.org/reports/energy-and-ai"/>
    <hyperlink ref="N6" r:id="rId3" display="https://www.iea.org/reports/key-questions-on-energy-and-ai"/>
    <hyperlink ref="N7" r:id="rId4" display="https://www.iea.org/reports/key-questions-on-energy-and-ai"/>
    <hyperlink ref="N8" r:id="rId5" display="https://www.iea.org/reports/key-questions-on-energy-and-ai"/>
    <hyperlink ref="N9" r:id="rId6" display="https://www.iea.org/reports/key-questions-on-energy-and-ai"/>
    <hyperlink ref="N10" r:id="rId7" display="https://www.iea.org/reports/key-questions-on-energy-and-ai"/>
    <hyperlink ref="N11" r:id="rId8" display="https://www.iea.org/reports/key-questions-on-energy-and-ai"/>
    <hyperlink ref="N12" r:id="rId9" display="https://www.iea.org/reports/key-questions-on-energy-and-ai"/>
    <hyperlink ref="N13" r:id="rId10" display="https://www.iea.org/reports/energy-and-ai"/>
    <hyperlink ref="N14" r:id="rId11" display="https://www.iea.org/reports/energy-and-ai"/>
    <hyperlink ref="N15" r:id="rId12" display="https://www.iea.org/reports/energy-and-ai"/>
    <hyperlink ref="N16" r:id="rId13" display="https://www.iea.org/reports/energy-and-ai"/>
    <hyperlink ref="N17" r:id="rId14" display="https://www.iea.org/reports/energy-and-ai"/>
    <hyperlink ref="N18" r:id="rId15" display="https://www.iea.org/reports/key-questions-on-energy-and-ai"/>
    <hyperlink ref="N19" r:id="rId16" display="https://www.iea.org/reports/key-questions-on-energy-and-ai"/>
    <hyperlink ref="N20" r:id="rId17" display="https://www.iea.org/reports/key-questions-on-energy-and-ai"/>
    <hyperlink ref="N21" r:id="rId18" display="https://www.iea.org/reports/key-questions-on-energy-and-ai"/>
    <hyperlink ref="N22" r:id="rId19" display="https://www.iea.org/reports/key-questions-on-energy-and-ai"/>
    <hyperlink ref="N23" r:id="rId20" display="https://www.iea.org/reports/key-questions-on-energy-and-ai"/>
    <hyperlink ref="N24" r:id="rId21" display="https://www.iea.org/reports/key-questions-on-energy-and-ai"/>
    <hyperlink ref="N25" r:id="rId22" display="https://www.iea.org/reports/key-questions-on-energy-and-ai"/>
    <hyperlink ref="N26" r:id="rId23" display="https://www.iea.org/reports/key-questions-on-energy-and-ai"/>
    <hyperlink ref="N27" r:id="rId24" display="https://www.iea.org/reports/key-questions-on-energy-and-ai"/>
    <hyperlink ref="N28" r:id="rId25" display="https://www.iea.org/reports/key-questions-on-energy-and-ai"/>
    <hyperlink ref="N29" r:id="rId26" display="https://www.iea.org/reports/key-questions-on-energy-and-ai"/>
    <hyperlink ref="N30" r:id="rId27" display="https://www.iea.org/reports/key-questions-on-energy-and-ai"/>
    <hyperlink ref="N31" r:id="rId28" display="https://www.iea.org/reports/key-questions-on-energy-and-ai"/>
    <hyperlink ref="N32" r:id="rId29" display="https://www.iea.org/reports/key-questions-on-energy-and-ai"/>
    <hyperlink ref="N33" r:id="rId30" display="https://www.iea.org/reports/energy-and-ai"/>
    <hyperlink ref="N34" r:id="rId31" display="https://www.iea.org/reports/energy-and-ai"/>
    <hyperlink ref="N35" r:id="rId32" display="https://www.iea.org/reports/energy-and-ai"/>
    <hyperlink ref="N36" r:id="rId33" display="https://www.iea.org/reports/energy-and-ai"/>
    <hyperlink ref="N37" r:id="rId34" display="https://www.iea.org/reports/energy-and-ai"/>
    <hyperlink ref="N38" r:id="rId35" display="https://www.iea.org/reports/energy-and-ai"/>
    <hyperlink ref="N39" r:id="rId36" display="https://www.iea.org/reports/energy-and-ai"/>
    <hyperlink ref="N40" r:id="rId37" display="https://www.iea.org/reports/energy-and-ai"/>
    <hyperlink ref="N41" r:id="rId38" display="https://www.iea.org/reports/energy-and-ai"/>
    <hyperlink ref="N42" r:id="rId39" display="https://www.iea.org/reports/energy-and-ai"/>
    <hyperlink ref="N43" r:id="rId40" display="https://www.iea.org/reports/energy-and-ai"/>
    <hyperlink ref="N44" r:id="rId41" display="https://www.iea.org/reports/energy-and-ai"/>
    <hyperlink ref="N45" r:id="rId42" display="https://www.iea.org/reports/energy-and-ai"/>
    <hyperlink ref="N46" r:id="rId43" display="https://www.iea.org/reports/energy-and-ai"/>
    <hyperlink ref="N47" r:id="rId44" display="https://www.iea.org/reports/energy-and-ai"/>
    <hyperlink ref="N48" r:id="rId45" display="https://www.iea.org/reports/energy-and-ai"/>
    <hyperlink ref="N49" r:id="rId46" display="https://www.iea.org/reports/energy-and-ai"/>
    <hyperlink ref="N50" r:id="rId47" display="https://www.iea.org/reports/energy-and-ai"/>
    <hyperlink ref="N51" r:id="rId48" display="https://www.iea.org/reports/energy-and-ai"/>
    <hyperlink ref="N52" r:id="rId49" display="https://www.iea.org/reports/energy-and-ai"/>
    <hyperlink ref="N53" r:id="rId50" display="https://www.iea.org/reports/energy-and-ai"/>
    <hyperlink ref="N54" r:id="rId51" display="https://www.iea.org/reports/energy-and-ai"/>
    <hyperlink ref="N55" r:id="rId52" display="https://www.iea.org/reports/energy-and-ai"/>
    <hyperlink ref="N56" r:id="rId53" display="https://www.iea.org/reports/energy-and-ai"/>
    <hyperlink ref="N57" r:id="rId54" display="https://www.iea.org/reports/energy-and-ai"/>
    <hyperlink ref="N58" r:id="rId55" display="https://www.iea.org/reports/energy-and-ai"/>
    <hyperlink ref="N59" r:id="rId56" display="https://www.iea.org/reports/energy-and-ai"/>
    <hyperlink ref="N60" r:id="rId57" display="https://www.iea.org/reports/energy-and-ai"/>
    <hyperlink ref="N61" r:id="rId58" display="https://www.iea.org/reports/energy-and-ai"/>
    <hyperlink ref="N62" r:id="rId59" display="https://www.iea.org/reports/energy-and-ai"/>
    <hyperlink ref="N63" r:id="rId60" display="https://www.iea.org/reports/energy-and-ai"/>
    <hyperlink ref="N64" r:id="rId61" display="https://www.iea.org/reports/energy-and-ai"/>
    <hyperlink ref="N65" r:id="rId62" display="https://www.iea.org/reports/energy-and-ai"/>
    <hyperlink ref="N66" r:id="rId63" display="https://www.iea.org/reports/energy-and-ai"/>
    <hyperlink ref="N67" r:id="rId64" display="https://www.iea.org/reports/energy-and-ai"/>
    <hyperlink ref="N68" r:id="rId65" display="https://www.iea.org/reports/energy-and-ai"/>
    <hyperlink ref="N69" r:id="rId66" display="https://www.iea.org/reports/energy-and-ai"/>
    <hyperlink ref="N70" r:id="rId67" display="https://www.iea.org/reports/energy-and-ai"/>
    <hyperlink ref="N71" r:id="rId68" display="https://www.iea.org/reports/energy-and-ai"/>
    <hyperlink ref="N72" r:id="rId69" display="https://www.iea.org/reports/energy-and-ai"/>
    <hyperlink ref="N73" r:id="rId70" display="https://www.iea.org/reports/energy-and-ai"/>
    <hyperlink ref="N74" r:id="rId71" display="https://www.iea.org/reports/energy-and-ai"/>
    <hyperlink ref="N75" r:id="rId72" display="https://www.iea.org/reports/energy-and-ai"/>
    <hyperlink ref="N76" r:id="rId73" display="https://www.iea.org/reports/energy-and-ai"/>
    <hyperlink ref="N77" r:id="rId74" display="https://www.iea.org/reports/energy-and-ai"/>
    <hyperlink ref="N78" r:id="rId75" display="https://www.iea.org/reports/energy-and-ai"/>
    <hyperlink ref="N79" r:id="rId76" display="https://www.iea.org/reports/energy-and-ai"/>
    <hyperlink ref="N80" r:id="rId77" display="https://www.iea.org/reports/energy-and-ai"/>
    <hyperlink ref="N81" r:id="rId78" display="https://www.iea.org/reports/energy-and-ai"/>
    <hyperlink ref="N82" r:id="rId79" display="https://www.iea.org/reports/energy-and-ai"/>
    <hyperlink ref="N83" r:id="rId80" display="https://www.iea.org/reports/energy-and-ai"/>
    <hyperlink ref="N84" r:id="rId81" display="https://www.iea.org/reports/energy-and-ai"/>
    <hyperlink ref="N85" r:id="rId82" display="https://www.iea.org/reports/energy-and-ai"/>
    <hyperlink ref="N86" r:id="rId83" display="https://www.iea.org/reports/energy-and-ai"/>
    <hyperlink ref="N87" r:id="rId84" display="https://www.iea.org/reports/energy-and-ai"/>
    <hyperlink ref="N88" r:id="rId85" display="https://www.iea.org/reports/energy-and-ai"/>
    <hyperlink ref="N89" r:id="rId86" display="https://www.iea.org/reports/energy-and-ai"/>
    <hyperlink ref="N90" r:id="rId87" display="https://www.iea.org/reports/energy-and-ai"/>
    <hyperlink ref="N91" r:id="rId88" display="https://www.iea.org/reports/energy-and-ai"/>
    <hyperlink ref="N92" r:id="rId89" display="https://www.iea.org/reports/energy-and-ai"/>
    <hyperlink ref="N93" r:id="rId90" display="https://www.iea.org/reports/energy-and-ai"/>
    <hyperlink ref="N94" r:id="rId91" display="https://www.iea.org/reports/energy-and-ai"/>
    <hyperlink ref="N95" r:id="rId92" display="https://www.iea.org/reports/energy-and-ai"/>
    <hyperlink ref="N114" r:id="rId93" display="https://sustainability.atmeta.com/asset/2025-environmental-data-index/"/>
    <hyperlink ref="N115" r:id="rId94" display="https://sustainability.atmeta.com/asset/2025-environmental-data-index/"/>
    <hyperlink ref="N116" r:id="rId95" display="https://sustainability.atmeta.com/asset/2025-environmental-data-index/"/>
    <hyperlink ref="N117" r:id="rId96" display="https://sustainability.atmeta.com/asset/2025-environmental-data-index/"/>
    <hyperlink ref="N118" r:id="rId97" display="https://sustainability.atmeta.com/asset/2025-environmental-data-index/"/>
    <hyperlink ref="N119" r:id="rId98" display="https://sustainability.atmeta.com/asset/2025-environmental-data-index/"/>
    <hyperlink ref="N120" r:id="rId99" display="https://sustainability.atmeta.com/asset/2025-environmental-data-index/"/>
    <hyperlink ref="N121" r:id="rId100" display="https://about.fb.com/news/2026/01/meta-nuclear-energy-projects-power-american-ai-leadership/"/>
    <hyperlink ref="N122" r:id="rId101" display="https://about.fb.com/news/2026/01/meta-nuclear-energy-projects-power-american-ai-leadership/"/>
    <hyperlink ref="N123" r:id="rId102" display="https://www.iea.org/reports/energy-and-ai"/>
    <hyperlink ref="N124" r:id="rId103" display="https://www.iea.org/reports/energy-and-ai"/>
    <hyperlink ref="N125" r:id="rId104" display="https://escholarship.org/uc/item/32d6m0d1"/>
    <hyperlink ref="N126" r:id="rId105" display="https://escholarship.org/uc/item/32d6m0d1"/>
    <hyperlink ref="N127" r:id="rId106" display="https://escholarship.org/uc/item/32d6m0d1"/>
    <hyperlink ref="N128" r:id="rId107" display="https://escholarship.org/uc/item/32d6m0d1"/>
    <hyperlink ref="N129" r:id="rId108" display="https://escholarship.org/uc/item/32d6m0d1"/>
    <hyperlink ref="N130" r:id="rId109" display="https://escholarship.org/uc/item/32d6m0d1"/>
    <hyperlink ref="N131" r:id="rId110" display="https://escholarship.org/uc/item/32d6m0d1"/>
    <hyperlink ref="N132" r:id="rId111" display="https://escholarship.org/uc/item/32d6m0d1"/>
    <hyperlink ref="N133" r:id="rId112" display="https://www.iea.org/reports/energy-and-ai"/>
    <hyperlink ref="N134" r:id="rId113" display="https://www.iea.org/reports/energy-and-ai"/>
    <hyperlink ref="N135" r:id="rId114" display="https://www.iea.org/reports/energy-and-ai"/>
    <hyperlink ref="N136" r:id="rId115" display="https://emp.lbl.gov/publications/queued-2026-edition-characteristics"/>
    <hyperlink ref="N137" r:id="rId116" display="https://emp.lbl.gov/publications/queued-2026-edition-characteristics"/>
    <hyperlink ref="N138" r:id="rId117" display="https://emp.lbl.gov/publications/queued-2026-edition-characteristics"/>
    <hyperlink ref="N139" r:id="rId118" display="https://emp.lbl.gov/publications/queued-2026-edition-characteristics"/>
    <hyperlink ref="N140" r:id="rId119" display="https://www.iea.org/reports/energy-and-ai"/>
    <hyperlink ref="N141" r:id="rId120" display="https://www.iea.org/reports/energy-and-ai"/>
    <hyperlink ref="N142" r:id="rId121" display="https://www.iea.org/reports/energy-and-ai"/>
    <hyperlink ref="N143" r:id="rId122" display="https://www.iea.org/reports/energy-and-ai"/>
    <hyperlink ref="N144" r:id="rId123" display="https://www.iea.org/reports/energy-and-ai"/>
    <hyperlink ref="N145" r:id="rId124" display="https://www.eia.gov/todayinenergy/detail.php?id=61963"/>
    <hyperlink ref="N146" r:id="rId125" display="https://www.eia.gov/todayinenergy/detail.php?id=61963"/>
    <hyperlink ref="N147" r:id="rId126" display="https://www.eia.gov/todayinenergy/detail.php?id=61963"/>
    <hyperlink ref="N166" r:id="rId127" display="https://www.constellationenergy.com/news/2025/constellation-meta-sign-20-year-deal-for-clean-reliable-nuclear-energy-in-illinois.html"/>
    <hyperlink ref="N175" r:id="rId128" display="https://www.constellationenergy.com/news/2026/10/google-and-constellation-announce-landmark-agreement-to-bring-890-mw-of-new-nuclear-capacity-to-pjm-grid.html"/>
    <hyperlink ref="N176" r:id="rId129" display="https://www.constellationenergy.com/news/2026/10/google-and-constellation-announce-landmark-agreement-to-bring-890-mw-of-new-nuclear-capacity-to-pjm-grid.html"/>
    <hyperlink ref="N177" r:id="rId130" display="https://www.constellationenergy.com/news/2026/10/google-and-constellation-announce-landmark-agreement-to-bring-890-mw-of-new-nuclear-capacity-to-pjm-grid.html"/>
    <hyperlink ref="N178" r:id="rId131" display="https://www.constellationenergy.com/news/2026/10/google-and-constellation-announce-landmark-agreement-to-bring-890-mw-of-new-nuclear-capacity-to-pjm-grid.html"/>
    <hyperlink ref="N179" r:id="rId132" display="https://www.constellationenergy.com/news/2026/10/google-and-constellation-announce-landmark-agreement-to-bring-890-mw-of-new-nuclear-capacity-to-pjm-grid.html"/>
    <hyperlink ref="N180" r:id="rId133" display="https://www.constellationenergy.com/news/2026/10/google-and-constellation-announce-landmark-agreement-to-bring-890-mw-of-new-nuclear-capacity-to-pjm-grid.html"/>
    <hyperlink ref="N181" r:id="rId134" display="https://www.constellationenergy.com/news/2026/09/constellation-and-amazon-announce-20-year-power-purchase-agreement-at-calvert-cliffs.html"/>
    <hyperlink ref="N182" r:id="rId135" display="https://www.constellationenergy.com/news/2026/09/constellation-and-amazon-announce-20-year-power-purchase-agreement-at-calvert-cliffs.html"/>
    <hyperlink ref="N183" r:id="rId136" display="https://www.constellationenergy.com/news/2026/09/constellation-and-amazon-announce-20-year-power-purchase-agreement-at-calvert-cliffs.html"/>
    <hyperlink ref="N184" r:id="rId137" display="https://www.constellationenergy.com/news/2026/09/constellation-and-amazon-announce-20-year-power-purchase-agreement-at-calvert-cliffs.html"/>
    <hyperlink ref="N185" r:id="rId138" display="https://www.constellationenergy.com/news/2026/09/constellation-and-amazon-announce-20-year-power-purchase-agreement-at-calvert-cliffs.html"/>
    <hyperlink ref="N186" r:id="rId139" display="https://www.constellationenergy.com/news/2026/09/constellation-and-amazon-announce-20-year-power-purchase-agreement-at-calvert-cliffs.html"/>
    <hyperlink ref="N187" r:id="rId140" display="https://about.fb.com/news/2026/01/meta-nuclear-energy-projects-power-american-ai-leadership/"/>
    <hyperlink ref="N188" r:id="rId141" display="https://about.fb.com/news/2026/01/meta-nuclear-energy-projects-power-american-ai-leadership/"/>
    <hyperlink ref="N189" r:id="rId142" display="https://about.fb.com/news/2026/01/meta-nuclear-energy-projects-power-american-ai-leadership/"/>
    <hyperlink ref="N190" r:id="rId143" display="https://about.fb.com/news/2026/01/meta-nuclear-energy-projects-power-american-ai-leadership/"/>
    <hyperlink ref="N191" r:id="rId144" display="https://about.fb.com/news/2026/01/meta-nuclear-energy-projects-power-american-ai-leadership/"/>
    <hyperlink ref="N192" r:id="rId145" display="https://about.fb.com/news/2026/01/meta-nuclear-energy-projects-power-american-ai-leadership/"/>
    <hyperlink ref="N193" r:id="rId146" display="https://about.fb.com/news/2026/01/meta-nuclear-energy-projects-power-american-ai-leadership/"/>
    <hyperlink ref="N194" r:id="rId147" display="https://about.fb.com/news/2026/01/meta-nuclear-energy-projects-power-american-ai-leadership/"/>
    <hyperlink ref="N195" r:id="rId148" display="https://about.fb.com/news/2026/01/meta-nuclear-energy-projects-power-american-ai-leadership/"/>
    <hyperlink ref="N196" r:id="rId149" display="https://about.fb.com/news/2026/01/meta-nuclear-energy-projects-power-american-ai-leadership/"/>
    <hyperlink ref="N197" r:id="rId150" display="https://about.fb.com/news/2026/01/meta-nuclear-energy-projects-power-american-ai-leadership/"/>
    <hyperlink ref="N198" r:id="rId151" display="https://data.sec.gov/api/xbrl/companyfacts/CIK0001652044.json"/>
    <hyperlink ref="N199" r:id="rId152" display="https://data.sec.gov/api/xbrl/companyfacts/CIK0001652044.json"/>
    <hyperlink ref="N200" r:id="rId153" display="https://data.sec.gov/api/xbrl/companyfacts/CIK0001018724.json"/>
    <hyperlink ref="N201" r:id="rId154" display="https://data.sec.gov/api/xbrl/companyfacts/CIK0001018724.json"/>
    <hyperlink ref="N202" r:id="rId155" display="https://data.sec.gov/api/xbrl/companyfacts/CIK0000789019.json"/>
    <hyperlink ref="N203" r:id="rId156" display="https://data.sec.gov/api/xbrl/companyfacts/CIK0000789019.json"/>
    <hyperlink ref="N204" r:id="rId157" display="https://data.sec.gov/api/xbrl/companyfacts/CIK0000789019.json"/>
    <hyperlink ref="N205" r:id="rId158" display="https://cfs.energy/news-and-media/google-and-commonwealth-fusion-systems-sign-strategic-partnership/"/>
    <hyperlink ref="N206" r:id="rId159" display="https://cfs.energy/news-and-media/google-and-commonwealth-fusion-systems-sign-strategic-partnership/"/>
    <hyperlink ref="N207" r:id="rId160" display="https://cfs.energy/news-and-media/google-and-commonwealth-fusion-systems-sign-strategic-partnership/"/>
    <hyperlink ref="N208" r:id="rId161" display="https://cfs.energy/news-and-media/commonwealth-fusion-systems-raises-another-1-billion-bringing-total-capital-raised-to-4-billion/"/>
    <hyperlink ref="N209" r:id="rId162" display="https://cfs.energy/news-and-media/commonwealth-fusion-systems-raises-another-1-billion-bringing-total-capital-raised-to-4-billion/"/>
    <hyperlink ref="N210" r:id="rId163" display="https://cfs.energy/news-and-media/commonwealth-fusion-systems-raises-another-1-billion-bringing-total-capital-raised-to-4-billion/"/>
    <hyperlink ref="N211" r:id="rId164" display="https://www.helionenergy.com/newsroom/helion-announces-worlds-first-fusion-ppa-with-microsoft"/>
    <hyperlink ref="N212" r:id="rId165" display="https://www.helionenergy.com/newsroom/helion-announces-worlds-first-fusion-ppa-with-microsoft"/>
    <hyperlink ref="N213" r:id="rId166" display="https://www.helionenergy.com/newsroom/helion-announces-worlds-first-fusion-ppa-with-microsoft"/>
    <hyperlink ref="N214" r:id="rId167" display="https://www.helionenergy.com/newsroom/helion-raises-465-million-series-g-funding-round-to-meet-surging-global-demand-for-power"/>
    <hyperlink ref="N215" r:id="rId168" display="https://www.helionenergy.com/newsroom/helion-raises-465-million-series-g-funding-round-to-meet-surging-global-demand-for-power"/>
    <hyperlink ref="N216" r:id="rId169" display="https://www.helionenergy.com/newsroom/helion-raises-465-million-series-g-funding-round-to-meet-surging-global-demand-for-power"/>
    <hyperlink ref="N217" r:id="rId170" display="https://www.sec.gov/Archives/edgar/data/1849635/000143774926031534/djt20260922_s4.htm"/>
    <hyperlink ref="N218" r:id="rId171" display="https://www.sec.gov/Archives/edgar/data/1849635/000143774926031534/djt20260922_s4.htm"/>
    <hyperlink ref="N219" r:id="rId172" display="https://www.sec.gov/Archives/edgar/data/1849635/000143774926031534/djt20260922_s4.htm"/>
    <hyperlink ref="N220" r:id="rId173" display="https://www.sec.gov/Archives/edgar/data/1849635/000143774926031534/djt20260922_s4.htm"/>
    <hyperlink ref="N221" r:id="rId174" display="https://www.sec.gov/Archives/edgar/data/1849635/000143774926031534/djt20260922_s4.htm"/>
    <hyperlink ref="N222" r:id="rId175" display="https://www.sec.gov/Archives/edgar/data/1849635/000143774926031534/djt20260922_s4.htm"/>
    <hyperlink ref="N223" r:id="rId176" display="https://www.pacificfusion.com/resources/founders-letter"/>
    <hyperlink ref="N224" r:id="rId177" display="https://www.pacificfusion.com/resources/pacific-fusion-breaks-ground-on-first-of-a-kind-fusion-facility-in-new-mexico"/>
    <hyperlink ref="N225" r:id="rId178" display="https://www.pacificfusion.com/resources/pacific-fusion-breaks-ground-on-first-of-a-kind-fusion-facility-in-new-mexico"/>
    <hyperlink ref="N226" r:id="rId179" display="https://www.pacificfusion.com/resources/pacific-fusion-breaks-ground-on-first-of-a-kind-fusion-facility-in-new-mexico"/>
    <hyperlink ref="N227" r:id="rId180" display="https://www.proximafusion.com/press-news/proxima-fusion-raises-eu411-million-to-build-europes-commercial-fusion-champion"/>
    <hyperlink ref="N228" r:id="rId181" display="https://www.proximafusion.com/press-news/proxima-fusion-raises-eu411-million-to-build-europes-commercial-fusion-champion"/>
    <hyperlink ref="N229" r:id="rId182" display="https://www.proximafusion.com/press-news/proxima-fusion-raises-eu411-million-to-build-europes-commercial-fusion-champion"/>
    <hyperlink ref="N230" r:id="rId183" display="https://www.proximafusion.com/press-news/proxima-fusion-raises-eu411-million-to-build-europes-commercial-fusion-champion"/>
    <hyperlink ref="N231" r:id="rId184" display="https://sustainability.google/files/6b09a7cbecbf228f4d30ad089301578eb599425e/alphabet-fy2025-environmental-indicators-assurance-letter.pdf"/>
    <hyperlink ref="N232" r:id="rId185" display="https://sustainability.google/files/6b09a7cbecbf228f4d30ad089301578eb599425e/alphabet-fy2025-environmental-indicators-assurance-letter.pdf"/>
    <hyperlink ref="N233" r:id="rId186" display="https://sustainability.google/files/6b09a7cbecbf228f4d30ad089301578eb599425e/alphabet-fy2025-environmental-indicators-assurance-letter.pdf"/>
    <hyperlink ref="N234" r:id="rId187" display="https://www.youtube.com/watch?v=LzExSq9DU9w"/>
    <hyperlink ref="N235" r:id="rId188" display="https://www.youtube.com/watch?v=LzExSq9DU9w"/>
    <hyperlink ref="N236" r:id="rId189" display="https://www.youtube.com/watch?v=LzExSq9DU9w"/>
    <hyperlink ref="N237" r:id="rId190" display="https://www.youtube.com/watch?v=LzExSq9DU9w"/>
    <hyperlink ref="N238" r:id="rId191" display="https://cdn-dynmedia-1.microsoft.com/is/content/microsoftcorp/microsoft/msc/documents/presentations/CSR/2026-Microsoft-Environmental-Data-Fact-Sheet-PDF.pdf"/>
    <hyperlink ref="N239" r:id="rId192" display="https://cdn-dynmedia-1.microsoft.com/is/content/microsoftcorp/microsoft/msc/documents/presentations/CSR/2026-Microsoft-Environmental-Data-Fact-Sheet-PDF.pdf"/>
    <hyperlink ref="N240" r:id="rId193" display="https://www.microsoft.com/en-us/investor/events/fy-2026/earnings-fy-2026-q4"/>
    <hyperlink ref="N241" r:id="rId194" display="https://sustainability.aboutamazon.com/2025-amazon-sustainability-report.pdf"/>
    <hyperlink ref="N242" r:id="rId195" display="https://sustainability.aboutamazon.com/2025-amazon-sustainability-report.pdf"/>
    <hyperlink ref="N243" r:id="rId196" display="https://sustainability.aboutamazon.com/2025-amazon-sustainability-report.pdf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&amp;K7b8794AI 的电从哪来｜研究用途，不构成投资建议&amp;R&amp;"Calibri"&amp;8 &amp;K7b8794第 &amp;P 页 / 共 &amp;N 页</oddFooter>
  </headerFooter>
  <drawing r:id="rId197"/>
  <tableParts>
    <tablePart r:id="rId19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34.57"/>
    <col collapsed="false" customWidth="true" hidden="false" outlineLevel="0" max="3" min="3" style="0" width="18.2"/>
    <col collapsed="false" customWidth="true" hidden="false" outlineLevel="0" max="4" min="4" style="0" width="13.65"/>
    <col collapsed="false" customWidth="true" hidden="false" outlineLevel="0" max="5" min="5" style="0" width="12.74"/>
    <col collapsed="false" customWidth="true" hidden="false" outlineLevel="0" max="6" min="6" style="0" width="39.12"/>
    <col collapsed="false" customWidth="true" hidden="false" outlineLevel="0" max="7" min="7" style="0" width="12.74"/>
    <col collapsed="false" customWidth="true" hidden="false" outlineLevel="0" max="8" min="8" style="0" width="58.23"/>
  </cols>
  <sheetData>
    <row r="1" customFormat="false" ht="42" hidden="false" customHeight="true" outlineLevel="0" collapsed="false">
      <c r="A1" s="1" t="s">
        <v>1066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1067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4" t="s">
        <v>1068</v>
      </c>
      <c r="B3" s="4" t="s">
        <v>1069</v>
      </c>
      <c r="C3" s="4" t="s">
        <v>1070</v>
      </c>
      <c r="D3" s="4" t="s">
        <v>5</v>
      </c>
      <c r="E3" s="4" t="s">
        <v>34</v>
      </c>
      <c r="F3" s="4" t="s">
        <v>93</v>
      </c>
      <c r="G3" s="4" t="s">
        <v>8</v>
      </c>
      <c r="H3" s="4" t="s">
        <v>91</v>
      </c>
    </row>
    <row r="4" customFormat="false" ht="33.75" hidden="false" customHeight="true" outlineLevel="0" collapsed="false">
      <c r="A4" s="7" t="s">
        <v>1071</v>
      </c>
      <c r="B4" s="10" t="s">
        <v>1072</v>
      </c>
      <c r="C4" s="34" t="n">
        <v>100</v>
      </c>
      <c r="D4" s="7" t="s">
        <v>76</v>
      </c>
      <c r="E4" s="10" t="s">
        <v>1073</v>
      </c>
      <c r="F4" s="10" t="s">
        <v>1074</v>
      </c>
      <c r="G4" s="7" t="s">
        <v>45</v>
      </c>
      <c r="H4" s="10" t="s">
        <v>1075</v>
      </c>
    </row>
    <row r="5" customFormat="false" ht="33.75" hidden="false" customHeight="true" outlineLevel="0" collapsed="false">
      <c r="A5" s="7" t="s">
        <v>1076</v>
      </c>
      <c r="B5" s="10" t="s">
        <v>1077</v>
      </c>
      <c r="C5" s="35" t="n">
        <v>0.9</v>
      </c>
      <c r="D5" s="10" t="s">
        <v>17</v>
      </c>
      <c r="E5" s="10" t="s">
        <v>1073</v>
      </c>
      <c r="F5" s="10" t="s">
        <v>1074</v>
      </c>
      <c r="G5" s="7" t="s">
        <v>45</v>
      </c>
      <c r="H5" s="10" t="s">
        <v>1078</v>
      </c>
    </row>
    <row r="6" customFormat="false" ht="33.75" hidden="false" customHeight="true" outlineLevel="0" collapsed="false">
      <c r="A6" s="7" t="s">
        <v>1079</v>
      </c>
      <c r="B6" s="10" t="s">
        <v>1080</v>
      </c>
      <c r="C6" s="36" t="n">
        <v>1.3</v>
      </c>
      <c r="D6" s="10" t="s">
        <v>143</v>
      </c>
      <c r="E6" s="10" t="s">
        <v>1073</v>
      </c>
      <c r="F6" s="10" t="s">
        <v>1074</v>
      </c>
      <c r="G6" s="7" t="s">
        <v>45</v>
      </c>
      <c r="H6" s="10" t="s">
        <v>1081</v>
      </c>
    </row>
    <row r="7" customFormat="false" ht="33.75" hidden="false" customHeight="true" outlineLevel="0" collapsed="false">
      <c r="A7" s="7" t="s">
        <v>1082</v>
      </c>
      <c r="B7" s="10" t="s">
        <v>1083</v>
      </c>
      <c r="C7" s="37" t="n">
        <v>80</v>
      </c>
      <c r="D7" s="7" t="s">
        <v>275</v>
      </c>
      <c r="E7" s="10" t="s">
        <v>1073</v>
      </c>
      <c r="F7" s="10" t="s">
        <v>1074</v>
      </c>
      <c r="G7" s="7" t="s">
        <v>45</v>
      </c>
      <c r="H7" s="10" t="s">
        <v>1084</v>
      </c>
    </row>
    <row r="8" customFormat="false" ht="33.75" hidden="false" customHeight="true" outlineLevel="0" collapsed="false">
      <c r="A8" s="7" t="s">
        <v>1085</v>
      </c>
      <c r="B8" s="10" t="s">
        <v>1086</v>
      </c>
      <c r="C8" s="35" t="n">
        <v>0.06</v>
      </c>
      <c r="D8" s="10" t="s">
        <v>17</v>
      </c>
      <c r="E8" s="10" t="s">
        <v>1073</v>
      </c>
      <c r="F8" s="10" t="s">
        <v>1074</v>
      </c>
      <c r="G8" s="7" t="s">
        <v>45</v>
      </c>
      <c r="H8" s="10" t="s">
        <v>1087</v>
      </c>
    </row>
    <row r="9" customFormat="false" ht="33.75" hidden="false" customHeight="true" outlineLevel="0" collapsed="false">
      <c r="A9" s="7" t="s">
        <v>1088</v>
      </c>
      <c r="B9" s="10" t="s">
        <v>1089</v>
      </c>
      <c r="C9" s="34" t="n">
        <v>8760</v>
      </c>
      <c r="D9" s="10" t="s">
        <v>1090</v>
      </c>
      <c r="E9" s="10" t="s">
        <v>1091</v>
      </c>
      <c r="F9" s="10" t="s">
        <v>1074</v>
      </c>
      <c r="G9" s="7" t="s">
        <v>45</v>
      </c>
      <c r="H9" s="10" t="s">
        <v>1092</v>
      </c>
    </row>
    <row r="10" customFormat="false" ht="33.75" hidden="false" customHeight="true" outlineLevel="0" collapsed="false">
      <c r="A10" s="7" t="s">
        <v>1093</v>
      </c>
      <c r="B10" s="7" t="s">
        <v>1094</v>
      </c>
      <c r="C10" s="36" t="n">
        <v>0.8</v>
      </c>
      <c r="D10" s="10" t="s">
        <v>143</v>
      </c>
      <c r="E10" s="10" t="s">
        <v>1073</v>
      </c>
      <c r="F10" s="10" t="s">
        <v>1074</v>
      </c>
      <c r="G10" s="7" t="s">
        <v>45</v>
      </c>
      <c r="H10" s="10" t="s">
        <v>1095</v>
      </c>
    </row>
    <row r="11" customFormat="false" ht="33.75" hidden="false" customHeight="true" outlineLevel="0" collapsed="false">
      <c r="A11" s="7" t="s">
        <v>1096</v>
      </c>
      <c r="B11" s="7" t="s">
        <v>1097</v>
      </c>
      <c r="C11" s="36" t="n">
        <v>1.2</v>
      </c>
      <c r="D11" s="10" t="s">
        <v>143</v>
      </c>
      <c r="E11" s="10" t="s">
        <v>1073</v>
      </c>
      <c r="F11" s="10" t="s">
        <v>1074</v>
      </c>
      <c r="G11" s="7" t="s">
        <v>45</v>
      </c>
      <c r="H11" s="10" t="s">
        <v>1095</v>
      </c>
    </row>
    <row r="12" customFormat="false" ht="33.75" hidden="false" customHeight="true" outlineLevel="0" collapsed="false">
      <c r="A12" s="7" t="s">
        <v>1098</v>
      </c>
      <c r="B12" s="7" t="s">
        <v>1099</v>
      </c>
      <c r="C12" s="37" t="n">
        <v>0</v>
      </c>
      <c r="D12" s="7" t="s">
        <v>10</v>
      </c>
      <c r="E12" s="10" t="s">
        <v>1073</v>
      </c>
      <c r="F12" s="10" t="s">
        <v>1074</v>
      </c>
      <c r="G12" s="7" t="s">
        <v>45</v>
      </c>
      <c r="H12" s="10" t="s">
        <v>1100</v>
      </c>
    </row>
    <row r="13" customFormat="false" ht="33.75" hidden="false" customHeight="true" outlineLevel="0" collapsed="false">
      <c r="A13" s="7" t="s">
        <v>1101</v>
      </c>
      <c r="B13" s="7" t="s">
        <v>1102</v>
      </c>
      <c r="C13" s="34" t="n">
        <v>8784</v>
      </c>
      <c r="D13" s="10" t="s">
        <v>1090</v>
      </c>
      <c r="E13" s="10" t="s">
        <v>1091</v>
      </c>
      <c r="F13" s="10" t="s">
        <v>1074</v>
      </c>
      <c r="G13" s="7" t="s">
        <v>45</v>
      </c>
      <c r="H13" s="7" t="s">
        <v>1103</v>
      </c>
    </row>
    <row r="14" customFormat="false" ht="33.75" hidden="false" customHeight="true" outlineLevel="0" collapsed="false">
      <c r="A14" s="7" t="s">
        <v>1104</v>
      </c>
      <c r="B14" s="7" t="s">
        <v>1105</v>
      </c>
      <c r="C14" s="37" t="n">
        <v>0</v>
      </c>
      <c r="D14" s="7" t="s">
        <v>10</v>
      </c>
      <c r="E14" s="10" t="s">
        <v>1106</v>
      </c>
      <c r="F14" s="10" t="s">
        <v>1074</v>
      </c>
      <c r="G14" s="7" t="s">
        <v>45</v>
      </c>
      <c r="H14" s="7" t="s">
        <v>1107</v>
      </c>
    </row>
    <row r="18" customFormat="false" ht="25.5" hidden="false" customHeight="true" outlineLevel="0" collapsed="false">
      <c r="A18" s="3" t="s">
        <v>1108</v>
      </c>
      <c r="B18" s="3"/>
      <c r="C18" s="3"/>
      <c r="D18" s="3"/>
      <c r="E18" s="3"/>
      <c r="F18" s="3"/>
      <c r="G18" s="3"/>
      <c r="H18" s="3"/>
    </row>
    <row r="19" customFormat="false" ht="33.75" hidden="false" customHeight="true" outlineLevel="0" collapsed="false">
      <c r="A19" s="7" t="s">
        <v>1109</v>
      </c>
      <c r="B19" s="10" t="s">
        <v>1110</v>
      </c>
      <c r="C19" s="38" t="n">
        <f aca="false">假设与模型!C4*假设与模型!C5*假设与模型!C9/1000000</f>
        <v>0.7884</v>
      </c>
      <c r="D19" s="7" t="s">
        <v>10</v>
      </c>
      <c r="E19" s="10" t="s">
        <v>251</v>
      </c>
      <c r="F19" s="10" t="s">
        <v>1111</v>
      </c>
      <c r="G19" s="7" t="s">
        <v>45</v>
      </c>
      <c r="H19" s="7" t="s">
        <v>1112</v>
      </c>
    </row>
    <row r="20" customFormat="false" ht="33.75" hidden="false" customHeight="true" outlineLevel="0" collapsed="false">
      <c r="A20" s="7" t="s">
        <v>1113</v>
      </c>
      <c r="B20" s="10" t="s">
        <v>1114</v>
      </c>
      <c r="C20" s="39" t="n">
        <f aca="false">假设与模型!C4*假设与模型!C6</f>
        <v>130</v>
      </c>
      <c r="D20" s="7" t="s">
        <v>76</v>
      </c>
      <c r="E20" s="10" t="s">
        <v>251</v>
      </c>
      <c r="F20" s="10" t="s">
        <v>1111</v>
      </c>
      <c r="G20" s="7" t="s">
        <v>45</v>
      </c>
      <c r="H20" s="7" t="s">
        <v>1115</v>
      </c>
    </row>
    <row r="21" customFormat="false" ht="33.75" hidden="false" customHeight="true" outlineLevel="0" collapsed="false">
      <c r="A21" s="7" t="s">
        <v>1116</v>
      </c>
      <c r="B21" s="10" t="s">
        <v>1117</v>
      </c>
      <c r="C21" s="38" t="n">
        <f aca="false">假设与模型!C4*假设与模型!C6*假设与模型!C5*假设与模型!C9/1000000</f>
        <v>1.02492</v>
      </c>
      <c r="D21" s="7" t="s">
        <v>10</v>
      </c>
      <c r="E21" s="10" t="s">
        <v>251</v>
      </c>
      <c r="F21" s="10" t="s">
        <v>1111</v>
      </c>
      <c r="G21" s="7" t="s">
        <v>45</v>
      </c>
      <c r="H21" s="7" t="s">
        <v>1118</v>
      </c>
    </row>
    <row r="22" customFormat="false" ht="33.75" hidden="false" customHeight="true" outlineLevel="0" collapsed="false">
      <c r="A22" s="7" t="s">
        <v>1119</v>
      </c>
      <c r="B22" s="10" t="s">
        <v>1120</v>
      </c>
      <c r="C22" s="38" t="n">
        <f aca="false">C21-C19</f>
        <v>0.23652</v>
      </c>
      <c r="D22" s="7" t="s">
        <v>10</v>
      </c>
      <c r="E22" s="10" t="s">
        <v>251</v>
      </c>
      <c r="F22" s="10" t="s">
        <v>1111</v>
      </c>
      <c r="G22" s="7" t="s">
        <v>45</v>
      </c>
      <c r="H22" s="10" t="s">
        <v>1121</v>
      </c>
    </row>
    <row r="23" customFormat="false" ht="33.75" hidden="false" customHeight="true" outlineLevel="0" collapsed="false">
      <c r="A23" s="7" t="s">
        <v>1122</v>
      </c>
      <c r="B23" s="10" t="s">
        <v>1123</v>
      </c>
      <c r="C23" s="38" t="n">
        <f aca="false">C21/(1-假设与模型!C8)</f>
        <v>1.09034042553192</v>
      </c>
      <c r="D23" s="7" t="s">
        <v>10</v>
      </c>
      <c r="E23" s="10" t="s">
        <v>251</v>
      </c>
      <c r="F23" s="10" t="s">
        <v>1111</v>
      </c>
      <c r="G23" s="7" t="s">
        <v>45</v>
      </c>
      <c r="H23" s="10" t="s">
        <v>1124</v>
      </c>
    </row>
    <row r="24" customFormat="false" ht="33.75" hidden="false" customHeight="true" outlineLevel="0" collapsed="false">
      <c r="A24" s="7" t="s">
        <v>1125</v>
      </c>
      <c r="B24" s="10" t="s">
        <v>1126</v>
      </c>
      <c r="C24" s="38" t="n">
        <f aca="false">C21*假设与模型!C7</f>
        <v>81.9936</v>
      </c>
      <c r="D24" s="10" t="s">
        <v>82</v>
      </c>
      <c r="E24" s="10" t="s">
        <v>251</v>
      </c>
      <c r="F24" s="10" t="s">
        <v>1111</v>
      </c>
      <c r="G24" s="7" t="s">
        <v>45</v>
      </c>
      <c r="H24" s="7" t="s">
        <v>1127</v>
      </c>
    </row>
    <row r="25" customFormat="false" ht="33.75" hidden="false" customHeight="true" outlineLevel="0" collapsed="false">
      <c r="A25" s="7" t="s">
        <v>1128</v>
      </c>
      <c r="B25" s="7" t="s">
        <v>1129</v>
      </c>
      <c r="C25" s="38" t="n">
        <f aca="false">INDEX(数据明细!$F$4:$F$243,MATCH("G006",数据明细!$A$4:$A$243,0))*假设与模型!C10</f>
        <v>760</v>
      </c>
      <c r="D25" s="7" t="s">
        <v>10</v>
      </c>
      <c r="E25" s="10" t="s">
        <v>251</v>
      </c>
      <c r="F25" s="10" t="s">
        <v>1111</v>
      </c>
      <c r="G25" s="7" t="s">
        <v>45</v>
      </c>
      <c r="H25" s="7" t="s">
        <v>1130</v>
      </c>
    </row>
    <row r="26" customFormat="false" ht="33.75" hidden="false" customHeight="true" outlineLevel="0" collapsed="false">
      <c r="A26" s="7" t="s">
        <v>1131</v>
      </c>
      <c r="B26" s="7" t="s">
        <v>1132</v>
      </c>
      <c r="C26" s="38" t="n">
        <f aca="false">INDEX(数据明细!$F$4:$F$243,MATCH("G006",数据明细!$A$4:$A$243,0))</f>
        <v>950</v>
      </c>
      <c r="D26" s="7" t="s">
        <v>10</v>
      </c>
      <c r="E26" s="10" t="s">
        <v>251</v>
      </c>
      <c r="F26" s="10" t="s">
        <v>1111</v>
      </c>
      <c r="G26" s="7" t="s">
        <v>45</v>
      </c>
      <c r="H26" s="7" t="s">
        <v>1133</v>
      </c>
    </row>
    <row r="27" customFormat="false" ht="33.75" hidden="false" customHeight="true" outlineLevel="0" collapsed="false">
      <c r="A27" s="7" t="s">
        <v>1134</v>
      </c>
      <c r="B27" s="7" t="s">
        <v>1135</v>
      </c>
      <c r="C27" s="38" t="n">
        <f aca="false">INDEX(数据明细!$F$4:$F$243,MATCH("G006",数据明细!$A$4:$A$243,0))*假设与模型!C11</f>
        <v>1140</v>
      </c>
      <c r="D27" s="7" t="s">
        <v>10</v>
      </c>
      <c r="E27" s="10" t="s">
        <v>251</v>
      </c>
      <c r="F27" s="10" t="s">
        <v>1111</v>
      </c>
      <c r="G27" s="7" t="s">
        <v>45</v>
      </c>
      <c r="H27" s="7" t="s">
        <v>1136</v>
      </c>
    </row>
    <row r="28" customFormat="false" ht="33.75" hidden="false" customHeight="true" outlineLevel="0" collapsed="false">
      <c r="A28" s="7" t="s">
        <v>1137</v>
      </c>
      <c r="B28" s="7" t="s">
        <v>1099</v>
      </c>
      <c r="C28" s="38" t="n">
        <f aca="false">假设与模型!C12</f>
        <v>0</v>
      </c>
      <c r="D28" s="7" t="s">
        <v>10</v>
      </c>
      <c r="E28" s="10" t="s">
        <v>251</v>
      </c>
      <c r="F28" s="10" t="s">
        <v>1111</v>
      </c>
      <c r="G28" s="7" t="s">
        <v>45</v>
      </c>
      <c r="H28" s="10" t="s">
        <v>1138</v>
      </c>
    </row>
  </sheetData>
  <mergeCells count="3">
    <mergeCell ref="A1:H1"/>
    <mergeCell ref="A2:H2"/>
    <mergeCell ref="A18:H18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&amp;K7b8794AI 的电从哪来｜研究用途，不构成投资建议&amp;R&amp;"Calibri"&amp;8 &amp;K7b8794第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35.48"/>
    <col collapsed="false" customWidth="true" hidden="false" outlineLevel="0" max="3" min="3" style="0" width="13.65"/>
    <col collapsed="false" customWidth="true" hidden="false" outlineLevel="0" max="4" min="4" style="0" width="12.74"/>
    <col collapsed="false" customWidth="true" hidden="false" outlineLevel="0" max="5" min="5" style="0" width="43.67"/>
    <col collapsed="false" customWidth="true" hidden="false" outlineLevel="0" max="6" min="6" style="0" width="58.23"/>
    <col collapsed="false" customWidth="true" hidden="false" outlineLevel="0" max="7" min="7" style="0" width="12.74"/>
    <col collapsed="false" customWidth="true" hidden="false" outlineLevel="0" max="8" min="8" style="0" width="50.04"/>
  </cols>
  <sheetData>
    <row r="1" customFormat="false" ht="42" hidden="false" customHeight="true" outlineLevel="0" collapsed="false">
      <c r="A1" s="1" t="s">
        <v>1139</v>
      </c>
      <c r="B1" s="1"/>
      <c r="C1" s="1"/>
      <c r="D1" s="1"/>
      <c r="E1" s="1"/>
      <c r="F1" s="1"/>
      <c r="G1" s="1"/>
      <c r="H1" s="1"/>
    </row>
    <row r="2" customFormat="false" ht="33.75" hidden="false" customHeight="true" outlineLevel="0" collapsed="false">
      <c r="A2" s="2" t="s">
        <v>1140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4" t="s">
        <v>92</v>
      </c>
      <c r="B3" s="4" t="s">
        <v>93</v>
      </c>
      <c r="C3" s="4" t="s">
        <v>1141</v>
      </c>
      <c r="D3" s="4" t="s">
        <v>8</v>
      </c>
      <c r="E3" s="4" t="s">
        <v>1142</v>
      </c>
      <c r="F3" s="4" t="s">
        <v>1143</v>
      </c>
      <c r="G3" s="4" t="s">
        <v>96</v>
      </c>
      <c r="H3" s="4" t="s">
        <v>1144</v>
      </c>
    </row>
    <row r="4" customFormat="false" ht="55.5" hidden="false" customHeight="true" outlineLevel="0" collapsed="false">
      <c r="A4" s="26" t="s">
        <v>106</v>
      </c>
      <c r="B4" s="26" t="s">
        <v>107</v>
      </c>
      <c r="C4" s="25" t="s">
        <v>1145</v>
      </c>
      <c r="D4" s="26" t="s">
        <v>108</v>
      </c>
      <c r="E4" s="25" t="s">
        <v>109</v>
      </c>
      <c r="F4" s="28" t="s">
        <v>110</v>
      </c>
      <c r="G4" s="26" t="s">
        <v>45</v>
      </c>
      <c r="H4" s="26" t="s">
        <v>1146</v>
      </c>
    </row>
    <row r="5" customFormat="false" ht="55.5" hidden="false" customHeight="true" outlineLevel="0" collapsed="false">
      <c r="A5" s="26" t="s">
        <v>118</v>
      </c>
      <c r="B5" s="26" t="s">
        <v>119</v>
      </c>
      <c r="C5" s="25" t="s">
        <v>1145</v>
      </c>
      <c r="D5" s="26" t="s">
        <v>120</v>
      </c>
      <c r="E5" s="25" t="s">
        <v>121</v>
      </c>
      <c r="F5" s="28" t="s">
        <v>122</v>
      </c>
      <c r="G5" s="26" t="s">
        <v>45</v>
      </c>
      <c r="H5" s="26" t="s">
        <v>1147</v>
      </c>
    </row>
    <row r="6" customFormat="false" ht="55.5" hidden="false" customHeight="true" outlineLevel="0" collapsed="false">
      <c r="A6" s="26" t="s">
        <v>380</v>
      </c>
      <c r="B6" s="26" t="s">
        <v>381</v>
      </c>
      <c r="C6" s="25" t="s">
        <v>1148</v>
      </c>
      <c r="D6" s="26" t="s">
        <v>382</v>
      </c>
      <c r="E6" s="26" t="s">
        <v>1149</v>
      </c>
      <c r="F6" s="25" t="s">
        <v>384</v>
      </c>
      <c r="G6" s="26" t="s">
        <v>45</v>
      </c>
      <c r="H6" s="25" t="s">
        <v>1150</v>
      </c>
    </row>
    <row r="7" customFormat="false" ht="55.5" hidden="false" customHeight="true" outlineLevel="0" collapsed="false">
      <c r="A7" s="26" t="s">
        <v>598</v>
      </c>
      <c r="B7" s="26" t="s">
        <v>599</v>
      </c>
      <c r="C7" s="25" t="s">
        <v>1148</v>
      </c>
      <c r="D7" s="26" t="s">
        <v>600</v>
      </c>
      <c r="E7" s="26" t="s">
        <v>1151</v>
      </c>
      <c r="F7" s="25" t="s">
        <v>602</v>
      </c>
      <c r="G7" s="26" t="s">
        <v>45</v>
      </c>
      <c r="H7" s="25" t="s">
        <v>1152</v>
      </c>
    </row>
    <row r="8" customFormat="false" ht="55.5" hidden="false" customHeight="true" outlineLevel="0" collapsed="false">
      <c r="A8" s="26" t="s">
        <v>609</v>
      </c>
      <c r="B8" s="26" t="s">
        <v>610</v>
      </c>
      <c r="C8" s="25" t="s">
        <v>1148</v>
      </c>
      <c r="D8" s="26" t="s">
        <v>611</v>
      </c>
      <c r="E8" s="26" t="s">
        <v>1153</v>
      </c>
      <c r="F8" s="25" t="s">
        <v>613</v>
      </c>
      <c r="G8" s="26" t="s">
        <v>45</v>
      </c>
      <c r="H8" s="26" t="s">
        <v>1154</v>
      </c>
    </row>
    <row r="9" customFormat="false" ht="55.5" hidden="false" customHeight="true" outlineLevel="0" collapsed="false">
      <c r="A9" s="26" t="s">
        <v>447</v>
      </c>
      <c r="B9" s="26" t="s">
        <v>448</v>
      </c>
      <c r="C9" s="25" t="s">
        <v>1155</v>
      </c>
      <c r="D9" s="26" t="s">
        <v>449</v>
      </c>
      <c r="E9" s="26" t="s">
        <v>1156</v>
      </c>
      <c r="F9" s="28" t="s">
        <v>451</v>
      </c>
      <c r="G9" s="26" t="s">
        <v>45</v>
      </c>
      <c r="H9" s="25" t="s">
        <v>1157</v>
      </c>
    </row>
    <row r="10" customFormat="false" ht="55.5" hidden="false" customHeight="true" outlineLevel="0" collapsed="false">
      <c r="A10" s="26" t="s">
        <v>479</v>
      </c>
      <c r="B10" s="26" t="s">
        <v>480</v>
      </c>
      <c r="C10" s="25" t="s">
        <v>1158</v>
      </c>
      <c r="D10" s="26" t="s">
        <v>481</v>
      </c>
      <c r="E10" s="26" t="s">
        <v>776</v>
      </c>
      <c r="F10" s="28" t="s">
        <v>483</v>
      </c>
      <c r="G10" s="26" t="s">
        <v>45</v>
      </c>
      <c r="H10" s="25" t="s">
        <v>1159</v>
      </c>
    </row>
    <row r="11" customFormat="false" ht="55.5" hidden="false" customHeight="true" outlineLevel="0" collapsed="false">
      <c r="A11" s="26" t="s">
        <v>691</v>
      </c>
      <c r="B11" s="26" t="s">
        <v>692</v>
      </c>
      <c r="C11" s="25" t="s">
        <v>1158</v>
      </c>
      <c r="D11" s="26" t="s">
        <v>693</v>
      </c>
      <c r="E11" s="25" t="s">
        <v>694</v>
      </c>
      <c r="F11" s="28" t="s">
        <v>695</v>
      </c>
      <c r="G11" s="26" t="s">
        <v>45</v>
      </c>
      <c r="H11" s="26" t="s">
        <v>1160</v>
      </c>
    </row>
    <row r="12" customFormat="false" ht="55.5" hidden="false" customHeight="true" outlineLevel="0" collapsed="false">
      <c r="A12" s="26" t="s">
        <v>727</v>
      </c>
      <c r="B12" s="26" t="s">
        <v>728</v>
      </c>
      <c r="C12" s="25" t="s">
        <v>1158</v>
      </c>
      <c r="D12" s="26" t="s">
        <v>729</v>
      </c>
      <c r="E12" s="25" t="s">
        <v>730</v>
      </c>
      <c r="F12" s="28" t="s">
        <v>731</v>
      </c>
      <c r="G12" s="26" t="s">
        <v>45</v>
      </c>
      <c r="H12" s="26" t="s">
        <v>1161</v>
      </c>
    </row>
    <row r="13" customFormat="false" ht="55.5" hidden="false" customHeight="true" outlineLevel="0" collapsed="false">
      <c r="A13" s="26" t="s">
        <v>752</v>
      </c>
      <c r="B13" s="26" t="s">
        <v>753</v>
      </c>
      <c r="C13" s="25" t="s">
        <v>1158</v>
      </c>
      <c r="D13" s="26" t="s">
        <v>411</v>
      </c>
      <c r="E13" s="25" t="s">
        <v>754</v>
      </c>
      <c r="F13" s="28" t="s">
        <v>755</v>
      </c>
      <c r="G13" s="26" t="s">
        <v>45</v>
      </c>
      <c r="H13" s="26" t="s">
        <v>1162</v>
      </c>
    </row>
    <row r="14" customFormat="false" ht="55.5" hidden="false" customHeight="true" outlineLevel="0" collapsed="false">
      <c r="A14" s="26" t="s">
        <v>819</v>
      </c>
      <c r="B14" s="26" t="s">
        <v>820</v>
      </c>
      <c r="C14" s="25" t="s">
        <v>1163</v>
      </c>
      <c r="D14" s="26" t="s">
        <v>821</v>
      </c>
      <c r="E14" s="26" t="s">
        <v>822</v>
      </c>
      <c r="F14" s="28" t="s">
        <v>823</v>
      </c>
      <c r="G14" s="26" t="s">
        <v>45</v>
      </c>
      <c r="H14" s="26" t="s">
        <v>1164</v>
      </c>
    </row>
    <row r="15" customFormat="false" ht="55.5" hidden="false" customHeight="true" outlineLevel="0" collapsed="false">
      <c r="A15" s="26" t="s">
        <v>830</v>
      </c>
      <c r="B15" s="26" t="s">
        <v>831</v>
      </c>
      <c r="C15" s="25" t="s">
        <v>1163</v>
      </c>
      <c r="D15" s="26" t="s">
        <v>832</v>
      </c>
      <c r="E15" s="26" t="s">
        <v>833</v>
      </c>
      <c r="F15" s="28" t="s">
        <v>834</v>
      </c>
      <c r="G15" s="26" t="s">
        <v>45</v>
      </c>
      <c r="H15" s="26" t="s">
        <v>1165</v>
      </c>
    </row>
    <row r="16" customFormat="false" ht="55.5" hidden="false" customHeight="true" outlineLevel="0" collapsed="false">
      <c r="A16" s="26" t="s">
        <v>840</v>
      </c>
      <c r="B16" s="26" t="s">
        <v>841</v>
      </c>
      <c r="C16" s="25" t="s">
        <v>1163</v>
      </c>
      <c r="D16" s="26" t="s">
        <v>842</v>
      </c>
      <c r="E16" s="26" t="s">
        <v>843</v>
      </c>
      <c r="F16" s="28" t="s">
        <v>844</v>
      </c>
      <c r="G16" s="26" t="s">
        <v>45</v>
      </c>
      <c r="H16" s="25" t="s">
        <v>1166</v>
      </c>
    </row>
    <row r="17" customFormat="false" ht="55.5" hidden="false" customHeight="true" outlineLevel="0" collapsed="false">
      <c r="A17" s="26" t="s">
        <v>856</v>
      </c>
      <c r="B17" s="26" t="s">
        <v>857</v>
      </c>
      <c r="C17" s="25" t="s">
        <v>1158</v>
      </c>
      <c r="D17" s="26" t="s">
        <v>858</v>
      </c>
      <c r="E17" s="25" t="s">
        <v>859</v>
      </c>
      <c r="F17" s="28" t="s">
        <v>860</v>
      </c>
      <c r="G17" s="26" t="s">
        <v>45</v>
      </c>
      <c r="H17" s="26" t="s">
        <v>1167</v>
      </c>
    </row>
    <row r="18" customFormat="false" ht="55.5" hidden="false" customHeight="true" outlineLevel="0" collapsed="false">
      <c r="A18" s="26" t="s">
        <v>875</v>
      </c>
      <c r="B18" s="26" t="s">
        <v>876</v>
      </c>
      <c r="C18" s="25" t="s">
        <v>1158</v>
      </c>
      <c r="D18" s="26" t="s">
        <v>877</v>
      </c>
      <c r="E18" s="25" t="s">
        <v>878</v>
      </c>
      <c r="F18" s="28" t="s">
        <v>879</v>
      </c>
      <c r="G18" s="26" t="s">
        <v>45</v>
      </c>
      <c r="H18" s="25" t="s">
        <v>1168</v>
      </c>
    </row>
    <row r="19" customFormat="false" ht="55.5" hidden="false" customHeight="true" outlineLevel="0" collapsed="false">
      <c r="A19" s="26" t="s">
        <v>893</v>
      </c>
      <c r="B19" s="26" t="s">
        <v>894</v>
      </c>
      <c r="C19" s="25" t="s">
        <v>1158</v>
      </c>
      <c r="D19" s="26" t="s">
        <v>895</v>
      </c>
      <c r="E19" s="25" t="s">
        <v>896</v>
      </c>
      <c r="F19" s="28" t="s">
        <v>897</v>
      </c>
      <c r="G19" s="26" t="s">
        <v>45</v>
      </c>
      <c r="H19" s="26" t="s">
        <v>1169</v>
      </c>
    </row>
    <row r="20" customFormat="false" ht="55.5" hidden="false" customHeight="true" outlineLevel="0" collapsed="false">
      <c r="A20" s="26" t="s">
        <v>911</v>
      </c>
      <c r="B20" s="26" t="s">
        <v>912</v>
      </c>
      <c r="C20" s="25" t="s">
        <v>1158</v>
      </c>
      <c r="D20" s="26" t="s">
        <v>913</v>
      </c>
      <c r="E20" s="25" t="s">
        <v>914</v>
      </c>
      <c r="F20" s="28" t="s">
        <v>915</v>
      </c>
      <c r="G20" s="26" t="s">
        <v>45</v>
      </c>
      <c r="H20" s="26" t="s">
        <v>1170</v>
      </c>
    </row>
    <row r="21" customFormat="false" ht="55.5" hidden="false" customHeight="true" outlineLevel="0" collapsed="false">
      <c r="A21" s="26" t="s">
        <v>1171</v>
      </c>
      <c r="B21" s="26" t="s">
        <v>1172</v>
      </c>
      <c r="C21" s="25" t="s">
        <v>1158</v>
      </c>
      <c r="D21" s="26" t="s">
        <v>1173</v>
      </c>
      <c r="E21" s="25" t="s">
        <v>1174</v>
      </c>
      <c r="F21" s="28" t="s">
        <v>1175</v>
      </c>
      <c r="G21" s="26" t="s">
        <v>45</v>
      </c>
      <c r="H21" s="25" t="s">
        <v>1176</v>
      </c>
    </row>
    <row r="22" customFormat="false" ht="55.5" hidden="false" customHeight="true" outlineLevel="0" collapsed="false">
      <c r="A22" s="26" t="s">
        <v>928</v>
      </c>
      <c r="B22" s="26" t="s">
        <v>929</v>
      </c>
      <c r="C22" s="25" t="s">
        <v>1177</v>
      </c>
      <c r="D22" s="26" t="s">
        <v>411</v>
      </c>
      <c r="E22" s="26" t="s">
        <v>930</v>
      </c>
      <c r="F22" s="28" t="s">
        <v>931</v>
      </c>
      <c r="G22" s="26" t="s">
        <v>45</v>
      </c>
      <c r="H22" s="25" t="s">
        <v>1178</v>
      </c>
    </row>
    <row r="23" customFormat="false" ht="55.5" hidden="false" customHeight="true" outlineLevel="0" collapsed="false">
      <c r="A23" s="26" t="s">
        <v>956</v>
      </c>
      <c r="B23" s="26" t="s">
        <v>957</v>
      </c>
      <c r="C23" s="25" t="s">
        <v>1158</v>
      </c>
      <c r="D23" s="26" t="s">
        <v>958</v>
      </c>
      <c r="E23" s="26" t="s">
        <v>959</v>
      </c>
      <c r="F23" s="28" t="s">
        <v>960</v>
      </c>
      <c r="G23" s="26" t="s">
        <v>45</v>
      </c>
      <c r="H23" s="25" t="s">
        <v>1179</v>
      </c>
    </row>
    <row r="24" customFormat="false" ht="55.5" hidden="false" customHeight="true" outlineLevel="0" collapsed="false">
      <c r="A24" s="26" t="s">
        <v>965</v>
      </c>
      <c r="B24" s="26" t="s">
        <v>966</v>
      </c>
      <c r="C24" s="25" t="s">
        <v>1158</v>
      </c>
      <c r="D24" s="26" t="s">
        <v>967</v>
      </c>
      <c r="E24" s="25" t="s">
        <v>968</v>
      </c>
      <c r="F24" s="28" t="s">
        <v>969</v>
      </c>
      <c r="G24" s="26" t="s">
        <v>45</v>
      </c>
      <c r="H24" s="26" t="s">
        <v>1180</v>
      </c>
    </row>
    <row r="25" customFormat="false" ht="55.5" hidden="false" customHeight="true" outlineLevel="0" collapsed="false">
      <c r="A25" s="26" t="s">
        <v>983</v>
      </c>
      <c r="B25" s="26" t="s">
        <v>984</v>
      </c>
      <c r="C25" s="25" t="s">
        <v>1158</v>
      </c>
      <c r="D25" s="26" t="s">
        <v>985</v>
      </c>
      <c r="E25" s="25" t="s">
        <v>986</v>
      </c>
      <c r="F25" s="28" t="s">
        <v>987</v>
      </c>
      <c r="G25" s="26" t="s">
        <v>45</v>
      </c>
      <c r="H25" s="25" t="s">
        <v>1181</v>
      </c>
    </row>
    <row r="26" customFormat="false" ht="55.5" hidden="false" customHeight="true" outlineLevel="0" collapsed="false">
      <c r="A26" s="26" t="s">
        <v>1182</v>
      </c>
      <c r="B26" s="26" t="s">
        <v>1183</v>
      </c>
      <c r="C26" s="25" t="s">
        <v>1158</v>
      </c>
      <c r="D26" s="26" t="s">
        <v>693</v>
      </c>
      <c r="E26" s="26" t="s">
        <v>1184</v>
      </c>
      <c r="F26" s="28" t="s">
        <v>1185</v>
      </c>
      <c r="G26" s="26" t="s">
        <v>45</v>
      </c>
      <c r="H26" s="25" t="s">
        <v>1186</v>
      </c>
    </row>
    <row r="27" customFormat="false" ht="55.5" hidden="false" customHeight="true" outlineLevel="0" collapsed="false">
      <c r="A27" s="26" t="s">
        <v>500</v>
      </c>
      <c r="B27" s="26" t="s">
        <v>501</v>
      </c>
      <c r="C27" s="25" t="s">
        <v>1187</v>
      </c>
      <c r="D27" s="26" t="s">
        <v>502</v>
      </c>
      <c r="E27" s="26" t="s">
        <v>503</v>
      </c>
      <c r="F27" s="28" t="s">
        <v>504</v>
      </c>
      <c r="G27" s="26" t="s">
        <v>45</v>
      </c>
      <c r="H27" s="25" t="s">
        <v>1188</v>
      </c>
    </row>
    <row r="28" customFormat="false" ht="55.5" hidden="false" customHeight="true" outlineLevel="0" collapsed="false">
      <c r="A28" s="26" t="s">
        <v>535</v>
      </c>
      <c r="B28" s="26" t="s">
        <v>536</v>
      </c>
      <c r="C28" s="25" t="s">
        <v>1187</v>
      </c>
      <c r="D28" s="26" t="s">
        <v>537</v>
      </c>
      <c r="E28" s="26" t="s">
        <v>538</v>
      </c>
      <c r="F28" s="28" t="s">
        <v>539</v>
      </c>
      <c r="G28" s="26" t="s">
        <v>45</v>
      </c>
      <c r="H28" s="25" t="s">
        <v>1189</v>
      </c>
    </row>
    <row r="29" customFormat="false" ht="55.5" hidden="false" customHeight="true" outlineLevel="0" collapsed="false">
      <c r="A29" s="26" t="s">
        <v>579</v>
      </c>
      <c r="B29" s="26" t="s">
        <v>580</v>
      </c>
      <c r="C29" s="25" t="s">
        <v>1190</v>
      </c>
      <c r="D29" s="26" t="s">
        <v>581</v>
      </c>
      <c r="E29" s="26" t="s">
        <v>582</v>
      </c>
      <c r="F29" s="28" t="s">
        <v>583</v>
      </c>
      <c r="G29" s="26" t="s">
        <v>45</v>
      </c>
      <c r="H29" s="26" t="s">
        <v>1191</v>
      </c>
    </row>
    <row r="30" customFormat="false" ht="55.5" hidden="false" customHeight="true" outlineLevel="0" collapsed="false">
      <c r="A30" s="26" t="s">
        <v>1000</v>
      </c>
      <c r="B30" s="26" t="s">
        <v>1001</v>
      </c>
      <c r="C30" s="25" t="s">
        <v>1192</v>
      </c>
      <c r="D30" s="26" t="s">
        <v>1002</v>
      </c>
      <c r="E30" s="26" t="s">
        <v>1193</v>
      </c>
      <c r="F30" s="28" t="s">
        <v>1004</v>
      </c>
      <c r="G30" s="26" t="s">
        <v>45</v>
      </c>
      <c r="H30" s="25" t="s">
        <v>1194</v>
      </c>
    </row>
    <row r="31" customFormat="false" ht="55.5" hidden="false" customHeight="true" outlineLevel="0" collapsed="false">
      <c r="A31" s="26" t="s">
        <v>1014</v>
      </c>
      <c r="B31" s="26" t="s">
        <v>1015</v>
      </c>
      <c r="C31" s="25" t="s">
        <v>1195</v>
      </c>
      <c r="D31" s="26" t="s">
        <v>1016</v>
      </c>
      <c r="E31" s="26" t="s">
        <v>1196</v>
      </c>
      <c r="F31" s="28" t="s">
        <v>1018</v>
      </c>
      <c r="G31" s="26" t="s">
        <v>45</v>
      </c>
      <c r="H31" s="26" t="s">
        <v>1197</v>
      </c>
    </row>
    <row r="32" customFormat="false" ht="55.5" hidden="false" customHeight="true" outlineLevel="0" collapsed="false">
      <c r="A32" s="26" t="s">
        <v>1046</v>
      </c>
      <c r="B32" s="26" t="s">
        <v>1047</v>
      </c>
      <c r="C32" s="25" t="s">
        <v>1195</v>
      </c>
      <c r="D32" s="26" t="s">
        <v>842</v>
      </c>
      <c r="E32" s="26" t="s">
        <v>1198</v>
      </c>
      <c r="F32" s="28" t="s">
        <v>1049</v>
      </c>
      <c r="G32" s="26" t="s">
        <v>45</v>
      </c>
      <c r="H32" s="25" t="s">
        <v>1199</v>
      </c>
    </row>
    <row r="33" customFormat="false" ht="55.5" hidden="false" customHeight="true" outlineLevel="0" collapsed="false">
      <c r="A33" s="26" t="s">
        <v>1032</v>
      </c>
      <c r="B33" s="26" t="s">
        <v>1033</v>
      </c>
      <c r="C33" s="25" t="s">
        <v>1192</v>
      </c>
      <c r="D33" s="26" t="s">
        <v>1034</v>
      </c>
      <c r="E33" s="26" t="s">
        <v>1200</v>
      </c>
      <c r="F33" s="28" t="s">
        <v>1036</v>
      </c>
      <c r="G33" s="26" t="s">
        <v>45</v>
      </c>
      <c r="H33" s="26" t="s">
        <v>1201</v>
      </c>
    </row>
    <row r="34" customFormat="false" ht="55.5" hidden="false" customHeight="true" outlineLevel="0" collapsed="false">
      <c r="A34" s="26" t="s">
        <v>1053</v>
      </c>
      <c r="B34" s="26" t="s">
        <v>1054</v>
      </c>
      <c r="C34" s="25" t="s">
        <v>1202</v>
      </c>
      <c r="D34" s="26" t="s">
        <v>1055</v>
      </c>
      <c r="E34" s="26" t="s">
        <v>1203</v>
      </c>
      <c r="F34" s="28" t="s">
        <v>1057</v>
      </c>
      <c r="G34" s="26" t="s">
        <v>45</v>
      </c>
      <c r="H34" s="25" t="s">
        <v>1204</v>
      </c>
    </row>
  </sheetData>
  <autoFilter ref="A3:H34"/>
  <mergeCells count="2">
    <mergeCell ref="A1:H1"/>
    <mergeCell ref="A2:H2"/>
  </mergeCells>
  <hyperlinks>
    <hyperlink ref="F4" r:id="rId1" display="https://www.iea.org/reports/energy-and-ai"/>
    <hyperlink ref="F5" r:id="rId2" display="https://www.iea.org/reports/key-questions-on-energy-and-ai"/>
    <hyperlink ref="F9" r:id="rId3" display="https://sustainability.atmeta.com/asset/2025-environmental-data-index/"/>
    <hyperlink ref="F10" r:id="rId4" display="https://about.fb.com/news/2026/01/meta-nuclear-energy-projects-power-american-ai-leadership/"/>
    <hyperlink ref="F11" r:id="rId5" display="https://www.constellationenergy.com/news/2025/constellation-meta-sign-20-year-deal-for-clean-reliable-nuclear-energy-in-illinois.html"/>
    <hyperlink ref="F12" r:id="rId6" display="https://www.constellationenergy.com/news/2026/10/google-and-constellation-announce-landmark-agreement-to-bring-890-mw-of-new-nuclear-capacity-to-pjm-grid.html"/>
    <hyperlink ref="F13" r:id="rId7" display="https://www.constellationenergy.com/news/2026/09/constellation-and-amazon-announce-20-year-power-purchase-agreement-at-calvert-cliffs.html"/>
    <hyperlink ref="F14" r:id="rId8" display="https://data.sec.gov/api/xbrl/companyfacts/CIK0001652044.json"/>
    <hyperlink ref="F15" r:id="rId9" display="https://data.sec.gov/api/xbrl/companyfacts/CIK0001018724.json"/>
    <hyperlink ref="F16" r:id="rId10" display="https://data.sec.gov/api/xbrl/companyfacts/CIK0000789019.json"/>
    <hyperlink ref="F17" r:id="rId11" display="https://cfs.energy/news-and-media/google-and-commonwealth-fusion-systems-sign-strategic-partnership/"/>
    <hyperlink ref="F18" r:id="rId12" display="https://cfs.energy/news-and-media/commonwealth-fusion-systems-raises-another-1-billion-bringing-total-capital-raised-to-4-billion/"/>
    <hyperlink ref="F19" r:id="rId13" display="https://www.helionenergy.com/newsroom/helion-announces-worlds-first-fusion-ppa-with-microsoft"/>
    <hyperlink ref="F20" r:id="rId14" display="https://www.helionenergy.com/newsroom/helion-raises-465-million-series-g-funding-round-to-meet-surging-global-demand-for-power"/>
    <hyperlink ref="F21" r:id="rId15" display="https://www.helionenergy.com/newsroom/helion-clears-key-regulatory-milestone-on-the-path-to-building-and-operating-the-worlds-first-fusion-power-plant"/>
    <hyperlink ref="F22" r:id="rId16" display="https://www.sec.gov/Archives/edgar/data/1849635/000143774926031534/djt20260922_s4.htm"/>
    <hyperlink ref="F23" r:id="rId17" display="https://www.pacificfusion.com/resources/founders-letter"/>
    <hyperlink ref="F24" r:id="rId18" display="https://www.pacificfusion.com/resources/pacific-fusion-breaks-ground-on-first-of-a-kind-fusion-facility-in-new-mexico"/>
    <hyperlink ref="F25" r:id="rId19" display="https://www.proximafusion.com/press-news/proxima-fusion-raises-eu411-million-to-build-europes-commercial-fusion-champion"/>
    <hyperlink ref="F26" r:id="rId20" display="https://about.fb.com/news/2025/06/meta-constellation-partner-clean-energy-project/"/>
    <hyperlink ref="F27" r:id="rId21" display="https://escholarship.org/uc/item/32d6m0d1"/>
    <hyperlink ref="F28" r:id="rId22" display="https://emp.lbl.gov/publications/queued-2026-edition-characteristics"/>
    <hyperlink ref="F29" r:id="rId23" display="https://www.eia.gov/todayinenergy/detail.php?id=61963"/>
    <hyperlink ref="F30" r:id="rId24" display="https://sustainability.google/files/6b09a7cbecbf228f4d30ad089301578eb599425e/alphabet-fy2025-environmental-indicators-assurance-letter.pdf"/>
    <hyperlink ref="F31" r:id="rId25" display="https://www.youtube.com/watch?v=LzExSq9DU9w"/>
    <hyperlink ref="F32" r:id="rId26" display="https://www.microsoft.com/en-us/investor/events/fy-2026/earnings-fy-2026-q4"/>
    <hyperlink ref="F33" r:id="rId27" display="https://cdn-dynmedia-1.microsoft.com/is/content/microsoftcorp/microsoft/msc/documents/presentations/CSR/2026-Microsoft-Environmental-Data-Fact-Sheet-PDF.pdf"/>
    <hyperlink ref="F34" r:id="rId28" display="https://sustainability.aboutamazon.com/2025-amazon-sustainability-report.pdf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&amp;K7b8794AI 的电从哪来｜研究用途，不构成投资建议&amp;R&amp;"Calibri"&amp;8 &amp;K7b8794第 &amp;P 页 / 共 &amp;N 页</oddFooter>
  </headerFooter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1.84"/>
    <col collapsed="false" customWidth="true" hidden="false" outlineLevel="0" max="2" min="2" style="0" width="45.49"/>
    <col collapsed="false" customWidth="true" hidden="false" outlineLevel="0" max="4" min="3" style="0" width="31.85"/>
  </cols>
  <sheetData>
    <row r="1" customFormat="false" ht="42" hidden="false" customHeight="true" outlineLevel="0" collapsed="false">
      <c r="A1" s="1" t="s">
        <v>1205</v>
      </c>
      <c r="B1" s="1"/>
      <c r="C1" s="1"/>
      <c r="D1" s="1"/>
    </row>
    <row r="2" customFormat="false" ht="33.75" hidden="false" customHeight="true" outlineLevel="0" collapsed="false">
      <c r="A2" s="2" t="s">
        <v>1206</v>
      </c>
      <c r="B2" s="2"/>
      <c r="C2" s="2"/>
      <c r="D2" s="2"/>
    </row>
    <row r="3" customFormat="false" ht="30" hidden="false" customHeight="true" outlineLevel="0" collapsed="false">
      <c r="A3" s="4" t="s">
        <v>86</v>
      </c>
      <c r="B3" s="4" t="s">
        <v>74</v>
      </c>
      <c r="C3" s="4"/>
      <c r="D3" s="4"/>
    </row>
    <row r="4" customFormat="false" ht="54.75" hidden="false" customHeight="true" outlineLevel="0" collapsed="false">
      <c r="A4" s="40" t="s">
        <v>1207</v>
      </c>
      <c r="B4" s="41" t="s">
        <v>1208</v>
      </c>
      <c r="C4" s="41"/>
      <c r="D4" s="41"/>
    </row>
    <row r="5" customFormat="false" ht="54.75" hidden="false" customHeight="true" outlineLevel="0" collapsed="false">
      <c r="A5" s="42" t="s">
        <v>1209</v>
      </c>
      <c r="B5" s="43" t="s">
        <v>1210</v>
      </c>
      <c r="C5" s="43"/>
      <c r="D5" s="43"/>
    </row>
    <row r="6" customFormat="false" ht="54.75" hidden="false" customHeight="true" outlineLevel="0" collapsed="false">
      <c r="A6" s="40" t="s">
        <v>1211</v>
      </c>
      <c r="B6" s="44" t="s">
        <v>1212</v>
      </c>
      <c r="C6" s="44"/>
      <c r="D6" s="44"/>
    </row>
    <row r="7" customFormat="false" ht="54.75" hidden="false" customHeight="true" outlineLevel="0" collapsed="false">
      <c r="A7" s="42" t="s">
        <v>1213</v>
      </c>
      <c r="B7" s="45" t="s">
        <v>1214</v>
      </c>
      <c r="C7" s="45"/>
      <c r="D7" s="45"/>
    </row>
    <row r="8" customFormat="false" ht="54.75" hidden="false" customHeight="true" outlineLevel="0" collapsed="false">
      <c r="A8" s="46" t="s">
        <v>1215</v>
      </c>
      <c r="B8" s="44" t="s">
        <v>1216</v>
      </c>
      <c r="C8" s="44"/>
      <c r="D8" s="44"/>
    </row>
    <row r="9" customFormat="false" ht="54.75" hidden="false" customHeight="true" outlineLevel="0" collapsed="false">
      <c r="A9" s="42" t="s">
        <v>1217</v>
      </c>
      <c r="B9" s="45" t="s">
        <v>1218</v>
      </c>
      <c r="C9" s="45"/>
      <c r="D9" s="45"/>
    </row>
    <row r="10" customFormat="false" ht="54.75" hidden="false" customHeight="true" outlineLevel="0" collapsed="false">
      <c r="A10" s="40" t="s">
        <v>1219</v>
      </c>
      <c r="B10" s="44" t="s">
        <v>1220</v>
      </c>
      <c r="C10" s="44"/>
      <c r="D10" s="44"/>
    </row>
    <row r="11" customFormat="false" ht="54.75" hidden="false" customHeight="true" outlineLevel="0" collapsed="false">
      <c r="A11" s="42" t="s">
        <v>1221</v>
      </c>
      <c r="B11" s="43" t="s">
        <v>1222</v>
      </c>
      <c r="C11" s="43"/>
      <c r="D11" s="43"/>
    </row>
    <row r="12" customFormat="false" ht="54.75" hidden="false" customHeight="true" outlineLevel="0" collapsed="false">
      <c r="A12" s="40" t="s">
        <v>1223</v>
      </c>
      <c r="B12" s="44" t="s">
        <v>1224</v>
      </c>
      <c r="C12" s="44"/>
      <c r="D12" s="44"/>
    </row>
    <row r="13" customFormat="false" ht="54.75" hidden="false" customHeight="true" outlineLevel="0" collapsed="false">
      <c r="A13" s="42" t="s">
        <v>1225</v>
      </c>
      <c r="B13" s="43" t="s">
        <v>1226</v>
      </c>
      <c r="C13" s="43"/>
      <c r="D13" s="43"/>
    </row>
    <row r="14" customFormat="false" ht="54.75" hidden="false" customHeight="true" outlineLevel="0" collapsed="false">
      <c r="A14" s="40" t="s">
        <v>1227</v>
      </c>
      <c r="B14" s="41" t="s">
        <v>1228</v>
      </c>
      <c r="C14" s="41"/>
      <c r="D14" s="41"/>
    </row>
    <row r="15" customFormat="false" ht="54.75" hidden="false" customHeight="true" outlineLevel="0" collapsed="false">
      <c r="A15" s="42" t="s">
        <v>1229</v>
      </c>
      <c r="B15" s="43" t="s">
        <v>1230</v>
      </c>
      <c r="C15" s="43"/>
      <c r="D15" s="43"/>
    </row>
  </sheetData>
  <mergeCells count="14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&amp;C&amp;"Calibri"&amp;8 &amp;K7b8794AI 的电从哪来｜研究用途，不构成投资建议&amp;R&amp;"Calibri"&amp;8 &amp;K7b8794第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2026-10-22T20:28:11Z</dcterms:created>
  <dc:creator>openpyxl</dc:creator>
  <dc:description/>
  <dc:language>zh-CN</dc:language>
  <cp:lastModifiedBy/>
  <dcterms:modified xsi:type="dcterms:W3CDTF">2026-10-22T20:28:11Z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