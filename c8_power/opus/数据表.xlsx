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汇总" sheetId="2" state="visible" r:id="rId2"/>
    <sheet xmlns:r="http://schemas.openxmlformats.org/officeDocument/2006/relationships" name="网页数据" sheetId="3" state="visible" r:id="rId3"/>
    <sheet xmlns:r="http://schemas.openxmlformats.org/officeDocument/2006/relationships" name="假设" sheetId="4" state="visible" r:id="rId4"/>
    <sheet xmlns:r="http://schemas.openxmlformats.org/officeDocument/2006/relationships" name="D1_数据中心用电" sheetId="5" state="visible" r:id="rId5"/>
    <sheet xmlns:r="http://schemas.openxmlformats.org/officeDocument/2006/relationships" name="D2_电源结构" sheetId="6" state="visible" r:id="rId6"/>
    <sheet xmlns:r="http://schemas.openxmlformats.org/officeDocument/2006/relationships" name="D3_科技公司资本开支" sheetId="7" state="visible" r:id="rId7"/>
    <sheet xmlns:r="http://schemas.openxmlformats.org/officeDocument/2006/relationships" name="D4_Meta三季报" sheetId="8" state="visible" r:id="rId8"/>
    <sheet xmlns:r="http://schemas.openxmlformats.org/officeDocument/2006/relationships" name="D5_Constellation" sheetId="9" state="visible" r:id="rId9"/>
    <sheet xmlns:r="http://schemas.openxmlformats.org/officeDocument/2006/relationships" name="D6_购电协议" sheetId="10" state="visible" r:id="rId10"/>
    <sheet xmlns:r="http://schemas.openxmlformats.org/officeDocument/2006/relationships" name="D7_聚变" sheetId="11" state="visible" r:id="rId11"/>
    <sheet xmlns:r="http://schemas.openxmlformats.org/officeDocument/2006/relationships" name="D8_成本与瓶颈" sheetId="12" state="visible" r:id="rId12"/>
    <sheet xmlns:r="http://schemas.openxmlformats.org/officeDocument/2006/relationships" name="D9_托卡马克部件" sheetId="13" state="visible" r:id="rId13"/>
    <sheet xmlns:r="http://schemas.openxmlformats.org/officeDocument/2006/relationships" name="来源清单" sheetId="14" state="visible" r:id="rId14"/>
  </sheets>
  <definedNames>
    <definedName name="_xlnm._FilterDatabase" localSheetId="4" hidden="1">'D1_数据中心用电'!$A$4:$N$60</definedName>
    <definedName name="_xlnm._FilterDatabase" localSheetId="5" hidden="1">'D2_电源结构'!$A$4:$N$51</definedName>
    <definedName name="_xlnm._FilterDatabase" localSheetId="6" hidden="1">'D3_科技公司资本开支'!$A$4:$N$68</definedName>
    <definedName name="_xlnm._FilterDatabase" localSheetId="7" hidden="1">'D4_Meta三季报'!$A$4:$N$44</definedName>
    <definedName name="_xlnm._FilterDatabase" localSheetId="8" hidden="1">'D5_Constellation'!$A$4:$N$41</definedName>
    <definedName name="_xlnm._FilterDatabase" localSheetId="9" hidden="1">'D6_购电协议'!$A$4:$W$24</definedName>
    <definedName name="_xlnm._FilterDatabase" localSheetId="10" hidden="1">'D7_聚变'!$A$4:$N$37</definedName>
    <definedName name="_xlnm._FilterDatabase" localSheetId="11" hidden="1">'D8_成本与瓶颈'!$A$4:$N$69</definedName>
    <definedName name="_xlnm._FilterDatabase" localSheetId="12" hidden="1">'D9_托卡马克部件'!$A$4:$N$33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#,##0.##"/>
    <numFmt numFmtId="166" formatCode="#,##0.00#"/>
    <numFmt numFmtId="167" formatCode="#,##0.0#"/>
    <numFmt numFmtId="168" formatCode="#,##0.0"/>
    <numFmt numFmtId="169" formatCode="#,##0.###"/>
  </numFmts>
  <fonts count="9">
    <font>
      <name val="Calibri"/>
      <family val="2"/>
      <color theme="1"/>
      <sz val="11"/>
      <scheme val="minor"/>
    </font>
    <font>
      <name val="微软雅黑"/>
      <b val="1"/>
      <color rgb="001F3A5F"/>
      <sz val="14"/>
    </font>
    <font>
      <name val="微软雅黑"/>
      <color rgb="005A6B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1F3A5F"/>
      <sz val="11"/>
    </font>
    <font>
      <name val="微软雅黑"/>
      <color rgb="00B45309"/>
      <sz val="10"/>
    </font>
    <font>
      <name val="微软雅黑"/>
      <b val="1"/>
      <color rgb="001F3A5F"/>
      <sz val="18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EEF2F7"/>
      </patternFill>
    </fill>
  </fills>
  <borders count="6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  <border>
      <left/>
      <right/>
      <top style="thin">
        <color rgb="00C9D3E0"/>
      </top>
      <bottom/>
      <diagonal/>
    </border>
    <border>
      <left/>
      <right style="thin">
        <color rgb="00C9D3E0"/>
      </right>
      <top style="thin">
        <color rgb="00C9D3E0"/>
      </top>
      <bottom/>
      <diagonal/>
    </border>
    <border>
      <left/>
      <right/>
      <top style="thin">
        <color rgb="00C9D3E0"/>
      </top>
      <bottom style="thin">
        <color rgb="00C9D3E0"/>
      </bottom>
      <diagonal/>
    </border>
    <border>
      <left/>
      <right style="thin">
        <color rgb="00C9D3E0"/>
      </right>
      <top style="thin">
        <color rgb="00C9D3E0"/>
      </top>
      <bottom style="thin">
        <color rgb="00C9D3E0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6" fillId="6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168" fontId="4" fillId="5" borderId="1" applyAlignment="1" pivotButton="0" quotePrefix="0" xfId="0">
      <alignment horizontal="right" vertical="top"/>
    </xf>
    <xf numFmtId="0" fontId="4" fillId="0" borderId="0" pivotButton="0" quotePrefix="0" xfId="0"/>
    <xf numFmtId="3" fontId="4" fillId="5" borderId="0" pivotButton="0" quotePrefix="0" xfId="0"/>
    <xf numFmtId="164" fontId="4" fillId="5" borderId="1" applyAlignment="1" pivotButton="0" quotePrefix="0" xfId="0">
      <alignment horizontal="right" vertical="top"/>
    </xf>
    <xf numFmtId="2" fontId="4" fillId="5" borderId="1" applyAlignment="1" pivotButton="0" quotePrefix="0" xfId="0">
      <alignment horizontal="right" vertical="top"/>
    </xf>
    <xf numFmtId="168" fontId="4" fillId="5" borderId="0" pivotButton="0" quotePrefix="0" xfId="0"/>
    <xf numFmtId="0" fontId="7" fillId="0" borderId="1" applyAlignment="1" pivotButton="0" quotePrefix="0" xfId="0">
      <alignment vertical="top" wrapText="1"/>
    </xf>
    <xf numFmtId="4" fontId="4" fillId="5" borderId="0" pivotButton="0" quotePrefix="0" xfId="0"/>
    <xf numFmtId="3" fontId="4" fillId="5" borderId="1" applyAlignment="1" pivotButton="0" quotePrefix="0" xfId="0">
      <alignment horizontal="right" vertical="top"/>
    </xf>
    <xf numFmtId="1" fontId="4" fillId="5" borderId="1" applyAlignment="1" pivotButton="0" quotePrefix="0" xfId="0">
      <alignment horizontal="right" vertical="top"/>
    </xf>
    <xf numFmtId="4" fontId="4" fillId="5" borderId="1" applyAlignment="1" pivotButton="0" quotePrefix="0" xfId="0">
      <alignment horizontal="right" vertical="top"/>
    </xf>
    <xf numFmtId="0" fontId="4" fillId="0" borderId="1" pivotButton="0" quotePrefix="0" xfId="0"/>
    <xf numFmtId="169" fontId="4" fillId="5" borderId="1" pivotButton="0" quotePrefix="0" xfId="0"/>
    <xf numFmtId="164" fontId="4" fillId="5" borderId="1" pivotButton="0" quotePrefix="0" xfId="0"/>
    <xf numFmtId="0" fontId="5" fillId="3" borderId="1" applyAlignment="1" pivotButton="0" quotePrefix="0" xfId="0">
      <alignment horizontal="center" vertical="top"/>
    </xf>
    <xf numFmtId="164" fontId="5" fillId="3" borderId="1" applyAlignment="1" pivotButton="0" quotePrefix="0" xfId="0">
      <alignment horizontal="center" vertical="top"/>
    </xf>
    <xf numFmtId="165" fontId="5" fillId="3" borderId="1" applyAlignment="1" pivotButton="0" quotePrefix="0" xfId="0">
      <alignment horizontal="center" vertical="top"/>
    </xf>
    <xf numFmtId="3" fontId="4" fillId="4" borderId="1" applyAlignment="1" pivotButton="0" quotePrefix="0" xfId="0">
      <alignment horizontal="right" vertical="top"/>
    </xf>
    <xf numFmtId="164" fontId="4" fillId="4" borderId="1" applyAlignment="1" pivotButton="0" quotePrefix="0" xfId="0">
      <alignment horizontal="right" vertical="top"/>
    </xf>
    <xf numFmtId="166" fontId="4" fillId="4" borderId="1" applyAlignment="1" pivotButton="0" quotePrefix="0" xfId="0">
      <alignment horizontal="right" vertical="top"/>
    </xf>
    <xf numFmtId="167" fontId="4" fillId="4" borderId="1" applyAlignment="1" pivotButton="0" quotePrefix="0" xfId="0">
      <alignment horizontal="right" vertical="top"/>
    </xf>
    <xf numFmtId="166" fontId="4" fillId="5" borderId="1" applyAlignment="1" pivotButton="0" quotePrefix="0" xfId="0">
      <alignment horizontal="right" vertical="top"/>
    </xf>
    <xf numFmtId="164" fontId="4" fillId="3" borderId="1" applyAlignment="1" pivotButton="0" quotePrefix="0" xfId="0">
      <alignment horizontal="right" vertical="top"/>
    </xf>
    <xf numFmtId="3" fontId="4" fillId="4" borderId="1" applyAlignment="1" pivotButton="0" quotePrefix="0" xfId="0">
      <alignment vertical="top" wrapText="1"/>
    </xf>
    <xf numFmtId="4" fontId="4" fillId="5" borderId="1" applyAlignment="1" pivotButton="0" quotePrefix="0" xfId="0">
      <alignment vertical="top" wrapText="1"/>
    </xf>
    <xf numFmtId="3" fontId="4" fillId="3" borderId="1" applyAlignment="1" pivotButton="0" quotePrefix="0" xfId="0">
      <alignment horizontal="right" vertical="top"/>
    </xf>
    <xf numFmtId="0" fontId="6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全球数据中心用电（TWh，按地区）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'汇总'!R5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solidFill>
                <a:srgbClr val="2A78D6"/>
              </a:solidFill>
              <a:prstDash val="solid"/>
            </a:ln>
          </spPr>
          <cat>
            <numRef>
              <f>'汇总'!$Q$6:$Q$8</f>
            </numRef>
          </cat>
          <val>
            <numRef>
              <f>'汇总'!$R$6:$R$8</f>
            </numRef>
          </val>
        </ser>
        <ser>
          <idx val="1"/>
          <order val="1"/>
          <tx>
            <strRef>
              <f>'汇总'!S5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solidFill>
                <a:srgbClr val="EB6834"/>
              </a:solidFill>
              <a:prstDash val="solid"/>
            </a:ln>
          </spPr>
          <cat>
            <numRef>
              <f>'汇总'!$Q$6:$Q$8</f>
            </numRef>
          </cat>
          <val>
            <numRef>
              <f>'汇总'!$S$6:$S$8</f>
            </numRef>
          </val>
        </ser>
        <ser>
          <idx val="2"/>
          <order val="2"/>
          <tx>
            <strRef>
              <f>'汇总'!T5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solidFill>
                <a:srgbClr val="1BAF7A"/>
              </a:solidFill>
              <a:prstDash val="solid"/>
            </a:ln>
          </spPr>
          <cat>
            <numRef>
              <f>'汇总'!$Q$6:$Q$8</f>
            </numRef>
          </cat>
          <val>
            <numRef>
              <f>'汇总'!$T$6:$T$8</f>
            </numRef>
          </val>
        </ser>
        <ser>
          <idx val="3"/>
          <order val="3"/>
          <tx>
            <strRef>
              <f>'汇总'!U5</f>
            </strRef>
          </tx>
          <spPr>
            <a:solidFill xmlns:a="http://schemas.openxmlformats.org/drawingml/2006/main">
              <a:srgbClr val="4A3AA7"/>
            </a:solidFill>
            <a:ln xmlns:a="http://schemas.openxmlformats.org/drawingml/2006/main">
              <a:solidFill>
                <a:srgbClr val="4A3AA7"/>
              </a:solidFill>
              <a:prstDash val="solid"/>
            </a:ln>
          </spPr>
          <cat>
            <numRef>
              <f>'汇总'!$Q$6:$Q$8</f>
            </numRef>
          </cat>
          <val>
            <numRef>
              <f>'汇总'!$U$6:$U$8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TWh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数据中心电源结构（发电侧，TWh）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'汇总'!R23</f>
            </strRef>
          </tx>
          <spPr>
            <a:solidFill xmlns:a="http://schemas.openxmlformats.org/drawingml/2006/main">
              <a:srgbClr val="A0522D"/>
            </a:solidFill>
            <a:ln xmlns:a="http://schemas.openxmlformats.org/drawingml/2006/main">
              <a:solidFill>
                <a:srgbClr val="A0522D"/>
              </a:solidFill>
              <a:prstDash val="solid"/>
            </a:ln>
          </spPr>
          <cat>
            <numRef>
              <f>'汇总'!$Q$24:$Q$25</f>
            </numRef>
          </cat>
          <val>
            <numRef>
              <f>'汇总'!$R$24:$R$25</f>
            </numRef>
          </val>
        </ser>
        <ser>
          <idx val="1"/>
          <order val="1"/>
          <tx>
            <strRef>
              <f>'汇总'!S23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solidFill>
                <a:srgbClr val="2A78D6"/>
              </a:solidFill>
              <a:prstDash val="solid"/>
            </a:ln>
          </spPr>
          <cat>
            <numRef>
              <f>'汇总'!$Q$24:$Q$25</f>
            </numRef>
          </cat>
          <val>
            <numRef>
              <f>'汇总'!$S$24:$S$25</f>
            </numRef>
          </val>
        </ser>
        <ser>
          <idx val="2"/>
          <order val="2"/>
          <tx>
            <strRef>
              <f>'汇总'!T23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solidFill>
                <a:srgbClr val="1BAF7A"/>
              </a:solidFill>
              <a:prstDash val="solid"/>
            </a:ln>
          </spPr>
          <cat>
            <numRef>
              <f>'汇总'!$Q$24:$Q$25</f>
            </numRef>
          </cat>
          <val>
            <numRef>
              <f>'汇总'!$T$24:$T$25</f>
            </numRef>
          </val>
        </ser>
        <ser>
          <idx val="3"/>
          <order val="3"/>
          <tx>
            <strRef>
              <f>'汇总'!U23</f>
            </strRef>
          </tx>
          <spPr>
            <a:solidFill xmlns:a="http://schemas.openxmlformats.org/drawingml/2006/main">
              <a:srgbClr val="4A3AA7"/>
            </a:solidFill>
            <a:ln xmlns:a="http://schemas.openxmlformats.org/drawingml/2006/main">
              <a:solidFill>
                <a:srgbClr val="4A3AA7"/>
              </a:solidFill>
              <a:prstDash val="solid"/>
            </a:ln>
          </spPr>
          <cat>
            <numRef>
              <f>'汇总'!$Q$24:$Q$25</f>
            </numRef>
          </cat>
          <val>
            <numRef>
              <f>'汇总'!$U$24:$U$25</f>
            </numRef>
          </val>
        </ser>
        <ser>
          <idx val="4"/>
          <order val="4"/>
          <tx>
            <strRef>
              <f>'汇总'!V23</f>
            </strRef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solidFill>
                <a:srgbClr val="EDA100"/>
              </a:solidFill>
              <a:prstDash val="solid"/>
            </a:ln>
          </spPr>
          <cat>
            <numRef>
              <f>'汇总'!$Q$24:$Q$25</f>
            </numRef>
          </cat>
          <val>
            <numRef>
              <f>'汇总'!$V$24:$V$25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TWh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美国四大科技公司资本开支（十亿美元）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'汇总'!R41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solidFill>
                <a:srgbClr val="2A78D6"/>
              </a:solidFill>
              <a:prstDash val="solid"/>
            </a:ln>
          </spPr>
          <cat>
            <numRef>
              <f>'汇总'!$Q$42:$Q$44</f>
            </numRef>
          </cat>
          <val>
            <numRef>
              <f>'汇总'!$R$42:$R$44</f>
            </numRef>
          </val>
        </ser>
        <ser>
          <idx val="1"/>
          <order val="1"/>
          <tx>
            <strRef>
              <f>'汇总'!S41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solidFill>
                <a:srgbClr val="EB6834"/>
              </a:solidFill>
              <a:prstDash val="solid"/>
            </a:ln>
          </spPr>
          <cat>
            <numRef>
              <f>'汇总'!$Q$42:$Q$44</f>
            </numRef>
          </cat>
          <val>
            <numRef>
              <f>'汇总'!$S$42:$S$44</f>
            </numRef>
          </val>
        </ser>
        <ser>
          <idx val="2"/>
          <order val="2"/>
          <tx>
            <strRef>
              <f>'汇总'!T41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solidFill>
                <a:srgbClr val="1BAF7A"/>
              </a:solidFill>
              <a:prstDash val="solid"/>
            </a:ln>
          </spPr>
          <cat>
            <numRef>
              <f>'汇总'!$Q$42:$Q$44</f>
            </numRef>
          </cat>
          <val>
            <numRef>
              <f>'汇总'!$T$42:$T$44</f>
            </numRef>
          </val>
        </ser>
        <ser>
          <idx val="3"/>
          <order val="3"/>
          <tx>
            <strRef>
              <f>'汇总'!U41</f>
            </strRef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solidFill>
                <a:srgbClr val="EDA100"/>
              </a:solidFill>
              <a:prstDash val="solid"/>
            </a:ln>
          </spPr>
          <cat>
            <numRef>
              <f>'汇总'!$Q$42:$Q$44</f>
            </numRef>
          </cat>
          <val>
            <numRef>
              <f>'汇总'!$U$42:$U$44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十亿美元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四大科技公司季度资本开支（十亿美元）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'汇总'!R59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solidFill>
                <a:srgbClr val="2A78D6"/>
              </a:solidFill>
              <a:prstDash val="solid"/>
            </a:ln>
          </spPr>
          <cat>
            <numRef>
              <f>'汇总'!$Q$60:$Q$65</f>
            </numRef>
          </cat>
          <val>
            <numRef>
              <f>'汇总'!$R$60:$R$65</f>
            </numRef>
          </val>
        </ser>
        <ser>
          <idx val="1"/>
          <order val="1"/>
          <tx>
            <strRef>
              <f>'汇总'!S59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solidFill>
                <a:srgbClr val="EB6834"/>
              </a:solidFill>
              <a:prstDash val="solid"/>
            </a:ln>
          </spPr>
          <cat>
            <numRef>
              <f>'汇总'!$Q$60:$Q$65</f>
            </numRef>
          </cat>
          <val>
            <numRef>
              <f>'汇总'!$S$60:$S$65</f>
            </numRef>
          </val>
        </ser>
        <ser>
          <idx val="2"/>
          <order val="2"/>
          <tx>
            <strRef>
              <f>'汇总'!T59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solidFill>
                <a:srgbClr val="1BAF7A"/>
              </a:solidFill>
              <a:prstDash val="solid"/>
            </a:ln>
          </spPr>
          <cat>
            <numRef>
              <f>'汇总'!$Q$60:$Q$65</f>
            </numRef>
          </cat>
          <val>
            <numRef>
              <f>'汇总'!$T$60:$T$65</f>
            </numRef>
          </val>
        </ser>
        <ser>
          <idx val="3"/>
          <order val="3"/>
          <tx>
            <strRef>
              <f>'汇总'!U59</f>
            </strRef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solidFill>
                <a:srgbClr val="EDA100"/>
              </a:solidFill>
              <a:prstDash val="solid"/>
            </a:ln>
          </spPr>
          <cat>
            <numRef>
              <f>'汇总'!$Q$60:$Q$65</f>
            </numRef>
          </cat>
          <val>
            <numRef>
              <f>'汇总'!$U$60:$U$65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十亿美元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科技公司核电确定购电协议（MW，按买方）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'汇总'!R77</f>
            </strRef>
          </tx>
          <spPr>
            <a:solidFill xmlns:a="http://schemas.openxmlformats.org/drawingml/2006/main">
              <a:srgbClr val="4A3AA7"/>
            </a:solidFill>
            <a:ln xmlns:a="http://schemas.openxmlformats.org/drawingml/2006/main">
              <a:solidFill>
                <a:srgbClr val="4A3AA7"/>
              </a:solidFill>
              <a:prstDash val="solid"/>
            </a:ln>
          </spPr>
          <cat>
            <numRef>
              <f>'汇总'!$Q$78:$Q$81</f>
            </numRef>
          </cat>
          <val>
            <numRef>
              <f>'汇总'!$R$78:$R$81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PJM 容量拍卖全网出清价（美元/MW·天，按交付年）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'汇总'!R95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solidFill>
                <a:srgbClr val="EB6834"/>
              </a:solidFill>
              <a:prstDash val="solid"/>
            </a:ln>
          </spPr>
          <cat>
            <numRef>
              <f>'汇总'!$Q$96:$Q$100</f>
            </numRef>
          </cat>
          <val>
            <numRef>
              <f>'汇总'!$R$96:$R$100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美元/MW·天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主要聚变公司已披露融资（十亿美元）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'汇总'!R113</f>
            </strRef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solidFill>
                <a:srgbClr val="EDA100"/>
              </a:solidFill>
              <a:prstDash val="solid"/>
            </a:ln>
          </spPr>
          <cat>
            <numRef>
              <f>'汇总'!$Q$114:$Q$123</f>
            </numRef>
          </cat>
          <val>
            <numRef>
              <f>'汇总'!$R$114:$R$123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十亿美元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6120000" cy="295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21</row>
      <rowOff>0</rowOff>
    </from>
    <ext cx="6120000" cy="295199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39</row>
      <rowOff>0</rowOff>
    </from>
    <ext cx="6120000" cy="2951999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57</row>
      <rowOff>0</rowOff>
    </from>
    <ext cx="6120000" cy="2951999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6</col>
      <colOff>0</colOff>
      <row>75</row>
      <rowOff>0</rowOff>
    </from>
    <ext cx="6120000" cy="2951999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6</col>
      <colOff>0</colOff>
      <row>93</row>
      <rowOff>0</rowOff>
    </from>
    <ext cx="6120000" cy="2951999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6</col>
      <colOff>0</colOff>
      <row>111</row>
      <rowOff>0</rowOff>
    </from>
    <ext cx="6120000" cy="32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C21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00" customWidth="1" min="3" max="3"/>
  </cols>
  <sheetData>
    <row r="2">
      <c r="B2" s="1" t="inlineStr">
        <is>
          <t>AI 的电从哪来 · 数据表</t>
        </is>
      </c>
    </row>
    <row r="3">
      <c r="B3" s="2" t="inlineStr">
        <is>
          <t>编制日期：2026-10-22；网页来源访问日期：2026-10-22。研究与展示用途，不构成投资建议。</t>
        </is>
      </c>
    </row>
    <row r="5">
      <c r="B5" s="3" t="inlineStr">
        <is>
          <t>用途</t>
        </is>
      </c>
      <c r="C5" s="4" t="inlineStr">
        <is>
          <t>汇集研究报告与 3D 网页用到的全部数据：每行注明来源名称、发布日期、口径说明与出处定位；汇总与图表全部用公式从明细计算。</t>
        </is>
      </c>
    </row>
    <row r="6">
      <c r="B6" s="3" t="inlineStr">
        <is>
          <t>颜色约定</t>
        </is>
      </c>
      <c r="C6" s="4" t="inlineStr"/>
    </row>
    <row r="7">
      <c r="A7" s="5" t="n"/>
      <c r="B7" s="3" t="inlineStr"/>
      <c r="C7" s="4" t="inlineStr">
        <is>
          <t>蓝底：输入——披露数据（原始材料或网页来源），可追溯到“来源清单”。</t>
        </is>
      </c>
    </row>
    <row r="8">
      <c r="A8" s="6" t="n"/>
      <c r="B8" s="3" t="inlineStr"/>
      <c r="C8" s="4" t="inlineStr">
        <is>
          <t>橙底：输入——假设（见“假设”页），修改后汇总、图表、网页数据自动重算。</t>
        </is>
      </c>
    </row>
    <row r="9">
      <c r="A9" s="7" t="n"/>
      <c r="B9" s="3" t="inlineStr"/>
      <c r="C9" s="4" t="inlineStr">
        <is>
          <t>绿底：公式——本表计算，请勿手工覆盖。</t>
        </is>
      </c>
    </row>
    <row r="10">
      <c r="B10" s="3" t="inlineStr">
        <is>
          <t>工作表</t>
        </is>
      </c>
      <c r="C10" s="4" t="inlineStr"/>
    </row>
    <row r="11">
      <c r="B11" s="3" t="inlineStr"/>
      <c r="C11" s="4" t="inlineStr">
        <is>
          <t>汇总：七个部分的关键结论数字 + 7 张图表（图表数据块也是公式）。</t>
        </is>
      </c>
    </row>
    <row r="12">
      <c r="B12" s="3" t="inlineStr"/>
      <c r="C12" s="4" t="inlineStr">
        <is>
          <t>网页数据：网页第一、二部分出现的所有数字（键值对，公式），据此导出 web/data/web-data.json。</t>
        </is>
      </c>
    </row>
    <row r="13">
      <c r="B13" s="3" t="inlineStr"/>
      <c r="C13" s="4" t="inlineStr">
        <is>
          <t>假设：2030 年情景、2030 年“其他”电源占比、美国 2024 年天然气占比、指引取值位置、每 GW 投资、负荷率、核电容量系数。</t>
        </is>
      </c>
    </row>
    <row r="14">
      <c r="B14" s="3" t="inlineStr"/>
      <c r="C14" s="4" t="inlineStr">
        <is>
          <t>D1 数据中心用电｜D2 电源结构（含美国电网）｜D3 科技公司资本开支与电力｜D4 Meta 三季报（原始材料）｜D5 Constellation（原始材料）</t>
        </is>
      </c>
    </row>
    <row r="15">
      <c r="B15" s="3" t="inlineStr"/>
      <c r="C15" s="4" t="inlineStr">
        <is>
          <t>D6 购电协议（逐笔）｜D7 聚变｜D8 成本与瓶颈｜D9 托卡马克部件参数与网页卡片文字｜来源清单</t>
        </is>
      </c>
    </row>
    <row r="16">
      <c r="B16" s="3" t="inlineStr">
        <is>
          <t>性质分类</t>
        </is>
      </c>
      <c r="C16" s="4" t="inlineStr">
        <is>
          <t>披露事实 / 官方估计（如 IEA 模型估计的历史数）/ 官方预测 / 公司指引 / 公司目标 / 第三方估计 / 本表计算 / 假设。</t>
        </is>
      </c>
    </row>
    <row r="17">
      <c r="B17" s="3" t="inlineStr">
        <is>
          <t>口径提醒</t>
        </is>
      </c>
      <c r="C17" s="4" t="inlineStr">
        <is>
          <t>① IEA 数据中心“用电量”为设施总用电；“为数据中心供电的发电量”为发电侧口径（含输配损耗），两者不同。</t>
        </is>
      </c>
    </row>
    <row r="18">
      <c r="B18" s="3" t="inlineStr"/>
      <c r="C18" s="4" t="inlineStr">
        <is>
          <t>② 各公司资本开支口径不同：微软含融资租赁（电话会口径），Meta 含融资租赁本金，Alphabet 与亚马逊为购置物业与设备（亚马逊为总额）。</t>
        </is>
      </c>
    </row>
    <row r="19">
      <c r="B19" s="3" t="inlineStr"/>
      <c r="C19" s="4" t="inlineStr">
        <is>
          <t>③ 购电协议容量为合同/公告容量，不等于实际发电量；均未披露电价。先进堆合同多为意向或选择权。</t>
        </is>
      </c>
    </row>
    <row r="20">
      <c r="B20" s="3" t="inlineStr"/>
      <c r="C20" s="4" t="inlineStr">
        <is>
          <t>④ 2030 年电源结构中，可再生、气、核为 IEA 给出的数值，煤电与“其他”依赖“其他占比”假设推算。</t>
        </is>
      </c>
    </row>
    <row r="21">
      <c r="B21" s="3" t="inlineStr">
        <is>
          <t>财务数字</t>
        </is>
      </c>
      <c r="C21" s="4" t="inlineStr">
        <is>
          <t>Meta 与 Constellation 的财务数字以 材料/ 目录中的原始 10-Q、10-K 为准（D4、D5）；其他公司来自其官方披露。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16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58" customWidth="1" min="2" max="2"/>
    <col width="14" customWidth="1" min="3" max="3"/>
    <col width="12" customWidth="1" min="4" max="4"/>
    <col width="44" customWidth="1" min="5" max="5"/>
    <col width="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3" customWidth="1" min="16" max="16"/>
    <col width="16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8" t="inlineStr">
        <is>
          <t>汇总：关键结论数字（全部为公式，从明细页与假设页计算）</t>
        </is>
      </c>
    </row>
    <row r="2" ht="30" customHeight="1">
      <c r="A2" s="9" t="inlineStr">
        <is>
          <t>绿底单元格均为公式；修改“假设”页橙色单元格（如 2030 年情景、指引取值位置、每 GW 投资）后自动重算。右侧为图表及其数据块（同样为公式）。</t>
        </is>
      </c>
    </row>
    <row r="4" ht="30" customHeight="1">
      <c r="A4" s="10" t="inlineStr">
        <is>
          <t>编号</t>
        </is>
      </c>
      <c r="B4" s="10" t="inlineStr">
        <is>
          <t>指标</t>
        </is>
      </c>
      <c r="C4" s="10" t="inlineStr">
        <is>
          <t>数值</t>
        </is>
      </c>
      <c r="D4" s="10" t="inlineStr">
        <is>
          <t>单位</t>
        </is>
      </c>
      <c r="E4" s="10" t="inlineStr">
        <is>
          <t>说明</t>
        </is>
      </c>
      <c r="Q4" s="3" t="inlineStr">
        <is>
          <t>图表数据 1：全球数据中心用电（TWh）</t>
        </is>
      </c>
    </row>
    <row r="5">
      <c r="A5" s="11" t="inlineStr">
        <is>
          <t>一、全球数据中心用电（IEA）</t>
        </is>
      </c>
      <c r="Q5" s="12" t="inlineStr">
        <is>
          <t>类别</t>
        </is>
      </c>
      <c r="R5" s="13" t="inlineStr">
        <is>
          <t>美国</t>
        </is>
      </c>
      <c r="S5" s="13" t="inlineStr">
        <is>
          <t>中国</t>
        </is>
      </c>
      <c r="T5" s="13" t="inlineStr">
        <is>
          <t>欧洲</t>
        </is>
      </c>
      <c r="U5" s="13" t="inlineStr">
        <is>
          <t>其他地区</t>
        </is>
      </c>
    </row>
    <row r="6">
      <c r="A6" s="14" t="inlineStr">
        <is>
          <t>S-A01</t>
        </is>
      </c>
      <c r="B6" s="14" t="inlineStr">
        <is>
          <t>2024 年全球数据中心用电量</t>
        </is>
      </c>
      <c r="C6" s="15">
        <f>'D1_数据中心用电'!$E$5</f>
        <v>415</v>
      </c>
      <c r="D6" s="14" t="inlineStr">
        <is>
          <t>TWh</t>
        </is>
      </c>
      <c r="E6" s="14" t="inlineStr">
        <is>
          <t>IEA 2025 年版</t>
        </is>
      </c>
      <c r="Q6" s="16" t="inlineStr">
        <is>
          <t>2024</t>
        </is>
      </c>
      <c r="R6" s="17">
        <f>'D1_数据中心用电'!$E$27</f>
        <v>183</v>
      </c>
      <c r="S6" s="17">
        <f>'D1_数据中心用电'!$E$30</f>
        <v>102</v>
      </c>
      <c r="T6" s="17">
        <f>'D1_数据中心用电'!$E$33</f>
        <v>68</v>
      </c>
      <c r="U6" s="17">
        <f>'D1_数据中心用电'!$E$5-'D1_数据中心用电'!$E$27-'D1_数据中心用电'!$E$30-'D1_数据中心用电'!$E$33</f>
        <v>62</v>
      </c>
    </row>
    <row r="7">
      <c r="A7" s="14" t="inlineStr">
        <is>
          <t>S-A02</t>
        </is>
      </c>
      <c r="B7" s="14" t="inlineStr">
        <is>
          <t>2025 年全球数据中心用电量</t>
        </is>
      </c>
      <c r="C7" s="15">
        <f>'D1_数据中心用电'!$E$6</f>
        <v>485</v>
      </c>
      <c r="D7" s="14" t="inlineStr">
        <is>
          <t>TWh</t>
        </is>
      </c>
      <c r="E7" s="14" t="inlineStr">
        <is>
          <t>IEA 2026 年更新版</t>
        </is>
      </c>
      <c r="Q7" s="16" t="inlineStr">
        <is>
          <t>2025</t>
        </is>
      </c>
      <c r="R7" s="17">
        <f>'D1_数据中心用电'!$E$28</f>
        <v>224</v>
      </c>
      <c r="S7" s="17">
        <f>'D1_数据中心用电'!$E$31</f>
        <v>117</v>
      </c>
      <c r="T7" s="17">
        <f>'D1_数据中心用电'!$E$34</f>
        <v>72</v>
      </c>
      <c r="U7" s="17">
        <f>'D1_数据中心用电'!$E$6-'D1_数据中心用电'!$E$28-'D1_数据中心用电'!$E$31-'D1_数据中心用电'!$E$34</f>
        <v>72</v>
      </c>
    </row>
    <row r="8">
      <c r="A8" s="14" t="inlineStr">
        <is>
          <t>S-A03</t>
        </is>
      </c>
      <c r="B8" s="14" t="inlineStr">
        <is>
          <t>2030 年全球数据中心用电量（所选情景）</t>
        </is>
      </c>
      <c r="C8" s="15">
        <f>IF('假设'!$C$5="起飞",'D1_数据中心用电'!$E$9,IF('假设'!$C$5="高效",'D1_数据中心用电'!$E$10,IF('假设'!$C$5="逆风",'D1_数据中心用电'!$E$11,'D1_数据中心用电'!$E$7)))</f>
        <v>945</v>
      </c>
      <c r="D8" s="14" t="inlineStr">
        <is>
          <t>TWh</t>
        </is>
      </c>
      <c r="E8" s="14" t="inlineStr">
        <is>
          <t>情景在“假设”页选择</t>
        </is>
      </c>
      <c r="Q8" s="16" t="inlineStr">
        <is>
          <t>2030（所选情景）</t>
        </is>
      </c>
      <c r="R8" s="17">
        <f>'D1_数据中心用电'!$E$29</f>
        <v>426</v>
      </c>
      <c r="S8" s="17">
        <f>'D1_数据中心用电'!$E$32</f>
        <v>277</v>
      </c>
      <c r="T8" s="17">
        <f>'D1_数据中心用电'!$E$35</f>
        <v>114</v>
      </c>
      <c r="U8" s="17">
        <f>$C$8-'D1_数据中心用电'!$E$29-'D1_数据中心用电'!$E$32-'D1_数据中心用电'!$E$35</f>
        <v>128</v>
      </c>
    </row>
    <row r="9">
      <c r="A9" s="14" t="inlineStr">
        <is>
          <t>S-A04</t>
        </is>
      </c>
      <c r="B9" s="14" t="inlineStr">
        <is>
          <t>2030 年全球数据中心用电量（基准情景）</t>
        </is>
      </c>
      <c r="C9" s="15">
        <f>'D1_数据中心用电'!$E$7</f>
        <v>945</v>
      </c>
      <c r="D9" s="14" t="inlineStr">
        <is>
          <t>TWh</t>
        </is>
      </c>
      <c r="E9" s="14" t="inlineStr"/>
      <c r="Q9" s="2" t="inlineStr">
        <is>
          <t>注：2030 年美、中、欧取基准情景，“其他地区”= 所选情景总量 − 三者。</t>
        </is>
      </c>
    </row>
    <row r="10">
      <c r="A10" s="14" t="inlineStr">
        <is>
          <t>S-A05</t>
        </is>
      </c>
      <c r="B10" s="14" t="inlineStr">
        <is>
          <t>2035 年全球数据中心用电量（基准情景）</t>
        </is>
      </c>
      <c r="C10" s="15">
        <f>'D1_数据中心用电'!$E$8</f>
        <v>1193</v>
      </c>
      <c r="D10" s="14" t="inlineStr">
        <is>
          <t>TWh</t>
        </is>
      </c>
      <c r="E10" s="14" t="inlineStr">
        <is>
          <t>探索性情景</t>
        </is>
      </c>
    </row>
    <row r="11">
      <c r="A11" s="14" t="inlineStr">
        <is>
          <t>S-A06</t>
        </is>
      </c>
      <c r="B11" s="14" t="inlineStr">
        <is>
          <t>2025→2030 年均增速（所选情景）</t>
        </is>
      </c>
      <c r="C11" s="18">
        <f>($C$8/$C$7)^(1/5)-1</f>
        <v>0.142715225597036</v>
      </c>
      <c r="D11" s="14" t="inlineStr">
        <is>
          <t>%</t>
        </is>
      </c>
      <c r="E11" s="14" t="inlineStr">
        <is>
          <t>复合年增长率</t>
        </is>
      </c>
    </row>
    <row r="12">
      <c r="A12" s="14" t="inlineStr">
        <is>
          <t>S-A07</t>
        </is>
      </c>
      <c r="B12" s="14" t="inlineStr">
        <is>
          <t>2030 年用电量相当于 2024 年的倍数（所选情景）</t>
        </is>
      </c>
      <c r="C12" s="19">
        <f>$C$8/$C$6</f>
        <v>2.27710843373494</v>
      </c>
      <c r="D12" s="14" t="inlineStr">
        <is>
          <t>倍</t>
        </is>
      </c>
      <c r="E12" s="14" t="inlineStr"/>
    </row>
    <row r="13">
      <c r="A13" s="14" t="inlineStr">
        <is>
          <t>S-A08</t>
        </is>
      </c>
      <c r="B13" s="14" t="inlineStr">
        <is>
          <t>2024 年数据中心占全球电力需求比例</t>
        </is>
      </c>
      <c r="C13" s="18">
        <f>'D1_数据中心用电'!$E$5/'D1_数据中心用电'!$E$40</f>
        <v>0.0151509619948158</v>
      </c>
      <c r="D13" s="14" t="inlineStr">
        <is>
          <t>%</t>
        </is>
      </c>
      <c r="E13" s="14" t="inlineStr">
        <is>
          <t>IEA 正文“约 1.5%”</t>
        </is>
      </c>
    </row>
    <row r="14">
      <c r="A14" s="14" t="inlineStr">
        <is>
          <t>S-A09</t>
        </is>
      </c>
      <c r="B14" s="14" t="inlineStr">
        <is>
          <t>2025 年数据中心占全球电力需求比例</t>
        </is>
      </c>
      <c r="C14" s="18">
        <f>'D1_数据中心用电'!$E$6/'D1_数据中心用电'!$E$41</f>
        <v>0.0171991914606901</v>
      </c>
      <c r="D14" s="14" t="inlineStr">
        <is>
          <t>%</t>
        </is>
      </c>
      <c r="E14" s="14" t="inlineStr">
        <is>
          <t>IEA 正文“略高于 1.5%”（分母口径可能不同）</t>
        </is>
      </c>
    </row>
    <row r="15">
      <c r="A15" s="14" t="inlineStr">
        <is>
          <t>S-A10</t>
        </is>
      </c>
      <c r="B15" s="14" t="inlineStr">
        <is>
          <t>2030 年数据中心占全球电力需求比例（所选情景）</t>
        </is>
      </c>
      <c r="C15" s="18">
        <f>$C$8/'D1_数据中心用电'!$E$42</f>
        <v>0.0281300232184319</v>
      </c>
      <c r="D15" s="14" t="inlineStr">
        <is>
          <t>%</t>
        </is>
      </c>
      <c r="E15" s="14" t="inlineStr">
        <is>
          <t>IEA 正文“约 3%”</t>
        </is>
      </c>
    </row>
    <row r="16">
      <c r="A16" s="14" t="inlineStr">
        <is>
          <t>S-A11</t>
        </is>
      </c>
      <c r="B16" s="14" t="inlineStr">
        <is>
          <t>2025–2030 年数据中心占全球新增电力需求比例（所选情景）</t>
        </is>
      </c>
      <c r="C16" s="18">
        <f>($C$8-'D1_数据中心用电'!$E$6)/('D1_数据中心用电'!$E$42-'D1_数据中心用电'!$E$41)</f>
        <v>0.0852641334569046</v>
      </c>
      <c r="D16" s="14" t="inlineStr">
        <is>
          <t>%</t>
        </is>
      </c>
      <c r="E16" s="14" t="inlineStr">
        <is>
          <t>IEA 正文“略低于 10%”</t>
        </is>
      </c>
    </row>
    <row r="17">
      <c r="A17" s="14" t="inlineStr">
        <is>
          <t>S-A12</t>
        </is>
      </c>
      <c r="B17" s="14" t="inlineStr">
        <is>
          <t>美国数据中心用电量 2025</t>
        </is>
      </c>
      <c r="C17" s="15">
        <f>'D1_数据中心用电'!$E$28</f>
        <v>224</v>
      </c>
      <c r="D17" s="14" t="inlineStr">
        <is>
          <t>TWh</t>
        </is>
      </c>
      <c r="E17" s="14" t="inlineStr"/>
    </row>
    <row r="18">
      <c r="A18" s="14" t="inlineStr">
        <is>
          <t>S-A13</t>
        </is>
      </c>
      <c r="B18" s="14" t="inlineStr">
        <is>
          <t>美国数据中心用电量 2030（基准）</t>
        </is>
      </c>
      <c r="C18" s="15">
        <f>'D1_数据中心用电'!$E$29</f>
        <v>426</v>
      </c>
      <c r="D18" s="14" t="inlineStr">
        <is>
          <t>TWh</t>
        </is>
      </c>
      <c r="E18" s="14" t="inlineStr"/>
    </row>
    <row r="19">
      <c r="A19" s="14" t="inlineStr">
        <is>
          <t>S-A14</t>
        </is>
      </c>
      <c r="B19" s="14" t="inlineStr">
        <is>
          <t>中国数据中心用电量 2025</t>
        </is>
      </c>
      <c r="C19" s="15">
        <f>'D1_数据中心用电'!$E$31</f>
        <v>117</v>
      </c>
      <c r="D19" s="14" t="inlineStr">
        <is>
          <t>TWh</t>
        </is>
      </c>
      <c r="E19" s="14" t="inlineStr"/>
    </row>
    <row r="20">
      <c r="A20" s="14" t="inlineStr">
        <is>
          <t>S-A15</t>
        </is>
      </c>
      <c r="B20" s="14" t="inlineStr">
        <is>
          <t>中国数据中心用电量 2030（基准）</t>
        </is>
      </c>
      <c r="C20" s="15">
        <f>'D1_数据中心用电'!$E$32</f>
        <v>277</v>
      </c>
      <c r="D20" s="14" t="inlineStr">
        <is>
          <t>TWh</t>
        </is>
      </c>
      <c r="E20" s="14" t="inlineStr"/>
    </row>
    <row r="21">
      <c r="A21" s="14" t="inlineStr">
        <is>
          <t>S-A16</t>
        </is>
      </c>
      <c r="B21" s="14" t="inlineStr">
        <is>
          <t>欧洲数据中心用电量 2025</t>
        </is>
      </c>
      <c r="C21" s="15">
        <f>'D1_数据中心用电'!$E$34</f>
        <v>72</v>
      </c>
      <c r="D21" s="14" t="inlineStr">
        <is>
          <t>TWh</t>
        </is>
      </c>
      <c r="E21" s="14" t="inlineStr"/>
    </row>
    <row r="22">
      <c r="A22" s="14" t="inlineStr">
        <is>
          <t>S-A17</t>
        </is>
      </c>
      <c r="B22" s="14" t="inlineStr">
        <is>
          <t>欧洲数据中心用电量 2030（基准）</t>
        </is>
      </c>
      <c r="C22" s="15">
        <f>'D1_数据中心用电'!$E$35</f>
        <v>114</v>
      </c>
      <c r="D22" s="14" t="inlineStr">
        <is>
          <t>TWh</t>
        </is>
      </c>
      <c r="E22" s="14" t="inlineStr"/>
      <c r="Q22" s="3" t="inlineStr">
        <is>
          <t>图表数据 2：为数据中心供电的发电量（TWh）</t>
        </is>
      </c>
    </row>
    <row r="23">
      <c r="A23" s="14" t="inlineStr">
        <is>
          <t>S-A18</t>
        </is>
      </c>
      <c r="B23" s="14" t="inlineStr">
        <is>
          <t>美国占全球数据中心用电比例 2025</t>
        </is>
      </c>
      <c r="C23" s="18">
        <f>'D1_数据中心用电'!$E$28/'D1_数据中心用电'!$E$6</f>
        <v>0.461855670103093</v>
      </c>
      <c r="D23" s="14" t="inlineStr">
        <is>
          <t>%</t>
        </is>
      </c>
      <c r="E23" s="14" t="inlineStr"/>
      <c r="Q23" s="12" t="inlineStr">
        <is>
          <t>类别</t>
        </is>
      </c>
      <c r="R23" s="13" t="inlineStr">
        <is>
          <t>煤电</t>
        </is>
      </c>
      <c r="S23" s="13" t="inlineStr">
        <is>
          <t>天然气</t>
        </is>
      </c>
      <c r="T23" s="13" t="inlineStr">
        <is>
          <t>可再生能源</t>
        </is>
      </c>
      <c r="U23" s="13" t="inlineStr">
        <is>
          <t>核电</t>
        </is>
      </c>
      <c r="V23" s="13" t="inlineStr">
        <is>
          <t>其他</t>
        </is>
      </c>
    </row>
    <row r="24">
      <c r="A24" s="14" t="inlineStr">
        <is>
          <t>S-A19</t>
        </is>
      </c>
      <c r="B24" s="14" t="inlineStr">
        <is>
          <t>美中两国占 2025–2030 全球增量比例（基准）</t>
        </is>
      </c>
      <c r="C24" s="18">
        <f>(('D1_数据中心用电'!$E$29-'D1_数据中心用电'!$E$28)+('D1_数据中心用电'!$E$32-'D1_数据中心用电'!$E$31))/('D1_数据中心用电'!$E$7-'D1_数据中心用电'!$E$6)</f>
        <v>0.78695652173913</v>
      </c>
      <c r="D24" s="14" t="inlineStr">
        <is>
          <t>%</t>
        </is>
      </c>
      <c r="E24" s="14" t="inlineStr">
        <is>
          <t>IEA 称“接近 80%”</t>
        </is>
      </c>
      <c r="Q24" s="16" t="inlineStr">
        <is>
          <t>2024</t>
        </is>
      </c>
      <c r="R24" s="17">
        <f>'D2_电源结构'!$E$11</f>
        <v>138</v>
      </c>
      <c r="S24" s="17">
        <f>'D2_电源结构'!$E$13</f>
        <v>119.6</v>
      </c>
      <c r="T24" s="17">
        <f>'D2_电源结构'!$E$12</f>
        <v>124.2</v>
      </c>
      <c r="U24" s="17">
        <f>'D2_电源结构'!$E$14</f>
        <v>69</v>
      </c>
      <c r="V24" s="17">
        <f>'D2_电源结构'!$E$15</f>
        <v>9.19999999999997</v>
      </c>
    </row>
    <row r="25">
      <c r="A25" s="14" t="inlineStr">
        <is>
          <t>S-A20</t>
        </is>
      </c>
      <c r="B25" s="14" t="inlineStr">
        <is>
          <t>美国数据中心占美国电力需求比例 2025</t>
        </is>
      </c>
      <c r="C25" s="18">
        <f>'D1_数据中心用电'!$E$28/'D1_数据中心用电'!$E$44</f>
        <v>0.0529425667690853</v>
      </c>
      <c r="D25" s="14" t="inlineStr">
        <is>
          <t>%</t>
        </is>
      </c>
      <c r="E25" s="14" t="inlineStr"/>
      <c r="Q25" s="16" t="inlineStr">
        <is>
          <t>2030（基准，推算）</t>
        </is>
      </c>
      <c r="R25" s="17">
        <f>'D2_电源结构'!$E$22</f>
        <v>210.25641025641</v>
      </c>
      <c r="S25" s="17">
        <f>'D2_电源结构'!$E$18</f>
        <v>340</v>
      </c>
      <c r="T25" s="17">
        <f>'D2_电源结构'!$E$17</f>
        <v>360</v>
      </c>
      <c r="U25" s="17">
        <f>'D2_电源结构'!$E$19</f>
        <v>120</v>
      </c>
      <c r="V25" s="17">
        <f>'D2_电源结构'!$E$23</f>
        <v>21.025641025641</v>
      </c>
    </row>
    <row r="26">
      <c r="A26" s="14" t="inlineStr">
        <is>
          <t>S-A21</t>
        </is>
      </c>
      <c r="B26" s="14" t="inlineStr">
        <is>
          <t>美国数据中心占美国电力需求比例 2030（基准）</t>
        </is>
      </c>
      <c r="C26" s="18">
        <f>'D1_数据中心用电'!$E$29/'D1_数据中心用电'!$E$45</f>
        <v>0.0914751986257247</v>
      </c>
      <c r="D26" s="14" t="inlineStr">
        <is>
          <t>%</t>
        </is>
      </c>
      <c r="E26" s="14" t="inlineStr"/>
    </row>
    <row r="27">
      <c r="A27" s="14" t="inlineStr">
        <is>
          <t>S-A22</t>
        </is>
      </c>
      <c r="B27" s="14" t="inlineStr">
        <is>
          <t>AI 专用数据中心用电 2025</t>
        </is>
      </c>
      <c r="C27" s="15">
        <f>'D1_数据中心用电'!$E$20</f>
        <v>155</v>
      </c>
      <c r="D27" s="14" t="inlineStr">
        <is>
          <t>TWh</t>
        </is>
      </c>
      <c r="E27" s="14" t="inlineStr">
        <is>
          <t>第三方读取 IEA 数据</t>
        </is>
      </c>
    </row>
    <row r="28">
      <c r="A28" s="14" t="inlineStr">
        <is>
          <t>S-A23</t>
        </is>
      </c>
      <c r="B28" s="14" t="inlineStr">
        <is>
          <t>AI 专用数据中心用电 2030（基准）</t>
        </is>
      </c>
      <c r="C28" s="15">
        <f>'D1_数据中心用电'!$E$21</f>
        <v>465</v>
      </c>
      <c r="D28" s="14" t="inlineStr">
        <is>
          <t>TWh</t>
        </is>
      </c>
      <c r="E28" s="14" t="inlineStr"/>
    </row>
    <row r="29">
      <c r="A29" s="14" t="inlineStr">
        <is>
          <t>S-A24</t>
        </is>
      </c>
      <c r="B29" s="14" t="inlineStr">
        <is>
          <t>AI 专用占数据中心用电比例 2030（基准）</t>
        </is>
      </c>
      <c r="C29" s="18">
        <f>'D1_数据中心用电'!$E$21/'D1_数据中心用电'!$E$7</f>
        <v>0.492063492063492</v>
      </c>
      <c r="D29" s="14" t="inlineStr">
        <is>
          <t>%</t>
        </is>
      </c>
      <c r="E29" s="14" t="inlineStr"/>
    </row>
    <row r="30">
      <c r="A30" s="14" t="inlineStr">
        <is>
          <t>S-A25</t>
        </is>
      </c>
      <c r="B30" s="14" t="inlineStr">
        <is>
          <t>2030 年用电量隐含的设施装机（所选情景，按 IEA 2025 年利用率）</t>
        </is>
      </c>
      <c r="C30" s="15">
        <f>$C$8*1000/('假设'!$C$12*'D1_数据中心用电'!$E$24)</f>
        <v>224.743150684932</v>
      </c>
      <c r="D30" s="14" t="inlineStr">
        <is>
          <t>GW</t>
        </is>
      </c>
      <c r="E30" s="14" t="inlineStr">
        <is>
          <t>IEA 基准情景装机为 226 GW，可对照</t>
        </is>
      </c>
    </row>
    <row r="31">
      <c r="A31" s="14" t="inlineStr">
        <is>
          <t>S-A26</t>
        </is>
      </c>
      <c r="B31" s="14" t="inlineStr">
        <is>
          <t>AI 专用数据中心用电 2025→2030 增量（基准）</t>
        </is>
      </c>
      <c r="C31" s="15">
        <f>'D1_数据中心用电'!$E$21-'D1_数据中心用电'!$E$20</f>
        <v>310</v>
      </c>
      <c r="D31" s="14" t="inlineStr">
        <is>
          <t>TWh</t>
        </is>
      </c>
      <c r="E31" s="14" t="inlineStr"/>
    </row>
    <row r="32">
      <c r="A32" s="11" t="inlineStr">
        <is>
          <t>二、数据中心电源结构（桑基图数据，发电侧口径）</t>
        </is>
      </c>
    </row>
    <row r="33">
      <c r="A33" s="14" t="inlineStr">
        <is>
          <t>S-B01</t>
        </is>
      </c>
      <c r="B33" s="14" t="inlineStr">
        <is>
          <t>2024 煤电</t>
        </is>
      </c>
      <c r="C33" s="15">
        <f>'D2_电源结构'!$E$11</f>
        <v>138</v>
      </c>
      <c r="D33" s="14" t="inlineStr">
        <is>
          <t>TWh</t>
        </is>
      </c>
      <c r="E33" s="14" t="inlineStr">
        <is>
          <t>占比 30%</t>
        </is>
      </c>
    </row>
    <row r="34">
      <c r="A34" s="14" t="inlineStr">
        <is>
          <t>S-B02</t>
        </is>
      </c>
      <c r="B34" s="14" t="inlineStr">
        <is>
          <t>2024 天然气</t>
        </is>
      </c>
      <c r="C34" s="15">
        <f>'D2_电源结构'!$E$13</f>
        <v>119.6</v>
      </c>
      <c r="D34" s="14" t="inlineStr">
        <is>
          <t>TWh</t>
        </is>
      </c>
      <c r="E34" s="14" t="inlineStr">
        <is>
          <t>占比 26%</t>
        </is>
      </c>
    </row>
    <row r="35">
      <c r="A35" s="14" t="inlineStr">
        <is>
          <t>S-B03</t>
        </is>
      </c>
      <c r="B35" s="14" t="inlineStr">
        <is>
          <t>2024 可再生能源</t>
        </is>
      </c>
      <c r="C35" s="15">
        <f>'D2_电源结构'!$E$12</f>
        <v>124.2</v>
      </c>
      <c r="D35" s="14" t="inlineStr">
        <is>
          <t>TWh</t>
        </is>
      </c>
      <c r="E35" s="14" t="inlineStr">
        <is>
          <t>占比 27%</t>
        </is>
      </c>
    </row>
    <row r="36">
      <c r="A36" s="14" t="inlineStr">
        <is>
          <t>S-B04</t>
        </is>
      </c>
      <c r="B36" s="14" t="inlineStr">
        <is>
          <t>2024 核电</t>
        </is>
      </c>
      <c r="C36" s="15">
        <f>'D2_电源结构'!$E$14</f>
        <v>69</v>
      </c>
      <c r="D36" s="14" t="inlineStr">
        <is>
          <t>TWh</t>
        </is>
      </c>
      <c r="E36" s="14" t="inlineStr">
        <is>
          <t>占比 15%</t>
        </is>
      </c>
    </row>
    <row r="37">
      <c r="A37" s="14" t="inlineStr">
        <is>
          <t>S-B05</t>
        </is>
      </c>
      <c r="B37" s="14" t="inlineStr">
        <is>
          <t>2024 其他</t>
        </is>
      </c>
      <c r="C37" s="15">
        <f>'D2_电源结构'!$E$15</f>
        <v>9.19999999999997</v>
      </c>
      <c r="D37" s="14" t="inlineStr">
        <is>
          <t>TWh</t>
        </is>
      </c>
      <c r="E37" s="14" t="inlineStr">
        <is>
          <t>残差</t>
        </is>
      </c>
    </row>
    <row r="38">
      <c r="A38" s="14" t="inlineStr">
        <is>
          <t>S-B06</t>
        </is>
      </c>
      <c r="B38" s="14" t="inlineStr">
        <is>
          <t>2024 为数据中心供电的总发电量</t>
        </is>
      </c>
      <c r="C38" s="15">
        <f>'D2_电源结构'!$E$5</f>
        <v>460</v>
      </c>
      <c r="D38" s="14" t="inlineStr">
        <is>
          <t>TWh</t>
        </is>
      </c>
      <c r="E38" s="14" t="inlineStr"/>
    </row>
    <row r="39">
      <c r="A39" s="14" t="inlineStr">
        <is>
          <t>S-B07</t>
        </is>
      </c>
      <c r="B39" s="14" t="inlineStr">
        <is>
          <t>2024 输配损耗等（发电量 − 用电量）</t>
        </is>
      </c>
      <c r="C39" s="15">
        <f>'D2_电源结构'!$E$16</f>
        <v>45</v>
      </c>
      <c r="D39" s="14" t="inlineStr">
        <is>
          <t>TWh</t>
        </is>
      </c>
      <c r="E39" s="14" t="inlineStr"/>
    </row>
    <row r="40">
      <c r="A40" s="14" t="inlineStr">
        <is>
          <t>S-B11</t>
        </is>
      </c>
      <c r="B40" s="14" t="inlineStr">
        <is>
          <t>2030 煤电（推算）</t>
        </is>
      </c>
      <c r="C40" s="15">
        <f>'D2_电源结构'!$E$22</f>
        <v>210.25641025641</v>
      </c>
      <c r="D40" s="14" t="inlineStr">
        <is>
          <t>TWh</t>
        </is>
      </c>
      <c r="E40" s="14" t="inlineStr">
        <is>
          <t>IEA：约 20%</t>
        </is>
      </c>
      <c r="Q40" s="3" t="inlineStr">
        <is>
          <t>图表数据 3：四大科技公司资本开支（十亿美元）</t>
        </is>
      </c>
    </row>
    <row r="41">
      <c r="A41" s="14" t="inlineStr">
        <is>
          <t>S-B12</t>
        </is>
      </c>
      <c r="B41" s="14" t="inlineStr">
        <is>
          <t>2030 天然气</t>
        </is>
      </c>
      <c r="C41" s="15">
        <f>'D2_电源结构'!$E$18</f>
        <v>340</v>
      </c>
      <c r="D41" s="14" t="inlineStr">
        <is>
          <t>TWh</t>
        </is>
      </c>
      <c r="E41" s="14" t="inlineStr">
        <is>
          <t>IEA：约 340</t>
        </is>
      </c>
      <c r="Q41" s="12" t="inlineStr">
        <is>
          <t>类别</t>
        </is>
      </c>
      <c r="R41" s="13" t="inlineStr">
        <is>
          <t>微软</t>
        </is>
      </c>
      <c r="S41" s="13" t="inlineStr">
        <is>
          <t>Alphabet</t>
        </is>
      </c>
      <c r="T41" s="13" t="inlineStr">
        <is>
          <t>亚马逊</t>
        </is>
      </c>
      <c r="U41" s="13" t="inlineStr">
        <is>
          <t>Meta</t>
        </is>
      </c>
    </row>
    <row r="42">
      <c r="A42" s="14" t="inlineStr">
        <is>
          <t>S-B13</t>
        </is>
      </c>
      <c r="B42" s="14" t="inlineStr">
        <is>
          <t>2030 可再生能源</t>
        </is>
      </c>
      <c r="C42" s="15">
        <f>'D2_电源结构'!$E$17</f>
        <v>360</v>
      </c>
      <c r="D42" s="14" t="inlineStr">
        <is>
          <t>TWh</t>
        </is>
      </c>
      <c r="E42" s="14" t="inlineStr">
        <is>
          <t>IEA：360</t>
        </is>
      </c>
      <c r="Q42" s="16" t="inlineStr">
        <is>
          <t>2024</t>
        </is>
      </c>
      <c r="R42" s="20">
        <f>$C$64</f>
        <v>75.6</v>
      </c>
      <c r="S42" s="20">
        <f>$C$65</f>
        <v>52.535</v>
      </c>
      <c r="T42" s="20">
        <f>$C$66</f>
        <v>82.999</v>
      </c>
      <c r="U42" s="20">
        <f>$C$67</f>
        <v>39.225</v>
      </c>
    </row>
    <row r="43">
      <c r="A43" s="14" t="inlineStr">
        <is>
          <t>S-B14</t>
        </is>
      </c>
      <c r="B43" s="14" t="inlineStr">
        <is>
          <t>2030 核电</t>
        </is>
      </c>
      <c r="C43" s="15">
        <f>'D2_电源结构'!$E$19</f>
        <v>120</v>
      </c>
      <c r="D43" s="14" t="inlineStr">
        <is>
          <t>TWh</t>
        </is>
      </c>
      <c r="E43" s="14" t="inlineStr">
        <is>
          <t>IEA：接近 120</t>
        </is>
      </c>
      <c r="Q43" s="16" t="inlineStr">
        <is>
          <t>2025</t>
        </is>
      </c>
      <c r="R43" s="20">
        <f>$C$69</f>
        <v>118</v>
      </c>
      <c r="S43" s="20">
        <f>$C$70</f>
        <v>91.447</v>
      </c>
      <c r="T43" s="20">
        <f>$C$71</f>
        <v>131.819</v>
      </c>
      <c r="U43" s="20">
        <f>$C$72</f>
        <v>72.215</v>
      </c>
    </row>
    <row r="44">
      <c r="A44" s="14" t="inlineStr">
        <is>
          <t>S-B15</t>
        </is>
      </c>
      <c r="B44" s="14" t="inlineStr">
        <is>
          <t>2030 其他（推算）</t>
        </is>
      </c>
      <c r="C44" s="15">
        <f>'D2_电源结构'!$E$23</f>
        <v>21.025641025641</v>
      </c>
      <c r="D44" s="14" t="inlineStr">
        <is>
          <t>TWh</t>
        </is>
      </c>
      <c r="E44" s="14" t="inlineStr">
        <is>
          <t>依赖假设</t>
        </is>
      </c>
      <c r="Q44" s="16" t="inlineStr">
        <is>
          <t>2026E</t>
        </is>
      </c>
      <c r="R44" s="20">
        <f>$C$75</f>
        <v>175</v>
      </c>
      <c r="S44" s="20">
        <f>$C$76</f>
        <v>200</v>
      </c>
      <c r="T44" s="20">
        <f>$C$77</f>
        <v>220</v>
      </c>
      <c r="U44" s="20">
        <f>$C$78</f>
        <v>140</v>
      </c>
    </row>
    <row r="45">
      <c r="A45" s="14" t="inlineStr">
        <is>
          <t>S-B16</t>
        </is>
      </c>
      <c r="B45" s="14" t="inlineStr">
        <is>
          <t>2030 为数据中心供电的总发电量（推算）</t>
        </is>
      </c>
      <c r="C45" s="15">
        <f>'D2_电源结构'!$E$21</f>
        <v>1051.28205128205</v>
      </c>
      <c r="D45" s="14" t="inlineStr">
        <is>
          <t>TWh</t>
        </is>
      </c>
      <c r="E45" s="14" t="inlineStr">
        <is>
          <t>IEA：超过 1000</t>
        </is>
      </c>
    </row>
    <row r="46">
      <c r="A46" s="14" t="inlineStr">
        <is>
          <t>S-B17</t>
        </is>
      </c>
      <c r="B46" s="14" t="inlineStr">
        <is>
          <t>2030 输配损耗等（推算）</t>
        </is>
      </c>
      <c r="C46" s="15">
        <f>'D2_电源结构'!$E$24</f>
        <v>106.282051282051</v>
      </c>
      <c r="D46" s="14" t="inlineStr">
        <is>
          <t>TWh</t>
        </is>
      </c>
      <c r="E46" s="14" t="inlineStr"/>
    </row>
    <row r="47">
      <c r="A47" s="14" t="inlineStr">
        <is>
          <t>S-B18</t>
        </is>
      </c>
      <c r="B47" s="14" t="inlineStr">
        <is>
          <t>2030 化石能源（煤 + 气）占比（推算）</t>
        </is>
      </c>
      <c r="C47" s="18">
        <f>('D2_电源结构'!$E$22+'D2_电源结构'!$E$18)/'D2_电源结构'!$E$21</f>
        <v>0.523414634146342</v>
      </c>
      <c r="D47" s="14" t="inlineStr">
        <is>
          <t>%</t>
        </is>
      </c>
      <c r="E47" s="14" t="inlineStr">
        <is>
          <t>IEA：化石能源仍约占一半</t>
        </is>
      </c>
    </row>
    <row r="48">
      <c r="A48" s="14" t="inlineStr">
        <is>
          <t>S-B19</t>
        </is>
      </c>
      <c r="B48" s="14" t="inlineStr">
        <is>
          <t>2030 低排放（可再生 + 核）占比（推算）</t>
        </is>
      </c>
      <c r="C48" s="18">
        <f>('D2_电源结构'!$E$17+'D2_电源结构'!$E$19)/'D2_电源结构'!$E$21</f>
        <v>0.456585365853659</v>
      </c>
      <c r="D48" s="14" t="inlineStr">
        <is>
          <t>%</t>
        </is>
      </c>
      <c r="E48" s="14" t="inlineStr"/>
    </row>
    <row r="49">
      <c r="A49" s="14" t="inlineStr">
        <is>
          <t>S-B20</t>
        </is>
      </c>
      <c r="B49" s="14" t="inlineStr">
        <is>
          <t>2024→2030 新增发电中可再生能源贡献比例</t>
        </is>
      </c>
      <c r="C49" s="18">
        <f>('D2_电源结构'!$E$17-'D2_电源结构'!$E$12)/('D2_电源结构'!$E$21-'D2_电源结构'!$E$5)</f>
        <v>0.398794449262793</v>
      </c>
      <c r="D49" s="14" t="inlineStr">
        <is>
          <t>%</t>
        </is>
      </c>
      <c r="E49" s="14" t="inlineStr">
        <is>
          <t>2025 年版称“接近一半”，按 2026 年版数字约四成</t>
        </is>
      </c>
    </row>
    <row r="50">
      <c r="A50" s="14" t="inlineStr">
        <is>
          <t>S-B21</t>
        </is>
      </c>
      <c r="B50" s="14" t="inlineStr">
        <is>
          <t>2024→2030 新增发电中天然气贡献比例</t>
        </is>
      </c>
      <c r="C50" s="18">
        <f>('D2_电源结构'!$E$18-'D2_电源结构'!$E$13)/('D2_电源结构'!$E$21-'D2_电源结构'!$E$5)</f>
        <v>0.372749349522984</v>
      </c>
      <c r="D50" s="14" t="inlineStr">
        <is>
          <t>%</t>
        </is>
      </c>
      <c r="E50" s="14" t="inlineStr"/>
    </row>
    <row r="51">
      <c r="A51" s="14" t="inlineStr">
        <is>
          <t>S-B22</t>
        </is>
      </c>
      <c r="B51" s="14" t="inlineStr">
        <is>
          <t>2024→2030 新增发电中核电贡献比例</t>
        </is>
      </c>
      <c r="C51" s="18">
        <f>('D2_电源结构'!$E$19-'D2_电源结构'!$E$14)/('D2_电源结构'!$E$21-'D2_电源结构'!$E$5)</f>
        <v>0.0862532523850824</v>
      </c>
      <c r="D51" s="14" t="inlineStr">
        <is>
          <t>%</t>
        </is>
      </c>
      <c r="E51" s="14" t="inlineStr"/>
    </row>
    <row r="52">
      <c r="A52" s="14" t="inlineStr">
        <is>
          <t>S-B23</t>
        </is>
      </c>
      <c r="B52" s="14" t="inlineStr">
        <is>
          <t>2024→2030 新增发电中煤电贡献比例</t>
        </is>
      </c>
      <c r="C52" s="18">
        <f>('D2_电源结构'!$E$22-'D2_电源结构'!$E$11)/('D2_电源结构'!$E$21-'D2_电源结构'!$E$5)</f>
        <v>0.122202948829141</v>
      </c>
      <c r="D52" s="14" t="inlineStr">
        <is>
          <t>%</t>
        </is>
      </c>
      <c r="E52" s="14" t="inlineStr"/>
    </row>
    <row r="53">
      <c r="A53" s="14" t="inlineStr">
        <is>
          <t>S-B30</t>
        </is>
      </c>
      <c r="B53" s="14" t="inlineStr">
        <is>
          <t>美国 2024 为数据中心供电的发电量（推算）</t>
        </is>
      </c>
      <c r="C53" s="15">
        <f>'D2_电源结构'!$E$31</f>
        <v>202.843373493976</v>
      </c>
      <c r="D53" s="14" t="inlineStr">
        <is>
          <t>TWh</t>
        </is>
      </c>
      <c r="E53" s="14" t="inlineStr"/>
    </row>
    <row r="54">
      <c r="A54" s="14" t="inlineStr">
        <is>
          <t>S-B31</t>
        </is>
      </c>
      <c r="B54" s="14" t="inlineStr">
        <is>
          <t>美国 2024 天然气</t>
        </is>
      </c>
      <c r="C54" s="15">
        <f>'D2_电源结构'!$E$26*'D2_电源结构'!$E$31</f>
        <v>83.1657831325301</v>
      </c>
      <c r="D54" s="14" t="inlineStr">
        <is>
          <t>TWh</t>
        </is>
      </c>
      <c r="E54" s="14" t="inlineStr">
        <is>
          <t>占比依赖假设</t>
        </is>
      </c>
    </row>
    <row r="55">
      <c r="A55" s="14" t="inlineStr">
        <is>
          <t>S-B32</t>
        </is>
      </c>
      <c r="B55" s="14" t="inlineStr">
        <is>
          <t>美国 2024 可再生能源</t>
        </is>
      </c>
      <c r="C55" s="15">
        <f>'D2_电源结构'!$E$27*'D2_电源结构'!$E$31</f>
        <v>48.6824096385542</v>
      </c>
      <c r="D55" s="14" t="inlineStr">
        <is>
          <t>TWh</t>
        </is>
      </c>
      <c r="E55" s="14" t="inlineStr"/>
    </row>
    <row r="56">
      <c r="A56" s="14" t="inlineStr">
        <is>
          <t>S-B33</t>
        </is>
      </c>
      <c r="B56" s="14" t="inlineStr">
        <is>
          <t>美国 2024 煤电</t>
        </is>
      </c>
      <c r="C56" s="15">
        <f>'D2_电源结构'!$E$28*'D2_电源结构'!$E$31</f>
        <v>40.5686746987952</v>
      </c>
      <c r="D56" s="14" t="inlineStr">
        <is>
          <t>TWh</t>
        </is>
      </c>
      <c r="E56" s="14" t="inlineStr"/>
    </row>
    <row r="57">
      <c r="A57" s="14" t="inlineStr">
        <is>
          <t>S-B34</t>
        </is>
      </c>
      <c r="B57" s="14" t="inlineStr">
        <is>
          <t>美国 2024 核电</t>
        </is>
      </c>
      <c r="C57" s="15">
        <f>'D2_电源结构'!$E$29*'D2_电源结构'!$E$31</f>
        <v>30.4265060240964</v>
      </c>
      <c r="D57" s="14" t="inlineStr">
        <is>
          <t>TWh</t>
        </is>
      </c>
      <c r="E57" s="14" t="inlineStr"/>
    </row>
    <row r="58">
      <c r="A58" s="14" t="inlineStr">
        <is>
          <t>S-B35</t>
        </is>
      </c>
      <c r="B58" s="14" t="inlineStr">
        <is>
          <t>美国 2024 其他（残差）</t>
        </is>
      </c>
      <c r="C58" s="15">
        <f>'D2_电源结构'!$E$31-$C$54-$C$55-$C$56-$C$57</f>
        <v>0</v>
      </c>
      <c r="D58" s="14" t="inlineStr">
        <is>
          <t>TWh</t>
        </is>
      </c>
      <c r="E58" s="14" t="inlineStr"/>
      <c r="Q58" s="3" t="inlineStr">
        <is>
          <t>图表数据 4：季度资本开支（十亿美元）</t>
        </is>
      </c>
    </row>
    <row r="59">
      <c r="A59" s="14" t="inlineStr">
        <is>
          <t>S-B36</t>
        </is>
      </c>
      <c r="B59" s="14" t="inlineStr">
        <is>
          <t>美国电网 2025 天然气占比</t>
        </is>
      </c>
      <c r="C59" s="18">
        <f>'D2_电源结构'!$E$40/'D2_电源结构'!$E$39</f>
        <v>0.408014448583362</v>
      </c>
      <c r="D59" s="14" t="inlineStr">
        <is>
          <t>%</t>
        </is>
      </c>
      <c r="E59" s="14" t="inlineStr">
        <is>
          <t>EIA</t>
        </is>
      </c>
      <c r="Q59" s="12" t="inlineStr">
        <is>
          <t>类别</t>
        </is>
      </c>
      <c r="R59" s="13" t="inlineStr">
        <is>
          <t>微软</t>
        </is>
      </c>
      <c r="S59" s="13" t="inlineStr">
        <is>
          <t>Alphabet</t>
        </is>
      </c>
      <c r="T59" s="13" t="inlineStr">
        <is>
          <t>亚马逊</t>
        </is>
      </c>
      <c r="U59" s="13" t="inlineStr">
        <is>
          <t>Meta</t>
        </is>
      </c>
    </row>
    <row r="60">
      <c r="A60" s="14" t="inlineStr">
        <is>
          <t>S-B37</t>
        </is>
      </c>
      <c r="B60" s="14" t="inlineStr">
        <is>
          <t>美国电网 2025 核电占比</t>
        </is>
      </c>
      <c r="C60" s="18">
        <f>'D2_电源结构'!$E$41/'D2_电源结构'!$E$39</f>
        <v>0.177175753471046</v>
      </c>
      <c r="D60" s="14" t="inlineStr">
        <is>
          <t>%</t>
        </is>
      </c>
      <c r="E60" s="14" t="inlineStr">
        <is>
          <t>EIA</t>
        </is>
      </c>
      <c r="Q60" s="16" t="inlineStr">
        <is>
          <t>2025Q1</t>
        </is>
      </c>
      <c r="R60" s="20">
        <f>'D3_科技公司资本开支'!$E$9</f>
        <v>21.4</v>
      </c>
      <c r="S60" s="20">
        <f>'D3_科技公司资本开支'!$E$17</f>
        <v>17.197</v>
      </c>
      <c r="T60" s="20">
        <f>'D3_科技公司资本开支'!$E$25</f>
        <v>25.019</v>
      </c>
      <c r="U60" s="20">
        <f>'D3_科技公司资本开支'!$E$33</f>
        <v>13.692</v>
      </c>
    </row>
    <row r="61">
      <c r="A61" s="14" t="inlineStr">
        <is>
          <t>S-B38</t>
        </is>
      </c>
      <c r="B61" s="14" t="inlineStr">
        <is>
          <t>美国电网 2025 煤电占比</t>
        </is>
      </c>
      <c r="C61" s="18">
        <f>'D2_电源结构'!$E$42/'D2_电源结构'!$E$39</f>
        <v>0.166429619595891</v>
      </c>
      <c r="D61" s="14" t="inlineStr">
        <is>
          <t>%</t>
        </is>
      </c>
      <c r="E61" s="14" t="inlineStr">
        <is>
          <t>EIA</t>
        </is>
      </c>
      <c r="Q61" s="16" t="inlineStr">
        <is>
          <t>2025Q2</t>
        </is>
      </c>
      <c r="R61" s="20">
        <f>'D3_科技公司资本开支'!$E$10</f>
        <v>24.2</v>
      </c>
      <c r="S61" s="20">
        <f>'D3_科技公司资本开支'!$E$18</f>
        <v>22.446</v>
      </c>
      <c r="T61" s="20">
        <f>'D3_科技公司资本开支'!$E$26</f>
        <v>32.183</v>
      </c>
      <c r="U61" s="20">
        <f>'D3_科技公司资本开支'!$E$34</f>
        <v>17.012</v>
      </c>
    </row>
    <row r="62">
      <c r="A62" s="14" t="inlineStr">
        <is>
          <t>S-B39</t>
        </is>
      </c>
      <c r="B62" s="14" t="inlineStr">
        <is>
          <t>美国电网 2025 风光水占比</t>
        </is>
      </c>
      <c r="C62" s="18">
        <f>('D2_电源结构'!$E$43+'D2_电源结构'!$E$44+'D2_电源结构'!$E$45)/'D2_电源结构'!$E$39</f>
        <v>0.227362004740941</v>
      </c>
      <c r="D62" s="14" t="inlineStr">
        <is>
          <t>%</t>
        </is>
      </c>
      <c r="E62" s="14" t="inlineStr">
        <is>
          <t>EIA</t>
        </is>
      </c>
      <c r="Q62" s="16" t="inlineStr">
        <is>
          <t>2025Q3</t>
        </is>
      </c>
      <c r="R62" s="20">
        <f>'D3_科技公司资本开支'!$E$11</f>
        <v>34.9</v>
      </c>
      <c r="S62" s="20">
        <f>'D3_科技公司资本开支'!$E$20</f>
        <v>23.953</v>
      </c>
      <c r="T62" s="20">
        <f>'D3_科技公司资本开支'!$E$28</f>
        <v>35.095</v>
      </c>
      <c r="U62" s="20">
        <f>'D3_科技公司资本开支'!$E$35</f>
        <v>19.374</v>
      </c>
    </row>
    <row r="63">
      <c r="A63" s="11" t="inlineStr">
        <is>
          <t>三、美国科技巨头资本开支（十亿美元）</t>
        </is>
      </c>
      <c r="Q63" s="16" t="inlineStr">
        <is>
          <t>2025Q4</t>
        </is>
      </c>
      <c r="R63" s="20">
        <f>'D3_科技公司资本开支'!$E$12</f>
        <v>37.5</v>
      </c>
      <c r="S63" s="20">
        <f>'D3_科技公司资本开支'!$E$19</f>
        <v>27.851</v>
      </c>
      <c r="T63" s="20">
        <f>'D3_科技公司资本开支'!$E$27</f>
        <v>39.522</v>
      </c>
      <c r="U63" s="20">
        <f>'D3_科技公司资本开支'!$E$36</f>
        <v>22.137</v>
      </c>
    </row>
    <row r="64">
      <c r="A64" s="14" t="inlineStr">
        <is>
          <t>S-C01</t>
        </is>
      </c>
      <c r="B64" s="14" t="inlineStr">
        <is>
          <t>微软 2024 自然年（季度相加）</t>
        </is>
      </c>
      <c r="C64" s="15">
        <f>'D3_科技公司资本开支'!$E$5+'D3_科技公司资本开支'!$E$6+'D3_科技公司资本开支'!$E$7+'D3_科技公司资本开支'!$E$8</f>
        <v>75.6</v>
      </c>
      <c r="D64" s="14" t="inlineStr">
        <is>
          <t>十亿美元</t>
        </is>
      </c>
      <c r="E64" s="14" t="inlineStr">
        <is>
          <t>含融资租赁</t>
        </is>
      </c>
      <c r="Q64" s="16" t="inlineStr">
        <is>
          <t>2026Q1</t>
        </is>
      </c>
      <c r="R64" s="20">
        <f>'D3_科技公司资本开支'!$E$13</f>
        <v>31.9</v>
      </c>
      <c r="S64" s="20">
        <f>'D3_科技公司资本开支'!$E$21</f>
        <v>35.674</v>
      </c>
      <c r="T64" s="20">
        <f>'D3_科技公司资本开支'!$E$29</f>
        <v>44.203</v>
      </c>
      <c r="U64" s="20">
        <f>'D3_科技公司资本开支'!$E$37</f>
        <v>19.84</v>
      </c>
    </row>
    <row r="65">
      <c r="A65" s="14" t="inlineStr">
        <is>
          <t>S-C02</t>
        </is>
      </c>
      <c r="B65" s="14" t="inlineStr">
        <is>
          <t>Alphabet 2024</t>
        </is>
      </c>
      <c r="C65" s="15">
        <f>'D3_科技公司资本开支'!$E$15</f>
        <v>52.535</v>
      </c>
      <c r="D65" s="14" t="inlineStr">
        <is>
          <t>十亿美元</t>
        </is>
      </c>
      <c r="E65" s="14" t="inlineStr"/>
      <c r="Q65" s="16" t="inlineStr">
        <is>
          <t>2026Q2</t>
        </is>
      </c>
      <c r="R65" s="20">
        <f>'D3_科技公司资本开支'!$E$14</f>
        <v>41</v>
      </c>
      <c r="S65" s="20">
        <f>'D3_科技公司资本开支'!$E$22</f>
        <v>44.924</v>
      </c>
      <c r="T65" s="20">
        <f>'D3_科技公司资本开支'!$E$30</f>
        <v>54.208</v>
      </c>
      <c r="U65" s="20">
        <f>'D3_科技公司资本开支'!$E$38</f>
        <v>31.08</v>
      </c>
    </row>
    <row r="66">
      <c r="A66" s="14" t="inlineStr">
        <is>
          <t>S-C03</t>
        </is>
      </c>
      <c r="B66" s="14" t="inlineStr">
        <is>
          <t>亚马逊 2024</t>
        </is>
      </c>
      <c r="C66" s="15">
        <f>'D3_科技公司资本开支'!$E$23</f>
        <v>82.999</v>
      </c>
      <c r="D66" s="14" t="inlineStr">
        <is>
          <t>十亿美元</t>
        </is>
      </c>
      <c r="E66" s="14" t="inlineStr"/>
    </row>
    <row r="67">
      <c r="A67" s="14" t="inlineStr">
        <is>
          <t>S-C04</t>
        </is>
      </c>
      <c r="B67" s="14" t="inlineStr">
        <is>
          <t>Meta 2024</t>
        </is>
      </c>
      <c r="C67" s="15">
        <f>'D3_科技公司资本开支'!$E$31</f>
        <v>39.225</v>
      </c>
      <c r="D67" s="14" t="inlineStr">
        <is>
          <t>十亿美元</t>
        </is>
      </c>
      <c r="E67" s="14" t="inlineStr"/>
    </row>
    <row r="68">
      <c r="A68" s="14" t="inlineStr">
        <is>
          <t>S-C05</t>
        </is>
      </c>
      <c r="B68" s="14" t="inlineStr">
        <is>
          <t>四家合计 2024</t>
        </is>
      </c>
      <c r="C68" s="15">
        <f>$C$64+$C$65+$C$66+$C$67</f>
        <v>250.359</v>
      </c>
      <c r="D68" s="14" t="inlineStr">
        <is>
          <t>十亿美元</t>
        </is>
      </c>
      <c r="E68" s="14" t="inlineStr">
        <is>
          <t>各公司口径不完全一致</t>
        </is>
      </c>
    </row>
    <row r="69">
      <c r="A69" s="14" t="inlineStr">
        <is>
          <t>S-C11</t>
        </is>
      </c>
      <c r="B69" s="14" t="inlineStr">
        <is>
          <t>微软 2025 自然年（季度相加）</t>
        </is>
      </c>
      <c r="C69" s="15">
        <f>'D3_科技公司资本开支'!$E$9+'D3_科技公司资本开支'!$E$10+'D3_科技公司资本开支'!$E$11+'D3_科技公司资本开支'!$E$12</f>
        <v>118</v>
      </c>
      <c r="D69" s="14" t="inlineStr">
        <is>
          <t>十亿美元</t>
        </is>
      </c>
      <c r="E69" s="14" t="inlineStr"/>
    </row>
    <row r="70">
      <c r="A70" s="14" t="inlineStr">
        <is>
          <t>S-C12</t>
        </is>
      </c>
      <c r="B70" s="14" t="inlineStr">
        <is>
          <t>Alphabet 2025</t>
        </is>
      </c>
      <c r="C70" s="15">
        <f>'D3_科技公司资本开支'!$E$16</f>
        <v>91.447</v>
      </c>
      <c r="D70" s="14" t="inlineStr">
        <is>
          <t>十亿美元</t>
        </is>
      </c>
      <c r="E70" s="14" t="inlineStr"/>
    </row>
    <row r="71">
      <c r="A71" s="14" t="inlineStr">
        <is>
          <t>S-C13</t>
        </is>
      </c>
      <c r="B71" s="14" t="inlineStr">
        <is>
          <t>亚马逊 2025</t>
        </is>
      </c>
      <c r="C71" s="15">
        <f>'D3_科技公司资本开支'!$E$24</f>
        <v>131.819</v>
      </c>
      <c r="D71" s="14" t="inlineStr">
        <is>
          <t>十亿美元</t>
        </is>
      </c>
      <c r="E71" s="14" t="inlineStr"/>
    </row>
    <row r="72">
      <c r="A72" s="14" t="inlineStr">
        <is>
          <t>S-C14</t>
        </is>
      </c>
      <c r="B72" s="14" t="inlineStr">
        <is>
          <t>Meta 2025</t>
        </is>
      </c>
      <c r="C72" s="15">
        <f>'D3_科技公司资本开支'!$E$32</f>
        <v>72.215</v>
      </c>
      <c r="D72" s="14" t="inlineStr">
        <is>
          <t>十亿美元</t>
        </is>
      </c>
      <c r="E72" s="14" t="inlineStr"/>
    </row>
    <row r="73">
      <c r="A73" s="14" t="inlineStr">
        <is>
          <t>S-C15</t>
        </is>
      </c>
      <c r="B73" s="14" t="inlineStr">
        <is>
          <t>四家合计 2025</t>
        </is>
      </c>
      <c r="C73" s="15">
        <f>$C$69+$C$70+$C$71+$C$72</f>
        <v>413.481</v>
      </c>
      <c r="D73" s="14" t="inlineStr">
        <is>
          <t>十亿美元</t>
        </is>
      </c>
      <c r="E73" s="14" t="inlineStr"/>
    </row>
    <row r="74">
      <c r="A74" s="14" t="inlineStr">
        <is>
          <t>S-C16</t>
        </is>
      </c>
      <c r="B74" s="14" t="inlineStr">
        <is>
          <t>2025 年同比增速</t>
        </is>
      </c>
      <c r="C74" s="18">
        <f>$C$73/$C$68-1</f>
        <v>0.651552370795538</v>
      </c>
      <c r="D74" s="14" t="inlineStr">
        <is>
          <t>%</t>
        </is>
      </c>
      <c r="E74" s="14" t="inlineStr"/>
    </row>
    <row r="75">
      <c r="A75" s="14" t="inlineStr">
        <is>
          <t>S-C21</t>
        </is>
      </c>
      <c r="B75" s="14" t="inlineStr">
        <is>
          <t>微软 2026E（公司指引）</t>
        </is>
      </c>
      <c r="C75" s="15">
        <f>'D3_科技公司资本开支'!$E$41</f>
        <v>175</v>
      </c>
      <c r="D75" s="14" t="inlineStr">
        <is>
          <t>十亿美元</t>
        </is>
      </c>
      <c r="E75" s="14" t="inlineStr">
        <is>
          <t>租赁重分类后口径</t>
        </is>
      </c>
    </row>
    <row r="76">
      <c r="A76" s="14" t="inlineStr">
        <is>
          <t>S-C22</t>
        </is>
      </c>
      <c r="B76" s="14" t="inlineStr">
        <is>
          <t>Alphabet 2026E（指引区间取值）</t>
        </is>
      </c>
      <c r="C76" s="15">
        <f>'D3_科技公司资本开支'!$E$43+('D3_科技公司资本开支'!$E$44-'D3_科技公司资本开支'!$E$43)*'假设'!$C$8</f>
        <v>200</v>
      </c>
      <c r="D76" s="14" t="inlineStr">
        <is>
          <t>十亿美元</t>
        </is>
      </c>
      <c r="E76" s="14" t="inlineStr">
        <is>
          <t>取值位置见假设页</t>
        </is>
      </c>
      <c r="Q76" s="3" t="inlineStr">
        <is>
          <t>图表数据 5：核电确定购电协议（MW）</t>
        </is>
      </c>
    </row>
    <row r="77">
      <c r="A77" s="14" t="inlineStr">
        <is>
          <t>S-C23</t>
        </is>
      </c>
      <c r="B77" s="14" t="inlineStr">
        <is>
          <t>亚马逊 2026E（公司预期）</t>
        </is>
      </c>
      <c r="C77" s="15">
        <f>'D3_科技公司资本开支'!$E$45</f>
        <v>220</v>
      </c>
      <c r="D77" s="14" t="inlineStr">
        <is>
          <t>十亿美元</t>
        </is>
      </c>
      <c r="E77" s="14" t="inlineStr"/>
      <c r="Q77" s="12" t="inlineStr">
        <is>
          <t>类别</t>
        </is>
      </c>
      <c r="R77" s="13" t="inlineStr">
        <is>
          <t>确定购电协议（MW）</t>
        </is>
      </c>
    </row>
    <row r="78">
      <c r="A78" s="14" t="inlineStr">
        <is>
          <t>S-C24</t>
        </is>
      </c>
      <c r="B78" s="14" t="inlineStr">
        <is>
          <t>Meta 2026E（指引区间取值）</t>
        </is>
      </c>
      <c r="C78" s="15">
        <f>'D3_科技公司资本开支'!$E$46+('D3_科技公司资本开支'!$E$47-'D3_科技公司资本开支'!$E$46)*'假设'!$C$8</f>
        <v>140</v>
      </c>
      <c r="D78" s="14" t="inlineStr">
        <is>
          <t>十亿美元</t>
        </is>
      </c>
      <c r="E78" s="14" t="inlineStr"/>
      <c r="Q78" s="16" t="inlineStr">
        <is>
          <t>微软</t>
        </is>
      </c>
      <c r="R78" s="17">
        <f>$C$120</f>
        <v>835</v>
      </c>
    </row>
    <row r="79">
      <c r="A79" s="14" t="inlineStr">
        <is>
          <t>S-C25</t>
        </is>
      </c>
      <c r="B79" s="14" t="inlineStr">
        <is>
          <t>四家合计 2026E</t>
        </is>
      </c>
      <c r="C79" s="15">
        <f>$C$75+$C$76+$C$77+$C$78</f>
        <v>735</v>
      </c>
      <c r="D79" s="14" t="inlineStr">
        <is>
          <t>十亿美元</t>
        </is>
      </c>
      <c r="E79" s="14" t="inlineStr">
        <is>
          <t>指引口径</t>
        </is>
      </c>
      <c r="Q79" s="16" t="inlineStr">
        <is>
          <t>Meta</t>
        </is>
      </c>
      <c r="R79" s="17">
        <f>$C$121</f>
        <v>3730</v>
      </c>
    </row>
    <row r="80">
      <c r="A80" s="14" t="inlineStr">
        <is>
          <t>S-C26</t>
        </is>
      </c>
      <c r="B80" s="14" t="inlineStr">
        <is>
          <t>2026E 同比增速</t>
        </is>
      </c>
      <c r="C80" s="18">
        <f>$C$79/$C$73-1</f>
        <v>0.777590747821545</v>
      </c>
      <c r="D80" s="14" t="inlineStr">
        <is>
          <t>%</t>
        </is>
      </c>
      <c r="E80" s="14" t="inlineStr"/>
      <c r="Q80" s="16" t="inlineStr">
        <is>
          <t>亚马逊</t>
        </is>
      </c>
      <c r="R80" s="17">
        <f>$C$122</f>
        <v>3810</v>
      </c>
    </row>
    <row r="81">
      <c r="A81" s="14" t="inlineStr">
        <is>
          <t>S-C27</t>
        </is>
      </c>
      <c r="B81" s="14" t="inlineStr">
        <is>
          <t>2026E 相当于 2024 年的倍数</t>
        </is>
      </c>
      <c r="C81" s="19">
        <f>$C$79/$C$68</f>
        <v>2.93578421386888</v>
      </c>
      <c r="D81" s="14" t="inlineStr">
        <is>
          <t>倍</t>
        </is>
      </c>
      <c r="E81" s="14" t="inlineStr"/>
      <c r="Q81" s="16" t="inlineStr">
        <is>
          <t>Google</t>
        </is>
      </c>
      <c r="R81" s="17">
        <f>$C$123</f>
        <v>1601</v>
      </c>
    </row>
    <row r="82">
      <c r="A82" s="14" t="inlineStr">
        <is>
          <t>S-C31</t>
        </is>
      </c>
      <c r="B82" s="14" t="inlineStr">
        <is>
          <t>四家合计 2025Q1</t>
        </is>
      </c>
      <c r="C82" s="15">
        <f>'D3_科技公司资本开支'!$E$9+'D3_科技公司资本开支'!$E$17+'D3_科技公司资本开支'!$E$25+'D3_科技公司资本开支'!$E$33</f>
        <v>77.308</v>
      </c>
      <c r="D82" s="14" t="inlineStr">
        <is>
          <t>十亿美元</t>
        </is>
      </c>
      <c r="E82" s="14" t="inlineStr"/>
    </row>
    <row r="83">
      <c r="A83" s="14" t="inlineStr">
        <is>
          <t>S-C32</t>
        </is>
      </c>
      <c r="B83" s="14" t="inlineStr">
        <is>
          <t>四家合计 2025Q2</t>
        </is>
      </c>
      <c r="C83" s="15">
        <f>'D3_科技公司资本开支'!$E$10+'D3_科技公司资本开支'!$E$18+'D3_科技公司资本开支'!$E$26+'D3_科技公司资本开支'!$E$34</f>
        <v>95.841</v>
      </c>
      <c r="D83" s="14" t="inlineStr">
        <is>
          <t>十亿美元</t>
        </is>
      </c>
      <c r="E83" s="14" t="inlineStr"/>
    </row>
    <row r="84">
      <c r="A84" s="14" t="inlineStr">
        <is>
          <t>S-C33</t>
        </is>
      </c>
      <c r="B84" s="14" t="inlineStr">
        <is>
          <t>四家合计 2025Q3</t>
        </is>
      </c>
      <c r="C84" s="15">
        <f>'D3_科技公司资本开支'!$E$11+'D3_科技公司资本开支'!$E$20+'D3_科技公司资本开支'!$E$28+'D3_科技公司资本开支'!$E$35</f>
        <v>113.322</v>
      </c>
      <c r="D84" s="14" t="inlineStr">
        <is>
          <t>十亿美元</t>
        </is>
      </c>
      <c r="E84" s="14" t="inlineStr"/>
    </row>
    <row r="85">
      <c r="A85" s="14" t="inlineStr">
        <is>
          <t>S-C34</t>
        </is>
      </c>
      <c r="B85" s="14" t="inlineStr">
        <is>
          <t>四家合计 2025Q4</t>
        </is>
      </c>
      <c r="C85" s="15">
        <f>'D3_科技公司资本开支'!$E$12+'D3_科技公司资本开支'!$E$19+'D3_科技公司资本开支'!$E$27+'D3_科技公司资本开支'!$E$36</f>
        <v>127.01</v>
      </c>
      <c r="D85" s="14" t="inlineStr">
        <is>
          <t>十亿美元</t>
        </is>
      </c>
      <c r="E85" s="14" t="inlineStr"/>
    </row>
    <row r="86">
      <c r="A86" s="14" t="inlineStr">
        <is>
          <t>S-C35</t>
        </is>
      </c>
      <c r="B86" s="14" t="inlineStr">
        <is>
          <t>四家合计 2026Q1</t>
        </is>
      </c>
      <c r="C86" s="15">
        <f>'D3_科技公司资本开支'!$E$13+'D3_科技公司资本开支'!$E$21+'D3_科技公司资本开支'!$E$29+'D3_科技公司资本开支'!$E$37</f>
        <v>131.617</v>
      </c>
      <c r="D86" s="14" t="inlineStr">
        <is>
          <t>十亿美元</t>
        </is>
      </c>
      <c r="E86" s="14" t="inlineStr"/>
    </row>
    <row r="87">
      <c r="A87" s="14" t="inlineStr">
        <is>
          <t>S-C36</t>
        </is>
      </c>
      <c r="B87" s="14" t="inlineStr">
        <is>
          <t>四家合计 2026Q2</t>
        </is>
      </c>
      <c r="C87" s="15">
        <f>'D3_科技公司资本开支'!$E$14+'D3_科技公司资本开支'!$E$22+'D3_科技公司资本开支'!$E$30+'D3_科技公司资本开支'!$E$38</f>
        <v>171.212</v>
      </c>
      <c r="D87" s="14" t="inlineStr">
        <is>
          <t>十亿美元</t>
        </is>
      </c>
      <c r="E87" s="14" t="inlineStr"/>
    </row>
    <row r="88">
      <c r="A88" s="14" t="inlineStr">
        <is>
          <t>S-C37</t>
        </is>
      </c>
      <c r="B88" s="14" t="inlineStr">
        <is>
          <t>2026Q2 同比增速</t>
        </is>
      </c>
      <c r="C88" s="18">
        <f>$C$87/$C$83-1</f>
        <v>0.786417086633069</v>
      </c>
      <c r="D88" s="14" t="inlineStr">
        <is>
          <t>%</t>
        </is>
      </c>
      <c r="E88" s="14" t="inlineStr"/>
    </row>
    <row r="89">
      <c r="A89" s="14" t="inlineStr">
        <is>
          <t>S-C38</t>
        </is>
      </c>
      <c r="B89" s="14" t="inlineStr">
        <is>
          <t>2026 下半年隐含资本开支（四家）</t>
        </is>
      </c>
      <c r="C89" s="15">
        <f>$C$79-$C$86-$C$87</f>
        <v>432.171</v>
      </c>
      <c r="D89" s="14" t="inlineStr">
        <is>
          <t>十亿美元</t>
        </is>
      </c>
      <c r="E89" s="14" t="inlineStr">
        <is>
          <t>全年指引 − 上半年实际</t>
        </is>
      </c>
    </row>
    <row r="90">
      <c r="A90" s="14" t="inlineStr">
        <is>
          <t>S-C40</t>
        </is>
      </c>
      <c r="B90" s="14" t="inlineStr">
        <is>
          <t>甲骨文 FY2026（2025-06 至 2026-05）</t>
        </is>
      </c>
      <c r="C90" s="15">
        <f>'D3_科技公司资本开支'!$E$50</f>
        <v>55.663</v>
      </c>
      <c r="D90" s="14" t="inlineStr">
        <is>
          <t>十亿美元</t>
        </is>
      </c>
      <c r="E90" s="14" t="inlineStr">
        <is>
          <t>财年口径，未计入四家合计</t>
        </is>
      </c>
    </row>
    <row r="91">
      <c r="A91" s="14" t="inlineStr">
        <is>
          <t>S-C41</t>
        </is>
      </c>
      <c r="B91" s="14" t="inlineStr">
        <is>
          <t>甲骨文 FY2027E（上限）</t>
        </is>
      </c>
      <c r="C91" s="15">
        <f>'D3_科技公司资本开支'!$E$52</f>
        <v>95</v>
      </c>
      <c r="D91" s="14" t="inlineStr">
        <is>
          <t>十亿美元</t>
        </is>
      </c>
      <c r="E91" s="14" t="inlineStr">
        <is>
          <t>媒体报道</t>
        </is>
      </c>
    </row>
    <row r="92">
      <c r="A92" s="14" t="inlineStr">
        <is>
          <t>S-C50</t>
        </is>
      </c>
      <c r="B92" s="21" t="inlineStr">
        <is>
          <t>【假设推算】2026E 四家资本开支可支撑的 AI 数据中心容量（上限示意）</t>
        </is>
      </c>
      <c r="C92" s="15">
        <f>$C$79/'假设'!$C$9</f>
        <v>16.3333333333333</v>
      </c>
      <c r="D92" s="14" t="inlineStr">
        <is>
          <t>GW</t>
        </is>
      </c>
      <c r="E92" s="14" t="inlineStr">
        <is>
          <t>假设全部投向 AI 数据中心；实际包含非 AI 资产</t>
        </is>
      </c>
    </row>
    <row r="93">
      <c r="A93" s="14" t="inlineStr">
        <is>
          <t>S-C51</t>
        </is>
      </c>
      <c r="B93" s="21" t="inlineStr">
        <is>
          <t>【假设推算】上述容量满负荷运转后的年用电量</t>
        </is>
      </c>
      <c r="C93" s="15">
        <f>$C$92*'假设'!$C$12*'假设'!$C$10/1000</f>
        <v>100.156</v>
      </c>
      <c r="D93" s="14" t="inlineStr">
        <is>
          <t>TWh</t>
        </is>
      </c>
      <c r="E93" s="14" t="inlineStr">
        <is>
          <t>负荷率见假设页</t>
        </is>
      </c>
    </row>
    <row r="94">
      <c r="A94" s="14" t="inlineStr">
        <is>
          <t>S-C52</t>
        </is>
      </c>
      <c r="B94" s="21" t="inlineStr">
        <is>
          <t>【假设推算】相当于 2025 年全球数据中心用电的比例</t>
        </is>
      </c>
      <c r="C94" s="18">
        <f>$C$93/'D1_数据中心用电'!$E$6</f>
        <v>0.206507216494845</v>
      </c>
      <c r="D94" s="14" t="inlineStr">
        <is>
          <t>%</t>
        </is>
      </c>
      <c r="E94" s="14" t="inlineStr"/>
      <c r="Q94" s="3" t="inlineStr">
        <is>
          <t>图表数据 6：PJM 容量拍卖全网出清价</t>
        </is>
      </c>
    </row>
    <row r="95">
      <c r="A95" s="14" t="inlineStr">
        <is>
          <t>S-C53</t>
        </is>
      </c>
      <c r="B95" s="14" t="inlineStr">
        <is>
          <t>【敏感性】按 Epoch AI 每 GW 成本估计可支撑的容量</t>
        </is>
      </c>
      <c r="C95" s="15">
        <f>$C$79/'D3_科技公司资本开支'!$E$65</f>
        <v>19.3421052631579</v>
      </c>
      <c r="D95" s="14" t="inlineStr">
        <is>
          <t>GW</t>
        </is>
      </c>
      <c r="E95" s="14" t="inlineStr">
        <is>
          <t>每 GW IT 功率约 380 亿美元</t>
        </is>
      </c>
      <c r="Q95" s="12" t="inlineStr">
        <is>
          <t>类别</t>
        </is>
      </c>
      <c r="R95" s="13" t="inlineStr">
        <is>
          <t>全网出清价（美元/MW·天）</t>
        </is>
      </c>
    </row>
    <row r="96">
      <c r="A96" s="14" t="inlineStr">
        <is>
          <t>S-C54</t>
        </is>
      </c>
      <c r="B96" s="14" t="inlineStr">
        <is>
          <t>【敏感性】按星际之门隐含每 GW 投资可支撑的容量</t>
        </is>
      </c>
      <c r="C96" s="15">
        <f>$C$79/'D3_科技公司资本开支'!$E$66</f>
        <v>12.8625</v>
      </c>
      <c r="D96" s="14" t="inlineStr">
        <is>
          <t>GW</t>
        </is>
      </c>
      <c r="E96" s="14" t="inlineStr">
        <is>
          <t>约 571 亿美元/GW</t>
        </is>
      </c>
      <c r="Q96" s="16" t="inlineStr">
        <is>
          <t>2024/25</t>
        </is>
      </c>
      <c r="R96" s="22">
        <f>'D8_成本与瓶颈'!$E$34</f>
        <v>28.92</v>
      </c>
    </row>
    <row r="97">
      <c r="A97" s="11" t="inlineStr">
        <is>
          <t>四、Meta：以最新季报为例（原始材料 10-Q）</t>
        </is>
      </c>
      <c r="Q97" s="16" t="inlineStr">
        <is>
          <t>2025/26</t>
        </is>
      </c>
      <c r="R97" s="22">
        <f>'D8_成本与瓶颈'!$E$35</f>
        <v>269.92</v>
      </c>
    </row>
    <row r="98">
      <c r="A98" s="14" t="inlineStr">
        <is>
          <t>S-D01</t>
        </is>
      </c>
      <c r="B98" s="14" t="inlineStr">
        <is>
          <t>2026 年三季度资本开支（含融资租赁本金）</t>
        </is>
      </c>
      <c r="C98" s="15">
        <f>'D4_Meta三季报'!$E$5</f>
        <v>34.91</v>
      </c>
      <c r="D98" s="14" t="inlineStr">
        <is>
          <t>十亿美元</t>
        </is>
      </c>
      <c r="E98" s="14" t="inlineStr"/>
      <c r="Q98" s="16" t="inlineStr">
        <is>
          <t>2026/27</t>
        </is>
      </c>
      <c r="R98" s="22">
        <f>'D8_成本与瓶颈'!$E$36</f>
        <v>329.17</v>
      </c>
    </row>
    <row r="99">
      <c r="A99" s="14" t="inlineStr">
        <is>
          <t>S-D02</t>
        </is>
      </c>
      <c r="B99" s="14" t="inlineStr">
        <is>
          <t>2026 年三季度资本开支同比增速</t>
        </is>
      </c>
      <c r="C99" s="18">
        <f>'D4_Meta三季报'!$E$5/'D3_科技公司资本开支'!$E$35-1</f>
        <v>0.801899452874987</v>
      </c>
      <c r="D99" s="14" t="inlineStr">
        <is>
          <t>%</t>
        </is>
      </c>
      <c r="E99" s="14" t="inlineStr">
        <is>
          <t>上年同期取自季度新闻稿</t>
        </is>
      </c>
      <c r="Q99" s="16" t="inlineStr">
        <is>
          <t>2027/28</t>
        </is>
      </c>
      <c r="R99" s="22">
        <f>'D8_成本与瓶颈'!$E$37</f>
        <v>333.44</v>
      </c>
    </row>
    <row r="100">
      <c r="A100" s="14" t="inlineStr">
        <is>
          <t>S-D03</t>
        </is>
      </c>
      <c r="B100" s="14" t="inlineStr">
        <is>
          <t>2026 年前三季度资本开支</t>
        </is>
      </c>
      <c r="C100" s="15">
        <f>'D4_Meta三季报'!$E$6</f>
        <v>85.82</v>
      </c>
      <c r="D100" s="14" t="inlineStr">
        <is>
          <t>十亿美元</t>
        </is>
      </c>
      <c r="E100" s="14" t="inlineStr"/>
      <c r="Q100" s="16" t="inlineStr">
        <is>
          <t>2028/29</t>
        </is>
      </c>
      <c r="R100" s="22">
        <f>'D8_成本与瓶颈'!$E$38</f>
        <v>325</v>
      </c>
    </row>
    <row r="101">
      <c r="A101" s="14" t="inlineStr">
        <is>
          <t>S-D04</t>
        </is>
      </c>
      <c r="B101" s="14" t="inlineStr">
        <is>
          <t>前三季度同比增速</t>
        </is>
      </c>
      <c r="C101" s="18">
        <f>'D4_Meta三季报'!$E$12</f>
        <v>0.713726586525021</v>
      </c>
      <c r="D101" s="14" t="inlineStr">
        <is>
          <t>%</t>
        </is>
      </c>
      <c r="E101" s="14" t="inlineStr"/>
    </row>
    <row r="102">
      <c r="A102" s="14" t="inlineStr">
        <is>
          <t>S-D05</t>
        </is>
      </c>
      <c r="B102" s="14" t="inlineStr">
        <is>
          <t>2026 年资本开支（指引区间取值）</t>
        </is>
      </c>
      <c r="C102" s="15">
        <f>$C$78</f>
        <v>140</v>
      </c>
      <c r="D102" s="14" t="inlineStr">
        <is>
          <t>十亿美元</t>
        </is>
      </c>
      <c r="E102" s="14" t="inlineStr">
        <is>
          <t>指引 1350–1450 亿美元</t>
        </is>
      </c>
    </row>
    <row r="103">
      <c r="A103" s="14" t="inlineStr">
        <is>
          <t>S-D06</t>
        </is>
      </c>
      <c r="B103" s="14" t="inlineStr">
        <is>
          <t>2026 年四季度隐含资本开支</t>
        </is>
      </c>
      <c r="C103" s="15">
        <f>$C$102-'D4_Meta三季报'!$E$6</f>
        <v>54.18</v>
      </c>
      <c r="D103" s="14" t="inlineStr">
        <is>
          <t>十亿美元</t>
        </is>
      </c>
      <c r="E103" s="14" t="inlineStr">
        <is>
          <t>全年取值 − 前三季度</t>
        </is>
      </c>
    </row>
    <row r="104">
      <c r="A104" s="14" t="inlineStr">
        <is>
          <t>S-D07</t>
        </is>
      </c>
      <c r="B104" s="14" t="inlineStr">
        <is>
          <t>2026 年资本开支同比增速（按取值）</t>
        </is>
      </c>
      <c r="C104" s="18">
        <f>$C$102/'D3_科技公司资本开支'!$E$32-1</f>
        <v>0.938655404001939</v>
      </c>
      <c r="D104" s="14" t="inlineStr">
        <is>
          <t>%</t>
        </is>
      </c>
      <c r="E104" s="14" t="inlineStr"/>
    </row>
    <row r="105">
      <c r="A105" s="14" t="inlineStr">
        <is>
          <t>S-D08</t>
        </is>
      </c>
      <c r="B105" s="14" t="inlineStr">
        <is>
          <t>前三季度资本开支 ÷ 营业收入</t>
        </is>
      </c>
      <c r="C105" s="18">
        <f>'D4_Meta三季报'!$E$6/'D4_Meta三季报'!$E$16</f>
        <v>0.472285814915911</v>
      </c>
      <c r="D105" s="14" t="inlineStr">
        <is>
          <t>%</t>
        </is>
      </c>
      <c r="E105" s="14" t="inlineStr"/>
    </row>
    <row r="106">
      <c r="A106" s="14" t="inlineStr">
        <is>
          <t>S-D09</t>
        </is>
      </c>
      <c r="B106" s="14" t="inlineStr">
        <is>
          <t>前三季度资本开支 ÷ 经营现金流</t>
        </is>
      </c>
      <c r="C106" s="18">
        <f>'D4_Meta三季报'!$E$6/'D4_Meta三季报'!$E$23</f>
        <v>0.885902160560734</v>
      </c>
      <c r="D106" s="14" t="inlineStr">
        <is>
          <t>%</t>
        </is>
      </c>
      <c r="E106" s="14" t="inlineStr"/>
    </row>
    <row r="107">
      <c r="A107" s="14" t="inlineStr">
        <is>
          <t>S-D10</t>
        </is>
      </c>
      <c r="B107" s="14" t="inlineStr">
        <is>
          <t>在建工程较年初增幅</t>
        </is>
      </c>
      <c r="C107" s="18">
        <f>'D4_Meta三季报'!$E$28/'D4_Meta三季报'!$E$29-1</f>
        <v>0.771520753745967</v>
      </c>
      <c r="D107" s="14" t="inlineStr">
        <is>
          <t>%</t>
        </is>
      </c>
      <c r="E107" s="14" t="inlineStr">
        <is>
          <t>主要为数据中心、服务器与网络</t>
        </is>
      </c>
    </row>
    <row r="108">
      <c r="A108" s="14" t="inlineStr">
        <is>
          <t>S-D11</t>
        </is>
      </c>
      <c r="B108" s="14" t="inlineStr">
        <is>
          <t>服务器与网络资产原值较年初增幅</t>
        </is>
      </c>
      <c r="C108" s="18">
        <f>'D4_Meta三季报'!$E$26/'D4_Meta三季报'!$E$27-1</f>
        <v>0.36297429620563</v>
      </c>
      <c r="D108" s="14" t="inlineStr">
        <is>
          <t>%</t>
        </is>
      </c>
      <c r="E108" s="14" t="inlineStr"/>
    </row>
    <row r="109">
      <c r="A109" s="14" t="inlineStr">
        <is>
          <t>S-D12</t>
        </is>
      </c>
      <c r="B109" s="14" t="inlineStr">
        <is>
          <t>尚未起租的租赁（数据中心、能源基础设施等）</t>
        </is>
      </c>
      <c r="C109" s="15">
        <f>'D4_Meta三季报'!$E$32</f>
        <v>355.73</v>
      </c>
      <c r="D109" s="14" t="inlineStr">
        <is>
          <t>十亿美元</t>
        </is>
      </c>
      <c r="E109" s="14" t="inlineStr">
        <is>
          <t>2026–2036 年起租</t>
        </is>
      </c>
    </row>
    <row r="110">
      <c r="A110" s="14" t="inlineStr">
        <is>
          <t>S-D13</t>
        </is>
      </c>
      <c r="B110" s="14" t="inlineStr">
        <is>
          <t>尚未起租租赁 ÷ 2026 年资本开支取值</t>
        </is>
      </c>
      <c r="C110" s="19">
        <f>'D4_Meta三季报'!$E$32/$C$102</f>
        <v>2.54092857142857</v>
      </c>
      <c r="D110" s="14" t="inlineStr">
        <is>
          <t>倍</t>
        </is>
      </c>
      <c r="E110" s="14" t="inlineStr">
        <is>
          <t>表外承诺规模</t>
        </is>
      </c>
    </row>
    <row r="111">
      <c r="A111" s="14" t="inlineStr">
        <is>
          <t>S-D14</t>
        </is>
      </c>
      <c r="B111" s="14" t="inlineStr">
        <is>
          <t>不可撤销合同承诺</t>
        </is>
      </c>
      <c r="C111" s="15">
        <f>'D4_Meta三季报'!$E$33</f>
        <v>454.52</v>
      </c>
      <c r="D111" s="14" t="inlineStr">
        <is>
          <t>十亿美元</t>
        </is>
      </c>
      <c r="E111" s="14" t="inlineStr">
        <is>
          <t>其中 2027 年到期 1214 亿美元</t>
        </is>
      </c>
    </row>
    <row r="112">
      <c r="A112" s="14" t="inlineStr">
        <is>
          <t>S-D15</t>
        </is>
      </c>
      <c r="B112" s="14" t="inlineStr">
        <is>
          <t>Meta 核电确定购电协议（Clinton + Vistra）</t>
        </is>
      </c>
      <c r="C112" s="23">
        <f>SUMIFS('D6_购电协议'!$I:$I,'D6_购电协议'!$C:$C,"Meta",'D6_购电协议'!$N:$N,"是")</f>
        <v>3730</v>
      </c>
      <c r="D112" s="14" t="inlineStr">
        <is>
          <t>MW</t>
        </is>
      </c>
      <c r="E112" s="14" t="inlineStr">
        <is>
          <t>D6</t>
        </is>
      </c>
      <c r="Q112" s="3" t="inlineStr">
        <is>
          <t>图表数据 7：聚变公司融资（十亿美元，各自最新口径）</t>
        </is>
      </c>
    </row>
    <row r="113">
      <c r="A113" s="14" t="inlineStr">
        <is>
          <t>S-D17</t>
        </is>
      </c>
      <c r="B113" s="14" t="inlineStr">
        <is>
          <t>2026 年三季度营业收入同比增速</t>
        </is>
      </c>
      <c r="C113" s="18">
        <f>'D4_Meta三季报'!$E$19/'D4_Meta三季报'!$E$20-1</f>
        <v>0.26070410990984</v>
      </c>
      <c r="D113" s="14" t="inlineStr">
        <is>
          <t>%</t>
        </is>
      </c>
      <c r="E113" s="14" t="inlineStr"/>
      <c r="Q113" s="12" t="inlineStr">
        <is>
          <t>类别</t>
        </is>
      </c>
      <c r="R113" s="13" t="inlineStr">
        <is>
          <t>最新披露融资（十亿美元）</t>
        </is>
      </c>
    </row>
    <row r="114">
      <c r="A114" s="14" t="inlineStr">
        <is>
          <t>S-D18</t>
        </is>
      </c>
      <c r="B114" s="14" t="inlineStr">
        <is>
          <t>2026 年三季度营业利润同比变化</t>
        </is>
      </c>
      <c r="C114" s="18">
        <f>'D4_Meta三季报'!$E$21/'D4_Meta三季报'!$E$22-1</f>
        <v>-0.367518870221573</v>
      </c>
      <c r="D114" s="14" t="inlineStr">
        <is>
          <t>%</t>
        </is>
      </c>
      <c r="E114" s="14" t="inlineStr">
        <is>
          <t>含 98.9 亿美元法律和解费用</t>
        </is>
      </c>
      <c r="Q114" s="16" t="inlineStr">
        <is>
          <t>CFS</t>
        </is>
      </c>
      <c r="R114" s="22">
        <f>'D7_聚变'!$E$12</f>
        <v>4</v>
      </c>
    </row>
    <row r="115">
      <c r="A115" s="14" t="inlineStr">
        <is>
          <t>S-D16</t>
        </is>
      </c>
      <c r="B115" s="14" t="inlineStr">
        <is>
          <t>Meta 核电总规模（含先进堆意向）</t>
        </is>
      </c>
      <c r="C115" s="23">
        <f>SUMIFS('D6_购电协议'!$I:$I,'D6_购电协议'!$C:$C,"Meta",'D6_购电协议'!$G:$G,"&lt;&gt;燃气")</f>
        <v>7690</v>
      </c>
      <c r="D115" s="14" t="inlineStr">
        <is>
          <t>MW</t>
        </is>
      </c>
      <c r="E115" s="14" t="inlineStr">
        <is>
          <t>Meta 自称“最多 7.7 GW”</t>
        </is>
      </c>
      <c r="Q115" s="16" t="inlineStr">
        <is>
          <t>Helion</t>
        </is>
      </c>
      <c r="R115" s="22">
        <f>'D7_聚变'!$E$13</f>
        <v>1.5</v>
      </c>
    </row>
    <row r="116">
      <c r="A116" s="11" t="inlineStr">
        <is>
          <t>五、核电与科技公司长期购电协议（D6）</t>
        </is>
      </c>
      <c r="Q116" s="16" t="inlineStr">
        <is>
          <t>TAE</t>
        </is>
      </c>
      <c r="R116" s="22">
        <f>'D7_聚变'!$E$14</f>
        <v>1.3</v>
      </c>
    </row>
    <row r="117">
      <c r="A117" s="14" t="inlineStr">
        <is>
          <t>S-E01</t>
        </is>
      </c>
      <c r="B117" s="14" t="inlineStr">
        <is>
          <t>科技公司核电确定购电协议合计（现役/重启/增容）</t>
        </is>
      </c>
      <c r="C117" s="23">
        <f>SUMIFS('D6_购电协议'!$I:$I,'D6_购电协议'!$N:$N,"是")</f>
        <v>9976</v>
      </c>
      <c r="D117" s="14" t="inlineStr">
        <is>
          <t>MW</t>
        </is>
      </c>
      <c r="E117" s="14" t="inlineStr">
        <is>
          <t>9 笔，未计 Google 2700 MW 供电合同</t>
        </is>
      </c>
      <c r="Q117" s="16" t="inlineStr">
        <is>
          <t>Pacific Fusion</t>
        </is>
      </c>
      <c r="R117" s="22">
        <f>'D7_聚变'!$E$15</f>
        <v>0.9</v>
      </c>
    </row>
    <row r="118">
      <c r="A118" s="14" t="inlineStr">
        <is>
          <t>S-E02</t>
        </is>
      </c>
      <c r="B118" s="14" t="inlineStr">
        <is>
          <t>其中新增上网容量（重启 + 增容）</t>
        </is>
      </c>
      <c r="C118" s="23">
        <f>SUMIFS('D6_购电协议'!$J:$J,'D6_购电协议'!$N:$N,"是")</f>
        <v>3089</v>
      </c>
      <c r="D118" s="14" t="inlineStr">
        <is>
          <t>MW</t>
        </is>
      </c>
      <c r="E118" s="14" t="inlineStr"/>
      <c r="Q118" s="16" t="inlineStr">
        <is>
          <t>Proxima</t>
        </is>
      </c>
      <c r="R118" s="22">
        <f>'D7_聚变'!$E$16</f>
        <v>0.74</v>
      </c>
    </row>
    <row r="119">
      <c r="A119" s="14" t="inlineStr">
        <is>
          <t>S-E03</t>
        </is>
      </c>
      <c r="B119" s="14" t="inlineStr">
        <is>
          <t>新增上网容量占比</t>
        </is>
      </c>
      <c r="C119" s="18">
        <f>$C$118/$C$117</f>
        <v>0.309643143544507</v>
      </c>
      <c r="D119" s="14" t="inlineStr">
        <is>
          <t>%</t>
        </is>
      </c>
      <c r="E119" s="14" t="inlineStr">
        <is>
          <t>其余为既有电量的重新签约</t>
        </is>
      </c>
      <c r="Q119" s="16" t="inlineStr">
        <is>
          <t>Inertia</t>
        </is>
      </c>
      <c r="R119" s="22">
        <f>'D7_聚变'!$E$17</f>
        <v>0.45</v>
      </c>
    </row>
    <row r="120">
      <c r="A120" s="14" t="inlineStr">
        <is>
          <t>S-E04</t>
        </is>
      </c>
      <c r="B120" s="14" t="inlineStr">
        <is>
          <t>其中：微软</t>
        </is>
      </c>
      <c r="C120" s="23">
        <f>SUMIFS('D6_购电协议'!$I:$I,'D6_购电协议'!$C:$C,"微软",'D6_购电协议'!$N:$N,"是")</f>
        <v>835</v>
      </c>
      <c r="D120" s="14" t="inlineStr">
        <is>
          <t>MW</t>
        </is>
      </c>
      <c r="E120" s="14" t="inlineStr"/>
      <c r="Q120" s="16" t="inlineStr">
        <is>
          <t>General Fusion</t>
        </is>
      </c>
      <c r="R120" s="22">
        <f>'D7_聚变'!$E$18</f>
        <v>0.4</v>
      </c>
    </row>
    <row r="121">
      <c r="A121" s="14" t="inlineStr">
        <is>
          <t>S-E05</t>
        </is>
      </c>
      <c r="B121" s="14" t="inlineStr">
        <is>
          <t>其中：Meta</t>
        </is>
      </c>
      <c r="C121" s="23">
        <f>SUMIFS('D6_购电协议'!$I:$I,'D6_购电协议'!$C:$C,"Meta",'D6_购电协议'!$N:$N,"是")</f>
        <v>3730</v>
      </c>
      <c r="D121" s="14" t="inlineStr">
        <is>
          <t>MW</t>
        </is>
      </c>
      <c r="E121" s="14" t="inlineStr"/>
      <c r="Q121" s="16" t="inlineStr">
        <is>
          <t>Tokamak Energy</t>
        </is>
      </c>
      <c r="R121" s="22">
        <f>'D7_聚变'!$E$19</f>
        <v>0.335</v>
      </c>
    </row>
    <row r="122">
      <c r="A122" s="14" t="inlineStr">
        <is>
          <t>S-E06</t>
        </is>
      </c>
      <c r="B122" s="14" t="inlineStr">
        <is>
          <t>其中：亚马逊</t>
        </is>
      </c>
      <c r="C122" s="23">
        <f>SUMIFS('D6_购电协议'!$I:$I,'D6_购电协议'!$C:$C,"亚马逊",'D6_购电协议'!$N:$N,"是")</f>
        <v>3810</v>
      </c>
      <c r="D122" s="14" t="inlineStr">
        <is>
          <t>MW</t>
        </is>
      </c>
      <c r="E122" s="14" t="inlineStr"/>
      <c r="Q122" s="16" t="inlineStr">
        <is>
          <t>Zap</t>
        </is>
      </c>
      <c r="R122" s="22">
        <f>'D7_聚变'!$E$20</f>
        <v>0.33</v>
      </c>
    </row>
    <row r="123">
      <c r="A123" s="14" t="inlineStr">
        <is>
          <t>S-E07</t>
        </is>
      </c>
      <c r="B123" s="14" t="inlineStr">
        <is>
          <t>其中：Google</t>
        </is>
      </c>
      <c r="C123" s="23">
        <f>SUMIFS('D6_购电协议'!$I:$I,'D6_购电协议'!$C:$C,"Google",'D6_购电协议'!$N:$N,"是")</f>
        <v>1601</v>
      </c>
      <c r="D123" s="14" t="inlineStr">
        <is>
          <t>MW</t>
        </is>
      </c>
      <c r="E123" s="14" t="inlineStr"/>
      <c r="Q123" s="16" t="inlineStr">
        <is>
          <t>Type One（B 轮）</t>
        </is>
      </c>
      <c r="R123" s="22">
        <f>'D7_聚变'!$E$21</f>
        <v>0.2</v>
      </c>
    </row>
    <row r="124">
      <c r="A124" s="14" t="inlineStr">
        <is>
          <t>S-E08</t>
        </is>
      </c>
      <c r="B124" s="14" t="inlineStr">
        <is>
          <t>确定合同对应年发电量当量</t>
        </is>
      </c>
      <c r="C124" s="15">
        <f>SUMIFS('D6_购电协议'!$O:$O,'D6_购电协议'!$N:$N,"是")</f>
        <v>79.5246816</v>
      </c>
      <c r="D124" s="14" t="inlineStr">
        <is>
          <t>TWh</t>
        </is>
      </c>
      <c r="E124" s="14" t="inlineStr">
        <is>
          <t>容量 × 容量系数 × 8760</t>
        </is>
      </c>
    </row>
    <row r="125">
      <c r="A125" s="14" t="inlineStr">
        <is>
          <t>S-E09</t>
        </is>
      </c>
      <c r="B125" s="14" t="inlineStr">
        <is>
          <t>相当于 2025 年美国数据中心用电的比例</t>
        </is>
      </c>
      <c r="C125" s="18">
        <f>$C$124/'D1_数据中心用电'!$E$28</f>
        <v>0.3550209</v>
      </c>
      <c r="D125" s="14" t="inlineStr">
        <is>
          <t>%</t>
        </is>
      </c>
      <c r="E125" s="14" t="inlineStr"/>
    </row>
    <row r="126">
      <c r="A126" s="14" t="inlineStr">
        <is>
          <t>S-E10</t>
        </is>
      </c>
      <c r="B126" s="14" t="inlineStr">
        <is>
          <t>先进堆/小堆意向与开发合同合计</t>
        </is>
      </c>
      <c r="C126" s="23">
        <f>SUMIFS('D6_购电协议'!$I:$I,'D6_购电协议'!$G:$G,"先进堆/小堆")</f>
        <v>7840</v>
      </c>
      <c r="D126" s="14" t="inlineStr">
        <is>
          <t>MW</t>
        </is>
      </c>
      <c r="E126" s="14" t="inlineStr">
        <is>
          <t>多为 2030 年后，含选择权</t>
        </is>
      </c>
    </row>
    <row r="127">
      <c r="A127" s="14" t="inlineStr">
        <is>
          <t>S-E11</t>
        </is>
      </c>
      <c r="B127" s="14" t="inlineStr">
        <is>
          <t>Google 现役机组供电合同（不计入上面合计）</t>
        </is>
      </c>
      <c r="C127" s="23">
        <f>'D6_购电协议'!$I$14</f>
        <v>2700</v>
      </c>
      <c r="D127" s="14" t="inlineStr">
        <is>
          <t>MW</t>
        </is>
      </c>
      <c r="E127" s="14" t="inlineStr">
        <is>
          <t>15 年</t>
        </is>
      </c>
    </row>
    <row r="128">
      <c r="A128" s="14" t="inlineStr">
        <is>
          <t>S-E12</t>
        </is>
      </c>
      <c r="B128" s="14" t="inlineStr">
        <is>
          <t>其中卖方为 Constellation 的确定合同</t>
        </is>
      </c>
      <c r="C128" s="23">
        <f>SUMIFS('D6_购电协议'!$I:$I,'D6_购电协议'!$D:$D,"Constellation",'D6_购电协议'!$N:$N,"是")</f>
        <v>3536</v>
      </c>
      <c r="D128" s="14" t="inlineStr">
        <is>
          <t>MW</t>
        </is>
      </c>
      <c r="E128" s="14" t="inlineStr">
        <is>
          <t>微软、Meta、亚马逊、Google</t>
        </is>
      </c>
    </row>
    <row r="129">
      <c r="A129" s="14" t="inlineStr">
        <is>
          <t>S-E13</t>
        </is>
      </c>
      <c r="B129" s="14" t="inlineStr">
        <is>
          <t>Constellation 2025 年核电发电量</t>
        </is>
      </c>
      <c r="C129" s="15">
        <f>'D5_Constellation'!$E$8/1000</f>
        <v>182.69</v>
      </c>
      <c r="D129" s="14" t="inlineStr">
        <is>
          <t>TWh</t>
        </is>
      </c>
      <c r="E129" s="14" t="inlineStr"/>
    </row>
    <row r="130">
      <c r="A130" s="14" t="inlineStr">
        <is>
          <t>S-E14</t>
        </is>
      </c>
      <c r="B130" s="14" t="inlineStr">
        <is>
          <t>Constellation 确定合同电量占其核电发电量比例</t>
        </is>
      </c>
      <c r="C130" s="18">
        <f>$C$128*'假设'!$C$11*'假设'!$C$12/1000000/$C$129</f>
        <v>0.154291847391757</v>
      </c>
      <c r="D130" s="14" t="inlineStr">
        <is>
          <t>%</t>
        </is>
      </c>
      <c r="E130" s="14" t="inlineStr">
        <is>
          <t>按假设容量系数换算</t>
        </is>
      </c>
    </row>
    <row r="131">
      <c r="A131" s="14" t="inlineStr">
        <is>
          <t>S-E15</t>
        </is>
      </c>
      <c r="B131" s="14" t="inlineStr">
        <is>
          <t>Constellation 新签 920 MW 核电长约（2026 上半年，含沃尔玛）</t>
        </is>
      </c>
      <c r="C131" s="23">
        <f>'D5_Constellation'!$E$32</f>
        <v>920</v>
      </c>
      <c r="D131" s="14" t="inlineStr">
        <is>
          <t>MW</t>
        </is>
      </c>
      <c r="E131" s="14" t="inlineStr">
        <is>
          <t>多家投资级客户</t>
        </is>
      </c>
    </row>
    <row r="132">
      <c r="A132" s="14" t="inlineStr">
        <is>
          <t>S-E16</t>
        </is>
      </c>
      <c r="B132" s="14" t="inlineStr">
        <is>
          <t>新增上网容量：微软</t>
        </is>
      </c>
      <c r="C132" s="23">
        <f>SUMIFS('D6_购电协议'!$J:$J,'D6_购电协议'!$C:$C,"微软",'D6_购电协议'!$N:$N,"是")</f>
        <v>835</v>
      </c>
      <c r="D132" s="14" t="inlineStr">
        <is>
          <t>MW</t>
        </is>
      </c>
      <c r="E132" s="14" t="inlineStr"/>
    </row>
    <row r="133">
      <c r="A133" s="14" t="inlineStr">
        <is>
          <t>S-E17</t>
        </is>
      </c>
      <c r="B133" s="14" t="inlineStr">
        <is>
          <t>新增上网容量：Meta</t>
        </is>
      </c>
      <c r="C133" s="23">
        <f>SUMIFS('D6_购电协议'!$J:$J,'D6_购电协议'!$C:$C,"Meta",'D6_购电协议'!$N:$N,"是")</f>
        <v>463</v>
      </c>
      <c r="D133" s="14" t="inlineStr">
        <is>
          <t>MW</t>
        </is>
      </c>
      <c r="E133" s="14" t="inlineStr"/>
    </row>
    <row r="134">
      <c r="A134" s="14" t="inlineStr">
        <is>
          <t>S-E18</t>
        </is>
      </c>
      <c r="B134" s="14" t="inlineStr">
        <is>
          <t>新增上网容量：亚马逊</t>
        </is>
      </c>
      <c r="C134" s="23">
        <f>SUMIFS('D6_购电协议'!$J:$J,'D6_购电协议'!$C:$C,"亚马逊",'D6_购电协议'!$N:$N,"是")</f>
        <v>190</v>
      </c>
      <c r="D134" s="14" t="inlineStr">
        <is>
          <t>MW</t>
        </is>
      </c>
      <c r="E134" s="14" t="inlineStr"/>
    </row>
    <row r="135">
      <c r="A135" s="14" t="inlineStr">
        <is>
          <t>S-E19</t>
        </is>
      </c>
      <c r="B135" s="14" t="inlineStr">
        <is>
          <t>新增上网容量：Google</t>
        </is>
      </c>
      <c r="C135" s="23">
        <f>SUMIFS('D6_购电协议'!$J:$J,'D6_购电协议'!$C:$C,"Google",'D6_购电协议'!$N:$N,"是")</f>
        <v>1601</v>
      </c>
      <c r="D135" s="14" t="inlineStr">
        <is>
          <t>MW</t>
        </is>
      </c>
      <c r="E135" s="14" t="inlineStr"/>
    </row>
    <row r="136">
      <c r="A136" s="11" t="inlineStr">
        <is>
          <t>六、聚变</t>
        </is>
      </c>
    </row>
    <row r="137">
      <c r="A137" s="14" t="inlineStr">
        <is>
          <t>S-F01</t>
        </is>
      </c>
      <c r="B137" s="14" t="inlineStr">
        <is>
          <t>FIA：聚变企业累计融资（截至 2026-07）</t>
        </is>
      </c>
      <c r="C137" s="15">
        <f>'D7_聚变'!$E$6</f>
        <v>14.24</v>
      </c>
      <c r="D137" s="14" t="inlineStr">
        <is>
          <t>十亿美元</t>
        </is>
      </c>
      <c r="E137" s="14" t="inlineStr"/>
    </row>
    <row r="138">
      <c r="A138" s="14" t="inlineStr">
        <is>
          <t>S-F02</t>
        </is>
      </c>
      <c r="B138" s="14" t="inlineStr">
        <is>
          <t>FIA：过去 12 个月融资</t>
        </is>
      </c>
      <c r="C138" s="15">
        <f>'D7_聚变'!$E$5</f>
        <v>4.48</v>
      </c>
      <c r="D138" s="14" t="inlineStr">
        <is>
          <t>十亿美元</t>
        </is>
      </c>
      <c r="E138" s="14" t="inlineStr"/>
    </row>
    <row r="139">
      <c r="A139" s="14" t="inlineStr">
        <is>
          <t>S-F03</t>
        </is>
      </c>
      <c r="B139" s="14" t="inlineStr">
        <is>
          <t>FIA：年度融资同比增速</t>
        </is>
      </c>
      <c r="C139" s="18">
        <f>'D7_聚变'!$E$5/'D7_聚变'!$E$10-1</f>
        <v>0.696969696969697</v>
      </c>
      <c r="D139" s="14" t="inlineStr">
        <is>
          <t>%</t>
        </is>
      </c>
      <c r="E139" s="14" t="inlineStr"/>
    </row>
    <row r="140">
      <c r="A140" s="14" t="inlineStr">
        <is>
          <t>S-F04</t>
        </is>
      </c>
      <c r="B140" s="14" t="inlineStr">
        <is>
          <t>表中 10 家公司最新披露的融资合计</t>
        </is>
      </c>
      <c r="C140" s="15">
        <f>SUM('D7_聚变'!$E$12,'D7_聚变'!$E$13,'D7_聚变'!$E$14,'D7_聚变'!$E$15,'D7_聚变'!$E$16,'D7_聚变'!$E$17,'D7_聚变'!$E$18,'D7_聚变'!$E$19,'D7_聚变'!$E$20,'D7_聚变'!$E$21)</f>
        <v>10.155</v>
      </c>
      <c r="D140" s="14" t="inlineStr">
        <is>
          <t>十亿美元</t>
        </is>
      </c>
      <c r="E140" s="14" t="inlineStr">
        <is>
          <t>口径与时点不一，仅作量级参考</t>
        </is>
      </c>
    </row>
    <row r="141">
      <c r="A141" s="14" t="inlineStr">
        <is>
          <t>S-F05</t>
        </is>
      </c>
      <c r="B141" s="14" t="inlineStr">
        <is>
          <t>其中 CFS 占比</t>
        </is>
      </c>
      <c r="C141" s="18">
        <f>'D7_聚变'!$E$12/$C$140</f>
        <v>0.393894633185623</v>
      </c>
      <c r="D141" s="14" t="inlineStr">
        <is>
          <t>%</t>
        </is>
      </c>
      <c r="E141" s="14" t="inlineStr"/>
    </row>
    <row r="142">
      <c r="A142" s="14" t="inlineStr">
        <is>
          <t>S-F06</t>
        </is>
      </c>
      <c r="B142" s="14" t="inlineStr">
        <is>
          <t>科技公司聚变购电协议合计（微软—Helion、Google—CFS）</t>
        </is>
      </c>
      <c r="C142" s="23">
        <f>'D7_聚变'!$E$23+'D7_聚变'!$E$24</f>
        <v>250</v>
      </c>
      <c r="D142" s="14" t="inlineStr">
        <is>
          <t>MW</t>
        </is>
      </c>
      <c r="E142" s="14" t="inlineStr"/>
    </row>
    <row r="143">
      <c r="A143" s="14" t="inlineStr">
        <is>
          <t>S-F07</t>
        </is>
      </c>
      <c r="B143" s="14" t="inlineStr">
        <is>
          <t>聚变购电协议 ÷ 科技公司核电确定购电协议</t>
        </is>
      </c>
      <c r="C143" s="18">
        <f>$C$142/$C$117</f>
        <v>0.0250601443464314</v>
      </c>
      <c r="D143" s="14" t="inlineStr">
        <is>
          <t>%</t>
        </is>
      </c>
      <c r="E143" s="14" t="inlineStr"/>
    </row>
    <row r="144">
      <c r="A144" s="14" t="inlineStr">
        <is>
          <t>S-F08</t>
        </is>
      </c>
      <c r="B144" s="14" t="inlineStr">
        <is>
          <t>最早向科技公司供电的目标年份（Helion）</t>
        </is>
      </c>
      <c r="C144" s="24">
        <f>'D7_聚变'!$E$28</f>
        <v>2028</v>
      </c>
      <c r="D144" s="14" t="inlineStr">
        <is>
          <t>年</t>
        </is>
      </c>
      <c r="E144" s="14" t="inlineStr">
        <is>
          <t>公司目标</t>
        </is>
      </c>
    </row>
    <row r="145">
      <c r="A145" s="11" t="inlineStr">
        <is>
          <t>七、成本与瓶颈</t>
        </is>
      </c>
    </row>
    <row r="146">
      <c r="A146" s="14" t="inlineStr">
        <is>
          <t>S-G01</t>
        </is>
      </c>
      <c r="B146" s="14" t="inlineStr">
        <is>
          <t>PJM 容量价格：2025/26 相对 2024/25 倍数</t>
        </is>
      </c>
      <c r="C146" s="19">
        <f>'D8_成本与瓶颈'!$E$35/'D8_成本与瓶颈'!$E$34</f>
        <v>9.33333333333333</v>
      </c>
      <c r="D146" s="14" t="inlineStr">
        <is>
          <t>倍</t>
        </is>
      </c>
      <c r="E146" s="14" t="inlineStr"/>
    </row>
    <row r="147">
      <c r="A147" s="14" t="inlineStr">
        <is>
          <t>S-G02</t>
        </is>
      </c>
      <c r="B147" s="14" t="inlineStr">
        <is>
          <t>PJM 容量价格：2028/29（触及上限）</t>
        </is>
      </c>
      <c r="C147" s="25">
        <f>'D8_成本与瓶颈'!$E$38</f>
        <v>325</v>
      </c>
      <c r="D147" s="14" t="inlineStr">
        <is>
          <t>美元/MW·天</t>
        </is>
      </c>
      <c r="E147" s="14" t="inlineStr"/>
    </row>
    <row r="148">
      <c r="A148" s="14" t="inlineStr">
        <is>
          <t>S-G03</t>
        </is>
      </c>
      <c r="B148" s="14" t="inlineStr">
        <is>
          <t>数据中心负荷推高的容量费用占四次拍卖总成本比例</t>
        </is>
      </c>
      <c r="C148" s="18">
        <f>'D8_成本与瓶颈'!$E$43/'D8_成本与瓶颈'!$E$44</f>
        <v>0.462264150943396</v>
      </c>
      <c r="D148" s="14" t="inlineStr">
        <is>
          <t>%</t>
        </is>
      </c>
      <c r="E148" s="14" t="inlineStr">
        <is>
          <t>市场监察员测算</t>
        </is>
      </c>
    </row>
    <row r="149">
      <c r="A149" s="14" t="inlineStr">
        <is>
          <t>S-G04</t>
        </is>
      </c>
      <c r="B149" s="14" t="inlineStr">
        <is>
          <t>PJM West 批发电价 2025 年涨幅</t>
        </is>
      </c>
      <c r="C149" s="18">
        <f>'D5_Constellation'!$E$33/'D5_Constellation'!$E$34-1</f>
        <v>0.487551867219917</v>
      </c>
      <c r="D149" s="14" t="inlineStr">
        <is>
          <t>%</t>
        </is>
      </c>
      <c r="E149" s="14" t="inlineStr">
        <is>
          <t>原始材料 10-K</t>
        </is>
      </c>
    </row>
    <row r="150">
      <c r="A150" s="14" t="inlineStr">
        <is>
          <t>S-G05</t>
        </is>
      </c>
      <c r="B150" s="14" t="inlineStr">
        <is>
          <t>PJM West 批发电价 2026 上半年同比涨幅</t>
        </is>
      </c>
      <c r="C150" s="18">
        <f>'D5_Constellation'!$E$35/'D5_Constellation'!$E$36-1</f>
        <v>0.545568039950062</v>
      </c>
      <c r="D150" s="14" t="inlineStr">
        <is>
          <t>%</t>
        </is>
      </c>
      <c r="E150" s="14" t="inlineStr">
        <is>
          <t>原始材料 10-Q</t>
        </is>
      </c>
    </row>
    <row r="151">
      <c r="A151" s="14" t="inlineStr">
        <is>
          <t>S-G06</t>
        </is>
      </c>
      <c r="B151" s="14" t="inlineStr">
        <is>
          <t>美国零售电价（全部门）2025 年涨幅</t>
        </is>
      </c>
      <c r="C151" s="18">
        <f>'D8_成本与瓶颈'!$E$46/'D8_成本与瓶颈'!$E$45-1</f>
        <v>0.0533230293663061</v>
      </c>
      <c r="D151" s="14" t="inlineStr">
        <is>
          <t>%</t>
        </is>
      </c>
      <c r="E151" s="14" t="inlineStr">
        <is>
          <t>EIA</t>
        </is>
      </c>
    </row>
    <row r="152">
      <c r="A152" s="14" t="inlineStr">
        <is>
          <t>S-G07</t>
        </is>
      </c>
      <c r="B152" s="14" t="inlineStr">
        <is>
          <t>美国居民电价 2026E 涨幅</t>
        </is>
      </c>
      <c r="C152" s="18">
        <f>'D8_成本与瓶颈'!$E$50/'D8_成本与瓶颈'!$E$49-1</f>
        <v>0.052023121387283</v>
      </c>
      <c r="D152" s="14" t="inlineStr">
        <is>
          <t>%</t>
        </is>
      </c>
      <c r="E152" s="14" t="inlineStr">
        <is>
          <t>EIA 预测</t>
        </is>
      </c>
    </row>
    <row r="153">
      <c r="A153" s="14" t="inlineStr">
        <is>
          <t>S-G08</t>
        </is>
      </c>
      <c r="B153" s="14" t="inlineStr">
        <is>
          <t>GE Vernova 燃机积压 + 预留：三个季度增幅</t>
        </is>
      </c>
      <c r="C153" s="18">
        <f>'D8_成本与瓶颈'!$E$8/'D8_成本与瓶颈'!$E$5-1</f>
        <v>0.870967741935484</v>
      </c>
      <c r="D153" s="14" t="inlineStr">
        <is>
          <t>%</t>
        </is>
      </c>
      <c r="E153" s="14" t="inlineStr"/>
    </row>
    <row r="154">
      <c r="A154" s="14" t="inlineStr">
        <is>
          <t>S-G09</t>
        </is>
      </c>
      <c r="B154" s="14" t="inlineStr">
        <is>
          <t>GE Vernova 在手量相当于 2026 年产能的年数</t>
        </is>
      </c>
      <c r="C154" s="24">
        <f>'D8_成本与瓶颈'!$E$8/'D8_成本与瓶颈'!$E$10</f>
        <v>5.8</v>
      </c>
      <c r="D154" s="14" t="inlineStr">
        <is>
          <t>年</t>
        </is>
      </c>
      <c r="E154" s="14" t="inlineStr">
        <is>
          <t>粗略</t>
        </is>
      </c>
    </row>
    <row r="155">
      <c r="A155" s="14" t="inlineStr">
        <is>
          <t>S-G10</t>
        </is>
      </c>
      <c r="B155" s="14" t="inlineStr">
        <is>
          <t>联合循环电站造价：2025 年相对 2022 年倍数</t>
        </is>
      </c>
      <c r="C155" s="19">
        <f>'D8_成本与瓶颈'!$E$16/'D8_成本与瓶颈'!$E$15</f>
        <v>3.05732484076433</v>
      </c>
      <c r="D155" s="14" t="inlineStr">
        <is>
          <t>倍</t>
        </is>
      </c>
      <c r="E155" s="14" t="inlineStr">
        <is>
          <t>CEO 公开发言</t>
        </is>
      </c>
    </row>
    <row r="156">
      <c r="A156" s="14" t="inlineStr">
        <is>
          <t>S-G11</t>
        </is>
      </c>
      <c r="B156" s="14" t="inlineStr">
        <is>
          <t>燃气联合循环 LCOE 中值（2026 版）</t>
        </is>
      </c>
      <c r="C156" s="23">
        <f>('D8_成本与瓶颈'!$E$18+'D8_成本与瓶颈'!$E$19)/2</f>
        <v>90</v>
      </c>
      <c r="D156" s="14" t="inlineStr">
        <is>
          <t>美元/MWh</t>
        </is>
      </c>
      <c r="E156" s="14" t="inlineStr">
        <is>
          <t>Lazard，不含补贴</t>
        </is>
      </c>
    </row>
    <row r="157">
      <c r="A157" s="14" t="inlineStr">
        <is>
          <t>S-G12</t>
        </is>
      </c>
      <c r="B157" s="14" t="inlineStr">
        <is>
          <t>新建核电 LCOE 中值（2026 版）</t>
        </is>
      </c>
      <c r="C157" s="23">
        <f>('D8_成本与瓶颈'!$E$22+'D8_成本与瓶颈'!$E$23)/2</f>
        <v>215</v>
      </c>
      <c r="D157" s="14" t="inlineStr">
        <is>
          <t>美元/MWh</t>
        </is>
      </c>
      <c r="E157" s="14" t="inlineStr"/>
    </row>
    <row r="158">
      <c r="A158" s="14" t="inlineStr">
        <is>
          <t>S-G13</t>
        </is>
      </c>
      <c r="B158" s="14" t="inlineStr">
        <is>
          <t>公用事业级光伏 LCOE 中值（2026 版）</t>
        </is>
      </c>
      <c r="C158" s="23">
        <f>('D8_成本与瓶颈'!$E$24+'D8_成本与瓶颈'!$E$25)/2</f>
        <v>69</v>
      </c>
      <c r="D158" s="14" t="inlineStr">
        <is>
          <t>美元/MWh</t>
        </is>
      </c>
      <c r="E158" s="14" t="inlineStr"/>
    </row>
    <row r="159">
      <c r="A159" s="14" t="inlineStr">
        <is>
          <t>S-G14</t>
        </is>
      </c>
      <c r="B159" s="14" t="inlineStr">
        <is>
          <t>光伏 + 储能 LCOE 中值（2026 版）</t>
        </is>
      </c>
      <c r="C159" s="23">
        <f>('D8_成本与瓶颈'!$E$28+'D8_成本与瓶颈'!$E$29)/2</f>
        <v>108.5</v>
      </c>
      <c r="D159" s="14" t="inlineStr">
        <is>
          <t>美元/MWh</t>
        </is>
      </c>
      <c r="E159" s="14" t="inlineStr"/>
    </row>
    <row r="160">
      <c r="A160" s="14" t="inlineStr">
        <is>
          <t>S-G15</t>
        </is>
      </c>
      <c r="B160" s="14" t="inlineStr">
        <is>
          <t>陆上风电 LCOE 中值（2026 版）</t>
        </is>
      </c>
      <c r="C160" s="23">
        <f>('D8_成本与瓶颈'!$E$26+'D8_成本与瓶颈'!$E$27)/2</f>
        <v>68</v>
      </c>
      <c r="D160" s="14" t="inlineStr">
        <is>
          <t>美元/MWh</t>
        </is>
      </c>
      <c r="E160" s="14" t="inlineStr"/>
    </row>
    <row r="161">
      <c r="A161" s="14" t="inlineStr">
        <is>
          <t>S-G16</t>
        </is>
      </c>
      <c r="B161" s="14" t="inlineStr">
        <is>
          <t>燃气联合循环 LCOE 上限 2026 版较 2025 版涨幅</t>
        </is>
      </c>
      <c r="C161" s="18">
        <f>'D8_成本与瓶颈'!$E$19/'D8_成本与瓶颈'!$E$31-1</f>
        <v>0.18348623853211</v>
      </c>
      <c r="D161" s="14" t="inlineStr">
        <is>
          <t>%</t>
        </is>
      </c>
      <c r="E161" s="14" t="inlineStr"/>
    </row>
    <row r="162">
      <c r="A162" s="14" t="inlineStr">
        <is>
          <t>S-G17</t>
        </is>
      </c>
      <c r="B162" s="14" t="inlineStr">
        <is>
          <t>美国并网排队总量（发电 + 储能）</t>
        </is>
      </c>
      <c r="C162" s="15">
        <f>'D8_成本与瓶颈'!$E$51+'D8_成本与瓶颈'!$E$52</f>
        <v>2061</v>
      </c>
      <c r="D162" s="14" t="inlineStr">
        <is>
          <t>GW</t>
        </is>
      </c>
      <c r="E162" s="14" t="inlineStr">
        <is>
          <t>截至 2025 年底</t>
        </is>
      </c>
    </row>
    <row r="163">
      <c r="A163" s="14" t="inlineStr">
        <is>
          <t>S-G18</t>
        </is>
      </c>
      <c r="B163" s="14" t="inlineStr">
        <is>
          <t>排队总量相当于美国在运核电装机的倍数</t>
        </is>
      </c>
      <c r="C163" s="19">
        <f>$C$162/('D2_电源结构'!$E$47/1000)</f>
        <v>20.9363984518646</v>
      </c>
      <c r="D163" s="14" t="inlineStr">
        <is>
          <t>倍</t>
        </is>
      </c>
      <c r="E163" s="14" t="inlineStr"/>
    </row>
    <row r="164">
      <c r="A164" s="14" t="inlineStr">
        <is>
          <t>S-G19</t>
        </is>
      </c>
      <c r="B164" s="14" t="inlineStr">
        <is>
          <t>Constellation 2026E 资本开支相对 2025 年倍数</t>
        </is>
      </c>
      <c r="C164" s="19">
        <f>'D5_Constellation'!$E$21*1000/'D5_Constellation'!$E$20</f>
        <v>1.93285859613428</v>
      </c>
      <c r="D164" s="14" t="inlineStr">
        <is>
          <t>倍</t>
        </is>
      </c>
      <c r="E164" s="14" t="inlineStr">
        <is>
          <t>含 Calpine</t>
        </is>
      </c>
    </row>
    <row r="165">
      <c r="A165" s="14" t="inlineStr">
        <is>
          <t>S-G20</t>
        </is>
      </c>
      <c r="B165" s="14" t="inlineStr">
        <is>
          <t>Constellation 2026 上半年营收同比增速</t>
        </is>
      </c>
      <c r="C165" s="18">
        <f>'D5_Constellation'!$E$18/'D5_Constellation'!$E$19-1</f>
        <v>0.445108231825588</v>
      </c>
      <c r="D165" s="14" t="inlineStr">
        <is>
          <t>%</t>
        </is>
      </c>
      <c r="E165" s="14" t="inlineStr">
        <is>
          <t>含 Calpine 并表</t>
        </is>
      </c>
    </row>
  </sheetData>
  <mergeCells count="8">
    <mergeCell ref="A2:E2"/>
    <mergeCell ref="A63:E63"/>
    <mergeCell ref="A116:E116"/>
    <mergeCell ref="A5:E5"/>
    <mergeCell ref="A32:E32"/>
    <mergeCell ref="A97:E97"/>
    <mergeCell ref="A145:E145"/>
    <mergeCell ref="A136:E136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60" customWidth="1" min="4" max="4"/>
  </cols>
  <sheetData>
    <row r="1">
      <c r="A1" s="8" t="inlineStr">
        <is>
          <t>网页数据（网页 3D 场景使用的全部数字，均为公式，引用汇总与明细）</t>
        </is>
      </c>
    </row>
    <row r="2" ht="30" customHeight="1">
      <c r="A2" s="9" t="inlineStr">
        <is>
          <t>交付/web/data/web-data.json 由本页导出（脚本读取重算后的数值）；网页上出现的数字都能在这里按“键”找到。</t>
        </is>
      </c>
    </row>
    <row r="4" ht="30" customHeight="1">
      <c r="A4" s="10" t="inlineStr">
        <is>
          <t>键</t>
        </is>
      </c>
      <c r="B4" s="10" t="inlineStr">
        <is>
          <t>数值</t>
        </is>
      </c>
      <c r="C4" s="10" t="inlineStr">
        <is>
          <t>单位</t>
        </is>
      </c>
      <c r="D4" s="10" t="inlineStr">
        <is>
          <t>说明</t>
        </is>
      </c>
    </row>
    <row r="5">
      <c r="A5" s="26" t="inlineStr">
        <is>
          <t>hero.dc2025</t>
        </is>
      </c>
      <c r="B5" s="27">
        <f>'D1_数据中心用电'!$E$6</f>
        <v>485</v>
      </c>
      <c r="C5" s="26" t="inlineStr">
        <is>
          <t>TWh</t>
        </is>
      </c>
      <c r="D5" s="26" t="inlineStr">
        <is>
          <t>2025 年全球数据中心用电</t>
        </is>
      </c>
    </row>
    <row r="6">
      <c r="A6" s="26" t="inlineStr">
        <is>
          <t>hero.dc2030</t>
        </is>
      </c>
      <c r="B6" s="27">
        <f>'D1_数据中心用电'!$E$7</f>
        <v>945</v>
      </c>
      <c r="C6" s="26" t="inlineStr">
        <is>
          <t>TWh</t>
        </is>
      </c>
      <c r="D6" s="26" t="inlineStr">
        <is>
          <t>2030 年全球数据中心用电（基准情景）</t>
        </is>
      </c>
    </row>
    <row r="7">
      <c r="A7" s="26" t="inlineStr">
        <is>
          <t>hero.capex2026</t>
        </is>
      </c>
      <c r="B7" s="27">
        <f>'汇总'!$C$79</f>
        <v>735</v>
      </c>
      <c r="C7" s="26" t="inlineStr">
        <is>
          <t>十亿美元</t>
        </is>
      </c>
      <c r="D7" s="26" t="inlineStr">
        <is>
          <t>四大科技公司 2026E 资本开支</t>
        </is>
      </c>
    </row>
    <row r="8">
      <c r="A8" s="26" t="inlineStr">
        <is>
          <t>hero.nucfirm</t>
        </is>
      </c>
      <c r="B8" s="27">
        <f>'汇总'!$C$117</f>
        <v>9976</v>
      </c>
      <c r="C8" s="26" t="inlineStr">
        <is>
          <t>MW</t>
        </is>
      </c>
      <c r="D8" s="26" t="inlineStr">
        <is>
          <t>科技公司核电确定购电协议</t>
        </is>
      </c>
    </row>
    <row r="9">
      <c r="A9" s="26" t="inlineStr">
        <is>
          <t>flow.y2024.src.coal</t>
        </is>
      </c>
      <c r="B9" s="27">
        <f>'D2_电源结构'!$E$11</f>
        <v>138</v>
      </c>
      <c r="C9" s="26" t="inlineStr">
        <is>
          <t>TWh</t>
        </is>
      </c>
      <c r="D9" s="26" t="inlineStr"/>
    </row>
    <row r="10">
      <c r="A10" s="26" t="inlineStr">
        <is>
          <t>flow.y2024.src.gas</t>
        </is>
      </c>
      <c r="B10" s="27">
        <f>'D2_电源结构'!$E$13</f>
        <v>119.6</v>
      </c>
      <c r="C10" s="26" t="inlineStr">
        <is>
          <t>TWh</t>
        </is>
      </c>
      <c r="D10" s="26" t="inlineStr"/>
    </row>
    <row r="11">
      <c r="A11" s="26" t="inlineStr">
        <is>
          <t>flow.y2024.src.renew</t>
        </is>
      </c>
      <c r="B11" s="27">
        <f>'D2_电源结构'!$E$12</f>
        <v>124.2</v>
      </c>
      <c r="C11" s="26" t="inlineStr">
        <is>
          <t>TWh</t>
        </is>
      </c>
      <c r="D11" s="26" t="inlineStr"/>
    </row>
    <row r="12">
      <c r="A12" s="26" t="inlineStr">
        <is>
          <t>flow.y2024.src.nuclear</t>
        </is>
      </c>
      <c r="B12" s="27">
        <f>'D2_电源结构'!$E$14</f>
        <v>69</v>
      </c>
      <c r="C12" s="26" t="inlineStr">
        <is>
          <t>TWh</t>
        </is>
      </c>
      <c r="D12" s="26" t="inlineStr"/>
    </row>
    <row r="13">
      <c r="A13" s="26" t="inlineStr">
        <is>
          <t>flow.y2024.src.other</t>
        </is>
      </c>
      <c r="B13" s="27">
        <f>'D2_电源结构'!$E$15</f>
        <v>9.19999999999997</v>
      </c>
      <c r="C13" s="26" t="inlineStr">
        <is>
          <t>TWh</t>
        </is>
      </c>
      <c r="D13" s="26" t="inlineStr"/>
    </row>
    <row r="14">
      <c r="A14" s="26" t="inlineStr">
        <is>
          <t>flow.y2024.sink.us</t>
        </is>
      </c>
      <c r="B14" s="27">
        <f>'D1_数据中心用电'!$E$27</f>
        <v>183</v>
      </c>
      <c r="C14" s="26" t="inlineStr">
        <is>
          <t>TWh</t>
        </is>
      </c>
      <c r="D14" s="26" t="inlineStr"/>
    </row>
    <row r="15">
      <c r="A15" s="26" t="inlineStr">
        <is>
          <t>flow.y2024.sink.cn</t>
        </is>
      </c>
      <c r="B15" s="27">
        <f>'D1_数据中心用电'!$E$30</f>
        <v>102</v>
      </c>
      <c r="C15" s="26" t="inlineStr">
        <is>
          <t>TWh</t>
        </is>
      </c>
      <c r="D15" s="26" t="inlineStr"/>
    </row>
    <row r="16">
      <c r="A16" s="26" t="inlineStr">
        <is>
          <t>flow.y2024.sink.eu</t>
        </is>
      </c>
      <c r="B16" s="27">
        <f>'D1_数据中心用电'!$E$33</f>
        <v>68</v>
      </c>
      <c r="C16" s="26" t="inlineStr">
        <is>
          <t>TWh</t>
        </is>
      </c>
      <c r="D16" s="26" t="inlineStr"/>
    </row>
    <row r="17">
      <c r="A17" s="26" t="inlineStr">
        <is>
          <t>flow.y2024.sink.row</t>
        </is>
      </c>
      <c r="B17" s="27">
        <f>'D1_数据中心用电'!$E$5-'D1_数据中心用电'!$E$27-'D1_数据中心用电'!$E$30-'D1_数据中心用电'!$E$33</f>
        <v>62</v>
      </c>
      <c r="C17" s="26" t="inlineStr">
        <is>
          <t>TWh</t>
        </is>
      </c>
      <c r="D17" s="26" t="inlineStr"/>
    </row>
    <row r="18">
      <c r="A18" s="26" t="inlineStr">
        <is>
          <t>flow.y2024.sink.loss</t>
        </is>
      </c>
      <c r="B18" s="27">
        <f>'D2_电源结构'!$E$16</f>
        <v>45</v>
      </c>
      <c r="C18" s="26" t="inlineStr">
        <is>
          <t>TWh</t>
        </is>
      </c>
      <c r="D18" s="26" t="inlineStr"/>
    </row>
    <row r="19">
      <c r="A19" s="26" t="inlineStr">
        <is>
          <t>flow.y2024.gen</t>
        </is>
      </c>
      <c r="B19" s="27">
        <f>'D2_电源结构'!$E$5</f>
        <v>460</v>
      </c>
      <c r="C19" s="26" t="inlineStr">
        <is>
          <t>TWh</t>
        </is>
      </c>
      <c r="D19" s="26" t="inlineStr"/>
    </row>
    <row r="20">
      <c r="A20" s="26" t="inlineStr">
        <is>
          <t>flow.y2024.use</t>
        </is>
      </c>
      <c r="B20" s="27">
        <f>'D1_数据中心用电'!$E$5</f>
        <v>415</v>
      </c>
      <c r="C20" s="26" t="inlineStr">
        <is>
          <t>TWh</t>
        </is>
      </c>
      <c r="D20" s="26" t="inlineStr"/>
    </row>
    <row r="21">
      <c r="A21" s="26" t="inlineStr">
        <is>
          <t>flow.y2024.share</t>
        </is>
      </c>
      <c r="B21" s="28">
        <f>'汇总'!$C$13</f>
        <v>0.0151509619948158</v>
      </c>
      <c r="C21" s="26" t="inlineStr">
        <is>
          <t>%</t>
        </is>
      </c>
      <c r="D21" s="26" t="inlineStr"/>
    </row>
    <row r="22">
      <c r="A22" s="26" t="inlineStr">
        <is>
          <t>flow.y2030.src.coal</t>
        </is>
      </c>
      <c r="B22" s="27">
        <f>'D2_电源结构'!$E$22</f>
        <v>210.25641025641</v>
      </c>
      <c r="C22" s="26" t="inlineStr">
        <is>
          <t>TWh</t>
        </is>
      </c>
      <c r="D22" s="26" t="inlineStr"/>
    </row>
    <row r="23">
      <c r="A23" s="26" t="inlineStr">
        <is>
          <t>flow.y2030.src.gas</t>
        </is>
      </c>
      <c r="B23" s="27">
        <f>'D2_电源结构'!$E$18</f>
        <v>340</v>
      </c>
      <c r="C23" s="26" t="inlineStr">
        <is>
          <t>TWh</t>
        </is>
      </c>
      <c r="D23" s="26" t="inlineStr"/>
    </row>
    <row r="24">
      <c r="A24" s="26" t="inlineStr">
        <is>
          <t>flow.y2030.src.renew</t>
        </is>
      </c>
      <c r="B24" s="27">
        <f>'D2_电源结构'!$E$17</f>
        <v>360</v>
      </c>
      <c r="C24" s="26" t="inlineStr">
        <is>
          <t>TWh</t>
        </is>
      </c>
      <c r="D24" s="26" t="inlineStr"/>
    </row>
    <row r="25">
      <c r="A25" s="26" t="inlineStr">
        <is>
          <t>flow.y2030.src.nuclear</t>
        </is>
      </c>
      <c r="B25" s="27">
        <f>'D2_电源结构'!$E$19</f>
        <v>120</v>
      </c>
      <c r="C25" s="26" t="inlineStr">
        <is>
          <t>TWh</t>
        </is>
      </c>
      <c r="D25" s="26" t="inlineStr"/>
    </row>
    <row r="26">
      <c r="A26" s="26" t="inlineStr">
        <is>
          <t>flow.y2030.src.other</t>
        </is>
      </c>
      <c r="B26" s="27">
        <f>'D2_电源结构'!$E$23</f>
        <v>21.025641025641</v>
      </c>
      <c r="C26" s="26" t="inlineStr">
        <is>
          <t>TWh</t>
        </is>
      </c>
      <c r="D26" s="26" t="inlineStr"/>
    </row>
    <row r="27">
      <c r="A27" s="26" t="inlineStr">
        <is>
          <t>flow.y2030.sink.us</t>
        </is>
      </c>
      <c r="B27" s="27">
        <f>'D1_数据中心用电'!$E$29</f>
        <v>426</v>
      </c>
      <c r="C27" s="26" t="inlineStr">
        <is>
          <t>TWh</t>
        </is>
      </c>
      <c r="D27" s="26" t="inlineStr"/>
    </row>
    <row r="28">
      <c r="A28" s="26" t="inlineStr">
        <is>
          <t>flow.y2030.sink.cn</t>
        </is>
      </c>
      <c r="B28" s="27">
        <f>'D1_数据中心用电'!$E$32</f>
        <v>277</v>
      </c>
      <c r="C28" s="26" t="inlineStr">
        <is>
          <t>TWh</t>
        </is>
      </c>
      <c r="D28" s="26" t="inlineStr"/>
    </row>
    <row r="29">
      <c r="A29" s="26" t="inlineStr">
        <is>
          <t>flow.y2030.sink.eu</t>
        </is>
      </c>
      <c r="B29" s="27">
        <f>'D1_数据中心用电'!$E$35</f>
        <v>114</v>
      </c>
      <c r="C29" s="26" t="inlineStr">
        <is>
          <t>TWh</t>
        </is>
      </c>
      <c r="D29" s="26" t="inlineStr"/>
    </row>
    <row r="30">
      <c r="A30" s="26" t="inlineStr">
        <is>
          <t>flow.y2030.sink.row</t>
        </is>
      </c>
      <c r="B30" s="27">
        <f>'D1_数据中心用电'!$E$7-'D1_数据中心用电'!$E$29-'D1_数据中心用电'!$E$32-'D1_数据中心用电'!$E$35</f>
        <v>128</v>
      </c>
      <c r="C30" s="26" t="inlineStr">
        <is>
          <t>TWh</t>
        </is>
      </c>
      <c r="D30" s="26" t="inlineStr"/>
    </row>
    <row r="31">
      <c r="A31" s="26" t="inlineStr">
        <is>
          <t>flow.y2030.sink.loss</t>
        </is>
      </c>
      <c r="B31" s="27">
        <f>'D2_电源结构'!$E$24</f>
        <v>106.282051282051</v>
      </c>
      <c r="C31" s="26" t="inlineStr">
        <is>
          <t>TWh</t>
        </is>
      </c>
      <c r="D31" s="26" t="inlineStr"/>
    </row>
    <row r="32">
      <c r="A32" s="26" t="inlineStr">
        <is>
          <t>flow.y2030.gen</t>
        </is>
      </c>
      <c r="B32" s="27">
        <f>'D2_电源结构'!$E$21</f>
        <v>1051.28205128205</v>
      </c>
      <c r="C32" s="26" t="inlineStr">
        <is>
          <t>TWh</t>
        </is>
      </c>
      <c r="D32" s="26" t="inlineStr"/>
    </row>
    <row r="33">
      <c r="A33" s="26" t="inlineStr">
        <is>
          <t>flow.y2030.use</t>
        </is>
      </c>
      <c r="B33" s="27">
        <f>'D1_数据中心用电'!$E$7</f>
        <v>945</v>
      </c>
      <c r="C33" s="26" t="inlineStr">
        <is>
          <t>TWh</t>
        </is>
      </c>
      <c r="D33" s="26" t="inlineStr"/>
    </row>
    <row r="34">
      <c r="A34" s="26" t="inlineStr">
        <is>
          <t>flow.y2030.share</t>
        </is>
      </c>
      <c r="B34" s="28">
        <f>'D1_数据中心用电'!$E$7/'D1_数据中心用电'!$E$42</f>
        <v>0.0281300232184319</v>
      </c>
      <c r="C34" s="26" t="inlineStr">
        <is>
          <t>%</t>
        </is>
      </c>
      <c r="D34" s="26" t="inlineStr"/>
    </row>
    <row r="35">
      <c r="A35" s="26" t="inlineStr">
        <is>
          <t>flow.y2030.renewIncShare</t>
        </is>
      </c>
      <c r="B35" s="28">
        <f>'汇总'!$C$49</f>
        <v>0.398794449262793</v>
      </c>
      <c r="C35" s="26" t="inlineStr">
        <is>
          <t>%</t>
        </is>
      </c>
      <c r="D35" s="26" t="inlineStr"/>
    </row>
    <row r="36">
      <c r="A36" s="26" t="inlineStr">
        <is>
          <t>flow.y2030.gasIncShare</t>
        </is>
      </c>
      <c r="B36" s="28">
        <f>'汇总'!$C$50</f>
        <v>0.372749349522984</v>
      </c>
      <c r="C36" s="26" t="inlineStr">
        <is>
          <t>%</t>
        </is>
      </c>
      <c r="D36" s="26" t="inlineStr"/>
    </row>
    <row r="37">
      <c r="A37" s="26" t="inlineStr">
        <is>
          <t>flow.y2030.fossilShare</t>
        </is>
      </c>
      <c r="B37" s="28">
        <f>'汇总'!$C$47</f>
        <v>0.523414634146342</v>
      </c>
      <c r="C37" s="26" t="inlineStr">
        <is>
          <t>%</t>
        </is>
      </c>
      <c r="D37" s="26" t="inlineStr"/>
    </row>
    <row r="38">
      <c r="A38" s="26" t="inlineStr">
        <is>
          <t>flow.us2024.src.gas</t>
        </is>
      </c>
      <c r="B38" s="27">
        <f>'汇总'!$C$54</f>
        <v>83.1657831325301</v>
      </c>
      <c r="C38" s="26" t="inlineStr">
        <is>
          <t>TWh</t>
        </is>
      </c>
      <c r="D38" s="26" t="inlineStr"/>
    </row>
    <row r="39">
      <c r="A39" s="26" t="inlineStr">
        <is>
          <t>flow.us2024.src.renew</t>
        </is>
      </c>
      <c r="B39" s="27">
        <f>'汇总'!$C$55</f>
        <v>48.6824096385542</v>
      </c>
      <c r="C39" s="26" t="inlineStr">
        <is>
          <t>TWh</t>
        </is>
      </c>
      <c r="D39" s="26" t="inlineStr"/>
    </row>
    <row r="40">
      <c r="A40" s="26" t="inlineStr">
        <is>
          <t>flow.us2024.src.coal</t>
        </is>
      </c>
      <c r="B40" s="27">
        <f>'汇总'!$C$56</f>
        <v>40.5686746987952</v>
      </c>
      <c r="C40" s="26" t="inlineStr">
        <is>
          <t>TWh</t>
        </is>
      </c>
      <c r="D40" s="26" t="inlineStr"/>
    </row>
    <row r="41">
      <c r="A41" s="26" t="inlineStr">
        <is>
          <t>flow.us2024.src.nuclear</t>
        </is>
      </c>
      <c r="B41" s="27">
        <f>'汇总'!$C$57</f>
        <v>30.4265060240964</v>
      </c>
      <c r="C41" s="26" t="inlineStr">
        <is>
          <t>TWh</t>
        </is>
      </c>
      <c r="D41" s="26" t="inlineStr"/>
    </row>
    <row r="42">
      <c r="A42" s="26" t="inlineStr">
        <is>
          <t>flow.us2024.src.other</t>
        </is>
      </c>
      <c r="B42" s="27">
        <f>'汇总'!$C$58</f>
        <v>0</v>
      </c>
      <c r="C42" s="26" t="inlineStr">
        <is>
          <t>TWh</t>
        </is>
      </c>
      <c r="D42" s="26" t="inlineStr"/>
    </row>
    <row r="43">
      <c r="A43" s="26" t="inlineStr">
        <is>
          <t>flow.us2024.sink.us</t>
        </is>
      </c>
      <c r="B43" s="27">
        <f>'D1_数据中心用电'!$E$27</f>
        <v>183</v>
      </c>
      <c r="C43" s="26" t="inlineStr">
        <is>
          <t>TWh</t>
        </is>
      </c>
      <c r="D43" s="26" t="inlineStr"/>
    </row>
    <row r="44">
      <c r="A44" s="26" t="inlineStr">
        <is>
          <t>flow.us2024.sink.loss</t>
        </is>
      </c>
      <c r="B44" s="27">
        <f>'汇总'!$C$53-'D1_数据中心用电'!$E$27</f>
        <v>19.8433734939759</v>
      </c>
      <c r="C44" s="26" t="inlineStr">
        <is>
          <t>TWh</t>
        </is>
      </c>
      <c r="D44" s="26" t="inlineStr"/>
    </row>
    <row r="45">
      <c r="A45" s="26" t="inlineStr">
        <is>
          <t>flow.us2024.gen</t>
        </is>
      </c>
      <c r="B45" s="27">
        <f>'汇总'!$C$53</f>
        <v>202.843373493976</v>
      </c>
      <c r="C45" s="26" t="inlineStr">
        <is>
          <t>TWh</t>
        </is>
      </c>
      <c r="D45" s="26" t="inlineStr"/>
    </row>
    <row r="46">
      <c r="A46" s="26" t="inlineStr">
        <is>
          <t>flow.us2024.use</t>
        </is>
      </c>
      <c r="B46" s="27">
        <f>'D1_数据中心用电'!$E$27</f>
        <v>183</v>
      </c>
      <c r="C46" s="26" t="inlineStr">
        <is>
          <t>TWh</t>
        </is>
      </c>
      <c r="D46" s="26" t="inlineStr"/>
    </row>
    <row r="47">
      <c r="A47" s="26" t="inlineStr">
        <is>
          <t>flow.us2024.shareUS</t>
        </is>
      </c>
      <c r="B47" s="28">
        <f>'D1_数据中心用电'!$E$27/'D1_数据中心用电'!$E$43</f>
        <v>0.0441815548044423</v>
      </c>
      <c r="C47" s="26" t="inlineStr">
        <is>
          <t>%</t>
        </is>
      </c>
      <c r="D47" s="26" t="inlineStr">
        <is>
          <t>占美国电力需求</t>
        </is>
      </c>
    </row>
    <row r="48">
      <c r="A48" s="26" t="inlineStr">
        <is>
          <t>flow.us2024.dc2030</t>
        </is>
      </c>
      <c r="B48" s="27">
        <f>'D1_数据中心用电'!$E$29</f>
        <v>426</v>
      </c>
      <c r="C48" s="26" t="inlineStr">
        <is>
          <t>TWh</t>
        </is>
      </c>
      <c r="D48" s="26" t="inlineStr"/>
    </row>
    <row r="49">
      <c r="A49" s="26" t="inlineStr">
        <is>
          <t>ppa.total</t>
        </is>
      </c>
      <c r="B49" s="27">
        <f>'汇总'!$C$117</f>
        <v>9976</v>
      </c>
      <c r="C49" s="26" t="inlineStr">
        <is>
          <t>MW</t>
        </is>
      </c>
      <c r="D49" s="26" t="inlineStr"/>
    </row>
    <row r="50">
      <c r="A50" s="26" t="inlineStr">
        <is>
          <t>ppa.new</t>
        </is>
      </c>
      <c r="B50" s="27">
        <f>'汇总'!$C$118</f>
        <v>3089</v>
      </c>
      <c r="C50" s="26" t="inlineStr">
        <is>
          <t>MW</t>
        </is>
      </c>
      <c r="D50" s="26" t="inlineStr"/>
    </row>
    <row r="51">
      <c r="A51" s="26" t="inlineStr">
        <is>
          <t>ppa.twh</t>
        </is>
      </c>
      <c r="B51" s="27">
        <f>'汇总'!$C$124</f>
        <v>79.5246816</v>
      </c>
      <c r="C51" s="26" t="inlineStr">
        <is>
          <t>TWh</t>
        </is>
      </c>
      <c r="D51" s="26" t="inlineStr"/>
    </row>
    <row r="52">
      <c r="A52" s="26" t="inlineStr">
        <is>
          <t>ppa.share_us</t>
        </is>
      </c>
      <c r="B52" s="28">
        <f>'汇总'!$C$125</f>
        <v>0.3550209</v>
      </c>
      <c r="C52" s="26" t="inlineStr">
        <is>
          <t>%</t>
        </is>
      </c>
      <c r="D52" s="26" t="inlineStr"/>
    </row>
    <row r="53">
      <c r="A53" s="26" t="inlineStr">
        <is>
          <t>ppa.adv</t>
        </is>
      </c>
      <c r="B53" s="27">
        <f>'汇总'!$C$126</f>
        <v>7840</v>
      </c>
      <c r="C53" s="26" t="inlineStr">
        <is>
          <t>MW</t>
        </is>
      </c>
      <c r="D53" s="26" t="inlineStr"/>
    </row>
    <row r="54">
      <c r="A54" s="26" t="inlineStr">
        <is>
          <t>ppa.fusion</t>
        </is>
      </c>
      <c r="B54" s="27">
        <f>'汇总'!$C$142</f>
        <v>250</v>
      </c>
      <c r="C54" s="26" t="inlineStr">
        <is>
          <t>MW</t>
        </is>
      </c>
      <c r="D54" s="26" t="inlineStr"/>
    </row>
    <row r="55">
      <c r="A55" s="26" t="inlineStr">
        <is>
          <t>ppa.deal.PPA-01.mw</t>
        </is>
      </c>
      <c r="B55" s="27">
        <f>'D6_购电协议'!$I$5</f>
        <v>835</v>
      </c>
      <c r="C55" s="26" t="inlineStr">
        <is>
          <t>MW</t>
        </is>
      </c>
      <c r="D55" s="26" t="inlineStr">
        <is>
          <t>重启</t>
        </is>
      </c>
    </row>
    <row r="56">
      <c r="A56" s="26" t="inlineStr">
        <is>
          <t>ppa.deal.PPA-02.mw</t>
        </is>
      </c>
      <c r="B56" s="27">
        <f>'D6_购电协议'!$I$6</f>
        <v>1121</v>
      </c>
      <c r="C56" s="26" t="inlineStr">
        <is>
          <t>MW</t>
        </is>
      </c>
      <c r="D56" s="26" t="inlineStr">
        <is>
          <t>现役 + 增容</t>
        </is>
      </c>
    </row>
    <row r="57">
      <c r="A57" s="26" t="inlineStr">
        <is>
          <t>ppa.deal.PPA-03.mw</t>
        </is>
      </c>
      <c r="B57" s="27">
        <f>'D6_购电协议'!$I$7</f>
        <v>1920</v>
      </c>
      <c r="C57" s="26" t="inlineStr">
        <is>
          <t>MW</t>
        </is>
      </c>
      <c r="D57" s="26" t="inlineStr">
        <is>
          <t>现役</t>
        </is>
      </c>
    </row>
    <row r="58">
      <c r="A58" s="26" t="inlineStr">
        <is>
          <t>ppa.deal.PPA-04.mw</t>
        </is>
      </c>
      <c r="B58" s="27">
        <f>'D6_购电协议'!$I$8</f>
        <v>1200</v>
      </c>
      <c r="C58" s="26" t="inlineStr">
        <is>
          <t>MW</t>
        </is>
      </c>
      <c r="D58" s="26" t="inlineStr">
        <is>
          <t>现役</t>
        </is>
      </c>
    </row>
    <row r="59">
      <c r="A59" s="26" t="inlineStr">
        <is>
          <t>ppa.deal.PPA-05.mw</t>
        </is>
      </c>
      <c r="B59" s="27">
        <f>'D6_购电协议'!$I$9</f>
        <v>2609</v>
      </c>
      <c r="C59" s="26" t="inlineStr">
        <is>
          <t>MW</t>
        </is>
      </c>
      <c r="D59" s="26" t="inlineStr">
        <is>
          <t>现役 + 增容</t>
        </is>
      </c>
    </row>
    <row r="60">
      <c r="A60" s="26" t="inlineStr">
        <is>
          <t>ppa.deal.PPA-06.mw</t>
        </is>
      </c>
      <c r="B60" s="27">
        <f>'D6_购电协议'!$I$10</f>
        <v>615</v>
      </c>
      <c r="C60" s="26" t="inlineStr">
        <is>
          <t>MW</t>
        </is>
      </c>
      <c r="D60" s="26" t="inlineStr">
        <is>
          <t>重启</t>
        </is>
      </c>
    </row>
    <row r="61">
      <c r="A61" s="26" t="inlineStr">
        <is>
          <t>ppa.deal.PPA-07.mw</t>
        </is>
      </c>
      <c r="B61" s="27">
        <f>'D6_购电协议'!$I$11</f>
        <v>690</v>
      </c>
      <c r="C61" s="26" t="inlineStr">
        <is>
          <t>MW</t>
        </is>
      </c>
      <c r="D61" s="26" t="inlineStr">
        <is>
          <t>现役 + 增容</t>
        </is>
      </c>
    </row>
    <row r="62">
      <c r="A62" s="26" t="inlineStr">
        <is>
          <t>ppa.deal.PPA-08.mw</t>
        </is>
      </c>
      <c r="B62" s="27">
        <f>'D6_购电协议'!$I$12</f>
        <v>890</v>
      </c>
      <c r="C62" s="26" t="inlineStr">
        <is>
          <t>MW</t>
        </is>
      </c>
      <c r="D62" s="26" t="inlineStr">
        <is>
          <t>增容</t>
        </is>
      </c>
    </row>
    <row r="63">
      <c r="A63" s="26" t="inlineStr">
        <is>
          <t>ppa.deal.PPA-09.mw</t>
        </is>
      </c>
      <c r="B63" s="27">
        <f>'D6_购电协议'!$I$13</f>
        <v>96</v>
      </c>
      <c r="C63" s="26" t="inlineStr">
        <is>
          <t>MW</t>
        </is>
      </c>
      <c r="D63" s="26" t="inlineStr">
        <is>
          <t>增容</t>
        </is>
      </c>
    </row>
    <row r="64">
      <c r="A64" s="26" t="inlineStr">
        <is>
          <t>ppa.deal.PPA-01.new</t>
        </is>
      </c>
      <c r="B64" s="27">
        <f>'D6_购电协议'!$J$5</f>
        <v>835</v>
      </c>
      <c r="C64" s="26" t="inlineStr">
        <is>
          <t>MW</t>
        </is>
      </c>
      <c r="D64" s="26" t="inlineStr"/>
    </row>
    <row r="65">
      <c r="A65" s="26" t="inlineStr">
        <is>
          <t>ppa.deal.PPA-02.new</t>
        </is>
      </c>
      <c r="B65" s="27">
        <f>'D6_购电协议'!$J$6</f>
        <v>30</v>
      </c>
      <c r="C65" s="26" t="inlineStr">
        <is>
          <t>MW</t>
        </is>
      </c>
      <c r="D65" s="26" t="inlineStr"/>
    </row>
    <row r="66">
      <c r="A66" s="26" t="inlineStr">
        <is>
          <t>ppa.deal.PPA-03.new</t>
        </is>
      </c>
      <c r="B66" s="27">
        <f>'D6_购电协议'!$J$7</f>
        <v>0</v>
      </c>
      <c r="C66" s="26" t="inlineStr">
        <is>
          <t>MW</t>
        </is>
      </c>
      <c r="D66" s="26" t="inlineStr"/>
    </row>
    <row r="67">
      <c r="A67" s="26" t="inlineStr">
        <is>
          <t>ppa.deal.PPA-04.new</t>
        </is>
      </c>
      <c r="B67" s="27">
        <f>'D6_购电协议'!$J$8</f>
        <v>0</v>
      </c>
      <c r="C67" s="26" t="inlineStr">
        <is>
          <t>MW</t>
        </is>
      </c>
      <c r="D67" s="26" t="inlineStr"/>
    </row>
    <row r="68">
      <c r="A68" s="26" t="inlineStr">
        <is>
          <t>ppa.deal.PPA-05.new</t>
        </is>
      </c>
      <c r="B68" s="27">
        <f>'D6_购电协议'!$J$9</f>
        <v>433</v>
      </c>
      <c r="C68" s="26" t="inlineStr">
        <is>
          <t>MW</t>
        </is>
      </c>
      <c r="D68" s="26" t="inlineStr"/>
    </row>
    <row r="69">
      <c r="A69" s="26" t="inlineStr">
        <is>
          <t>ppa.deal.PPA-06.new</t>
        </is>
      </c>
      <c r="B69" s="27">
        <f>'D6_购电协议'!$J$10</f>
        <v>615</v>
      </c>
      <c r="C69" s="26" t="inlineStr">
        <is>
          <t>MW</t>
        </is>
      </c>
      <c r="D69" s="26" t="inlineStr"/>
    </row>
    <row r="70">
      <c r="A70" s="26" t="inlineStr">
        <is>
          <t>ppa.deal.PPA-07.new</t>
        </is>
      </c>
      <c r="B70" s="27">
        <f>'D6_购电协议'!$J$11</f>
        <v>190</v>
      </c>
      <c r="C70" s="26" t="inlineStr">
        <is>
          <t>MW</t>
        </is>
      </c>
      <c r="D70" s="26" t="inlineStr"/>
    </row>
    <row r="71">
      <c r="A71" s="26" t="inlineStr">
        <is>
          <t>ppa.deal.PPA-08.new</t>
        </is>
      </c>
      <c r="B71" s="27">
        <f>'D6_购电协议'!$J$12</f>
        <v>890</v>
      </c>
      <c r="C71" s="26" t="inlineStr">
        <is>
          <t>MW</t>
        </is>
      </c>
      <c r="D71" s="26" t="inlineStr"/>
    </row>
    <row r="72">
      <c r="A72" s="26" t="inlineStr">
        <is>
          <t>ppa.deal.PPA-09.new</t>
        </is>
      </c>
      <c r="B72" s="27">
        <f>'D6_购电协议'!$J$13</f>
        <v>96</v>
      </c>
      <c r="C72" s="26" t="inlineStr">
        <is>
          <t>MW</t>
        </is>
      </c>
      <c r="D72" s="26" t="inlineStr"/>
    </row>
    <row r="73">
      <c r="A73" s="26" t="inlineStr">
        <is>
          <t>ppa.fus.FU-P01</t>
        </is>
      </c>
      <c r="B73" s="27">
        <f>'D7_聚变'!$E$23</f>
        <v>50</v>
      </c>
      <c r="C73" s="26" t="inlineStr">
        <is>
          <t>MW</t>
        </is>
      </c>
      <c r="D73" s="26" t="inlineStr">
        <is>
          <t>微软—Helion</t>
        </is>
      </c>
    </row>
    <row r="74">
      <c r="A74" s="26" t="inlineStr">
        <is>
          <t>ppa.fus.FU-P02</t>
        </is>
      </c>
      <c r="B74" s="27">
        <f>'D7_聚变'!$E$24</f>
        <v>200</v>
      </c>
      <c r="C74" s="26" t="inlineStr">
        <is>
          <t>MW</t>
        </is>
      </c>
      <c r="D74" s="26" t="inlineStr">
        <is>
          <t>Google—CFS</t>
        </is>
      </c>
    </row>
    <row r="75">
      <c r="A75" s="26" t="inlineStr">
        <is>
          <t>ppa.fus.year.helion</t>
        </is>
      </c>
      <c r="B75" s="27">
        <f>'D7_聚变'!$E$28</f>
        <v>2028</v>
      </c>
      <c r="C75" s="26" t="inlineStr">
        <is>
          <t>年</t>
        </is>
      </c>
      <c r="D75" s="26" t="inlineStr"/>
    </row>
    <row r="76">
      <c r="A76" s="26" t="inlineStr">
        <is>
          <t>ppa.buyer.ms</t>
        </is>
      </c>
      <c r="B76" s="27">
        <f>'汇总'!$C$120</f>
        <v>835</v>
      </c>
      <c r="C76" s="26" t="inlineStr">
        <is>
          <t>MW</t>
        </is>
      </c>
      <c r="D76" s="26" t="inlineStr"/>
    </row>
    <row r="77">
      <c r="A77" s="26" t="inlineStr">
        <is>
          <t>ppa.buyer.me</t>
        </is>
      </c>
      <c r="B77" s="27">
        <f>'汇总'!$C$121</f>
        <v>3730</v>
      </c>
      <c r="C77" s="26" t="inlineStr">
        <is>
          <t>MW</t>
        </is>
      </c>
      <c r="D77" s="26" t="inlineStr"/>
    </row>
    <row r="78">
      <c r="A78" s="26" t="inlineStr">
        <is>
          <t>ppa.buyer.am</t>
        </is>
      </c>
      <c r="B78" s="27">
        <f>'汇总'!$C$122</f>
        <v>3810</v>
      </c>
      <c r="C78" s="26" t="inlineStr">
        <is>
          <t>MW</t>
        </is>
      </c>
      <c r="D78" s="26" t="inlineStr"/>
    </row>
    <row r="79">
      <c r="A79" s="26" t="inlineStr">
        <is>
          <t>ppa.buyer.go</t>
        </is>
      </c>
      <c r="B79" s="27">
        <f>'汇总'!$C$123</f>
        <v>1601</v>
      </c>
      <c r="C79" s="26" t="inlineStr">
        <is>
          <t>MW</t>
        </is>
      </c>
      <c r="D79" s="26" t="inlineStr"/>
    </row>
    <row r="80">
      <c r="A80" s="26" t="inlineStr">
        <is>
          <t>bridge.fusionFirstYear</t>
        </is>
      </c>
      <c r="B80" s="27">
        <f>'D7_聚变'!$E$28</f>
        <v>2028</v>
      </c>
      <c r="C80" s="26" t="inlineStr">
        <is>
          <t>年</t>
        </is>
      </c>
      <c r="D80" s="26" t="inlineStr"/>
    </row>
    <row r="81">
      <c r="A81" s="26" t="inlineStr">
        <is>
          <t>bridge.arcMW</t>
        </is>
      </c>
      <c r="B81" s="27">
        <f>'D9_托卡马克部件'!$E$33</f>
        <v>400</v>
      </c>
      <c r="C81" s="26" t="inlineStr">
        <is>
          <t>MW</t>
        </is>
      </c>
      <c r="D81" s="26" t="inlineStr"/>
    </row>
    <row r="82">
      <c r="A82" s="26" t="inlineStr">
        <is>
          <t>bridge.fiaTotal</t>
        </is>
      </c>
      <c r="B82" s="27">
        <f>'D7_聚变'!$E$6</f>
        <v>14.24</v>
      </c>
      <c r="C82" s="26" t="inlineStr">
        <is>
          <t>十亿美元</t>
        </is>
      </c>
      <c r="D82" s="26" t="inlineStr"/>
    </row>
    <row r="83">
      <c r="A83" s="26" t="inlineStr">
        <is>
          <t>tok.TK-01</t>
        </is>
      </c>
      <c r="B83" s="27">
        <f>'D9_托卡马克部件'!$E$5</f>
        <v>150</v>
      </c>
      <c r="C83" s="26" t="inlineStr">
        <is>
          <t>百万摄氏度</t>
        </is>
      </c>
      <c r="D83" s="26" t="inlineStr">
        <is>
          <t>等离子体温度</t>
        </is>
      </c>
    </row>
    <row r="84">
      <c r="A84" s="26" t="inlineStr">
        <is>
          <t>tok.TK-02</t>
        </is>
      </c>
      <c r="B84" s="27">
        <f>'D9_托卡马克部件'!$E$6</f>
        <v>500</v>
      </c>
      <c r="C84" s="26" t="inlineStr">
        <is>
          <t>MW</t>
        </is>
      </c>
      <c r="D84" s="26" t="inlineStr">
        <is>
          <t>聚变功率（Q≥10 目标）</t>
        </is>
      </c>
    </row>
    <row r="85">
      <c r="A85" s="26" t="inlineStr">
        <is>
          <t>tok.TK-03</t>
        </is>
      </c>
      <c r="B85" s="27">
        <f>'D9_托卡马克部件'!$E$7</f>
        <v>50</v>
      </c>
      <c r="C85" s="26" t="inlineStr">
        <is>
          <t>MW</t>
        </is>
      </c>
      <c r="D85" s="26" t="inlineStr">
        <is>
          <t>加热功率</t>
        </is>
      </c>
    </row>
    <row r="86">
      <c r="A86" s="26" t="inlineStr">
        <is>
          <t>tok.TK-04</t>
        </is>
      </c>
      <c r="B86" s="27">
        <f>'D9_托卡马克部件'!$E$8</f>
        <v>23000</v>
      </c>
      <c r="C86" s="26" t="inlineStr">
        <is>
          <t>吨</t>
        </is>
      </c>
      <c r="D86" s="26" t="inlineStr">
        <is>
          <t>整机重量</t>
        </is>
      </c>
    </row>
    <row r="87">
      <c r="A87" s="26" t="inlineStr">
        <is>
          <t>tok.TK-10</t>
        </is>
      </c>
      <c r="B87" s="27">
        <f>'D9_托卡马克部件'!$E$9</f>
        <v>30</v>
      </c>
      <c r="C87" s="26" t="inlineStr">
        <is>
          <t>米（约）</t>
        </is>
      </c>
      <c r="D87" s="26" t="inlineStr">
        <is>
          <t>宽度与高度</t>
        </is>
      </c>
    </row>
    <row r="88">
      <c r="A88" s="26" t="inlineStr">
        <is>
          <t>tok.TK-11</t>
        </is>
      </c>
      <c r="B88" s="27">
        <f>'D9_托卡马克部件'!$E$10</f>
        <v>3850</v>
      </c>
      <c r="C88" s="26" t="inlineStr">
        <is>
          <t>吨</t>
        </is>
      </c>
      <c r="D88" s="26" t="inlineStr">
        <is>
          <t>重量</t>
        </is>
      </c>
    </row>
    <row r="89">
      <c r="A89" s="26" t="inlineStr">
        <is>
          <t>tok.TK-12</t>
        </is>
      </c>
      <c r="B89" s="27">
        <f>'D9_托卡马克部件'!$E$11</f>
        <v>16000</v>
      </c>
      <c r="C89" s="26" t="inlineStr">
        <is>
          <t>立方米</t>
        </is>
      </c>
      <c r="D89" s="26" t="inlineStr">
        <is>
          <t>容积</t>
        </is>
      </c>
    </row>
    <row r="90">
      <c r="A90" s="26" t="inlineStr">
        <is>
          <t>tok.TK-20</t>
        </is>
      </c>
      <c r="B90" s="27">
        <f>'D9_托卡马克部件'!$E$12</f>
        <v>18</v>
      </c>
      <c r="C90" s="26" t="inlineStr">
        <is>
          <t>个</t>
        </is>
      </c>
      <c r="D90" s="26" t="inlineStr">
        <is>
          <t>线圈数量</t>
        </is>
      </c>
    </row>
    <row r="91">
      <c r="A91" s="26" t="inlineStr">
        <is>
          <t>tok.TK-21</t>
        </is>
      </c>
      <c r="B91" s="27">
        <f>'D9_托卡马克部件'!$E$13</f>
        <v>11.8</v>
      </c>
      <c r="C91" s="26" t="inlineStr">
        <is>
          <t>特斯拉</t>
        </is>
      </c>
      <c r="D91" s="26" t="inlineStr">
        <is>
          <t>最大磁场</t>
        </is>
      </c>
    </row>
    <row r="92">
      <c r="A92" s="26" t="inlineStr">
        <is>
          <t>tok.TK-22</t>
        </is>
      </c>
      <c r="B92" s="27">
        <f>'D9_托卡马克部件'!$E$14</f>
        <v>330</v>
      </c>
      <c r="C92" s="26" t="inlineStr">
        <is>
          <t>吨</t>
        </is>
      </c>
      <c r="D92" s="26" t="inlineStr">
        <is>
          <t>单个重量</t>
        </is>
      </c>
    </row>
    <row r="93">
      <c r="A93" s="26" t="inlineStr">
        <is>
          <t>tok.TK-30</t>
        </is>
      </c>
      <c r="B93" s="27">
        <f>'D9_托卡马克部件'!$E$15</f>
        <v>6</v>
      </c>
      <c r="C93" s="26" t="inlineStr">
        <is>
          <t>个</t>
        </is>
      </c>
      <c r="D93" s="26" t="inlineStr">
        <is>
          <t>线圈数量</t>
        </is>
      </c>
    </row>
    <row r="94">
      <c r="A94" s="26" t="inlineStr">
        <is>
          <t>tok.TK-31</t>
        </is>
      </c>
      <c r="B94" s="27">
        <f>'D9_托卡马克部件'!$E$16</f>
        <v>24</v>
      </c>
      <c r="C94" s="26" t="inlineStr">
        <is>
          <t>米</t>
        </is>
      </c>
      <c r="D94" s="26" t="inlineStr">
        <is>
          <t>最大直径</t>
        </is>
      </c>
    </row>
    <row r="95">
      <c r="A95" s="26" t="inlineStr">
        <is>
          <t>tok.TK-32</t>
        </is>
      </c>
      <c r="B95" s="27">
        <f>'D9_托卡马克部件'!$E$17</f>
        <v>6</v>
      </c>
      <c r="C95" s="26" t="inlineStr">
        <is>
          <t>特斯拉</t>
        </is>
      </c>
      <c r="D95" s="26" t="inlineStr">
        <is>
          <t>最大磁场</t>
        </is>
      </c>
    </row>
    <row r="96">
      <c r="A96" s="26" t="inlineStr">
        <is>
          <t>tok.TK-40</t>
        </is>
      </c>
      <c r="B96" s="27">
        <f>'D9_托卡马克部件'!$E$18</f>
        <v>6</v>
      </c>
      <c r="C96" s="26" t="inlineStr">
        <is>
          <t>个</t>
        </is>
      </c>
      <c r="D96" s="26" t="inlineStr">
        <is>
          <t>模块数量</t>
        </is>
      </c>
    </row>
    <row r="97">
      <c r="A97" s="26" t="inlineStr">
        <is>
          <t>tok.TK-41</t>
        </is>
      </c>
      <c r="B97" s="27">
        <f>'D9_托卡马克部件'!$E$19</f>
        <v>13</v>
      </c>
      <c r="C97" s="26" t="inlineStr">
        <is>
          <t>特斯拉</t>
        </is>
      </c>
      <c r="D97" s="26" t="inlineStr">
        <is>
          <t>最大磁场</t>
        </is>
      </c>
    </row>
    <row r="98">
      <c r="A98" s="26" t="inlineStr">
        <is>
          <t>tok.TK-42</t>
        </is>
      </c>
      <c r="B98" s="27">
        <f>'D9_托卡马克部件'!$E$20</f>
        <v>15</v>
      </c>
      <c r="C98" s="26" t="inlineStr">
        <is>
          <t>兆安</t>
        </is>
      </c>
      <c r="D98" s="26" t="inlineStr">
        <is>
          <t>驱动的等离子体电流</t>
        </is>
      </c>
    </row>
    <row r="99">
      <c r="A99" s="26" t="inlineStr">
        <is>
          <t>tok.TK-50</t>
        </is>
      </c>
      <c r="B99" s="27">
        <f>'D9_托卡马克部件'!$E$21</f>
        <v>19.4</v>
      </c>
      <c r="C99" s="26" t="inlineStr">
        <is>
          <t>米</t>
        </is>
      </c>
      <c r="D99" s="26" t="inlineStr">
        <is>
          <t>外径</t>
        </is>
      </c>
    </row>
    <row r="100">
      <c r="A100" s="26" t="inlineStr">
        <is>
          <t>tok.TK-51</t>
        </is>
      </c>
      <c r="B100" s="27">
        <f>'D9_托卡马克部件'!$E$22</f>
        <v>11.4</v>
      </c>
      <c r="C100" s="26" t="inlineStr">
        <is>
          <t>米</t>
        </is>
      </c>
      <c r="D100" s="26" t="inlineStr">
        <is>
          <t>高度</t>
        </is>
      </c>
    </row>
    <row r="101">
      <c r="A101" s="26" t="inlineStr">
        <is>
          <t>tok.TK-52</t>
        </is>
      </c>
      <c r="B101" s="27">
        <f>'D9_托卡马克部件'!$E$23</f>
        <v>5200</v>
      </c>
      <c r="C101" s="26" t="inlineStr">
        <is>
          <t>吨</t>
        </is>
      </c>
      <c r="D101" s="26" t="inlineStr">
        <is>
          <t>重量（空载）</t>
        </is>
      </c>
    </row>
    <row r="102">
      <c r="A102" s="26" t="inlineStr">
        <is>
          <t>tok.TK-53</t>
        </is>
      </c>
      <c r="B102" s="27">
        <f>'D9_托卡马克部件'!$E$24</f>
        <v>9</v>
      </c>
      <c r="C102" s="26" t="inlineStr">
        <is>
          <t>个</t>
        </is>
      </c>
      <c r="D102" s="26" t="inlineStr">
        <is>
          <t>扇区数</t>
        </is>
      </c>
    </row>
    <row r="103">
      <c r="A103" s="26" t="inlineStr">
        <is>
          <t>tok.TK-60</t>
        </is>
      </c>
      <c r="B103" s="27">
        <f>'D9_托卡马克部件'!$E$25</f>
        <v>440</v>
      </c>
      <c r="C103" s="26" t="inlineStr">
        <is>
          <t>块</t>
        </is>
      </c>
      <c r="D103" s="26" t="inlineStr">
        <is>
          <t>模块数量</t>
        </is>
      </c>
    </row>
    <row r="104">
      <c r="A104" s="26" t="inlineStr">
        <is>
          <t>tok.TK-61</t>
        </is>
      </c>
      <c r="B104" s="27">
        <f>'D9_托卡马克部件'!$E$26</f>
        <v>736</v>
      </c>
      <c r="C104" s="26" t="inlineStr">
        <is>
          <t>MW</t>
        </is>
      </c>
      <c r="D104" s="26" t="inlineStr">
        <is>
          <t>可带走热功率</t>
        </is>
      </c>
    </row>
    <row r="105">
      <c r="A105" s="26" t="inlineStr">
        <is>
          <t>tok.TK-62</t>
        </is>
      </c>
      <c r="B105" s="27">
        <f>'D9_托卡马克部件'!$E$27</f>
        <v>600</v>
      </c>
      <c r="C105" s="26" t="inlineStr">
        <is>
          <t>平方米</t>
        </is>
      </c>
      <c r="D105" s="26" t="inlineStr">
        <is>
          <t>覆盖面积</t>
        </is>
      </c>
    </row>
    <row r="106">
      <c r="A106" s="26" t="inlineStr">
        <is>
          <t>tok.TK-70</t>
        </is>
      </c>
      <c r="B106" s="27">
        <f>'D9_托卡马克部件'!$E$28</f>
        <v>54</v>
      </c>
      <c r="C106" s="26" t="inlineStr">
        <is>
          <t>个</t>
        </is>
      </c>
      <c r="D106" s="26" t="inlineStr">
        <is>
          <t>盒式模块数量</t>
        </is>
      </c>
    </row>
    <row r="107">
      <c r="A107" s="26" t="inlineStr">
        <is>
          <t>tok.TK-71</t>
        </is>
      </c>
      <c r="B107" s="27">
        <f>'D9_托卡马克部件'!$E$29</f>
        <v>10</v>
      </c>
      <c r="C107" s="26" t="inlineStr">
        <is>
          <t>MW/平方米</t>
        </is>
      </c>
      <c r="D107" s="26" t="inlineStr">
        <is>
          <t>稳态热流</t>
        </is>
      </c>
    </row>
    <row r="108">
      <c r="A108" s="26" t="inlineStr">
        <is>
          <t>tok.TK-80</t>
        </is>
      </c>
      <c r="B108" s="27">
        <f>'D9_托卡马克部件'!$E$30</f>
        <v>830</v>
      </c>
      <c r="C108" s="26" t="inlineStr">
        <is>
          <t>立方米</t>
        </is>
      </c>
      <c r="D108" s="26" t="inlineStr">
        <is>
          <t>等离子体体积</t>
        </is>
      </c>
    </row>
    <row r="109">
      <c r="A109" s="26" t="inlineStr">
        <is>
          <t>tok.TK-81</t>
        </is>
      </c>
      <c r="B109" s="27">
        <f>'D9_托卡马克部件'!$E$31</f>
        <v>33</v>
      </c>
      <c r="C109" s="26" t="inlineStr">
        <is>
          <t>MW</t>
        </is>
      </c>
      <c r="D109" s="26" t="inlineStr">
        <is>
          <t>中性束加热（两台合计）</t>
        </is>
      </c>
    </row>
    <row r="110">
      <c r="A110" s="26" t="inlineStr">
        <is>
          <t>tok.TK-90</t>
        </is>
      </c>
      <c r="B110" s="27">
        <f>'D9_托卡马克部件'!$E$32</f>
        <v>12.2</v>
      </c>
      <c r="C110" s="26" t="inlineStr">
        <is>
          <t>特斯拉</t>
        </is>
      </c>
      <c r="D110" s="26" t="inlineStr">
        <is>
          <t>SPARC 轴上磁场（CFS，高温超导）</t>
        </is>
      </c>
    </row>
    <row r="111">
      <c r="A111" s="26" t="inlineStr">
        <is>
          <t>tok.TK-91</t>
        </is>
      </c>
      <c r="B111" s="27">
        <f>'D9_托卡马克部件'!$E$33</f>
        <v>400</v>
      </c>
      <c r="C111" s="26" t="inlineStr">
        <is>
          <t>MW</t>
        </is>
      </c>
      <c r="D111" s="26" t="inlineStr">
        <is>
          <t>ARC 电站净发电功率（CFS）</t>
        </is>
      </c>
    </row>
  </sheetData>
  <mergeCells count="1">
    <mergeCell ref="A2:D2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2" customWidth="1" min="3" max="3"/>
    <col width="12" customWidth="1" min="4" max="4"/>
    <col width="70" customWidth="1" min="5" max="5"/>
    <col width="50" customWidth="1" min="6" max="6"/>
  </cols>
  <sheetData>
    <row r="1">
      <c r="A1" s="8" t="inlineStr">
        <is>
          <t>假设（橙色单元格可修改，相关结果自动联动）</t>
        </is>
      </c>
    </row>
    <row r="2" ht="30" customHeight="1">
      <c r="A2" s="9" t="inlineStr">
        <is>
          <t>这里的数值不是披露事实，而是本研究为计算设定的假设或常数；修改后，汇总、图表与“网页数据”页会自动重算。网页使用的 JSON 由“网页数据”页导出，改动后需重新导出网页数据才会同步到网页。</t>
        </is>
      </c>
    </row>
    <row r="4" ht="30" customHeight="1">
      <c r="A4" s="10" t="inlineStr">
        <is>
          <t>键</t>
        </is>
      </c>
      <c r="B4" s="10" t="inlineStr">
        <is>
          <t>假设项</t>
        </is>
      </c>
      <c r="C4" s="10" t="inlineStr">
        <is>
          <t>取值</t>
        </is>
      </c>
      <c r="D4" s="10" t="inlineStr">
        <is>
          <t>单位</t>
        </is>
      </c>
      <c r="E4" s="10" t="inlineStr">
        <is>
          <t>依据</t>
        </is>
      </c>
      <c r="F4" s="10" t="inlineStr">
        <is>
          <t>影响的结果</t>
        </is>
      </c>
    </row>
    <row r="5" ht="32" customHeight="1">
      <c r="A5" s="14" t="inlineStr">
        <is>
          <t>scenario_2030</t>
        </is>
      </c>
      <c r="B5" s="14" t="inlineStr">
        <is>
          <t>2030 年全球数据中心用电情景（下拉选择）</t>
        </is>
      </c>
      <c r="C5" s="29" t="inlineStr">
        <is>
          <t>基准</t>
        </is>
      </c>
      <c r="D5" s="14" t="inlineStr">
        <is>
          <t>情景</t>
        </is>
      </c>
      <c r="E5" s="14" t="inlineStr">
        <is>
          <t>IEA 2026 年更新版四种情景：基准 945、起飞 1008、高效 868、逆风 833 TWh（D1 表 DC-03、DC-05～DC-07）</t>
        </is>
      </c>
      <c r="F5" s="14" t="inlineStr">
        <is>
          <t>汇总 A 节 2030 年用电、增速、占比；图表 1</t>
        </is>
      </c>
    </row>
    <row r="6" ht="32" customHeight="1">
      <c r="A6" s="14" t="inlineStr">
        <is>
          <t>other_share_2030</t>
        </is>
      </c>
      <c r="B6" s="14" t="inlineStr">
        <is>
          <t>2030 年数据中心供电中“其他”来源占比</t>
        </is>
      </c>
      <c r="C6" s="30" t="n">
        <v>0.02</v>
      </c>
      <c r="D6" s="14" t="inlineStr">
        <is>
          <t>%</t>
        </is>
      </c>
      <c r="E6" s="14" t="inlineStr">
        <is>
          <t>IEA 未给出 2030 年“其他”占比；取 2024 年残差约 2%（D2 表 MIX-06）</t>
        </is>
      </c>
      <c r="F6" s="14" t="inlineStr">
        <is>
          <t>D2 表 2030 年总发电量、煤电与其他发电量；网页桑基图 2030 年</t>
        </is>
      </c>
    </row>
    <row r="7" ht="32" customHeight="1">
      <c r="A7" s="14" t="inlineStr">
        <is>
          <t>us_gas_share_2024</t>
        </is>
      </c>
      <c r="B7" s="14" t="inlineStr">
        <is>
          <t>2024 年美国数据中心供电中天然气占比</t>
        </is>
      </c>
      <c r="C7" s="30" t="n">
        <v>0.41</v>
      </c>
      <c r="D7" s="14" t="inlineStr">
        <is>
          <t>%</t>
        </is>
      </c>
      <c r="E7" s="14" t="inlineStr">
        <is>
          <t>IEA 原文“超过 40%”；取 41% 使四类合计约 100%</t>
        </is>
      </c>
      <c r="F7" s="14" t="inlineStr">
        <is>
          <t>美国 2024 年电源结构（网页“美国 2024”视图）</t>
        </is>
      </c>
    </row>
    <row r="8" ht="32" customHeight="1">
      <c r="A8" s="14" t="inlineStr">
        <is>
          <t>guidance_pos</t>
        </is>
      </c>
      <c r="B8" s="14" t="inlineStr">
        <is>
          <t>资本开支指引在区间内的取值位置（0=下限，0.5=中值，1=上限）</t>
        </is>
      </c>
      <c r="C8" s="31" t="n">
        <v>0.5</v>
      </c>
      <c r="D8" s="14" t="inlineStr">
        <is>
          <t>比例</t>
        </is>
      </c>
      <c r="E8" s="14" t="inlineStr">
        <is>
          <t>公司只给区间；默认取中值</t>
        </is>
      </c>
      <c r="F8" s="14" t="inlineStr">
        <is>
          <t>Alphabet、Meta 2026 年资本开支；Meta 四季度隐含值</t>
        </is>
      </c>
    </row>
    <row r="9" ht="32" customHeight="1">
      <c r="A9" s="14" t="inlineStr">
        <is>
          <t>capex_per_gw</t>
        </is>
      </c>
      <c r="B9" s="14" t="inlineStr">
        <is>
          <t>每 GW AI 数据中心的全口径投资（含芯片与设施）</t>
        </is>
      </c>
      <c r="C9" s="31" t="n">
        <v>45</v>
      </c>
      <c r="D9" s="14" t="inlineStr">
        <is>
          <t>十亿美元/GW</t>
        </is>
      </c>
      <c r="E9" s="14" t="inlineStr">
        <is>
          <t>介于 Epoch AI 估计（约 300–380 亿美元/GW，D3 表 PW-13）与星际之门隐含值（约 570 亿美元/GW，PW-14）之间</t>
        </is>
      </c>
      <c r="F9" s="14" t="inlineStr">
        <is>
          <t>资本开支可支撑的 GW 推算（示意上限）</t>
        </is>
      </c>
    </row>
    <row r="10" ht="32" customHeight="1">
      <c r="A10" s="14" t="inlineStr">
        <is>
          <t>ai_load_factor</t>
        </is>
      </c>
      <c r="B10" s="14" t="inlineStr">
        <is>
          <t>AI 数据中心年平均负荷率</t>
        </is>
      </c>
      <c r="C10" s="30" t="n">
        <v>0.7</v>
      </c>
      <c r="D10" s="14" t="inlineStr">
        <is>
          <t>%</t>
        </is>
      </c>
      <c r="E10" s="14" t="inlineStr">
        <is>
          <t>Epoch AI：平均功率通常为装机的 60–80%（第三方估计）</t>
        </is>
      </c>
      <c r="F10" s="14" t="inlineStr">
        <is>
          <t>GW → 年用电量 TWh 的换算</t>
        </is>
      </c>
    </row>
    <row r="11" ht="32" customHeight="1">
      <c r="A11" s="14" t="inlineStr">
        <is>
          <t>nuclear_cf</t>
        </is>
      </c>
      <c r="B11" s="14" t="inlineStr">
        <is>
          <t>核电购电协议的年容量系数</t>
        </is>
      </c>
      <c r="C11" s="30" t="n">
        <v>0.91</v>
      </c>
      <c r="D11" s="14" t="inlineStr">
        <is>
          <t>%</t>
        </is>
      </c>
      <c r="E11" s="14" t="inlineStr">
        <is>
          <t>取 EIA 2025 年美国核电平均容量系数 91%（D2 表 GRID-11）</t>
        </is>
      </c>
      <c r="F11" s="14" t="inlineStr">
        <is>
          <t>购电协议 MW → 年发电量 TWh</t>
        </is>
      </c>
    </row>
    <row r="12" ht="32" customHeight="1">
      <c r="A12" s="14" t="inlineStr">
        <is>
          <t>hours</t>
        </is>
      </c>
      <c r="B12" s="14" t="inlineStr">
        <is>
          <t>一年小时数</t>
        </is>
      </c>
      <c r="C12" s="31" t="n">
        <v>8760</v>
      </c>
      <c r="D12" s="14" t="inlineStr">
        <is>
          <t>小时</t>
        </is>
      </c>
      <c r="E12" s="14" t="inlineStr">
        <is>
          <t>常数</t>
        </is>
      </c>
      <c r="F12" s="14" t="inlineStr">
        <is>
          <t>所有 MW/GW 与 TWh 的换算</t>
        </is>
      </c>
    </row>
  </sheetData>
  <mergeCells count="1">
    <mergeCell ref="A2:F2"/>
  </mergeCells>
  <dataValidations count="1">
    <dataValidation sqref="C5" showDropDown="0" showInputMessage="0" showErrorMessage="0" allowBlank="0" promptTitle="选择情景" prompt="基准 / 起飞 / 高效 / 逆风" type="list">
      <formula1>"基准,起飞,高效,逆风"</formula1>
    </dataValidation>
  </dataValidation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6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  <col width="18" customWidth="1" min="4" max="4"/>
    <col width="13" customWidth="1" min="5" max="5"/>
    <col width="12" customWidth="1" min="6" max="6"/>
    <col width="14" customWidth="1" min="7" max="7"/>
    <col width="11" customWidth="1" min="8" max="8"/>
    <col width="44" customWidth="1" min="9" max="9"/>
    <col width="44" customWidth="1" min="10" max="10"/>
    <col width="16" customWidth="1" min="11" max="11"/>
    <col width="52" customWidth="1" min="12" max="12"/>
    <col width="12" customWidth="1" min="13" max="13"/>
    <col width="10" customWidth="1" min="14" max="14"/>
  </cols>
  <sheetData>
    <row r="1">
      <c r="A1" s="8" t="inlineStr">
        <is>
          <t>D1 数据中心用电：全球、地区、情景与分母（IEA、LBNL、EIA）</t>
        </is>
      </c>
    </row>
    <row r="2" ht="30" customHeight="1">
      <c r="A2" s="9" t="inlineStr">
        <is>
          <t>蓝底=输入（披露数据）；橙底=输入（假设）；绿底=公式（本表计算）。“出处定位”给出原始材料的文件与章节，或网页链接；“访问日期”为网页查阅日期。</t>
        </is>
      </c>
    </row>
    <row r="4" ht="30" customHeight="1">
      <c r="A4" s="10" t="inlineStr">
        <is>
          <t>编号</t>
        </is>
      </c>
      <c r="B4" s="10" t="inlineStr">
        <is>
          <t>类别</t>
        </is>
      </c>
      <c r="C4" s="10" t="inlineStr">
        <is>
          <t>指标</t>
        </is>
      </c>
      <c r="D4" s="10" t="inlineStr">
        <is>
          <t>主体/地区</t>
        </is>
      </c>
      <c r="E4" s="10" t="inlineStr">
        <is>
          <t>数值</t>
        </is>
      </c>
      <c r="F4" s="10" t="inlineStr">
        <is>
          <t>单位</t>
        </is>
      </c>
      <c r="G4" s="10" t="inlineStr">
        <is>
          <t>期间</t>
        </is>
      </c>
      <c r="H4" s="10" t="inlineStr">
        <is>
          <t>性质</t>
        </is>
      </c>
      <c r="I4" s="10" t="inlineStr">
        <is>
          <t>口径说明</t>
        </is>
      </c>
      <c r="J4" s="10" t="inlineStr">
        <is>
          <t>来源名称</t>
        </is>
      </c>
      <c r="K4" s="10" t="inlineStr">
        <is>
          <t>发布日期</t>
        </is>
      </c>
      <c r="L4" s="10" t="inlineStr">
        <is>
          <t>出处定位（文件章节/表名或网页链接）</t>
        </is>
      </c>
      <c r="M4" s="10" t="inlineStr">
        <is>
          <t>访问日期</t>
        </is>
      </c>
      <c r="N4" s="10" t="inlineStr">
        <is>
          <t>来源编号</t>
        </is>
      </c>
    </row>
    <row r="5">
      <c r="A5" s="14" t="inlineStr">
        <is>
          <t>DC-01</t>
        </is>
      </c>
      <c r="B5" s="14" t="inlineStr">
        <is>
          <t>全球用电</t>
        </is>
      </c>
      <c r="C5" s="14" t="inlineStr">
        <is>
          <t>全球数据中心用电量</t>
        </is>
      </c>
      <c r="D5" s="14" t="inlineStr">
        <is>
          <t>全球</t>
        </is>
      </c>
      <c r="E5" s="32" t="n">
        <v>415</v>
      </c>
      <c r="F5" s="14" t="inlineStr">
        <is>
          <t>TWh</t>
        </is>
      </c>
      <c r="G5" s="14" t="inlineStr">
        <is>
          <t>2024</t>
        </is>
      </c>
      <c r="H5" s="14" t="inlineStr">
        <is>
          <t>官方估计</t>
        </is>
      </c>
      <c r="I5" s="14" t="inlineStr">
        <is>
          <t>含超大规模、托管、企业数据中心；设施总用电（IT×PUE）。IEA 附表 A.1 为 416</t>
        </is>
      </c>
      <c r="J5" s="14" t="inlineStr">
        <is>
          <t>IEA《能源与人工智能》Energy and AI（世界能源展望特别报告）</t>
        </is>
      </c>
      <c r="K5" s="14" t="inlineStr">
        <is>
          <t>2025-04（PDF 元数据 2025-04-11）</t>
        </is>
      </c>
      <c r="L5" s="14" t="inlineStr">
        <is>
          <t>https://iea.blob.core.windows.net/assets/b3a8b37f-32d1-4873-9eca-31cec5895264/EnergyandAI.pdf｜PDF 第 14 页执行摘要；附表 A.1</t>
        </is>
      </c>
      <c r="M5" s="14" t="inlineStr">
        <is>
          <t>2026-10-22</t>
        </is>
      </c>
      <c r="N5" s="14" t="inlineStr">
        <is>
          <t>IEA25</t>
        </is>
      </c>
    </row>
    <row r="6">
      <c r="A6" s="14" t="inlineStr">
        <is>
          <t>DC-02</t>
        </is>
      </c>
      <c r="B6" s="14" t="inlineStr">
        <is>
          <t>全球用电</t>
        </is>
      </c>
      <c r="C6" s="14" t="inlineStr">
        <is>
          <t>全球数据中心用电量</t>
        </is>
      </c>
      <c r="D6" s="14" t="inlineStr">
        <is>
          <t>全球</t>
        </is>
      </c>
      <c r="E6" s="32" t="n">
        <v>485</v>
      </c>
      <c r="F6" s="14" t="inlineStr">
        <is>
          <t>TWh</t>
        </is>
      </c>
      <c r="G6" s="14" t="inlineStr">
        <is>
          <t>2025</t>
        </is>
      </c>
      <c r="H6" s="14" t="inlineStr">
        <is>
          <t>官方估计</t>
        </is>
      </c>
      <c r="I6" s="14" t="inlineStr">
        <is>
          <t>同上口径；2026 年更新版首次给出 2025 年数</t>
        </is>
      </c>
      <c r="J6" s="14" t="inlineStr">
        <is>
          <t>IEA《能源与人工智能关键问题》Key Questions on Energy and AI（2026 年更新版）</t>
        </is>
      </c>
      <c r="K6" s="14" t="inlineStr">
        <is>
          <t>2026-04-16</t>
        </is>
      </c>
      <c r="L6" s="14" t="inlineStr">
        <is>
          <t>https://iea.blob.core.windows.net/assets/3179f7f8-01f6-4dd6-bffa-c9f7b73f1dc9/KeyQuestionsonEnergyandAI.pdf｜PDF 第 10 页执行摘要；PDF 第 108 页表 A.1</t>
        </is>
      </c>
      <c r="M6" s="14" t="inlineStr">
        <is>
          <t>2026-10-22</t>
        </is>
      </c>
      <c r="N6" s="14" t="inlineStr">
        <is>
          <t>IEA26</t>
        </is>
      </c>
    </row>
    <row r="7">
      <c r="A7" s="14" t="inlineStr">
        <is>
          <t>DC-03</t>
        </is>
      </c>
      <c r="B7" s="14" t="inlineStr">
        <is>
          <t>全球用电</t>
        </is>
      </c>
      <c r="C7" s="14" t="inlineStr">
        <is>
          <t>全球数据中心用电量（基准情景）</t>
        </is>
      </c>
      <c r="D7" s="14" t="inlineStr">
        <is>
          <t>全球</t>
        </is>
      </c>
      <c r="E7" s="32" t="n">
        <v>945</v>
      </c>
      <c r="F7" s="14" t="inlineStr">
        <is>
          <t>TWh</t>
        </is>
      </c>
      <c r="G7" s="14" t="inlineStr">
        <is>
          <t>2030</t>
        </is>
      </c>
      <c r="H7" s="14" t="inlineStr">
        <is>
          <t>官方预测</t>
        </is>
      </c>
      <c r="I7" s="14" t="inlineStr">
        <is>
          <t>基准情景；正文写“约 950 TWh”，附表 A.1 为 945</t>
        </is>
      </c>
      <c r="J7" s="14" t="inlineStr">
        <is>
          <t>IEA《能源与人工智能关键问题》Key Questions on Energy and AI（2026 年更新版）</t>
        </is>
      </c>
      <c r="K7" s="14" t="inlineStr">
        <is>
          <t>2026-04-16</t>
        </is>
      </c>
      <c r="L7" s="14" t="inlineStr">
        <is>
          <t>https://iea.blob.core.windows.net/assets/3179f7f8-01f6-4dd6-bffa-c9f7b73f1dc9/KeyQuestionsonEnergyandAI.pdf｜PDF 第 108 页表 A.1（2025 年版附表为 946）</t>
        </is>
      </c>
      <c r="M7" s="14" t="inlineStr">
        <is>
          <t>2026-10-22</t>
        </is>
      </c>
      <c r="N7" s="14" t="inlineStr">
        <is>
          <t>IEA26</t>
        </is>
      </c>
    </row>
    <row r="8">
      <c r="A8" s="14" t="inlineStr">
        <is>
          <t>DC-04</t>
        </is>
      </c>
      <c r="B8" s="14" t="inlineStr">
        <is>
          <t>全球用电</t>
        </is>
      </c>
      <c r="C8" s="14" t="inlineStr">
        <is>
          <t>全球数据中心用电量（基准情景）</t>
        </is>
      </c>
      <c r="D8" s="14" t="inlineStr">
        <is>
          <t>全球</t>
        </is>
      </c>
      <c r="E8" s="32" t="n">
        <v>1193</v>
      </c>
      <c r="F8" s="14" t="inlineStr">
        <is>
          <t>TWh</t>
        </is>
      </c>
      <c r="G8" s="14" t="inlineStr">
        <is>
          <t>2035</t>
        </is>
      </c>
      <c r="H8" s="14" t="inlineStr">
        <is>
          <t>官方预测</t>
        </is>
      </c>
      <c r="I8" s="14" t="inlineStr">
        <is>
          <t>2035 年为探索性情景</t>
        </is>
      </c>
      <c r="J8" s="14" t="inlineStr">
        <is>
          <t>IEA《能源与人工智能关键问题》Key Questions on Energy and AI（2026 年更新版）</t>
        </is>
      </c>
      <c r="K8" s="14" t="inlineStr">
        <is>
          <t>2026-04-16</t>
        </is>
      </c>
      <c r="L8" s="14" t="inlineStr">
        <is>
          <t>https://iea.blob.core.windows.net/assets/3179f7f8-01f6-4dd6-bffa-c9f7b73f1dc9/KeyQuestionsonEnergyandAI.pdf｜PDF 第 108 页表 A.1</t>
        </is>
      </c>
      <c r="M8" s="14" t="inlineStr">
        <is>
          <t>2026-10-22</t>
        </is>
      </c>
      <c r="N8" s="14" t="inlineStr">
        <is>
          <t>IEA26</t>
        </is>
      </c>
    </row>
    <row r="9">
      <c r="A9" s="14" t="inlineStr">
        <is>
          <t>DC-05</t>
        </is>
      </c>
      <c r="B9" s="14" t="inlineStr">
        <is>
          <t>全球用电</t>
        </is>
      </c>
      <c r="C9" s="14" t="inlineStr">
        <is>
          <t>全球数据中心用电量（起飞情景 Lift-Off）</t>
        </is>
      </c>
      <c r="D9" s="14" t="inlineStr">
        <is>
          <t>全球</t>
        </is>
      </c>
      <c r="E9" s="32" t="n">
        <v>1008</v>
      </c>
      <c r="F9" s="14" t="inlineStr">
        <is>
          <t>TWh</t>
        </is>
      </c>
      <c r="G9" s="14" t="inlineStr">
        <is>
          <t>2030</t>
        </is>
      </c>
      <c r="H9" s="14" t="inlineStr">
        <is>
          <t>官方预测</t>
        </is>
      </c>
      <c r="I9" s="14" t="inlineStr">
        <is>
          <t>AI 需求更快、供应链与电网瓶颈缓解</t>
        </is>
      </c>
      <c r="J9" s="14" t="inlineStr">
        <is>
          <t>IEA《能源与人工智能关键问题》Key Questions on Energy and AI（2026 年更新版）</t>
        </is>
      </c>
      <c r="K9" s="14" t="inlineStr">
        <is>
          <t>2026-04-16</t>
        </is>
      </c>
      <c r="L9" s="14" t="inlineStr">
        <is>
          <t>https://iea.blob.core.windows.net/assets/3179f7f8-01f6-4dd6-bffa-c9f7b73f1dc9/KeyQuestionsonEnergyandAI.pdf｜PDF 第 108 页表 A.1</t>
        </is>
      </c>
      <c r="M9" s="14" t="inlineStr">
        <is>
          <t>2026-10-22</t>
        </is>
      </c>
      <c r="N9" s="14" t="inlineStr">
        <is>
          <t>IEA26</t>
        </is>
      </c>
    </row>
    <row r="10">
      <c r="A10" s="14" t="inlineStr">
        <is>
          <t>DC-06</t>
        </is>
      </c>
      <c r="B10" s="14" t="inlineStr">
        <is>
          <t>全球用电</t>
        </is>
      </c>
      <c r="C10" s="14" t="inlineStr">
        <is>
          <t>全球数据中心用电量（高效情景 High Efficiency）</t>
        </is>
      </c>
      <c r="D10" s="14" t="inlineStr">
        <is>
          <t>全球</t>
        </is>
      </c>
      <c r="E10" s="32" t="n">
        <v>868</v>
      </c>
      <c r="F10" s="14" t="inlineStr">
        <is>
          <t>TWh</t>
        </is>
      </c>
      <c r="G10" s="14" t="inlineStr">
        <is>
          <t>2030</t>
        </is>
      </c>
      <c r="H10" s="14" t="inlineStr">
        <is>
          <t>官方预测</t>
        </is>
      </c>
      <c r="I10" s="14" t="inlineStr">
        <is>
          <t>能效提升更快</t>
        </is>
      </c>
      <c r="J10" s="14" t="inlineStr">
        <is>
          <t>IEA《能源与人工智能关键问题》Key Questions on Energy and AI（2026 年更新版）</t>
        </is>
      </c>
      <c r="K10" s="14" t="inlineStr">
        <is>
          <t>2026-04-16</t>
        </is>
      </c>
      <c r="L10" s="14" t="inlineStr">
        <is>
          <t>https://iea.blob.core.windows.net/assets/3179f7f8-01f6-4dd6-bffa-c9f7b73f1dc9/KeyQuestionsonEnergyandAI.pdf｜PDF 第 108 页表 A.1</t>
        </is>
      </c>
      <c r="M10" s="14" t="inlineStr">
        <is>
          <t>2026-10-22</t>
        </is>
      </c>
      <c r="N10" s="14" t="inlineStr">
        <is>
          <t>IEA26</t>
        </is>
      </c>
    </row>
    <row r="11">
      <c r="A11" s="14" t="inlineStr">
        <is>
          <t>DC-07</t>
        </is>
      </c>
      <c r="B11" s="14" t="inlineStr">
        <is>
          <t>全球用电</t>
        </is>
      </c>
      <c r="C11" s="14" t="inlineStr">
        <is>
          <t>全球数据中心用电量（逆风情景 Headwinds）</t>
        </is>
      </c>
      <c r="D11" s="14" t="inlineStr">
        <is>
          <t>全球</t>
        </is>
      </c>
      <c r="E11" s="32" t="n">
        <v>833</v>
      </c>
      <c r="F11" s="14" t="inlineStr">
        <is>
          <t>TWh</t>
        </is>
      </c>
      <c r="G11" s="14" t="inlineStr">
        <is>
          <t>2030</t>
        </is>
      </c>
      <c r="H11" s="14" t="inlineStr">
        <is>
          <t>官方预测</t>
        </is>
      </c>
      <c r="I11" s="14" t="inlineStr">
        <is>
          <t>AI 应用放缓、瓶颈更严重</t>
        </is>
      </c>
      <c r="J11" s="14" t="inlineStr">
        <is>
          <t>IEA《能源与人工智能关键问题》Key Questions on Energy and AI（2026 年更新版）</t>
        </is>
      </c>
      <c r="K11" s="14" t="inlineStr">
        <is>
          <t>2026-04-16</t>
        </is>
      </c>
      <c r="L11" s="14" t="inlineStr">
        <is>
          <t>https://iea.blob.core.windows.net/assets/3179f7f8-01f6-4dd6-bffa-c9f7b73f1dc9/KeyQuestionsonEnergyandAI.pdf｜PDF 第 108 页表 A.1</t>
        </is>
      </c>
      <c r="M11" s="14" t="inlineStr">
        <is>
          <t>2026-10-22</t>
        </is>
      </c>
      <c r="N11" s="14" t="inlineStr">
        <is>
          <t>IEA26</t>
        </is>
      </c>
    </row>
    <row r="12">
      <c r="A12" s="14" t="inlineStr">
        <is>
          <t>DC-08</t>
        </is>
      </c>
      <c r="B12" s="14" t="inlineStr">
        <is>
          <t>全球用电</t>
        </is>
      </c>
      <c r="C12" s="14" t="inlineStr">
        <is>
          <t>全球数据中心用电量（起飞情景）</t>
        </is>
      </c>
      <c r="D12" s="14" t="inlineStr">
        <is>
          <t>全球</t>
        </is>
      </c>
      <c r="E12" s="32" t="n">
        <v>1637</v>
      </c>
      <c r="F12" s="14" t="inlineStr">
        <is>
          <t>TWh</t>
        </is>
      </c>
      <c r="G12" s="14" t="inlineStr">
        <is>
          <t>2035</t>
        </is>
      </c>
      <c r="H12" s="14" t="inlineStr">
        <is>
          <t>官方预测</t>
        </is>
      </c>
      <c r="I12" s="14" t="inlineStr">
        <is>
          <t>探索性情景</t>
        </is>
      </c>
      <c r="J12" s="14" t="inlineStr">
        <is>
          <t>IEA《能源与人工智能关键问题》Key Questions on Energy and AI（2026 年更新版）</t>
        </is>
      </c>
      <c r="K12" s="14" t="inlineStr">
        <is>
          <t>2026-04-16</t>
        </is>
      </c>
      <c r="L12" s="14" t="inlineStr">
        <is>
          <t>https://iea.blob.core.windows.net/assets/3179f7f8-01f6-4dd6-bffa-c9f7b73f1dc9/KeyQuestionsonEnergyandAI.pdf｜PDF 第 108 页表 A.1</t>
        </is>
      </c>
      <c r="M12" s="14" t="inlineStr">
        <is>
          <t>2026-10-22</t>
        </is>
      </c>
      <c r="N12" s="14" t="inlineStr">
        <is>
          <t>IEA26</t>
        </is>
      </c>
    </row>
    <row r="13">
      <c r="A13" s="14" t="inlineStr">
        <is>
          <t>DC-09</t>
        </is>
      </c>
      <c r="B13" s="14" t="inlineStr">
        <is>
          <t>全球用电</t>
        </is>
      </c>
      <c r="C13" s="14" t="inlineStr">
        <is>
          <t>全球数据中心用电量（高效情景）</t>
        </is>
      </c>
      <c r="D13" s="14" t="inlineStr">
        <is>
          <t>全球</t>
        </is>
      </c>
      <c r="E13" s="32" t="n">
        <v>1013</v>
      </c>
      <c r="F13" s="14" t="inlineStr">
        <is>
          <t>TWh</t>
        </is>
      </c>
      <c r="G13" s="14" t="inlineStr">
        <is>
          <t>2035</t>
        </is>
      </c>
      <c r="H13" s="14" t="inlineStr">
        <is>
          <t>官方预测</t>
        </is>
      </c>
      <c r="I13" s="14" t="inlineStr">
        <is>
          <t>探索性情景</t>
        </is>
      </c>
      <c r="J13" s="14" t="inlineStr">
        <is>
          <t>IEA《能源与人工智能关键问题》Key Questions on Energy and AI（2026 年更新版）</t>
        </is>
      </c>
      <c r="K13" s="14" t="inlineStr">
        <is>
          <t>2026-04-16</t>
        </is>
      </c>
      <c r="L13" s="14" t="inlineStr">
        <is>
          <t>https://iea.blob.core.windows.net/assets/3179f7f8-01f6-4dd6-bffa-c9f7b73f1dc9/KeyQuestionsonEnergyandAI.pdf｜PDF 第 108 页表 A.1</t>
        </is>
      </c>
      <c r="M13" s="14" t="inlineStr">
        <is>
          <t>2026-10-22</t>
        </is>
      </c>
      <c r="N13" s="14" t="inlineStr">
        <is>
          <t>IEA26</t>
        </is>
      </c>
    </row>
    <row r="14">
      <c r="A14" s="14" t="inlineStr">
        <is>
          <t>DC-10</t>
        </is>
      </c>
      <c r="B14" s="14" t="inlineStr">
        <is>
          <t>全球用电</t>
        </is>
      </c>
      <c r="C14" s="14" t="inlineStr">
        <is>
          <t>全球数据中心用电量（逆风情景）</t>
        </is>
      </c>
      <c r="D14" s="14" t="inlineStr">
        <is>
          <t>全球</t>
        </is>
      </c>
      <c r="E14" s="32" t="n">
        <v>942</v>
      </c>
      <c r="F14" s="14" t="inlineStr">
        <is>
          <t>TWh</t>
        </is>
      </c>
      <c r="G14" s="14" t="inlineStr">
        <is>
          <t>2035</t>
        </is>
      </c>
      <c r="H14" s="14" t="inlineStr">
        <is>
          <t>官方预测</t>
        </is>
      </c>
      <c r="I14" s="14" t="inlineStr">
        <is>
          <t>探索性情景</t>
        </is>
      </c>
      <c r="J14" s="14" t="inlineStr">
        <is>
          <t>IEA《能源与人工智能关键问题》Key Questions on Energy and AI（2026 年更新版）</t>
        </is>
      </c>
      <c r="K14" s="14" t="inlineStr">
        <is>
          <t>2026-04-16</t>
        </is>
      </c>
      <c r="L14" s="14" t="inlineStr">
        <is>
          <t>https://iea.blob.core.windows.net/assets/3179f7f8-01f6-4dd6-bffa-c9f7b73f1dc9/KeyQuestionsonEnergyandAI.pdf｜PDF 第 108 页表 A.1</t>
        </is>
      </c>
      <c r="M14" s="14" t="inlineStr">
        <is>
          <t>2026-10-22</t>
        </is>
      </c>
      <c r="N14" s="14" t="inlineStr">
        <is>
          <t>IEA26</t>
        </is>
      </c>
    </row>
    <row r="15">
      <c r="A15" s="14" t="inlineStr">
        <is>
          <t>DC-11</t>
        </is>
      </c>
      <c r="B15" s="14" t="inlineStr">
        <is>
          <t>全球用电</t>
        </is>
      </c>
      <c r="C15" s="14" t="inlineStr">
        <is>
          <t>2025 年版报告给出的 2030 年区间下限（逆风）</t>
        </is>
      </c>
      <c r="D15" s="14" t="inlineStr">
        <is>
          <t>全球</t>
        </is>
      </c>
      <c r="E15" s="32" t="n">
        <v>669</v>
      </c>
      <c r="F15" s="14" t="inlineStr">
        <is>
          <t>TWh</t>
        </is>
      </c>
      <c r="G15" s="14" t="inlineStr">
        <is>
          <t>2030</t>
        </is>
      </c>
      <c r="H15" s="14" t="inlineStr">
        <is>
          <t>官方预测</t>
        </is>
      </c>
      <c r="I15" s="14" t="inlineStr">
        <is>
          <t>2025 年版四情景区间 669–1264；2026 年版收窄为 833–1008</t>
        </is>
      </c>
      <c r="J15" s="14" t="inlineStr">
        <is>
          <t>IEA《能源与人工智能》Energy and AI（世界能源展望特别报告）</t>
        </is>
      </c>
      <c r="K15" s="14" t="inlineStr">
        <is>
          <t>2025-04（PDF 元数据 2025-04-11）</t>
        </is>
      </c>
      <c r="L15" s="14" t="inlineStr">
        <is>
          <t>https://iea.blob.core.windows.net/assets/b3a8b37f-32d1-4873-9eca-31cec5895264/EnergyandAI.pdf｜附件 A 表 A.1</t>
        </is>
      </c>
      <c r="M15" s="14" t="inlineStr">
        <is>
          <t>2026-10-22</t>
        </is>
      </c>
      <c r="N15" s="14" t="inlineStr">
        <is>
          <t>IEA25</t>
        </is>
      </c>
    </row>
    <row r="16">
      <c r="A16" s="14" t="inlineStr">
        <is>
          <t>DC-12</t>
        </is>
      </c>
      <c r="B16" s="14" t="inlineStr">
        <is>
          <t>全球用电</t>
        </is>
      </c>
      <c r="C16" s="14" t="inlineStr">
        <is>
          <t>2025 年版报告给出的 2030 年区间上限（起飞）</t>
        </is>
      </c>
      <c r="D16" s="14" t="inlineStr">
        <is>
          <t>全球</t>
        </is>
      </c>
      <c r="E16" s="32" t="n">
        <v>1264</v>
      </c>
      <c r="F16" s="14" t="inlineStr">
        <is>
          <t>TWh</t>
        </is>
      </c>
      <c r="G16" s="14" t="inlineStr">
        <is>
          <t>2030</t>
        </is>
      </c>
      <c r="H16" s="14" t="inlineStr">
        <is>
          <t>官方预测</t>
        </is>
      </c>
      <c r="I16" s="14" t="inlineStr">
        <is>
          <t>同上</t>
        </is>
      </c>
      <c r="J16" s="14" t="inlineStr">
        <is>
          <t>IEA《能源与人工智能》Energy and AI（世界能源展望特别报告）</t>
        </is>
      </c>
      <c r="K16" s="14" t="inlineStr">
        <is>
          <t>2025-04（PDF 元数据 2025-04-11）</t>
        </is>
      </c>
      <c r="L16" s="14" t="inlineStr">
        <is>
          <t>https://iea.blob.core.windows.net/assets/b3a8b37f-32d1-4873-9eca-31cec5895264/EnergyandAI.pdf｜附件 A 表 A.1</t>
        </is>
      </c>
      <c r="M16" s="14" t="inlineStr">
        <is>
          <t>2026-10-22</t>
        </is>
      </c>
      <c r="N16" s="14" t="inlineStr">
        <is>
          <t>IEA25</t>
        </is>
      </c>
    </row>
    <row r="17">
      <c r="A17" s="14" t="inlineStr">
        <is>
          <t>DC-13</t>
        </is>
      </c>
      <c r="B17" s="14" t="inlineStr">
        <is>
          <t>全球用电</t>
        </is>
      </c>
      <c r="C17" s="14" t="inlineStr">
        <is>
          <t>全球数据中心用电量</t>
        </is>
      </c>
      <c r="D17" s="14" t="inlineStr">
        <is>
          <t>全球</t>
        </is>
      </c>
      <c r="E17" s="32" t="n">
        <v>360</v>
      </c>
      <c r="F17" s="14" t="inlineStr">
        <is>
          <t>TWh</t>
        </is>
      </c>
      <c r="G17" s="14" t="inlineStr">
        <is>
          <t>2023</t>
        </is>
      </c>
      <c r="H17" s="14" t="inlineStr">
        <is>
          <t>官方估计</t>
        </is>
      </c>
      <c r="I17" s="14" t="inlineStr">
        <is>
          <t>2026 年版附表（2025 年版为 361）</t>
        </is>
      </c>
      <c r="J17" s="14" t="inlineStr">
        <is>
          <t>IEA《能源与人工智能关键问题》Key Questions on Energy and AI（2026 年更新版）</t>
        </is>
      </c>
      <c r="K17" s="14" t="inlineStr">
        <is>
          <t>2026-04-16</t>
        </is>
      </c>
      <c r="L17" s="14" t="inlineStr">
        <is>
          <t>https://iea.blob.core.windows.net/assets/3179f7f8-01f6-4dd6-bffa-c9f7b73f1dc9/KeyQuestionsonEnergyandAI.pdf｜PDF 第 108 页表 A.1</t>
        </is>
      </c>
      <c r="M17" s="14" t="inlineStr">
        <is>
          <t>2026-10-22</t>
        </is>
      </c>
      <c r="N17" s="14" t="inlineStr">
        <is>
          <t>IEA26</t>
        </is>
      </c>
    </row>
    <row r="18">
      <c r="A18" s="14" t="inlineStr">
        <is>
          <t>DC-14</t>
        </is>
      </c>
      <c r="B18" s="14" t="inlineStr">
        <is>
          <t>全球用电</t>
        </is>
      </c>
      <c r="C18" s="14" t="inlineStr">
        <is>
          <t>数据中心用电同比增速</t>
        </is>
      </c>
      <c r="D18" s="14" t="inlineStr">
        <is>
          <t>全球</t>
        </is>
      </c>
      <c r="E18" s="33" t="n">
        <v>0.17</v>
      </c>
      <c r="F18" s="14" t="inlineStr">
        <is>
          <t>%</t>
        </is>
      </c>
      <c r="G18" s="14" t="inlineStr">
        <is>
          <t>2025</t>
        </is>
      </c>
      <c r="H18" s="14" t="inlineStr">
        <is>
          <t>官方估计</t>
        </is>
      </c>
      <c r="I18" s="14" t="inlineStr"/>
      <c r="J18" s="14" t="inlineStr">
        <is>
          <t>IEA《能源与人工智能关键问题》Key Questions on Energy and AI（2026 年更新版）</t>
        </is>
      </c>
      <c r="K18" s="14" t="inlineStr">
        <is>
          <t>2026-04-16</t>
        </is>
      </c>
      <c r="L18" s="14" t="inlineStr">
        <is>
          <t>https://iea.blob.core.windows.net/assets/3179f7f8-01f6-4dd6-bffa-c9f7b73f1dc9/KeyQuestionsonEnergyandAI.pdf｜PDF 第 9 页执行摘要</t>
        </is>
      </c>
      <c r="M18" s="14" t="inlineStr">
        <is>
          <t>2026-10-22</t>
        </is>
      </c>
      <c r="N18" s="14" t="inlineStr">
        <is>
          <t>IEA26</t>
        </is>
      </c>
    </row>
    <row r="19">
      <c r="A19" s="14" t="inlineStr">
        <is>
          <t>DC-15</t>
        </is>
      </c>
      <c r="B19" s="14" t="inlineStr">
        <is>
          <t>全球用电</t>
        </is>
      </c>
      <c r="C19" s="14" t="inlineStr">
        <is>
          <t>AI 专用数据中心用电同比增速</t>
        </is>
      </c>
      <c r="D19" s="14" t="inlineStr">
        <is>
          <t>全球</t>
        </is>
      </c>
      <c r="E19" s="33" t="n">
        <v>0.5</v>
      </c>
      <c r="F19" s="14" t="inlineStr">
        <is>
          <t>%</t>
        </is>
      </c>
      <c r="G19" s="14" t="inlineStr">
        <is>
          <t>2025</t>
        </is>
      </c>
      <c r="H19" s="14" t="inlineStr">
        <is>
          <t>官方估计</t>
        </is>
      </c>
      <c r="I19" s="14" t="inlineStr">
        <is>
          <t>AI 专用 = 大量配备专用加速器服务器的数据中心</t>
        </is>
      </c>
      <c r="J19" s="14" t="inlineStr">
        <is>
          <t>IEA《能源与人工智能关键问题》Key Questions on Energy and AI（2026 年更新版）</t>
        </is>
      </c>
      <c r="K19" s="14" t="inlineStr">
        <is>
          <t>2026-04-16</t>
        </is>
      </c>
      <c r="L19" s="14" t="inlineStr">
        <is>
          <t>https://iea.blob.core.windows.net/assets/3179f7f8-01f6-4dd6-bffa-c9f7b73f1dc9/KeyQuestionsonEnergyandAI.pdf｜PDF 第 9–10 页执行摘要</t>
        </is>
      </c>
      <c r="M19" s="14" t="inlineStr">
        <is>
          <t>2026-10-22</t>
        </is>
      </c>
      <c r="N19" s="14" t="inlineStr">
        <is>
          <t>IEA26</t>
        </is>
      </c>
    </row>
    <row r="20">
      <c r="A20" s="14" t="inlineStr">
        <is>
          <t>DC-16</t>
        </is>
      </c>
      <c r="B20" s="14" t="inlineStr">
        <is>
          <t>全球用电</t>
        </is>
      </c>
      <c r="C20" s="14" t="inlineStr">
        <is>
          <t>AI 专用数据中心用电量</t>
        </is>
      </c>
      <c r="D20" s="14" t="inlineStr">
        <is>
          <t>全球</t>
        </is>
      </c>
      <c r="E20" s="32" t="n">
        <v>155</v>
      </c>
      <c r="F20" s="14" t="inlineStr">
        <is>
          <t>TWh</t>
        </is>
      </c>
      <c r="G20" s="14" t="inlineStr">
        <is>
          <t>2025</t>
        </is>
      </c>
      <c r="H20" s="14" t="inlineStr">
        <is>
          <t>第三方估计</t>
        </is>
      </c>
      <c r="I20" s="14" t="inlineStr">
        <is>
          <t>OWID 读取 IEA 2026 图表数据所得；约占当年总量三分之一</t>
        </is>
      </c>
      <c r="J20" s="14" t="inlineStr">
        <is>
          <t>Our World in Data：数据中心和人工智能用多少电（图表数据来源 IEA 2026）</t>
        </is>
      </c>
      <c r="K20" s="14" t="inlineStr">
        <is>
          <t>2026-07-20</t>
        </is>
      </c>
      <c r="L20" s="14" t="inlineStr">
        <is>
          <t>https://ourworldindata.org/how-much-energy-do-data-centers-and-artificial-intelligence-use｜图表“数据中心用电：AI 专用 vs 其他”</t>
        </is>
      </c>
      <c r="M20" s="14" t="inlineStr">
        <is>
          <t>2026-10-22</t>
        </is>
      </c>
      <c r="N20" s="14" t="inlineStr">
        <is>
          <t>OWID26</t>
        </is>
      </c>
    </row>
    <row r="21">
      <c r="A21" s="14" t="inlineStr">
        <is>
          <t>DC-17</t>
        </is>
      </c>
      <c r="B21" s="14" t="inlineStr">
        <is>
          <t>全球用电</t>
        </is>
      </c>
      <c r="C21" s="14" t="inlineStr">
        <is>
          <t>AI 专用数据中心用电量（基准情景）</t>
        </is>
      </c>
      <c r="D21" s="14" t="inlineStr">
        <is>
          <t>全球</t>
        </is>
      </c>
      <c r="E21" s="32" t="n">
        <v>465</v>
      </c>
      <c r="F21" s="14" t="inlineStr">
        <is>
          <t>TWh</t>
        </is>
      </c>
      <c r="G21" s="14" t="inlineStr">
        <is>
          <t>2030</t>
        </is>
      </c>
      <c r="H21" s="14" t="inlineStr">
        <is>
          <t>官方预测</t>
        </is>
      </c>
      <c r="I21" s="14" t="inlineStr">
        <is>
          <t>约为 2030 年数据中心总用电的一半</t>
        </is>
      </c>
      <c r="J21" s="14" t="inlineStr">
        <is>
          <t>IEA《能源与人工智能关键问题》Key Questions on Energy and AI（2026 年更新版）</t>
        </is>
      </c>
      <c r="K21" s="14" t="inlineStr">
        <is>
          <t>2026-04-16</t>
        </is>
      </c>
      <c r="L21" s="14" t="inlineStr">
        <is>
          <t>https://iea.blob.core.windows.net/assets/3179f7f8-01f6-4dd6-bffa-c9f7b73f1dc9/KeyQuestionsonEnergyandAI.pdf｜PDF 第 26 页</t>
        </is>
      </c>
      <c r="M21" s="14" t="inlineStr">
        <is>
          <t>2026-10-22</t>
        </is>
      </c>
      <c r="N21" s="14" t="inlineStr">
        <is>
          <t>IEA26</t>
        </is>
      </c>
    </row>
    <row r="22">
      <c r="A22" s="14" t="inlineStr">
        <is>
          <t>DC-18</t>
        </is>
      </c>
      <c r="B22" s="14" t="inlineStr">
        <is>
          <t>全球用电</t>
        </is>
      </c>
      <c r="C22" s="14" t="inlineStr">
        <is>
          <t>数据中心装机容量（设施）</t>
        </is>
      </c>
      <c r="D22" s="14" t="inlineStr">
        <is>
          <t>全球</t>
        </is>
      </c>
      <c r="E22" s="32" t="n">
        <v>114</v>
      </c>
      <c r="F22" s="14" t="inlineStr">
        <is>
          <t>GW</t>
        </is>
      </c>
      <c r="G22" s="14" t="inlineStr">
        <is>
          <t>2025</t>
        </is>
      </c>
      <c r="H22" s="14" t="inlineStr">
        <is>
          <t>官方估计</t>
        </is>
      </c>
      <c r="I22" s="14" t="inlineStr">
        <is>
          <t>设施总容量</t>
        </is>
      </c>
      <c r="J22" s="14" t="inlineStr">
        <is>
          <t>IEA《能源与人工智能关键问题》Key Questions on Energy and AI（2026 年更新版）</t>
        </is>
      </c>
      <c r="K22" s="14" t="inlineStr">
        <is>
          <t>2026-04-16</t>
        </is>
      </c>
      <c r="L22" s="14" t="inlineStr">
        <is>
          <t>https://iea.blob.core.windows.net/assets/3179f7f8-01f6-4dd6-bffa-c9f7b73f1dc9/KeyQuestionsonEnergyandAI.pdf｜PDF 第 108 页表 A.1</t>
        </is>
      </c>
      <c r="M22" s="14" t="inlineStr">
        <is>
          <t>2026-10-22</t>
        </is>
      </c>
      <c r="N22" s="14" t="inlineStr">
        <is>
          <t>IEA26</t>
        </is>
      </c>
    </row>
    <row r="23">
      <c r="A23" s="14" t="inlineStr">
        <is>
          <t>DC-19</t>
        </is>
      </c>
      <c r="B23" s="14" t="inlineStr">
        <is>
          <t>全球用电</t>
        </is>
      </c>
      <c r="C23" s="14" t="inlineStr">
        <is>
          <t>数据中心装机容量（设施，基准情景）</t>
        </is>
      </c>
      <c r="D23" s="14" t="inlineStr">
        <is>
          <t>全球</t>
        </is>
      </c>
      <c r="E23" s="32" t="n">
        <v>226</v>
      </c>
      <c r="F23" s="14" t="inlineStr">
        <is>
          <t>GW</t>
        </is>
      </c>
      <c r="G23" s="14" t="inlineStr">
        <is>
          <t>2030</t>
        </is>
      </c>
      <c r="H23" s="14" t="inlineStr">
        <is>
          <t>官方预测</t>
        </is>
      </c>
      <c r="I23" s="14" t="inlineStr"/>
      <c r="J23" s="14" t="inlineStr">
        <is>
          <t>IEA《能源与人工智能关键问题》Key Questions on Energy and AI（2026 年更新版）</t>
        </is>
      </c>
      <c r="K23" s="14" t="inlineStr">
        <is>
          <t>2026-04-16</t>
        </is>
      </c>
      <c r="L23" s="14" t="inlineStr">
        <is>
          <t>https://iea.blob.core.windows.net/assets/3179f7f8-01f6-4dd6-bffa-c9f7b73f1dc9/KeyQuestionsonEnergyandAI.pdf｜PDF 第 108 页表 A.1</t>
        </is>
      </c>
      <c r="M23" s="14" t="inlineStr">
        <is>
          <t>2026-10-22</t>
        </is>
      </c>
      <c r="N23" s="14" t="inlineStr">
        <is>
          <t>IEA26</t>
        </is>
      </c>
    </row>
    <row r="24">
      <c r="A24" s="14" t="inlineStr">
        <is>
          <t>DC-20</t>
        </is>
      </c>
      <c r="B24" s="14" t="inlineStr">
        <is>
          <t>全球用电</t>
        </is>
      </c>
      <c r="C24" s="14" t="inlineStr">
        <is>
          <t>数据中心平均利用率（容量系数）</t>
        </is>
      </c>
      <c r="D24" s="14" t="inlineStr">
        <is>
          <t>全球</t>
        </is>
      </c>
      <c r="E24" s="33" t="n">
        <v>0.48</v>
      </c>
      <c r="F24" s="14" t="inlineStr">
        <is>
          <t>%</t>
        </is>
      </c>
      <c r="G24" s="14" t="inlineStr">
        <is>
          <t>2025</t>
        </is>
      </c>
      <c r="H24" s="14" t="inlineStr">
        <is>
          <t>官方估计</t>
        </is>
      </c>
      <c r="I24" s="14" t="inlineStr">
        <is>
          <t>用电量 ÷（装机 × 8760 小时）</t>
        </is>
      </c>
      <c r="J24" s="14" t="inlineStr">
        <is>
          <t>IEA《能源与人工智能关键问题》Key Questions on Energy and AI（2026 年更新版）</t>
        </is>
      </c>
      <c r="K24" s="14" t="inlineStr">
        <is>
          <t>2026-04-16</t>
        </is>
      </c>
      <c r="L24" s="14" t="inlineStr">
        <is>
          <t>https://iea.blob.core.windows.net/assets/3179f7f8-01f6-4dd6-bffa-c9f7b73f1dc9/KeyQuestionsonEnergyandAI.pdf｜PDF 第 108 页表 A.1</t>
        </is>
      </c>
      <c r="M24" s="14" t="inlineStr">
        <is>
          <t>2026-10-22</t>
        </is>
      </c>
      <c r="N24" s="14" t="inlineStr">
        <is>
          <t>IEA26</t>
        </is>
      </c>
    </row>
    <row r="25">
      <c r="A25" s="14" t="inlineStr">
        <is>
          <t>DC-21</t>
        </is>
      </c>
      <c r="B25" s="14" t="inlineStr">
        <is>
          <t>全球用电</t>
        </is>
      </c>
      <c r="C25" s="14" t="inlineStr">
        <is>
          <t>数据中心平均 PUE</t>
        </is>
      </c>
      <c r="D25" s="14" t="inlineStr">
        <is>
          <t>全球</t>
        </is>
      </c>
      <c r="E25" s="34" t="n">
        <v>1.38</v>
      </c>
      <c r="F25" s="14" t="inlineStr">
        <is>
          <t>倍</t>
        </is>
      </c>
      <c r="G25" s="14" t="inlineStr">
        <is>
          <t>2025</t>
        </is>
      </c>
      <c r="H25" s="14" t="inlineStr">
        <is>
          <t>官方估计</t>
        </is>
      </c>
      <c r="I25" s="14" t="inlineStr">
        <is>
          <t>设施总用电 ÷ IT 用电；2024 年 1.41</t>
        </is>
      </c>
      <c r="J25" s="14" t="inlineStr">
        <is>
          <t>IEA《能源与人工智能关键问题》Key Questions on Energy and AI（2026 年更新版）</t>
        </is>
      </c>
      <c r="K25" s="14" t="inlineStr">
        <is>
          <t>2026-04-16</t>
        </is>
      </c>
      <c r="L25" s="14" t="inlineStr">
        <is>
          <t>https://iea.blob.core.windows.net/assets/3179f7f8-01f6-4dd6-bffa-c9f7b73f1dc9/KeyQuestionsonEnergyandAI.pdf｜PDF 第 108 页表 A.1</t>
        </is>
      </c>
      <c r="M25" s="14" t="inlineStr">
        <is>
          <t>2026-10-22</t>
        </is>
      </c>
      <c r="N25" s="14" t="inlineStr">
        <is>
          <t>IEA26</t>
        </is>
      </c>
    </row>
    <row r="26">
      <c r="A26" s="14" t="inlineStr">
        <is>
          <t>DC-22</t>
        </is>
      </c>
      <c r="B26" s="14" t="inlineStr">
        <is>
          <t>全球用电</t>
        </is>
      </c>
      <c r="C26" s="14" t="inlineStr">
        <is>
          <t>数据中心平均 PUE（基准情景）</t>
        </is>
      </c>
      <c r="D26" s="14" t="inlineStr">
        <is>
          <t>全球</t>
        </is>
      </c>
      <c r="E26" s="34" t="n">
        <v>1.29</v>
      </c>
      <c r="F26" s="14" t="inlineStr">
        <is>
          <t>倍</t>
        </is>
      </c>
      <c r="G26" s="14" t="inlineStr">
        <is>
          <t>2030</t>
        </is>
      </c>
      <c r="H26" s="14" t="inlineStr">
        <is>
          <t>官方预测</t>
        </is>
      </c>
      <c r="I26" s="14" t="inlineStr"/>
      <c r="J26" s="14" t="inlineStr">
        <is>
          <t>IEA《能源与人工智能关键问题》Key Questions on Energy and AI（2026 年更新版）</t>
        </is>
      </c>
      <c r="K26" s="14" t="inlineStr">
        <is>
          <t>2026-04-16</t>
        </is>
      </c>
      <c r="L26" s="14" t="inlineStr">
        <is>
          <t>https://iea.blob.core.windows.net/assets/3179f7f8-01f6-4dd6-bffa-c9f7b73f1dc9/KeyQuestionsonEnergyandAI.pdf｜PDF 第 108 页表 A.1</t>
        </is>
      </c>
      <c r="M26" s="14" t="inlineStr">
        <is>
          <t>2026-10-22</t>
        </is>
      </c>
      <c r="N26" s="14" t="inlineStr">
        <is>
          <t>IEA26</t>
        </is>
      </c>
    </row>
    <row r="27">
      <c r="A27" s="14" t="inlineStr">
        <is>
          <t>DC-30</t>
        </is>
      </c>
      <c r="B27" s="14" t="inlineStr">
        <is>
          <t>地区</t>
        </is>
      </c>
      <c r="C27" s="14" t="inlineStr">
        <is>
          <t>美国数据中心用电量</t>
        </is>
      </c>
      <c r="D27" s="14" t="inlineStr">
        <is>
          <t>美国</t>
        </is>
      </c>
      <c r="E27" s="32" t="n">
        <v>183</v>
      </c>
      <c r="F27" s="14" t="inlineStr">
        <is>
          <t>TWh</t>
        </is>
      </c>
      <c r="G27" s="14" t="inlineStr">
        <is>
          <t>2024</t>
        </is>
      </c>
      <c r="H27" s="14" t="inlineStr">
        <is>
          <t>官方估计</t>
        </is>
      </c>
      <c r="I27" s="14" t="inlineStr">
        <is>
          <t>IEA 模型口径（与 LBNL 口径不同）</t>
        </is>
      </c>
      <c r="J27" s="14" t="inlineStr">
        <is>
          <t>IEA《能源与人工智能关键问题》Key Questions on Energy and AI（2026 年更新版）</t>
        </is>
      </c>
      <c r="K27" s="14" t="inlineStr">
        <is>
          <t>2026-04-16</t>
        </is>
      </c>
      <c r="L27" s="14" t="inlineStr">
        <is>
          <t>https://iea.blob.core.windows.net/assets/3179f7f8-01f6-4dd6-bffa-c9f7b73f1dc9/KeyQuestionsonEnergyandAI.pdf｜PDF 第 110 页表 A.4</t>
        </is>
      </c>
      <c r="M27" s="14" t="inlineStr">
        <is>
          <t>2026-10-22</t>
        </is>
      </c>
      <c r="N27" s="14" t="inlineStr">
        <is>
          <t>IEA26</t>
        </is>
      </c>
    </row>
    <row r="28">
      <c r="A28" s="14" t="inlineStr">
        <is>
          <t>DC-31</t>
        </is>
      </c>
      <c r="B28" s="14" t="inlineStr">
        <is>
          <t>地区</t>
        </is>
      </c>
      <c r="C28" s="14" t="inlineStr">
        <is>
          <t>美国数据中心用电量</t>
        </is>
      </c>
      <c r="D28" s="14" t="inlineStr">
        <is>
          <t>美国</t>
        </is>
      </c>
      <c r="E28" s="32" t="n">
        <v>224</v>
      </c>
      <c r="F28" s="14" t="inlineStr">
        <is>
          <t>TWh</t>
        </is>
      </c>
      <c r="G28" s="14" t="inlineStr">
        <is>
          <t>2025</t>
        </is>
      </c>
      <c r="H28" s="14" t="inlineStr">
        <is>
          <t>官方估计</t>
        </is>
      </c>
      <c r="I28" s="14" t="inlineStr">
        <is>
          <t>同上</t>
        </is>
      </c>
      <c r="J28" s="14" t="inlineStr">
        <is>
          <t>IEA《能源与人工智能关键问题》Key Questions on Energy and AI（2026 年更新版）</t>
        </is>
      </c>
      <c r="K28" s="14" t="inlineStr">
        <is>
          <t>2026-04-16</t>
        </is>
      </c>
      <c r="L28" s="14" t="inlineStr">
        <is>
          <t>https://iea.blob.core.windows.net/assets/3179f7f8-01f6-4dd6-bffa-c9f7b73f1dc9/KeyQuestionsonEnergyandAI.pdf｜PDF 第 110 页表 A.4</t>
        </is>
      </c>
      <c r="M28" s="14" t="inlineStr">
        <is>
          <t>2026-10-22</t>
        </is>
      </c>
      <c r="N28" s="14" t="inlineStr">
        <is>
          <t>IEA26</t>
        </is>
      </c>
    </row>
    <row r="29">
      <c r="A29" s="14" t="inlineStr">
        <is>
          <t>DC-32</t>
        </is>
      </c>
      <c r="B29" s="14" t="inlineStr">
        <is>
          <t>地区</t>
        </is>
      </c>
      <c r="C29" s="14" t="inlineStr">
        <is>
          <t>美国数据中心用电量（基准情景）</t>
        </is>
      </c>
      <c r="D29" s="14" t="inlineStr">
        <is>
          <t>美国</t>
        </is>
      </c>
      <c r="E29" s="32" t="n">
        <v>426</v>
      </c>
      <c r="F29" s="14" t="inlineStr">
        <is>
          <t>TWh</t>
        </is>
      </c>
      <c r="G29" s="14" t="inlineStr">
        <is>
          <t>2030</t>
        </is>
      </c>
      <c r="H29" s="14" t="inlineStr">
        <is>
          <t>官方预测</t>
        </is>
      </c>
      <c r="I29" s="14" t="inlineStr">
        <is>
          <t>同上</t>
        </is>
      </c>
      <c r="J29" s="14" t="inlineStr">
        <is>
          <t>IEA《能源与人工智能关键问题》Key Questions on Energy and AI（2026 年更新版）</t>
        </is>
      </c>
      <c r="K29" s="14" t="inlineStr">
        <is>
          <t>2026-04-16</t>
        </is>
      </c>
      <c r="L29" s="14" t="inlineStr">
        <is>
          <t>https://iea.blob.core.windows.net/assets/3179f7f8-01f6-4dd6-bffa-c9f7b73f1dc9/KeyQuestionsonEnergyandAI.pdf｜PDF 第 110 页表 A.4</t>
        </is>
      </c>
      <c r="M29" s="14" t="inlineStr">
        <is>
          <t>2026-10-22</t>
        </is>
      </c>
      <c r="N29" s="14" t="inlineStr">
        <is>
          <t>IEA26</t>
        </is>
      </c>
    </row>
    <row r="30">
      <c r="A30" s="14" t="inlineStr">
        <is>
          <t>DC-33</t>
        </is>
      </c>
      <c r="B30" s="14" t="inlineStr">
        <is>
          <t>地区</t>
        </is>
      </c>
      <c r="C30" s="14" t="inlineStr">
        <is>
          <t>中国数据中心用电量</t>
        </is>
      </c>
      <c r="D30" s="14" t="inlineStr">
        <is>
          <t>中国</t>
        </is>
      </c>
      <c r="E30" s="32" t="n">
        <v>102</v>
      </c>
      <c r="F30" s="14" t="inlineStr">
        <is>
          <t>TWh</t>
        </is>
      </c>
      <c r="G30" s="14" t="inlineStr">
        <is>
          <t>2024</t>
        </is>
      </c>
      <c r="H30" s="14" t="inlineStr">
        <is>
          <t>官方估计</t>
        </is>
      </c>
      <c r="I30" s="14" t="inlineStr">
        <is>
          <t>IEA 模型口径</t>
        </is>
      </c>
      <c r="J30" s="14" t="inlineStr">
        <is>
          <t>IEA《能源与人工智能关键问题》Key Questions on Energy and AI（2026 年更新版）</t>
        </is>
      </c>
      <c r="K30" s="14" t="inlineStr">
        <is>
          <t>2026-04-16</t>
        </is>
      </c>
      <c r="L30" s="14" t="inlineStr">
        <is>
          <t>https://iea.blob.core.windows.net/assets/3179f7f8-01f6-4dd6-bffa-c9f7b73f1dc9/KeyQuestionsonEnergyandAI.pdf｜PDF 第 110 页表 A.4</t>
        </is>
      </c>
      <c r="M30" s="14" t="inlineStr">
        <is>
          <t>2026-10-22</t>
        </is>
      </c>
      <c r="N30" s="14" t="inlineStr">
        <is>
          <t>IEA26</t>
        </is>
      </c>
    </row>
    <row r="31">
      <c r="A31" s="14" t="inlineStr">
        <is>
          <t>DC-34</t>
        </is>
      </c>
      <c r="B31" s="14" t="inlineStr">
        <is>
          <t>地区</t>
        </is>
      </c>
      <c r="C31" s="14" t="inlineStr">
        <is>
          <t>中国数据中心用电量</t>
        </is>
      </c>
      <c r="D31" s="14" t="inlineStr">
        <is>
          <t>中国</t>
        </is>
      </c>
      <c r="E31" s="32" t="n">
        <v>117</v>
      </c>
      <c r="F31" s="14" t="inlineStr">
        <is>
          <t>TWh</t>
        </is>
      </c>
      <c r="G31" s="14" t="inlineStr">
        <is>
          <t>2025</t>
        </is>
      </c>
      <c r="H31" s="14" t="inlineStr">
        <is>
          <t>官方估计</t>
        </is>
      </c>
      <c r="I31" s="14" t="inlineStr">
        <is>
          <t>同上</t>
        </is>
      </c>
      <c r="J31" s="14" t="inlineStr">
        <is>
          <t>IEA《能源与人工智能关键问题》Key Questions on Energy and AI（2026 年更新版）</t>
        </is>
      </c>
      <c r="K31" s="14" t="inlineStr">
        <is>
          <t>2026-04-16</t>
        </is>
      </c>
      <c r="L31" s="14" t="inlineStr">
        <is>
          <t>https://iea.blob.core.windows.net/assets/3179f7f8-01f6-4dd6-bffa-c9f7b73f1dc9/KeyQuestionsonEnergyandAI.pdf｜PDF 第 110 页表 A.4</t>
        </is>
      </c>
      <c r="M31" s="14" t="inlineStr">
        <is>
          <t>2026-10-22</t>
        </is>
      </c>
      <c r="N31" s="14" t="inlineStr">
        <is>
          <t>IEA26</t>
        </is>
      </c>
    </row>
    <row r="32">
      <c r="A32" s="14" t="inlineStr">
        <is>
          <t>DC-35</t>
        </is>
      </c>
      <c r="B32" s="14" t="inlineStr">
        <is>
          <t>地区</t>
        </is>
      </c>
      <c r="C32" s="14" t="inlineStr">
        <is>
          <t>中国数据中心用电量（基准情景）</t>
        </is>
      </c>
      <c r="D32" s="14" t="inlineStr">
        <is>
          <t>中国</t>
        </is>
      </c>
      <c r="E32" s="32" t="n">
        <v>277</v>
      </c>
      <c r="F32" s="14" t="inlineStr">
        <is>
          <t>TWh</t>
        </is>
      </c>
      <c r="G32" s="14" t="inlineStr">
        <is>
          <t>2030</t>
        </is>
      </c>
      <c r="H32" s="14" t="inlineStr">
        <is>
          <t>官方预测</t>
        </is>
      </c>
      <c r="I32" s="14" t="inlineStr">
        <is>
          <t>同上</t>
        </is>
      </c>
      <c r="J32" s="14" t="inlineStr">
        <is>
          <t>IEA《能源与人工智能关键问题》Key Questions on Energy and AI（2026 年更新版）</t>
        </is>
      </c>
      <c r="K32" s="14" t="inlineStr">
        <is>
          <t>2026-04-16</t>
        </is>
      </c>
      <c r="L32" s="14" t="inlineStr">
        <is>
          <t>https://iea.blob.core.windows.net/assets/3179f7f8-01f6-4dd6-bffa-c9f7b73f1dc9/KeyQuestionsonEnergyandAI.pdf｜PDF 第 110 页表 A.4</t>
        </is>
      </c>
      <c r="M32" s="14" t="inlineStr">
        <is>
          <t>2026-10-22</t>
        </is>
      </c>
      <c r="N32" s="14" t="inlineStr">
        <is>
          <t>IEA26</t>
        </is>
      </c>
    </row>
    <row r="33">
      <c r="A33" s="14" t="inlineStr">
        <is>
          <t>DC-36</t>
        </is>
      </c>
      <c r="B33" s="14" t="inlineStr">
        <is>
          <t>地区</t>
        </is>
      </c>
      <c r="C33" s="14" t="inlineStr">
        <is>
          <t>欧洲数据中心用电量</t>
        </is>
      </c>
      <c r="D33" s="14" t="inlineStr">
        <is>
          <t>欧洲</t>
        </is>
      </c>
      <c r="E33" s="32" t="n">
        <v>68</v>
      </c>
      <c r="F33" s="14" t="inlineStr">
        <is>
          <t>TWh</t>
        </is>
      </c>
      <c r="G33" s="14" t="inlineStr">
        <is>
          <t>2024</t>
        </is>
      </c>
      <c r="H33" s="14" t="inlineStr">
        <is>
          <t>官方估计</t>
        </is>
      </c>
      <c r="I33" s="14" t="inlineStr">
        <is>
          <t>IEA 模型口径</t>
        </is>
      </c>
      <c r="J33" s="14" t="inlineStr">
        <is>
          <t>IEA《能源与人工智能关键问题》Key Questions on Energy and AI（2026 年更新版）</t>
        </is>
      </c>
      <c r="K33" s="14" t="inlineStr">
        <is>
          <t>2026-04-16</t>
        </is>
      </c>
      <c r="L33" s="14" t="inlineStr">
        <is>
          <t>https://iea.blob.core.windows.net/assets/3179f7f8-01f6-4dd6-bffa-c9f7b73f1dc9/KeyQuestionsonEnergyandAI.pdf｜PDF 第 110 页表 A.4</t>
        </is>
      </c>
      <c r="M33" s="14" t="inlineStr">
        <is>
          <t>2026-10-22</t>
        </is>
      </c>
      <c r="N33" s="14" t="inlineStr">
        <is>
          <t>IEA26</t>
        </is>
      </c>
    </row>
    <row r="34">
      <c r="A34" s="14" t="inlineStr">
        <is>
          <t>DC-37</t>
        </is>
      </c>
      <c r="B34" s="14" t="inlineStr">
        <is>
          <t>地区</t>
        </is>
      </c>
      <c r="C34" s="14" t="inlineStr">
        <is>
          <t>欧洲数据中心用电量</t>
        </is>
      </c>
      <c r="D34" s="14" t="inlineStr">
        <is>
          <t>欧洲</t>
        </is>
      </c>
      <c r="E34" s="32" t="n">
        <v>72</v>
      </c>
      <c r="F34" s="14" t="inlineStr">
        <is>
          <t>TWh</t>
        </is>
      </c>
      <c r="G34" s="14" t="inlineStr">
        <is>
          <t>2025</t>
        </is>
      </c>
      <c r="H34" s="14" t="inlineStr">
        <is>
          <t>官方估计</t>
        </is>
      </c>
      <c r="I34" s="14" t="inlineStr">
        <is>
          <t>同上</t>
        </is>
      </c>
      <c r="J34" s="14" t="inlineStr">
        <is>
          <t>IEA《能源与人工智能关键问题》Key Questions on Energy and AI（2026 年更新版）</t>
        </is>
      </c>
      <c r="K34" s="14" t="inlineStr">
        <is>
          <t>2026-04-16</t>
        </is>
      </c>
      <c r="L34" s="14" t="inlineStr">
        <is>
          <t>https://iea.blob.core.windows.net/assets/3179f7f8-01f6-4dd6-bffa-c9f7b73f1dc9/KeyQuestionsonEnergyandAI.pdf｜PDF 第 110 页表 A.4</t>
        </is>
      </c>
      <c r="M34" s="14" t="inlineStr">
        <is>
          <t>2026-10-22</t>
        </is>
      </c>
      <c r="N34" s="14" t="inlineStr">
        <is>
          <t>IEA26</t>
        </is>
      </c>
    </row>
    <row r="35">
      <c r="A35" s="14" t="inlineStr">
        <is>
          <t>DC-38</t>
        </is>
      </c>
      <c r="B35" s="14" t="inlineStr">
        <is>
          <t>地区</t>
        </is>
      </c>
      <c r="C35" s="14" t="inlineStr">
        <is>
          <t>欧洲数据中心用电量（基准情景）</t>
        </is>
      </c>
      <c r="D35" s="14" t="inlineStr">
        <is>
          <t>欧洲</t>
        </is>
      </c>
      <c r="E35" s="32" t="n">
        <v>114</v>
      </c>
      <c r="F35" s="14" t="inlineStr">
        <is>
          <t>TWh</t>
        </is>
      </c>
      <c r="G35" s="14" t="inlineStr">
        <is>
          <t>2030</t>
        </is>
      </c>
      <c r="H35" s="14" t="inlineStr">
        <is>
          <t>官方预测</t>
        </is>
      </c>
      <c r="I35" s="14" t="inlineStr">
        <is>
          <t>同上（2025 年版为 113）</t>
        </is>
      </c>
      <c r="J35" s="14" t="inlineStr">
        <is>
          <t>IEA《能源与人工智能关键问题》Key Questions on Energy and AI（2026 年更新版）</t>
        </is>
      </c>
      <c r="K35" s="14" t="inlineStr">
        <is>
          <t>2026-04-16</t>
        </is>
      </c>
      <c r="L35" s="14" t="inlineStr">
        <is>
          <t>https://iea.blob.core.windows.net/assets/3179f7f8-01f6-4dd6-bffa-c9f7b73f1dc9/KeyQuestionsonEnergyandAI.pdf｜PDF 第 110 页表 A.4</t>
        </is>
      </c>
      <c r="M35" s="14" t="inlineStr">
        <is>
          <t>2026-10-22</t>
        </is>
      </c>
      <c r="N35" s="14" t="inlineStr">
        <is>
          <t>IEA26</t>
        </is>
      </c>
    </row>
    <row r="36">
      <c r="A36" s="14" t="inlineStr">
        <is>
          <t>DC-46</t>
        </is>
      </c>
      <c r="B36" s="14" t="inlineStr">
        <is>
          <t>地区</t>
        </is>
      </c>
      <c r="C36" s="14" t="inlineStr">
        <is>
          <t>美国数据中心用电量</t>
        </is>
      </c>
      <c r="D36" s="14" t="inlineStr">
        <is>
          <t>美国</t>
        </is>
      </c>
      <c r="E36" s="32" t="n">
        <v>154</v>
      </c>
      <c r="F36" s="14" t="inlineStr">
        <is>
          <t>TWh</t>
        </is>
      </c>
      <c r="G36" s="14" t="inlineStr">
        <is>
          <t>2023</t>
        </is>
      </c>
      <c r="H36" s="14" t="inlineStr">
        <is>
          <t>官方估计</t>
        </is>
      </c>
      <c r="I36" s="14" t="inlineStr">
        <is>
          <t>IEA 模型口径（LBNL 同年估计为 176）</t>
        </is>
      </c>
      <c r="J36" s="14" t="inlineStr">
        <is>
          <t>IEA《能源与人工智能关键问题》Key Questions on Energy and AI（2026 年更新版）</t>
        </is>
      </c>
      <c r="K36" s="14" t="inlineStr">
        <is>
          <t>2026-04-16</t>
        </is>
      </c>
      <c r="L36" s="14" t="inlineStr">
        <is>
          <t>https://iea.blob.core.windows.net/assets/3179f7f8-01f6-4dd6-bffa-c9f7b73f1dc9/KeyQuestionsonEnergyandAI.pdf｜PDF 第 110 页表 A.4</t>
        </is>
      </c>
      <c r="M36" s="14" t="inlineStr">
        <is>
          <t>2026-10-22</t>
        </is>
      </c>
      <c r="N36" s="14" t="inlineStr">
        <is>
          <t>IEA26</t>
        </is>
      </c>
    </row>
    <row r="37">
      <c r="A37" s="14" t="inlineStr">
        <is>
          <t>DC-47</t>
        </is>
      </c>
      <c r="B37" s="14" t="inlineStr">
        <is>
          <t>地区</t>
        </is>
      </c>
      <c r="C37" s="14" t="inlineStr">
        <is>
          <t>中国数据中心用电量</t>
        </is>
      </c>
      <c r="D37" s="14" t="inlineStr">
        <is>
          <t>中国</t>
        </is>
      </c>
      <c r="E37" s="32" t="n">
        <v>84</v>
      </c>
      <c r="F37" s="14" t="inlineStr">
        <is>
          <t>TWh</t>
        </is>
      </c>
      <c r="G37" s="14" t="inlineStr">
        <is>
          <t>2023</t>
        </is>
      </c>
      <c r="H37" s="14" t="inlineStr">
        <is>
          <t>官方估计</t>
        </is>
      </c>
      <c r="I37" s="14" t="inlineStr">
        <is>
          <t>IEA 模型口径</t>
        </is>
      </c>
      <c r="J37" s="14" t="inlineStr">
        <is>
          <t>IEA《能源与人工智能关键问题》Key Questions on Energy and AI（2026 年更新版）</t>
        </is>
      </c>
      <c r="K37" s="14" t="inlineStr">
        <is>
          <t>2026-04-16</t>
        </is>
      </c>
      <c r="L37" s="14" t="inlineStr">
        <is>
          <t>https://iea.blob.core.windows.net/assets/3179f7f8-01f6-4dd6-bffa-c9f7b73f1dc9/KeyQuestionsonEnergyandAI.pdf｜PDF 第 110 页表 A.4</t>
        </is>
      </c>
      <c r="M37" s="14" t="inlineStr">
        <is>
          <t>2026-10-22</t>
        </is>
      </c>
      <c r="N37" s="14" t="inlineStr">
        <is>
          <t>IEA26</t>
        </is>
      </c>
    </row>
    <row r="38">
      <c r="A38" s="14" t="inlineStr">
        <is>
          <t>DC-48</t>
        </is>
      </c>
      <c r="B38" s="14" t="inlineStr">
        <is>
          <t>地区</t>
        </is>
      </c>
      <c r="C38" s="14" t="inlineStr">
        <is>
          <t>欧洲数据中心用电量</t>
        </is>
      </c>
      <c r="D38" s="14" t="inlineStr">
        <is>
          <t>欧洲</t>
        </is>
      </c>
      <c r="E38" s="32" t="n">
        <v>66</v>
      </c>
      <c r="F38" s="14" t="inlineStr">
        <is>
          <t>TWh</t>
        </is>
      </c>
      <c r="G38" s="14" t="inlineStr">
        <is>
          <t>2023</t>
        </is>
      </c>
      <c r="H38" s="14" t="inlineStr">
        <is>
          <t>官方估计</t>
        </is>
      </c>
      <c r="I38" s="14" t="inlineStr">
        <is>
          <t>IEA 模型口径</t>
        </is>
      </c>
      <c r="J38" s="14" t="inlineStr">
        <is>
          <t>IEA《能源与人工智能关键问题》Key Questions on Energy and AI（2026 年更新版）</t>
        </is>
      </c>
      <c r="K38" s="14" t="inlineStr">
        <is>
          <t>2026-04-16</t>
        </is>
      </c>
      <c r="L38" s="14" t="inlineStr">
        <is>
          <t>https://iea.blob.core.windows.net/assets/3179f7f8-01f6-4dd6-bffa-c9f7b73f1dc9/KeyQuestionsonEnergyandAI.pdf｜PDF 第 110 页表 A.4</t>
        </is>
      </c>
      <c r="M38" s="14" t="inlineStr">
        <is>
          <t>2026-10-22</t>
        </is>
      </c>
      <c r="N38" s="14" t="inlineStr">
        <is>
          <t>IEA26</t>
        </is>
      </c>
    </row>
    <row r="39">
      <c r="A39" s="14" t="inlineStr">
        <is>
          <t>DC-39</t>
        </is>
      </c>
      <c r="B39" s="14" t="inlineStr">
        <is>
          <t>地区</t>
        </is>
      </c>
      <c r="C39" s="14" t="inlineStr">
        <is>
          <t>美国：数据中心占全国用电增量比例</t>
        </is>
      </c>
      <c r="D39" s="14" t="inlineStr">
        <is>
          <t>美国</t>
        </is>
      </c>
      <c r="E39" s="33" t="n">
        <v>0.5</v>
      </c>
      <c r="F39" s="14" t="inlineStr">
        <is>
          <t>%</t>
        </is>
      </c>
      <c r="G39" s="14" t="inlineStr">
        <is>
          <t>2025</t>
        </is>
      </c>
      <c r="H39" s="14" t="inlineStr">
        <is>
          <t>官方估计</t>
        </is>
      </c>
      <c r="I39" s="14" t="inlineStr">
        <is>
          <t>IEA 称“约一半”</t>
        </is>
      </c>
      <c r="J39" s="14" t="inlineStr">
        <is>
          <t>IEA《全球能源回顾 2026》Global Energy Review 2026</t>
        </is>
      </c>
      <c r="K39" s="14" t="inlineStr">
        <is>
          <t>2026-04</t>
        </is>
      </c>
      <c r="L39" s="14" t="inlineStr">
        <is>
          <t>https://iea.blob.core.windows.net/assets/df903e1c-49c6-4757-8cbf-6fbcfe7611a0/GlobalEnergyReview2026.pdf｜p.9</t>
        </is>
      </c>
      <c r="M39" s="14" t="inlineStr">
        <is>
          <t>2026-10-22</t>
        </is>
      </c>
      <c r="N39" s="14" t="inlineStr">
        <is>
          <t>IEAGER26</t>
        </is>
      </c>
    </row>
    <row r="40">
      <c r="A40" s="14" t="inlineStr">
        <is>
          <t>DC-40</t>
        </is>
      </c>
      <c r="B40" s="14" t="inlineStr">
        <is>
          <t>分母</t>
        </is>
      </c>
      <c r="C40" s="14" t="inlineStr">
        <is>
          <t>全球电力需求</t>
        </is>
      </c>
      <c r="D40" s="14" t="inlineStr">
        <is>
          <t>全球</t>
        </is>
      </c>
      <c r="E40" s="32" t="n">
        <v>27391</v>
      </c>
      <c r="F40" s="14" t="inlineStr">
        <is>
          <t>TWh</t>
        </is>
      </c>
      <c r="G40" s="14" t="inlineStr">
        <is>
          <t>2024</t>
        </is>
      </c>
      <c r="H40" s="14" t="inlineStr">
        <is>
          <t>官方估计</t>
        </is>
      </c>
      <c r="I40" s="14" t="inlineStr">
        <is>
          <t>IEA 电力需求口径</t>
        </is>
      </c>
      <c r="J40" s="14" t="inlineStr">
        <is>
          <t>IEA《电力 2026》Electricity 2026 – Analysis and forecast to 2030</t>
        </is>
      </c>
      <c r="K40" s="14" t="inlineStr">
        <is>
          <t>2026-02</t>
        </is>
      </c>
      <c r="L40" s="14" t="inlineStr">
        <is>
          <t>https://iea.blob.core.windows.net/assets/b73798cb-e452-42b9-9d8a-07542de7a041/Electricity_2026.pdf｜附表“2023–2030 分地区电力需求” p.217</t>
        </is>
      </c>
      <c r="M40" s="14" t="inlineStr">
        <is>
          <t>2026-10-22</t>
        </is>
      </c>
      <c r="N40" s="14" t="inlineStr">
        <is>
          <t>IEAE26</t>
        </is>
      </c>
    </row>
    <row r="41">
      <c r="A41" s="14" t="inlineStr">
        <is>
          <t>DC-41</t>
        </is>
      </c>
      <c r="B41" s="14" t="inlineStr">
        <is>
          <t>分母</t>
        </is>
      </c>
      <c r="C41" s="14" t="inlineStr">
        <is>
          <t>全球电力需求</t>
        </is>
      </c>
      <c r="D41" s="14" t="inlineStr">
        <is>
          <t>全球</t>
        </is>
      </c>
      <c r="E41" s="32" t="n">
        <v>28199</v>
      </c>
      <c r="F41" s="14" t="inlineStr">
        <is>
          <t>TWh</t>
        </is>
      </c>
      <c r="G41" s="14" t="inlineStr">
        <is>
          <t>2025</t>
        </is>
      </c>
      <c r="H41" s="14" t="inlineStr">
        <is>
          <t>官方估计</t>
        </is>
      </c>
      <c r="I41" s="14" t="inlineStr">
        <is>
          <t>同上</t>
        </is>
      </c>
      <c r="J41" s="14" t="inlineStr">
        <is>
          <t>IEA《电力 2026》Electricity 2026 – Analysis and forecast to 2030</t>
        </is>
      </c>
      <c r="K41" s="14" t="inlineStr">
        <is>
          <t>2026-02</t>
        </is>
      </c>
      <c r="L41" s="14" t="inlineStr">
        <is>
          <t>https://iea.blob.core.windows.net/assets/b73798cb-e452-42b9-9d8a-07542de7a041/Electricity_2026.pdf｜同上</t>
        </is>
      </c>
      <c r="M41" s="14" t="inlineStr">
        <is>
          <t>2026-10-22</t>
        </is>
      </c>
      <c r="N41" s="14" t="inlineStr">
        <is>
          <t>IEAE26</t>
        </is>
      </c>
    </row>
    <row r="42">
      <c r="A42" s="14" t="inlineStr">
        <is>
          <t>DC-42</t>
        </is>
      </c>
      <c r="B42" s="14" t="inlineStr">
        <is>
          <t>分母</t>
        </is>
      </c>
      <c r="C42" s="14" t="inlineStr">
        <is>
          <t>全球电力需求（预测）</t>
        </is>
      </c>
      <c r="D42" s="14" t="inlineStr">
        <is>
          <t>全球</t>
        </is>
      </c>
      <c r="E42" s="32" t="n">
        <v>33594</v>
      </c>
      <c r="F42" s="14" t="inlineStr">
        <is>
          <t>TWh</t>
        </is>
      </c>
      <c r="G42" s="14" t="inlineStr">
        <is>
          <t>2030</t>
        </is>
      </c>
      <c r="H42" s="14" t="inlineStr">
        <is>
          <t>官方预测</t>
        </is>
      </c>
      <c r="I42" s="14" t="inlineStr">
        <is>
          <t>同上；2026–2030 年均 +3.6%</t>
        </is>
      </c>
      <c r="J42" s="14" t="inlineStr">
        <is>
          <t>IEA《电力 2026》Electricity 2026 – Analysis and forecast to 2030</t>
        </is>
      </c>
      <c r="K42" s="14" t="inlineStr">
        <is>
          <t>2026-02</t>
        </is>
      </c>
      <c r="L42" s="14" t="inlineStr">
        <is>
          <t>https://iea.blob.core.windows.net/assets/b73798cb-e452-42b9-9d8a-07542de7a041/Electricity_2026.pdf｜同上</t>
        </is>
      </c>
      <c r="M42" s="14" t="inlineStr">
        <is>
          <t>2026-10-22</t>
        </is>
      </c>
      <c r="N42" s="14" t="inlineStr">
        <is>
          <t>IEAE26</t>
        </is>
      </c>
    </row>
    <row r="43">
      <c r="A43" s="14" t="inlineStr">
        <is>
          <t>DC-43</t>
        </is>
      </c>
      <c r="B43" s="14" t="inlineStr">
        <is>
          <t>分母</t>
        </is>
      </c>
      <c r="C43" s="14" t="inlineStr">
        <is>
          <t>美国电力需求</t>
        </is>
      </c>
      <c r="D43" s="14" t="inlineStr">
        <is>
          <t>美国</t>
        </is>
      </c>
      <c r="E43" s="32" t="n">
        <v>4142</v>
      </c>
      <c r="F43" s="14" t="inlineStr">
        <is>
          <t>TWh</t>
        </is>
      </c>
      <c r="G43" s="14" t="inlineStr">
        <is>
          <t>2024</t>
        </is>
      </c>
      <c r="H43" s="14" t="inlineStr">
        <is>
          <t>官方估计</t>
        </is>
      </c>
      <c r="I43" s="14" t="inlineStr">
        <is>
          <t>IEA 电力需求口径</t>
        </is>
      </c>
      <c r="J43" s="14" t="inlineStr">
        <is>
          <t>IEA《电力 2026》Electricity 2026 – Analysis and forecast to 2030</t>
        </is>
      </c>
      <c r="K43" s="14" t="inlineStr">
        <is>
          <t>2026-02</t>
        </is>
      </c>
      <c r="L43" s="14" t="inlineStr">
        <is>
          <t>https://iea.blob.core.windows.net/assets/b73798cb-e452-42b9-9d8a-07542de7a041/Electricity_2026.pdf｜同上</t>
        </is>
      </c>
      <c r="M43" s="14" t="inlineStr">
        <is>
          <t>2026-10-22</t>
        </is>
      </c>
      <c r="N43" s="14" t="inlineStr">
        <is>
          <t>IEAE26</t>
        </is>
      </c>
    </row>
    <row r="44">
      <c r="A44" s="14" t="inlineStr">
        <is>
          <t>DC-44</t>
        </is>
      </c>
      <c r="B44" s="14" t="inlineStr">
        <is>
          <t>分母</t>
        </is>
      </c>
      <c r="C44" s="14" t="inlineStr">
        <is>
          <t>美国电力需求</t>
        </is>
      </c>
      <c r="D44" s="14" t="inlineStr">
        <is>
          <t>美国</t>
        </is>
      </c>
      <c r="E44" s="32" t="n">
        <v>4231</v>
      </c>
      <c r="F44" s="14" t="inlineStr">
        <is>
          <t>TWh</t>
        </is>
      </c>
      <c r="G44" s="14" t="inlineStr">
        <is>
          <t>2025</t>
        </is>
      </c>
      <c r="H44" s="14" t="inlineStr">
        <is>
          <t>官方估计</t>
        </is>
      </c>
      <c r="I44" s="14" t="inlineStr">
        <is>
          <t>同上</t>
        </is>
      </c>
      <c r="J44" s="14" t="inlineStr">
        <is>
          <t>IEA《电力 2026》Electricity 2026 – Analysis and forecast to 2030</t>
        </is>
      </c>
      <c r="K44" s="14" t="inlineStr">
        <is>
          <t>2026-02</t>
        </is>
      </c>
      <c r="L44" s="14" t="inlineStr">
        <is>
          <t>https://iea.blob.core.windows.net/assets/b73798cb-e452-42b9-9d8a-07542de7a041/Electricity_2026.pdf｜同上</t>
        </is>
      </c>
      <c r="M44" s="14" t="inlineStr">
        <is>
          <t>2026-10-22</t>
        </is>
      </c>
      <c r="N44" s="14" t="inlineStr">
        <is>
          <t>IEAE26</t>
        </is>
      </c>
    </row>
    <row r="45">
      <c r="A45" s="14" t="inlineStr">
        <is>
          <t>DC-45</t>
        </is>
      </c>
      <c r="B45" s="14" t="inlineStr">
        <is>
          <t>分母</t>
        </is>
      </c>
      <c r="C45" s="14" t="inlineStr">
        <is>
          <t>美国电力需求（预测）</t>
        </is>
      </c>
      <c r="D45" s="14" t="inlineStr">
        <is>
          <t>美国</t>
        </is>
      </c>
      <c r="E45" s="32" t="n">
        <v>4657</v>
      </c>
      <c r="F45" s="14" t="inlineStr">
        <is>
          <t>TWh</t>
        </is>
      </c>
      <c r="G45" s="14" t="inlineStr">
        <is>
          <t>2030</t>
        </is>
      </c>
      <c r="H45" s="14" t="inlineStr">
        <is>
          <t>官方预测</t>
        </is>
      </c>
      <c r="I45" s="14" t="inlineStr">
        <is>
          <t>同上</t>
        </is>
      </c>
      <c r="J45" s="14" t="inlineStr">
        <is>
          <t>IEA《电力 2026》Electricity 2026 – Analysis and forecast to 2030</t>
        </is>
      </c>
      <c r="K45" s="14" t="inlineStr">
        <is>
          <t>2026-02</t>
        </is>
      </c>
      <c r="L45" s="14" t="inlineStr">
        <is>
          <t>https://iea.blob.core.windows.net/assets/b73798cb-e452-42b9-9d8a-07542de7a041/Electricity_2026.pdf｜同上</t>
        </is>
      </c>
      <c r="M45" s="14" t="inlineStr">
        <is>
          <t>2026-10-22</t>
        </is>
      </c>
      <c r="N45" s="14" t="inlineStr">
        <is>
          <t>IEAE26</t>
        </is>
      </c>
    </row>
    <row r="46">
      <c r="A46" s="14" t="inlineStr">
        <is>
          <t>DC-50</t>
        </is>
      </c>
      <c r="B46" s="14" t="inlineStr">
        <is>
          <t>美国</t>
        </is>
      </c>
      <c r="C46" s="14" t="inlineStr">
        <is>
          <t>美国数据中心用电量（LBNL）</t>
        </is>
      </c>
      <c r="D46" s="14" t="inlineStr">
        <is>
          <t>美国</t>
        </is>
      </c>
      <c r="E46" s="32" t="n">
        <v>176</v>
      </c>
      <c r="F46" s="14" t="inlineStr">
        <is>
          <t>TWh</t>
        </is>
      </c>
      <c r="G46" s="14" t="inlineStr">
        <is>
          <t>2023</t>
        </is>
      </c>
      <c r="H46" s="14" t="inlineStr">
        <is>
          <t>官方估计</t>
        </is>
      </c>
      <c r="I46" s="14" t="inlineStr">
        <is>
          <t>LBNL 自下而上模型；约占美国用电 4.4%（IEA 同年估计为 154）</t>
        </is>
      </c>
      <c r="J46" s="14" t="inlineStr">
        <is>
          <t>美国能源部新闻稿：DOE Releases New Report Evaluating Increase in Electricity Demand from Data Centers（LBNL 2024 美国数据中心能耗报告）</t>
        </is>
      </c>
      <c r="K46" s="14" t="inlineStr">
        <is>
          <t>2024-12-20</t>
        </is>
      </c>
      <c r="L46" s="14" t="inlineStr">
        <is>
          <t>https://www.energy.gov/articles/doe-releases-new-report-evaluating-increase-electricity-demand-data-centers｜新闻稿正文</t>
        </is>
      </c>
      <c r="M46" s="14" t="inlineStr">
        <is>
          <t>2026-10-22</t>
        </is>
      </c>
      <c r="N46" s="14" t="inlineStr">
        <is>
          <t>DOE24</t>
        </is>
      </c>
    </row>
    <row r="47">
      <c r="A47" s="14" t="inlineStr">
        <is>
          <t>DC-51</t>
        </is>
      </c>
      <c r="B47" s="14" t="inlineStr">
        <is>
          <t>美国</t>
        </is>
      </c>
      <c r="C47" s="14" t="inlineStr">
        <is>
          <t>美国数据中心用电量预测下限（LBNL）</t>
        </is>
      </c>
      <c r="D47" s="14" t="inlineStr">
        <is>
          <t>美国</t>
        </is>
      </c>
      <c r="E47" s="32" t="n">
        <v>325</v>
      </c>
      <c r="F47" s="14" t="inlineStr">
        <is>
          <t>TWh</t>
        </is>
      </c>
      <c r="G47" s="14" t="inlineStr">
        <is>
          <t>2028</t>
        </is>
      </c>
      <c r="H47" s="14" t="inlineStr">
        <is>
          <t>官方预测</t>
        </is>
      </c>
      <c r="I47" s="14" t="inlineStr">
        <is>
          <t>占全美用电 6.7%</t>
        </is>
      </c>
      <c r="J47" s="14" t="inlineStr">
        <is>
          <t>美国能源部新闻稿：DOE Releases New Report Evaluating Increase in Electricity Demand from Data Centers（LBNL 2024 美国数据中心能耗报告）</t>
        </is>
      </c>
      <c r="K47" s="14" t="inlineStr">
        <is>
          <t>2024-12-20</t>
        </is>
      </c>
      <c r="L47" s="14" t="inlineStr">
        <is>
          <t>https://www.energy.gov/articles/doe-releases-new-report-evaluating-increase-electricity-demand-data-centers｜新闻稿正文</t>
        </is>
      </c>
      <c r="M47" s="14" t="inlineStr">
        <is>
          <t>2026-10-22</t>
        </is>
      </c>
      <c r="N47" s="14" t="inlineStr">
        <is>
          <t>DOE24</t>
        </is>
      </c>
    </row>
    <row r="48">
      <c r="A48" s="14" t="inlineStr">
        <is>
          <t>DC-52</t>
        </is>
      </c>
      <c r="B48" s="14" t="inlineStr">
        <is>
          <t>美国</t>
        </is>
      </c>
      <c r="C48" s="14" t="inlineStr">
        <is>
          <t>美国数据中心用电量预测上限（LBNL）</t>
        </is>
      </c>
      <c r="D48" s="14" t="inlineStr">
        <is>
          <t>美国</t>
        </is>
      </c>
      <c r="E48" s="32" t="n">
        <v>580</v>
      </c>
      <c r="F48" s="14" t="inlineStr">
        <is>
          <t>TWh</t>
        </is>
      </c>
      <c r="G48" s="14" t="inlineStr">
        <is>
          <t>2028</t>
        </is>
      </c>
      <c r="H48" s="14" t="inlineStr">
        <is>
          <t>官方预测</t>
        </is>
      </c>
      <c r="I48" s="14" t="inlineStr">
        <is>
          <t>占全美用电 12%</t>
        </is>
      </c>
      <c r="J48" s="14" t="inlineStr">
        <is>
          <t>美国能源部新闻稿：DOE Releases New Report Evaluating Increase in Electricity Demand from Data Centers（LBNL 2024 美国数据中心能耗报告）</t>
        </is>
      </c>
      <c r="K48" s="14" t="inlineStr">
        <is>
          <t>2024-12-20</t>
        </is>
      </c>
      <c r="L48" s="14" t="inlineStr">
        <is>
          <t>https://www.energy.gov/articles/doe-releases-new-report-evaluating-increase-electricity-demand-data-centers｜新闻稿正文</t>
        </is>
      </c>
      <c r="M48" s="14" t="inlineStr">
        <is>
          <t>2026-10-22</t>
        </is>
      </c>
      <c r="N48" s="14" t="inlineStr">
        <is>
          <t>DOE24</t>
        </is>
      </c>
    </row>
    <row r="49">
      <c r="A49" s="14" t="inlineStr">
        <is>
          <t>DC-53</t>
        </is>
      </c>
      <c r="B49" s="14" t="inlineStr">
        <is>
          <t>美国</t>
        </is>
      </c>
      <c r="C49" s="14" t="inlineStr">
        <is>
          <t>美国终端售电量（全部门）</t>
        </is>
      </c>
      <c r="D49" s="14" t="inlineStr">
        <is>
          <t>美国</t>
        </is>
      </c>
      <c r="E49" s="35" t="n">
        <v>3975.4</v>
      </c>
      <c r="F49" s="14" t="inlineStr">
        <is>
          <t>TWh</t>
        </is>
      </c>
      <c r="G49" s="14" t="inlineStr">
        <is>
          <t>2024</t>
        </is>
      </c>
      <c r="H49" s="14" t="inlineStr">
        <is>
          <t>披露事实</t>
        </is>
      </c>
      <c r="I49" s="14" t="inlineStr">
        <is>
          <t>零售售电，不含自发自用</t>
        </is>
      </c>
      <c r="J49" s="14" t="inlineStr">
        <is>
          <t>EIA《电力月报》表 5.1 终端用户售电量</t>
        </is>
      </c>
      <c r="K49" s="14" t="inlineStr">
        <is>
          <t>2026-09-24</t>
        </is>
      </c>
      <c r="L49" s="14" t="inlineStr">
        <is>
          <t>https://www.eia.gov/electricity/monthly/epm_table_grapher.php?t=epmt_5_01｜表 5.1</t>
        </is>
      </c>
      <c r="M49" s="14" t="inlineStr">
        <is>
          <t>2026-10-22</t>
        </is>
      </c>
      <c r="N49" s="14" t="inlineStr">
        <is>
          <t>EIA_EPM51</t>
        </is>
      </c>
    </row>
    <row r="50">
      <c r="A50" s="14" t="inlineStr">
        <is>
          <t>DC-54</t>
        </is>
      </c>
      <c r="B50" s="14" t="inlineStr">
        <is>
          <t>美国</t>
        </is>
      </c>
      <c r="C50" s="14" t="inlineStr">
        <is>
          <t>美国终端售电量（全部门）</t>
        </is>
      </c>
      <c r="D50" s="14" t="inlineStr">
        <is>
          <t>美国</t>
        </is>
      </c>
      <c r="E50" s="32" t="n">
        <v>4058</v>
      </c>
      <c r="F50" s="14" t="inlineStr">
        <is>
          <t>TWh</t>
        </is>
      </c>
      <c r="G50" s="14" t="inlineStr">
        <is>
          <t>2025</t>
        </is>
      </c>
      <c r="H50" s="14" t="inlineStr">
        <is>
          <t>披露事实</t>
        </is>
      </c>
      <c r="I50" s="14" t="inlineStr">
        <is>
          <t>同上（EIA 电力年报口径为 4079.9）</t>
        </is>
      </c>
      <c r="J50" s="14" t="inlineStr">
        <is>
          <t>EIA《电力月报》表 5.1 终端用户售电量</t>
        </is>
      </c>
      <c r="K50" s="14" t="inlineStr">
        <is>
          <t>2026-09-24</t>
        </is>
      </c>
      <c r="L50" s="14" t="inlineStr">
        <is>
          <t>https://www.eia.gov/electricity/monthly/epm_table_grapher.php?t=epmt_5_01｜表 5.1</t>
        </is>
      </c>
      <c r="M50" s="14" t="inlineStr">
        <is>
          <t>2026-10-22</t>
        </is>
      </c>
      <c r="N50" s="14" t="inlineStr">
        <is>
          <t>EIA_EPM51</t>
        </is>
      </c>
    </row>
    <row r="51">
      <c r="A51" s="14" t="inlineStr">
        <is>
          <t>DC-60</t>
        </is>
      </c>
      <c r="B51" s="14" t="inlineStr">
        <is>
          <t>科技公司</t>
        </is>
      </c>
      <c r="C51" s="14" t="inlineStr">
        <is>
          <t>四大超大规模企业合计用电（AWS、微软、Alphabet、Meta）</t>
        </is>
      </c>
      <c r="D51" s="14" t="inlineStr">
        <is>
          <t>四家公司</t>
        </is>
      </c>
      <c r="E51" s="32" t="n">
        <v>110</v>
      </c>
      <c r="F51" s="14" t="inlineStr">
        <is>
          <t>TWh</t>
        </is>
      </c>
      <c r="G51" s="14" t="inlineStr">
        <is>
          <t>2024</t>
        </is>
      </c>
      <c r="H51" s="14" t="inlineStr">
        <is>
          <t>官方估计</t>
        </is>
      </c>
      <c r="I51" s="14" t="inlineStr">
        <is>
          <t>基于公司披露；AWS 由 IEA 估算；同比 +20%</t>
        </is>
      </c>
      <c r="J51" s="14" t="inlineStr">
        <is>
          <t>IEA《能源与人工智能关键问题》Key Questions on Energy and AI（2026 年更新版）</t>
        </is>
      </c>
      <c r="K51" s="14" t="inlineStr">
        <is>
          <t>2026-04-16</t>
        </is>
      </c>
      <c r="L51" s="14" t="inlineStr">
        <is>
          <t>https://iea.blob.core.windows.net/assets/3179f7f8-01f6-4dd6-bffa-c9f7b73f1dc9/KeyQuestionsonEnergyandAI.pdf｜第 1 章（约 PDF 第 17 页）</t>
        </is>
      </c>
      <c r="M51" s="14" t="inlineStr">
        <is>
          <t>2026-10-22</t>
        </is>
      </c>
      <c r="N51" s="14" t="inlineStr">
        <is>
          <t>IEA26</t>
        </is>
      </c>
    </row>
    <row r="52">
      <c r="A52" s="14" t="inlineStr">
        <is>
          <t>DC-61</t>
        </is>
      </c>
      <c r="B52" s="14" t="inlineStr">
        <is>
          <t>科技公司</t>
        </is>
      </c>
      <c r="C52" s="14" t="inlineStr">
        <is>
          <t>大型科技公司资本开支</t>
        </is>
      </c>
      <c r="D52" s="14" t="inlineStr">
        <is>
          <t>五家公司</t>
        </is>
      </c>
      <c r="E52" s="32" t="n">
        <v>400</v>
      </c>
      <c r="F52" s="14" t="inlineStr">
        <is>
          <t>十亿美元</t>
        </is>
      </c>
      <c r="G52" s="14" t="inlineStr">
        <is>
          <t>2025</t>
        </is>
      </c>
      <c r="H52" s="14" t="inlineStr">
        <is>
          <t>官方估计</t>
        </is>
      </c>
      <c r="I52" s="14" t="inlineStr">
        <is>
          <t>IEA 原文“超过 4000 亿美元”</t>
        </is>
      </c>
      <c r="J52" s="14" t="inlineStr">
        <is>
          <t>IEA《能源与人工智能关键问题》Key Questions on Energy and AI（2026 年更新版）</t>
        </is>
      </c>
      <c r="K52" s="14" t="inlineStr">
        <is>
          <t>2026-04-16</t>
        </is>
      </c>
      <c r="L52" s="14" t="inlineStr">
        <is>
          <t>https://iea.blob.core.windows.net/assets/3179f7f8-01f6-4dd6-bffa-c9f7b73f1dc9/KeyQuestionsonEnergyandAI.pdf｜PDF 第 9 页执行摘要</t>
        </is>
      </c>
      <c r="M52" s="14" t="inlineStr">
        <is>
          <t>2026-10-22</t>
        </is>
      </c>
      <c r="N52" s="14" t="inlineStr">
        <is>
          <t>IEA26</t>
        </is>
      </c>
    </row>
    <row r="53">
      <c r="A53" s="14" t="inlineStr">
        <is>
          <t>DC-62</t>
        </is>
      </c>
      <c r="B53" s="14" t="inlineStr">
        <is>
          <t>科技公司</t>
        </is>
      </c>
      <c r="C53" s="14" t="inlineStr">
        <is>
          <t>大型科技公司资本开支 2026 年预期增幅</t>
        </is>
      </c>
      <c r="D53" s="14" t="inlineStr">
        <is>
          <t>五家公司</t>
        </is>
      </c>
      <c r="E53" s="33" t="n">
        <v>0.75</v>
      </c>
      <c r="F53" s="14" t="inlineStr">
        <is>
          <t>%</t>
        </is>
      </c>
      <c r="G53" s="14" t="inlineStr">
        <is>
          <t>2026</t>
        </is>
      </c>
      <c r="H53" s="14" t="inlineStr">
        <is>
          <t>官方预测</t>
        </is>
      </c>
      <c r="I53" s="14" t="inlineStr"/>
      <c r="J53" s="14" t="inlineStr">
        <is>
          <t>IEA《能源与人工智能关键问题》Key Questions on Energy and AI（2026 年更新版）</t>
        </is>
      </c>
      <c r="K53" s="14" t="inlineStr">
        <is>
          <t>2026-04-16</t>
        </is>
      </c>
      <c r="L53" s="14" t="inlineStr">
        <is>
          <t>https://iea.blob.core.windows.net/assets/3179f7f8-01f6-4dd6-bffa-c9f7b73f1dc9/KeyQuestionsonEnergyandAI.pdf｜PDF 第 9 页执行摘要</t>
        </is>
      </c>
      <c r="M53" s="14" t="inlineStr">
        <is>
          <t>2026-10-22</t>
        </is>
      </c>
      <c r="N53" s="14" t="inlineStr">
        <is>
          <t>IEA26</t>
        </is>
      </c>
    </row>
    <row r="54">
      <c r="A54" s="14" t="inlineStr">
        <is>
          <t>DC-63</t>
        </is>
      </c>
      <c r="B54" s="14" t="inlineStr">
        <is>
          <t>供给</t>
        </is>
      </c>
      <c r="C54" s="14" t="inlineStr">
        <is>
          <t>计划作为数据中心专用电源的新增燃气装机</t>
        </is>
      </c>
      <c r="D54" s="14" t="inlineStr">
        <is>
          <t>全球（主要在美国）</t>
        </is>
      </c>
      <c r="E54" s="32" t="n">
        <v>100</v>
      </c>
      <c r="F54" s="14" t="inlineStr">
        <is>
          <t>GW</t>
        </is>
      </c>
      <c r="G54" s="14" t="inlineStr">
        <is>
          <t>2026</t>
        </is>
      </c>
      <c r="H54" s="14" t="inlineStr">
        <is>
          <t>官方估计</t>
        </is>
      </c>
      <c r="I54" s="14" t="inlineStr">
        <is>
          <t>原文“超过 100 GW”，以现场发电为主</t>
        </is>
      </c>
      <c r="J54" s="14" t="inlineStr">
        <is>
          <t>IEA《能源与人工智能关键问题》Key Questions on Energy and AI（2026 年更新版）</t>
        </is>
      </c>
      <c r="K54" s="14" t="inlineStr">
        <is>
          <t>2026-04-16</t>
        </is>
      </c>
      <c r="L54" s="14" t="inlineStr">
        <is>
          <t>https://iea.blob.core.windows.net/assets/3179f7f8-01f6-4dd6-bffa-c9f7b73f1dc9/KeyQuestionsonEnergyandAI.pdf｜PDF 第 49 页 §5.2</t>
        </is>
      </c>
      <c r="M54" s="14" t="inlineStr">
        <is>
          <t>2026-10-22</t>
        </is>
      </c>
      <c r="N54" s="14" t="inlineStr">
        <is>
          <t>IEA26</t>
        </is>
      </c>
    </row>
    <row r="55">
      <c r="A55" s="14" t="inlineStr">
        <is>
          <t>DC-64</t>
        </is>
      </c>
      <c r="B55" s="14" t="inlineStr">
        <is>
          <t>供给</t>
        </is>
      </c>
      <c r="C55" s="14" t="inlineStr">
        <is>
          <t>2030 年可能为数据中心供电的现场燃气装机（下限）</t>
        </is>
      </c>
      <c r="D55" s="14" t="inlineStr">
        <is>
          <t>全球</t>
        </is>
      </c>
      <c r="E55" s="32" t="n">
        <v>15</v>
      </c>
      <c r="F55" s="14" t="inlineStr">
        <is>
          <t>GW</t>
        </is>
      </c>
      <c r="G55" s="14" t="inlineStr">
        <is>
          <t>2030</t>
        </is>
      </c>
      <c r="H55" s="14" t="inlineStr">
        <is>
          <t>官方预测</t>
        </is>
      </c>
      <c r="I55" s="14" t="inlineStr">
        <is>
          <t>区间 15–27 GW</t>
        </is>
      </c>
      <c r="J55" s="14" t="inlineStr">
        <is>
          <t>IEA《能源与人工智能关键问题》Key Questions on Energy and AI（2026 年更新版）</t>
        </is>
      </c>
      <c r="K55" s="14" t="inlineStr">
        <is>
          <t>2026-04-16</t>
        </is>
      </c>
      <c r="L55" s="14" t="inlineStr">
        <is>
          <t>https://iea.blob.core.windows.net/assets/3179f7f8-01f6-4dd6-bffa-c9f7b73f1dc9/KeyQuestionsonEnergyandAI.pdf｜PDF 第 11 页执行摘要</t>
        </is>
      </c>
      <c r="M55" s="14" t="inlineStr">
        <is>
          <t>2026-10-22</t>
        </is>
      </c>
      <c r="N55" s="14" t="inlineStr">
        <is>
          <t>IEA26</t>
        </is>
      </c>
    </row>
    <row r="56">
      <c r="A56" s="14" t="inlineStr">
        <is>
          <t>DC-65</t>
        </is>
      </c>
      <c r="B56" s="14" t="inlineStr">
        <is>
          <t>供给</t>
        </is>
      </c>
      <c r="C56" s="14" t="inlineStr">
        <is>
          <t>2030 年可能为数据中心供电的现场燃气装机（上限）</t>
        </is>
      </c>
      <c r="D56" s="14" t="inlineStr">
        <is>
          <t>全球</t>
        </is>
      </c>
      <c r="E56" s="32" t="n">
        <v>27</v>
      </c>
      <c r="F56" s="14" t="inlineStr">
        <is>
          <t>GW</t>
        </is>
      </c>
      <c r="G56" s="14" t="inlineStr">
        <is>
          <t>2030</t>
        </is>
      </c>
      <c r="H56" s="14" t="inlineStr">
        <is>
          <t>官方预测</t>
        </is>
      </c>
      <c r="I56" s="14" t="inlineStr">
        <is>
          <t>区间 15–27 GW</t>
        </is>
      </c>
      <c r="J56" s="14" t="inlineStr">
        <is>
          <t>IEA《能源与人工智能关键问题》Key Questions on Energy and AI（2026 年更新版）</t>
        </is>
      </c>
      <c r="K56" s="14" t="inlineStr">
        <is>
          <t>2026-04-16</t>
        </is>
      </c>
      <c r="L56" s="14" t="inlineStr">
        <is>
          <t>https://iea.blob.core.windows.net/assets/3179f7f8-01f6-4dd6-bffa-c9f7b73f1dc9/KeyQuestionsonEnergyandAI.pdf｜PDF 第 11 页执行摘要</t>
        </is>
      </c>
      <c r="M56" s="14" t="inlineStr">
        <is>
          <t>2026-10-22</t>
        </is>
      </c>
      <c r="N56" s="14" t="inlineStr">
        <is>
          <t>IEA26</t>
        </is>
      </c>
    </row>
    <row r="57">
      <c r="A57" s="14" t="inlineStr">
        <is>
          <t>DC-66</t>
        </is>
      </c>
      <c r="B57" s="14" t="inlineStr">
        <is>
          <t>供给</t>
        </is>
      </c>
      <c r="C57" s="14" t="inlineStr">
        <is>
          <t>数据中心与小型模块堆（SMR）签署的承购协议规模</t>
        </is>
      </c>
      <c r="D57" s="14" t="inlineStr">
        <is>
          <t>全球</t>
        </is>
      </c>
      <c r="E57" s="32" t="n">
        <v>45</v>
      </c>
      <c r="F57" s="14" t="inlineStr">
        <is>
          <t>GW</t>
        </is>
      </c>
      <c r="G57" s="14" t="inlineStr">
        <is>
          <t>2025 年底</t>
        </is>
      </c>
      <c r="H57" s="14" t="inlineStr">
        <is>
          <t>官方估计</t>
        </is>
      </c>
      <c r="I57" s="14" t="inlineStr">
        <is>
          <t>2024 年底约 25 GW；首批项目约 2030 年投运</t>
        </is>
      </c>
      <c r="J57" s="14" t="inlineStr">
        <is>
          <t>IEA《能源与人工智能关键问题》Key Questions on Energy and AI（2026 年更新版）</t>
        </is>
      </c>
      <c r="K57" s="14" t="inlineStr">
        <is>
          <t>2026-04-16</t>
        </is>
      </c>
      <c r="L57" s="14" t="inlineStr">
        <is>
          <t>https://iea.blob.core.windows.net/assets/3179f7f8-01f6-4dd6-bffa-c9f7b73f1dc9/KeyQuestionsonEnergyandAI.pdf｜PDF 第 11 页执行摘要</t>
        </is>
      </c>
      <c r="M57" s="14" t="inlineStr">
        <is>
          <t>2026-10-22</t>
        </is>
      </c>
      <c r="N57" s="14" t="inlineStr">
        <is>
          <t>IEA26</t>
        </is>
      </c>
    </row>
    <row r="58">
      <c r="A58" s="14" t="inlineStr">
        <is>
          <t>DC-67</t>
        </is>
      </c>
      <c r="B58" s="14" t="inlineStr">
        <is>
          <t>供给</t>
        </is>
      </c>
      <c r="C58" s="14" t="inlineStr">
        <is>
          <t>科技行业占全球企业可再生能源购电协议比例</t>
        </is>
      </c>
      <c r="D58" s="14" t="inlineStr">
        <is>
          <t>全球</t>
        </is>
      </c>
      <c r="E58" s="33" t="n">
        <v>0.4</v>
      </c>
      <c r="F58" s="14" t="inlineStr">
        <is>
          <t>%</t>
        </is>
      </c>
      <c r="G58" s="14" t="inlineStr">
        <is>
          <t>2025</t>
        </is>
      </c>
      <c r="H58" s="14" t="inlineStr">
        <is>
          <t>官方估计</t>
        </is>
      </c>
      <c r="I58" s="14" t="inlineStr">
        <is>
          <t>数据中心企业签署超过 40 TWh</t>
        </is>
      </c>
      <c r="J58" s="14" t="inlineStr">
        <is>
          <t>IEA《能源与人工智能关键问题》Key Questions on Energy and AI（2026 年更新版）</t>
        </is>
      </c>
      <c r="K58" s="14" t="inlineStr">
        <is>
          <t>2026-04-16</t>
        </is>
      </c>
      <c r="L58" s="14" t="inlineStr">
        <is>
          <t>https://iea.blob.core.windows.net/assets/3179f7f8-01f6-4dd6-bffa-c9f7b73f1dc9/KeyQuestionsonEnergyandAI.pdf｜执行摘要；p.47</t>
        </is>
      </c>
      <c r="M58" s="14" t="inlineStr">
        <is>
          <t>2026-10-22</t>
        </is>
      </c>
      <c r="N58" s="14" t="inlineStr">
        <is>
          <t>IEA26</t>
        </is>
      </c>
    </row>
    <row r="59">
      <c r="A59" s="14" t="inlineStr">
        <is>
          <t>DC-68</t>
        </is>
      </c>
      <c r="B59" s="14" t="inlineStr">
        <is>
          <t>供给</t>
        </is>
      </c>
      <c r="C59" s="14" t="inlineStr">
        <is>
          <t>燃气轮机订单同比增幅</t>
        </is>
      </c>
      <c r="D59" s="14" t="inlineStr">
        <is>
          <t>全球</t>
        </is>
      </c>
      <c r="E59" s="33" t="n">
        <v>0.7</v>
      </c>
      <c r="F59" s="14" t="inlineStr">
        <is>
          <t>%</t>
        </is>
      </c>
      <c r="G59" s="14" t="inlineStr">
        <is>
          <t>2025</t>
        </is>
      </c>
      <c r="H59" s="14" t="inlineStr">
        <is>
          <t>官方估计</t>
        </is>
      </c>
      <c r="I59" s="14" t="inlineStr"/>
      <c r="J59" s="14" t="inlineStr">
        <is>
          <t>IEA《能源与人工智能关键问题》Key Questions on Energy and AI（2026 年更新版）</t>
        </is>
      </c>
      <c r="K59" s="14" t="inlineStr">
        <is>
          <t>2026-04-16</t>
        </is>
      </c>
      <c r="L59" s="14" t="inlineStr">
        <is>
          <t>https://iea.blob.core.windows.net/assets/3179f7f8-01f6-4dd6-bffa-c9f7b73f1dc9/KeyQuestionsonEnergyandAI.pdf｜PDF 第 11 页执行摘要</t>
        </is>
      </c>
      <c r="M59" s="14" t="inlineStr">
        <is>
          <t>2026-10-22</t>
        </is>
      </c>
      <c r="N59" s="14" t="inlineStr">
        <is>
          <t>IEA26</t>
        </is>
      </c>
    </row>
    <row r="60">
      <c r="A60" s="14" t="inlineStr">
        <is>
          <t>DC-69</t>
        </is>
      </c>
      <c r="B60" s="14" t="inlineStr">
        <is>
          <t>瓶颈</t>
        </is>
      </c>
      <c r="C60" s="14" t="inlineStr">
        <is>
          <t>因电网拥堵而面临延期风险的全球数据中心建设比例</t>
        </is>
      </c>
      <c r="D60" s="14" t="inlineStr">
        <is>
          <t>全球</t>
        </is>
      </c>
      <c r="E60" s="33" t="n">
        <v>0.2</v>
      </c>
      <c r="F60" s="14" t="inlineStr">
        <is>
          <t>%</t>
        </is>
      </c>
      <c r="G60" s="14" t="inlineStr">
        <is>
          <t>2026</t>
        </is>
      </c>
      <c r="H60" s="14" t="inlineStr">
        <is>
          <t>官方估计</t>
        </is>
      </c>
      <c r="I60" s="14" t="inlineStr">
        <is>
          <t>原文“五分之一”</t>
        </is>
      </c>
      <c r="J60" s="14" t="inlineStr">
        <is>
          <t>IEA《电力 2026》Electricity 2026 – Analysis and forecast to 2030</t>
        </is>
      </c>
      <c r="K60" s="14" t="inlineStr">
        <is>
          <t>2026-02</t>
        </is>
      </c>
      <c r="L60" s="14" t="inlineStr">
        <is>
          <t>https://iea.blob.core.windows.net/assets/b73798cb-e452-42b9-9d8a-07542de7a041/Electricity_2026.pdf｜p.49</t>
        </is>
      </c>
      <c r="M60" s="14" t="inlineStr">
        <is>
          <t>2026-10-22</t>
        </is>
      </c>
      <c r="N60" s="14" t="inlineStr">
        <is>
          <t>IEAE26</t>
        </is>
      </c>
    </row>
  </sheetData>
  <autoFilter ref="A4:N60"/>
  <mergeCells count="1">
    <mergeCell ref="A2:N2"/>
  </mergeCell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5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  <col width="18" customWidth="1" min="4" max="4"/>
    <col width="13" customWidth="1" min="5" max="5"/>
    <col width="12" customWidth="1" min="6" max="6"/>
    <col width="14" customWidth="1" min="7" max="7"/>
    <col width="11" customWidth="1" min="8" max="8"/>
    <col width="44" customWidth="1" min="9" max="9"/>
    <col width="44" customWidth="1" min="10" max="10"/>
    <col width="16" customWidth="1" min="11" max="11"/>
    <col width="52" customWidth="1" min="12" max="12"/>
    <col width="12" customWidth="1" min="13" max="13"/>
    <col width="10" customWidth="1" min="14" max="14"/>
  </cols>
  <sheetData>
    <row r="1">
      <c r="A1" s="8" t="inlineStr">
        <is>
          <t>D2 数据中心电源结构与美国电网结构（IEA、EIA；含本表计算的桑基图数值）</t>
        </is>
      </c>
    </row>
    <row r="2" ht="30" customHeight="1">
      <c r="A2" s="9" t="inlineStr">
        <is>
          <t>蓝底=输入（披露数据）；橙底=输入（假设）；绿底=公式（本表计算）。“出处定位”给出原始材料的文件与章节，或网页链接；“访问日期”为网页查阅日期。</t>
        </is>
      </c>
    </row>
    <row r="4" ht="30" customHeight="1">
      <c r="A4" s="10" t="inlineStr">
        <is>
          <t>编号</t>
        </is>
      </c>
      <c r="B4" s="10" t="inlineStr">
        <is>
          <t>类别</t>
        </is>
      </c>
      <c r="C4" s="10" t="inlineStr">
        <is>
          <t>指标</t>
        </is>
      </c>
      <c r="D4" s="10" t="inlineStr">
        <is>
          <t>主体/地区</t>
        </is>
      </c>
      <c r="E4" s="10" t="inlineStr">
        <is>
          <t>数值</t>
        </is>
      </c>
      <c r="F4" s="10" t="inlineStr">
        <is>
          <t>单位</t>
        </is>
      </c>
      <c r="G4" s="10" t="inlineStr">
        <is>
          <t>期间</t>
        </is>
      </c>
      <c r="H4" s="10" t="inlineStr">
        <is>
          <t>性质</t>
        </is>
      </c>
      <c r="I4" s="10" t="inlineStr">
        <is>
          <t>口径说明</t>
        </is>
      </c>
      <c r="J4" s="10" t="inlineStr">
        <is>
          <t>来源名称</t>
        </is>
      </c>
      <c r="K4" s="10" t="inlineStr">
        <is>
          <t>发布日期</t>
        </is>
      </c>
      <c r="L4" s="10" t="inlineStr">
        <is>
          <t>出处定位（文件章节/表名或网页链接）</t>
        </is>
      </c>
      <c r="M4" s="10" t="inlineStr">
        <is>
          <t>访问日期</t>
        </is>
      </c>
      <c r="N4" s="10" t="inlineStr">
        <is>
          <t>来源编号</t>
        </is>
      </c>
    </row>
    <row r="5">
      <c r="A5" s="14" t="inlineStr">
        <is>
          <t>MIX-01</t>
        </is>
      </c>
      <c r="B5" s="14" t="inlineStr">
        <is>
          <t>全球 2024</t>
        </is>
      </c>
      <c r="C5" s="14" t="inlineStr">
        <is>
          <t>为数据中心供电的发电量</t>
        </is>
      </c>
      <c r="D5" s="14" t="inlineStr">
        <is>
          <t>全球</t>
        </is>
      </c>
      <c r="E5" s="32" t="n">
        <v>460</v>
      </c>
      <c r="F5" s="14" t="inlineStr">
        <is>
          <t>TWh</t>
        </is>
      </c>
      <c r="G5" s="14" t="inlineStr">
        <is>
          <t>2024</t>
        </is>
      </c>
      <c r="H5" s="14" t="inlineStr">
        <is>
          <t>官方估计</t>
        </is>
      </c>
      <c r="I5" s="14" t="inlineStr">
        <is>
          <t>发电侧口径，含输配损耗，大于用电量 415</t>
        </is>
      </c>
      <c r="J5" s="14" t="inlineStr">
        <is>
          <t>IEA《能源与人工智能》Energy and AI（世界能源展望特别报告）</t>
        </is>
      </c>
      <c r="K5" s="14" t="inlineStr">
        <is>
          <t>2025-04（PDF 元数据 2025-04-11）</t>
        </is>
      </c>
      <c r="L5" s="14" t="inlineStr">
        <is>
          <t>https://iea.blob.core.windows.net/assets/b3a8b37f-32d1-4873-9eca-31cec5895264/EnergyandAI.pdf｜PDF 第 86 页 §2.5.3</t>
        </is>
      </c>
      <c r="M5" s="14" t="inlineStr">
        <is>
          <t>2026-10-22</t>
        </is>
      </c>
      <c r="N5" s="14" t="inlineStr">
        <is>
          <t>IEA25</t>
        </is>
      </c>
    </row>
    <row r="6">
      <c r="A6" s="14" t="inlineStr">
        <is>
          <t>MIX-02</t>
        </is>
      </c>
      <c r="B6" s="14" t="inlineStr">
        <is>
          <t>全球 2024</t>
        </is>
      </c>
      <c r="C6" s="14" t="inlineStr">
        <is>
          <t>煤电占比</t>
        </is>
      </c>
      <c r="D6" s="14" t="inlineStr">
        <is>
          <t>全球</t>
        </is>
      </c>
      <c r="E6" s="33" t="n">
        <v>0.3</v>
      </c>
      <c r="F6" s="14" t="inlineStr">
        <is>
          <t>%</t>
        </is>
      </c>
      <c r="G6" s="14" t="inlineStr">
        <is>
          <t>2024</t>
        </is>
      </c>
      <c r="H6" s="14" t="inlineStr">
        <is>
          <t>官方估计</t>
        </is>
      </c>
      <c r="I6" s="14" t="inlineStr">
        <is>
          <t>原文“约 30%”，中国占比最高</t>
        </is>
      </c>
      <c r="J6" s="14" t="inlineStr">
        <is>
          <t>IEA《能源与人工智能》Energy and AI（世界能源展望特别报告）</t>
        </is>
      </c>
      <c r="K6" s="14" t="inlineStr">
        <is>
          <t>2025-04（PDF 元数据 2025-04-11）</t>
        </is>
      </c>
      <c r="L6" s="14" t="inlineStr">
        <is>
          <t>https://iea.blob.core.windows.net/assets/b3a8b37f-32d1-4873-9eca-31cec5895264/EnergyandAI.pdf｜PDF 第 86 页</t>
        </is>
      </c>
      <c r="M6" s="14" t="inlineStr">
        <is>
          <t>2026-10-22</t>
        </is>
      </c>
      <c r="N6" s="14" t="inlineStr">
        <is>
          <t>IEA25</t>
        </is>
      </c>
    </row>
    <row r="7">
      <c r="A7" s="14" t="inlineStr">
        <is>
          <t>MIX-03</t>
        </is>
      </c>
      <c r="B7" s="14" t="inlineStr">
        <is>
          <t>全球 2024</t>
        </is>
      </c>
      <c r="C7" s="14" t="inlineStr">
        <is>
          <t>可再生能源占比</t>
        </is>
      </c>
      <c r="D7" s="14" t="inlineStr">
        <is>
          <t>全球</t>
        </is>
      </c>
      <c r="E7" s="33" t="n">
        <v>0.27</v>
      </c>
      <c r="F7" s="14" t="inlineStr">
        <is>
          <t>%</t>
        </is>
      </c>
      <c r="G7" s="14" t="inlineStr">
        <is>
          <t>2024</t>
        </is>
      </c>
      <c r="H7" s="14" t="inlineStr">
        <is>
          <t>官方估计</t>
        </is>
      </c>
      <c r="I7" s="14" t="inlineStr">
        <is>
          <t>风电、光伏、水电为主</t>
        </is>
      </c>
      <c r="J7" s="14" t="inlineStr">
        <is>
          <t>IEA《能源与人工智能》Energy and AI（世界能源展望特别报告）</t>
        </is>
      </c>
      <c r="K7" s="14" t="inlineStr">
        <is>
          <t>2025-04（PDF 元数据 2025-04-11）</t>
        </is>
      </c>
      <c r="L7" s="14" t="inlineStr">
        <is>
          <t>https://iea.blob.core.windows.net/assets/b3a8b37f-32d1-4873-9eca-31cec5895264/EnergyandAI.pdf｜PDF 第 86 页</t>
        </is>
      </c>
      <c r="M7" s="14" t="inlineStr">
        <is>
          <t>2026-10-22</t>
        </is>
      </c>
      <c r="N7" s="14" t="inlineStr">
        <is>
          <t>IEA25</t>
        </is>
      </c>
    </row>
    <row r="8">
      <c r="A8" s="14" t="inlineStr">
        <is>
          <t>MIX-04</t>
        </is>
      </c>
      <c r="B8" s="14" t="inlineStr">
        <is>
          <t>全球 2024</t>
        </is>
      </c>
      <c r="C8" s="14" t="inlineStr">
        <is>
          <t>天然气发电占比</t>
        </is>
      </c>
      <c r="D8" s="14" t="inlineStr">
        <is>
          <t>全球</t>
        </is>
      </c>
      <c r="E8" s="33" t="n">
        <v>0.26</v>
      </c>
      <c r="F8" s="14" t="inlineStr">
        <is>
          <t>%</t>
        </is>
      </c>
      <c r="G8" s="14" t="inlineStr">
        <is>
          <t>2024</t>
        </is>
      </c>
      <c r="H8" s="14" t="inlineStr">
        <is>
          <t>官方估计</t>
        </is>
      </c>
      <c r="I8" s="14" t="inlineStr"/>
      <c r="J8" s="14" t="inlineStr">
        <is>
          <t>IEA《能源与人工智能》Energy and AI（世界能源展望特别报告）</t>
        </is>
      </c>
      <c r="K8" s="14" t="inlineStr">
        <is>
          <t>2025-04（PDF 元数据 2025-04-11）</t>
        </is>
      </c>
      <c r="L8" s="14" t="inlineStr">
        <is>
          <t>https://iea.blob.core.windows.net/assets/b3a8b37f-32d1-4873-9eca-31cec5895264/EnergyandAI.pdf｜PDF 第 86 页</t>
        </is>
      </c>
      <c r="M8" s="14" t="inlineStr">
        <is>
          <t>2026-10-22</t>
        </is>
      </c>
      <c r="N8" s="14" t="inlineStr">
        <is>
          <t>IEA25</t>
        </is>
      </c>
    </row>
    <row r="9">
      <c r="A9" s="14" t="inlineStr">
        <is>
          <t>MIX-05</t>
        </is>
      </c>
      <c r="B9" s="14" t="inlineStr">
        <is>
          <t>全球 2024</t>
        </is>
      </c>
      <c r="C9" s="14" t="inlineStr">
        <is>
          <t>核电占比</t>
        </is>
      </c>
      <c r="D9" s="14" t="inlineStr">
        <is>
          <t>全球</t>
        </is>
      </c>
      <c r="E9" s="33" t="n">
        <v>0.15</v>
      </c>
      <c r="F9" s="14" t="inlineStr">
        <is>
          <t>%</t>
        </is>
      </c>
      <c r="G9" s="14" t="inlineStr">
        <is>
          <t>2024</t>
        </is>
      </c>
      <c r="H9" s="14" t="inlineStr">
        <is>
          <t>官方估计</t>
        </is>
      </c>
      <c r="I9" s="14" t="inlineStr"/>
      <c r="J9" s="14" t="inlineStr">
        <is>
          <t>IEA《能源与人工智能》Energy and AI（世界能源展望特别报告）</t>
        </is>
      </c>
      <c r="K9" s="14" t="inlineStr">
        <is>
          <t>2025-04（PDF 元数据 2025-04-11）</t>
        </is>
      </c>
      <c r="L9" s="14" t="inlineStr">
        <is>
          <t>https://iea.blob.core.windows.net/assets/b3a8b37f-32d1-4873-9eca-31cec5895264/EnergyandAI.pdf｜PDF 第 86 页</t>
        </is>
      </c>
      <c r="M9" s="14" t="inlineStr">
        <is>
          <t>2026-10-22</t>
        </is>
      </c>
      <c r="N9" s="14" t="inlineStr">
        <is>
          <t>IEA25</t>
        </is>
      </c>
    </row>
    <row r="10">
      <c r="A10" s="14" t="inlineStr">
        <is>
          <t>MIX-06</t>
        </is>
      </c>
      <c r="B10" s="14" t="inlineStr">
        <is>
          <t>全球 2024</t>
        </is>
      </c>
      <c r="C10" s="14" t="inlineStr">
        <is>
          <t>其他（残差）占比</t>
        </is>
      </c>
      <c r="D10" s="14" t="inlineStr">
        <is>
          <t>全球</t>
        </is>
      </c>
      <c r="E10" s="18">
        <f>1-$E$6-$E$7-$E$8-$E$9</f>
        <v>0.0199999999999999</v>
      </c>
      <c r="F10" s="14" t="inlineStr">
        <is>
          <t>%</t>
        </is>
      </c>
      <c r="G10" s="14" t="inlineStr">
        <is>
          <t>2024</t>
        </is>
      </c>
      <c r="H10" s="14" t="inlineStr">
        <is>
          <t>本表计算</t>
        </is>
      </c>
      <c r="I10" s="14" t="inlineStr">
        <is>
          <t>100% 减去上述四项</t>
        </is>
      </c>
      <c r="J10" s="14" t="inlineStr">
        <is>
          <t>本表计算（公式见单元格）</t>
        </is>
      </c>
      <c r="K10" s="14" t="inlineStr">
        <is>
          <t>2026-10-22</t>
        </is>
      </c>
      <c r="L10" s="14" t="inlineStr"/>
      <c r="M10" s="14" t="inlineStr">
        <is>
          <t>—</t>
        </is>
      </c>
      <c r="N10" s="14" t="inlineStr">
        <is>
          <t>CALC</t>
        </is>
      </c>
    </row>
    <row r="11">
      <c r="A11" s="14" t="inlineStr">
        <is>
          <t>MIX-07</t>
        </is>
      </c>
      <c r="B11" s="14" t="inlineStr">
        <is>
          <t>全球 2024</t>
        </is>
      </c>
      <c r="C11" s="14" t="inlineStr">
        <is>
          <t>煤电供数据中心发电量</t>
        </is>
      </c>
      <c r="D11" s="14" t="inlineStr">
        <is>
          <t>全球</t>
        </is>
      </c>
      <c r="E11" s="36">
        <f>$E$5*$E$6</f>
        <v>138</v>
      </c>
      <c r="F11" s="14" t="inlineStr">
        <is>
          <t>TWh</t>
        </is>
      </c>
      <c r="G11" s="14" t="inlineStr">
        <is>
          <t>2024</t>
        </is>
      </c>
      <c r="H11" s="14" t="inlineStr">
        <is>
          <t>本表计算</t>
        </is>
      </c>
      <c r="I11" s="14" t="inlineStr">
        <is>
          <t>占比 × 460</t>
        </is>
      </c>
      <c r="J11" s="14" t="inlineStr">
        <is>
          <t>本表计算（公式见单元格）</t>
        </is>
      </c>
      <c r="K11" s="14" t="inlineStr">
        <is>
          <t>2026-10-22</t>
        </is>
      </c>
      <c r="L11" s="14" t="inlineStr"/>
      <c r="M11" s="14" t="inlineStr">
        <is>
          <t>—</t>
        </is>
      </c>
      <c r="N11" s="14" t="inlineStr">
        <is>
          <t>CALC</t>
        </is>
      </c>
    </row>
    <row r="12">
      <c r="A12" s="14" t="inlineStr">
        <is>
          <t>MIX-08</t>
        </is>
      </c>
      <c r="B12" s="14" t="inlineStr">
        <is>
          <t>全球 2024</t>
        </is>
      </c>
      <c r="C12" s="14" t="inlineStr">
        <is>
          <t>可再生能源供数据中心发电量</t>
        </is>
      </c>
      <c r="D12" s="14" t="inlineStr">
        <is>
          <t>全球</t>
        </is>
      </c>
      <c r="E12" s="36">
        <f>$E$5*$E$7</f>
        <v>124.2</v>
      </c>
      <c r="F12" s="14" t="inlineStr">
        <is>
          <t>TWh</t>
        </is>
      </c>
      <c r="G12" s="14" t="inlineStr">
        <is>
          <t>2024</t>
        </is>
      </c>
      <c r="H12" s="14" t="inlineStr">
        <is>
          <t>本表计算</t>
        </is>
      </c>
      <c r="I12" s="14" t="inlineStr">
        <is>
          <t>占比 × 460</t>
        </is>
      </c>
      <c r="J12" s="14" t="inlineStr">
        <is>
          <t>本表计算（公式见单元格）</t>
        </is>
      </c>
      <c r="K12" s="14" t="inlineStr">
        <is>
          <t>2026-10-22</t>
        </is>
      </c>
      <c r="L12" s="14" t="inlineStr"/>
      <c r="M12" s="14" t="inlineStr">
        <is>
          <t>—</t>
        </is>
      </c>
      <c r="N12" s="14" t="inlineStr">
        <is>
          <t>CALC</t>
        </is>
      </c>
    </row>
    <row r="13">
      <c r="A13" s="14" t="inlineStr">
        <is>
          <t>MIX-09</t>
        </is>
      </c>
      <c r="B13" s="14" t="inlineStr">
        <is>
          <t>全球 2024</t>
        </is>
      </c>
      <c r="C13" s="14" t="inlineStr">
        <is>
          <t>天然气供数据中心发电量</t>
        </is>
      </c>
      <c r="D13" s="14" t="inlineStr">
        <is>
          <t>全球</t>
        </is>
      </c>
      <c r="E13" s="36">
        <f>$E$5*$E$8</f>
        <v>119.6</v>
      </c>
      <c r="F13" s="14" t="inlineStr">
        <is>
          <t>TWh</t>
        </is>
      </c>
      <c r="G13" s="14" t="inlineStr">
        <is>
          <t>2024</t>
        </is>
      </c>
      <c r="H13" s="14" t="inlineStr">
        <is>
          <t>本表计算</t>
        </is>
      </c>
      <c r="I13" s="14" t="inlineStr">
        <is>
          <t>占比 × 460</t>
        </is>
      </c>
      <c r="J13" s="14" t="inlineStr">
        <is>
          <t>本表计算（公式见单元格）</t>
        </is>
      </c>
      <c r="K13" s="14" t="inlineStr">
        <is>
          <t>2026-10-22</t>
        </is>
      </c>
      <c r="L13" s="14" t="inlineStr"/>
      <c r="M13" s="14" t="inlineStr">
        <is>
          <t>—</t>
        </is>
      </c>
      <c r="N13" s="14" t="inlineStr">
        <is>
          <t>CALC</t>
        </is>
      </c>
    </row>
    <row r="14">
      <c r="A14" s="14" t="inlineStr">
        <is>
          <t>MIX-10</t>
        </is>
      </c>
      <c r="B14" s="14" t="inlineStr">
        <is>
          <t>全球 2024</t>
        </is>
      </c>
      <c r="C14" s="14" t="inlineStr">
        <is>
          <t>核电供数据中心发电量</t>
        </is>
      </c>
      <c r="D14" s="14" t="inlineStr">
        <is>
          <t>全球</t>
        </is>
      </c>
      <c r="E14" s="36">
        <f>$E$5*$E$9</f>
        <v>69</v>
      </c>
      <c r="F14" s="14" t="inlineStr">
        <is>
          <t>TWh</t>
        </is>
      </c>
      <c r="G14" s="14" t="inlineStr">
        <is>
          <t>2024</t>
        </is>
      </c>
      <c r="H14" s="14" t="inlineStr">
        <is>
          <t>本表计算</t>
        </is>
      </c>
      <c r="I14" s="14" t="inlineStr">
        <is>
          <t>占比 × 460</t>
        </is>
      </c>
      <c r="J14" s="14" t="inlineStr">
        <is>
          <t>本表计算（公式见单元格）</t>
        </is>
      </c>
      <c r="K14" s="14" t="inlineStr">
        <is>
          <t>2026-10-22</t>
        </is>
      </c>
      <c r="L14" s="14" t="inlineStr"/>
      <c r="M14" s="14" t="inlineStr">
        <is>
          <t>—</t>
        </is>
      </c>
      <c r="N14" s="14" t="inlineStr">
        <is>
          <t>CALC</t>
        </is>
      </c>
    </row>
    <row r="15">
      <c r="A15" s="14" t="inlineStr">
        <is>
          <t>MIX-11</t>
        </is>
      </c>
      <c r="B15" s="14" t="inlineStr">
        <is>
          <t>全球 2024</t>
        </is>
      </c>
      <c r="C15" s="14" t="inlineStr">
        <is>
          <t>其他供数据中心发电量</t>
        </is>
      </c>
      <c r="D15" s="14" t="inlineStr">
        <is>
          <t>全球</t>
        </is>
      </c>
      <c r="E15" s="36">
        <f>$E$5*$E$10</f>
        <v>9.19999999999997</v>
      </c>
      <c r="F15" s="14" t="inlineStr">
        <is>
          <t>TWh</t>
        </is>
      </c>
      <c r="G15" s="14" t="inlineStr">
        <is>
          <t>2024</t>
        </is>
      </c>
      <c r="H15" s="14" t="inlineStr">
        <is>
          <t>本表计算</t>
        </is>
      </c>
      <c r="I15" s="14" t="inlineStr">
        <is>
          <t>占比 × 460</t>
        </is>
      </c>
      <c r="J15" s="14" t="inlineStr">
        <is>
          <t>本表计算（公式见单元格）</t>
        </is>
      </c>
      <c r="K15" s="14" t="inlineStr">
        <is>
          <t>2026-10-22</t>
        </is>
      </c>
      <c r="L15" s="14" t="inlineStr"/>
      <c r="M15" s="14" t="inlineStr">
        <is>
          <t>—</t>
        </is>
      </c>
      <c r="N15" s="14" t="inlineStr">
        <is>
          <t>CALC</t>
        </is>
      </c>
    </row>
    <row r="16">
      <c r="A16" s="14" t="inlineStr">
        <is>
          <t>MIX-12</t>
        </is>
      </c>
      <c r="B16" s="14" t="inlineStr">
        <is>
          <t>全球 2024</t>
        </is>
      </c>
      <c r="C16" s="14" t="inlineStr">
        <is>
          <t>输配损耗等（发电量 − 用电量）</t>
        </is>
      </c>
      <c r="D16" s="14" t="inlineStr">
        <is>
          <t>全球</t>
        </is>
      </c>
      <c r="E16" s="36">
        <f>$E$5-'D1_数据中心用电'!$E$5</f>
        <v>45</v>
      </c>
      <c r="F16" s="14" t="inlineStr">
        <is>
          <t>TWh</t>
        </is>
      </c>
      <c r="G16" s="14" t="inlineStr">
        <is>
          <t>2024</t>
        </is>
      </c>
      <c r="H16" s="14" t="inlineStr">
        <is>
          <t>本表计算</t>
        </is>
      </c>
      <c r="I16" s="14" t="inlineStr">
        <is>
          <t>460 − 415</t>
        </is>
      </c>
      <c r="J16" s="14" t="inlineStr">
        <is>
          <t>本表计算（公式见单元格）</t>
        </is>
      </c>
      <c r="K16" s="14" t="inlineStr">
        <is>
          <t>2026-10-22</t>
        </is>
      </c>
      <c r="L16" s="14" t="inlineStr"/>
      <c r="M16" s="14" t="inlineStr">
        <is>
          <t>—</t>
        </is>
      </c>
      <c r="N16" s="14" t="inlineStr">
        <is>
          <t>CALC</t>
        </is>
      </c>
    </row>
    <row r="17">
      <c r="A17" s="14" t="inlineStr">
        <is>
          <t>MIX-20</t>
        </is>
      </c>
      <c r="B17" s="14" t="inlineStr">
        <is>
          <t>全球 2030</t>
        </is>
      </c>
      <c r="C17" s="14" t="inlineStr">
        <is>
          <t>可再生能源供数据中心发电量（基准情景）</t>
        </is>
      </c>
      <c r="D17" s="14" t="inlineStr">
        <is>
          <t>全球</t>
        </is>
      </c>
      <c r="E17" s="32" t="n">
        <v>360</v>
      </c>
      <c r="F17" s="14" t="inlineStr">
        <is>
          <t>TWh</t>
        </is>
      </c>
      <c r="G17" s="14" t="inlineStr">
        <is>
          <t>2030</t>
        </is>
      </c>
      <c r="H17" s="14" t="inlineStr">
        <is>
          <t>官方预测</t>
        </is>
      </c>
      <c r="I17" s="14" t="inlineStr">
        <is>
          <t>原文：较当前增加 200 TWh 以上，2030 年达 360 TWh，超过总发电量三分之一</t>
        </is>
      </c>
      <c r="J17" s="14" t="inlineStr">
        <is>
          <t>IEA《能源与人工智能关键问题》Key Questions on Energy and AI（2026 年更新版）</t>
        </is>
      </c>
      <c r="K17" s="14" t="inlineStr">
        <is>
          <t>2026-04-16</t>
        </is>
      </c>
      <c r="L17" s="14" t="inlineStr">
        <is>
          <t>https://iea.blob.core.windows.net/assets/3179f7f8-01f6-4dd6-bffa-c9f7b73f1dc9/KeyQuestionsonEnergyandAI.pdf｜PDF 第 49 页 §5.3</t>
        </is>
      </c>
      <c r="M17" s="14" t="inlineStr">
        <is>
          <t>2026-10-22</t>
        </is>
      </c>
      <c r="N17" s="14" t="inlineStr">
        <is>
          <t>IEA26</t>
        </is>
      </c>
    </row>
    <row r="18">
      <c r="A18" s="14" t="inlineStr">
        <is>
          <t>MIX-21</t>
        </is>
      </c>
      <c r="B18" s="14" t="inlineStr">
        <is>
          <t>全球 2030</t>
        </is>
      </c>
      <c r="C18" s="14" t="inlineStr">
        <is>
          <t>天然气供数据中心发电量（基准情景）</t>
        </is>
      </c>
      <c r="D18" s="14" t="inlineStr">
        <is>
          <t>全球</t>
        </is>
      </c>
      <c r="E18" s="32" t="n">
        <v>340</v>
      </c>
      <c r="F18" s="14" t="inlineStr">
        <is>
          <t>TWh</t>
        </is>
      </c>
      <c r="G18" s="14" t="inlineStr">
        <is>
          <t>2030</t>
        </is>
      </c>
      <c r="H18" s="14" t="inlineStr">
        <is>
          <t>官方预测</t>
        </is>
      </c>
      <c r="I18" s="14" t="inlineStr">
        <is>
          <t>原文“约 340 TWh”，占比约 30%</t>
        </is>
      </c>
      <c r="J18" s="14" t="inlineStr">
        <is>
          <t>IEA《能源与人工智能关键问题》Key Questions on Energy and AI（2026 年更新版）</t>
        </is>
      </c>
      <c r="K18" s="14" t="inlineStr">
        <is>
          <t>2026-04-16</t>
        </is>
      </c>
      <c r="L18" s="14" t="inlineStr">
        <is>
          <t>https://iea.blob.core.windows.net/assets/3179f7f8-01f6-4dd6-bffa-c9f7b73f1dc9/KeyQuestionsonEnergyandAI.pdf｜PDF 第 50 页 §5.3</t>
        </is>
      </c>
      <c r="M18" s="14" t="inlineStr">
        <is>
          <t>2026-10-22</t>
        </is>
      </c>
      <c r="N18" s="14" t="inlineStr">
        <is>
          <t>IEA26</t>
        </is>
      </c>
    </row>
    <row r="19">
      <c r="A19" s="14" t="inlineStr">
        <is>
          <t>MIX-22</t>
        </is>
      </c>
      <c r="B19" s="14" t="inlineStr">
        <is>
          <t>全球 2030</t>
        </is>
      </c>
      <c r="C19" s="14" t="inlineStr">
        <is>
          <t>核电供数据中心发电量（基准情景）</t>
        </is>
      </c>
      <c r="D19" s="14" t="inlineStr">
        <is>
          <t>全球</t>
        </is>
      </c>
      <c r="E19" s="32" t="n">
        <v>120</v>
      </c>
      <c r="F19" s="14" t="inlineStr">
        <is>
          <t>TWh</t>
        </is>
      </c>
      <c r="G19" s="14" t="inlineStr">
        <is>
          <t>2030</t>
        </is>
      </c>
      <c r="H19" s="14" t="inlineStr">
        <is>
          <t>官方预测</t>
        </is>
      </c>
      <c r="I19" s="14" t="inlineStr">
        <is>
          <t>原文“接近 120 TWh”，2025 年约 75 TWh</t>
        </is>
      </c>
      <c r="J19" s="14" t="inlineStr">
        <is>
          <t>IEA《能源与人工智能关键问题》Key Questions on Energy and AI（2026 年更新版）</t>
        </is>
      </c>
      <c r="K19" s="14" t="inlineStr">
        <is>
          <t>2026-04-16</t>
        </is>
      </c>
      <c r="L19" s="14" t="inlineStr">
        <is>
          <t>https://iea.blob.core.windows.net/assets/3179f7f8-01f6-4dd6-bffa-c9f7b73f1dc9/KeyQuestionsonEnergyandAI.pdf｜PDF 第 50 页 §5.3</t>
        </is>
      </c>
      <c r="M19" s="14" t="inlineStr">
        <is>
          <t>2026-10-22</t>
        </is>
      </c>
      <c r="N19" s="14" t="inlineStr">
        <is>
          <t>IEA26</t>
        </is>
      </c>
    </row>
    <row r="20">
      <c r="A20" s="14" t="inlineStr">
        <is>
          <t>MIX-23</t>
        </is>
      </c>
      <c r="B20" s="14" t="inlineStr">
        <is>
          <t>全球 2030</t>
        </is>
      </c>
      <c r="C20" s="14" t="inlineStr">
        <is>
          <t>煤电占数据中心供电比例（基准情景）</t>
        </is>
      </c>
      <c r="D20" s="14" t="inlineStr">
        <is>
          <t>全球</t>
        </is>
      </c>
      <c r="E20" s="33" t="n">
        <v>0.2</v>
      </c>
      <c r="F20" s="14" t="inlineStr">
        <is>
          <t>%</t>
        </is>
      </c>
      <c r="G20" s="14" t="inlineStr">
        <is>
          <t>2030</t>
        </is>
      </c>
      <c r="H20" s="14" t="inlineStr">
        <is>
          <t>官方预测</t>
        </is>
      </c>
      <c r="I20" s="14" t="inlineStr">
        <is>
          <t>原文“约 20%”，主要在中国</t>
        </is>
      </c>
      <c r="J20" s="14" t="inlineStr">
        <is>
          <t>IEA《能源与人工智能关键问题》Key Questions on Energy and AI（2026 年更新版）</t>
        </is>
      </c>
      <c r="K20" s="14" t="inlineStr">
        <is>
          <t>2026-04-16</t>
        </is>
      </c>
      <c r="L20" s="14" t="inlineStr">
        <is>
          <t>https://iea.blob.core.windows.net/assets/3179f7f8-01f6-4dd6-bffa-c9f7b73f1dc9/KeyQuestionsonEnergyandAI.pdf｜PDF 第 50 页 §5.3</t>
        </is>
      </c>
      <c r="M20" s="14" t="inlineStr">
        <is>
          <t>2026-10-22</t>
        </is>
      </c>
      <c r="N20" s="14" t="inlineStr">
        <is>
          <t>IEA26</t>
        </is>
      </c>
    </row>
    <row r="21">
      <c r="A21" s="14" t="inlineStr">
        <is>
          <t>MIX-24</t>
        </is>
      </c>
      <c r="B21" s="14" t="inlineStr">
        <is>
          <t>全球 2030</t>
        </is>
      </c>
      <c r="C21" s="14" t="inlineStr">
        <is>
          <t>为数据中心供电的总发电量（推算）</t>
        </is>
      </c>
      <c r="D21" s="14" t="inlineStr">
        <is>
          <t>全球</t>
        </is>
      </c>
      <c r="E21" s="36">
        <f>($E$17+$E$18+$E$19)/(1-$E$20-'假设'!$C$6)</f>
        <v>1051.28205128205</v>
      </c>
      <c r="F21" s="14" t="inlineStr">
        <is>
          <t>TWh</t>
        </is>
      </c>
      <c r="G21" s="14" t="inlineStr">
        <is>
          <t>2030</t>
        </is>
      </c>
      <c r="H21" s="14" t="inlineStr">
        <is>
          <t>本表计算</t>
        </is>
      </c>
      <c r="I21" s="14" t="inlineStr">
        <is>
          <t>IEA 只说“超过 1000 TWh”；用 (可再生+气+核)÷(1−煤占比−其他占比) 推算，其他占比为假设</t>
        </is>
      </c>
      <c r="J21" s="14" t="inlineStr">
        <is>
          <t>本表计算（公式见单元格）</t>
        </is>
      </c>
      <c r="K21" s="14" t="inlineStr">
        <is>
          <t>2026-10-22</t>
        </is>
      </c>
      <c r="L21" s="14" t="inlineStr"/>
      <c r="M21" s="14" t="inlineStr">
        <is>
          <t>—</t>
        </is>
      </c>
      <c r="N21" s="14" t="inlineStr">
        <is>
          <t>CALC</t>
        </is>
      </c>
    </row>
    <row r="22">
      <c r="A22" s="14" t="inlineStr">
        <is>
          <t>MIX-25</t>
        </is>
      </c>
      <c r="B22" s="14" t="inlineStr">
        <is>
          <t>全球 2030</t>
        </is>
      </c>
      <c r="C22" s="14" t="inlineStr">
        <is>
          <t>煤电供数据中心发电量（推算）</t>
        </is>
      </c>
      <c r="D22" s="14" t="inlineStr">
        <is>
          <t>全球</t>
        </is>
      </c>
      <c r="E22" s="36">
        <f>$E$21*$E$20</f>
        <v>210.25641025641</v>
      </c>
      <c r="F22" s="14" t="inlineStr">
        <is>
          <t>TWh</t>
        </is>
      </c>
      <c r="G22" s="14" t="inlineStr">
        <is>
          <t>2030</t>
        </is>
      </c>
      <c r="H22" s="14" t="inlineStr">
        <is>
          <t>本表计算</t>
        </is>
      </c>
      <c r="I22" s="14" t="inlineStr">
        <is>
          <t>总发电量 × 20%</t>
        </is>
      </c>
      <c r="J22" s="14" t="inlineStr">
        <is>
          <t>本表计算（公式见单元格）</t>
        </is>
      </c>
      <c r="K22" s="14" t="inlineStr">
        <is>
          <t>2026-10-22</t>
        </is>
      </c>
      <c r="L22" s="14" t="inlineStr"/>
      <c r="M22" s="14" t="inlineStr">
        <is>
          <t>—</t>
        </is>
      </c>
      <c r="N22" s="14" t="inlineStr">
        <is>
          <t>CALC</t>
        </is>
      </c>
    </row>
    <row r="23">
      <c r="A23" s="14" t="inlineStr">
        <is>
          <t>MIX-26</t>
        </is>
      </c>
      <c r="B23" s="14" t="inlineStr">
        <is>
          <t>全球 2030</t>
        </is>
      </c>
      <c r="C23" s="14" t="inlineStr">
        <is>
          <t>其他供数据中心发电量（推算）</t>
        </is>
      </c>
      <c r="D23" s="14" t="inlineStr">
        <is>
          <t>全球</t>
        </is>
      </c>
      <c r="E23" s="36">
        <f>$E$21*'假设'!$C$6</f>
        <v>21.025641025641</v>
      </c>
      <c r="F23" s="14" t="inlineStr">
        <is>
          <t>TWh</t>
        </is>
      </c>
      <c r="G23" s="14" t="inlineStr">
        <is>
          <t>2030</t>
        </is>
      </c>
      <c r="H23" s="14" t="inlineStr">
        <is>
          <t>本表计算</t>
        </is>
      </c>
      <c r="I23" s="14" t="inlineStr">
        <is>
          <t>总发电量 × 假设占比</t>
        </is>
      </c>
      <c r="J23" s="14" t="inlineStr">
        <is>
          <t>本表计算（公式见单元格）</t>
        </is>
      </c>
      <c r="K23" s="14" t="inlineStr">
        <is>
          <t>2026-10-22</t>
        </is>
      </c>
      <c r="L23" s="14" t="inlineStr"/>
      <c r="M23" s="14" t="inlineStr">
        <is>
          <t>—</t>
        </is>
      </c>
      <c r="N23" s="14" t="inlineStr">
        <is>
          <t>CALC</t>
        </is>
      </c>
    </row>
    <row r="24">
      <c r="A24" s="14" t="inlineStr">
        <is>
          <t>MIX-27</t>
        </is>
      </c>
      <c r="B24" s="14" t="inlineStr">
        <is>
          <t>全球 2030</t>
        </is>
      </c>
      <c r="C24" s="14" t="inlineStr">
        <is>
          <t>输配损耗等（发电量 − 用电量）</t>
        </is>
      </c>
      <c r="D24" s="14" t="inlineStr">
        <is>
          <t>全球</t>
        </is>
      </c>
      <c r="E24" s="36">
        <f>$E$21-'D1_数据中心用电'!$E$7</f>
        <v>106.282051282051</v>
      </c>
      <c r="F24" s="14" t="inlineStr">
        <is>
          <t>TWh</t>
        </is>
      </c>
      <c r="G24" s="14" t="inlineStr">
        <is>
          <t>2030</t>
        </is>
      </c>
      <c r="H24" s="14" t="inlineStr">
        <is>
          <t>本表计算</t>
        </is>
      </c>
      <c r="I24" s="14" t="inlineStr">
        <is>
          <t>推算发电量 − 945</t>
        </is>
      </c>
      <c r="J24" s="14" t="inlineStr">
        <is>
          <t>本表计算（公式见单元格）</t>
        </is>
      </c>
      <c r="K24" s="14" t="inlineStr">
        <is>
          <t>2026-10-22</t>
        </is>
      </c>
      <c r="L24" s="14" t="inlineStr"/>
      <c r="M24" s="14" t="inlineStr">
        <is>
          <t>—</t>
        </is>
      </c>
      <c r="N24" s="14" t="inlineStr">
        <is>
          <t>CALC</t>
        </is>
      </c>
    </row>
    <row r="25">
      <c r="A25" s="14" t="inlineStr">
        <is>
          <t>MIX-28</t>
        </is>
      </c>
      <c r="B25" s="14" t="inlineStr">
        <is>
          <t>全球 2025</t>
        </is>
      </c>
      <c r="C25" s="14" t="inlineStr">
        <is>
          <t>核电供数据中心发电量</t>
        </is>
      </c>
      <c r="D25" s="14" t="inlineStr">
        <is>
          <t>全球</t>
        </is>
      </c>
      <c r="E25" s="32" t="n">
        <v>75</v>
      </c>
      <c r="F25" s="14" t="inlineStr">
        <is>
          <t>TWh</t>
        </is>
      </c>
      <c r="G25" s="14" t="inlineStr">
        <is>
          <t>2025</t>
        </is>
      </c>
      <c r="H25" s="14" t="inlineStr">
        <is>
          <t>官方估计</t>
        </is>
      </c>
      <c r="I25" s="14" t="inlineStr">
        <is>
          <t>原文“约 75 TWh”</t>
        </is>
      </c>
      <c r="J25" s="14" t="inlineStr">
        <is>
          <t>IEA《能源与人工智能关键问题》Key Questions on Energy and AI（2026 年更新版）</t>
        </is>
      </c>
      <c r="K25" s="14" t="inlineStr">
        <is>
          <t>2026-04-16</t>
        </is>
      </c>
      <c r="L25" s="14" t="inlineStr">
        <is>
          <t>https://iea.blob.core.windows.net/assets/3179f7f8-01f6-4dd6-bffa-c9f7b73f1dc9/KeyQuestionsonEnergyandAI.pdf｜PDF 第 50 页 §5.3</t>
        </is>
      </c>
      <c r="M25" s="14" t="inlineStr">
        <is>
          <t>2026-10-22</t>
        </is>
      </c>
      <c r="N25" s="14" t="inlineStr">
        <is>
          <t>IEA26</t>
        </is>
      </c>
    </row>
    <row r="26">
      <c r="A26" s="14" t="inlineStr">
        <is>
          <t>MIX-30</t>
        </is>
      </c>
      <c r="B26" s="14" t="inlineStr">
        <is>
          <t>美国 2024</t>
        </is>
      </c>
      <c r="C26" s="14" t="inlineStr">
        <is>
          <t>天然气占美国数据中心供电比例</t>
        </is>
      </c>
      <c r="D26" s="14" t="inlineStr">
        <is>
          <t>美国</t>
        </is>
      </c>
      <c r="E26" s="37">
        <f>'假设'!$C$7</f>
        <v>0.41</v>
      </c>
      <c r="F26" s="14" t="inlineStr">
        <is>
          <t>%</t>
        </is>
      </c>
      <c r="G26" s="14" t="inlineStr">
        <is>
          <t>2024</t>
        </is>
      </c>
      <c r="H26" s="14" t="inlineStr">
        <is>
          <t>假设</t>
        </is>
      </c>
      <c r="I26" s="14" t="inlineStr">
        <is>
          <t>IEA 原文“超过 40%”，取假设值使四项合计约 100%</t>
        </is>
      </c>
      <c r="J26" s="14" t="inlineStr">
        <is>
          <t>本研究假设（见“假设”工作表）</t>
        </is>
      </c>
      <c r="K26" s="14" t="inlineStr">
        <is>
          <t>2026-10-22</t>
        </is>
      </c>
      <c r="L26" s="14" t="inlineStr">
        <is>
          <t>“假设”页</t>
        </is>
      </c>
      <c r="M26" s="14" t="inlineStr">
        <is>
          <t>—</t>
        </is>
      </c>
      <c r="N26" s="14" t="inlineStr">
        <is>
          <t>ASSUME</t>
        </is>
      </c>
    </row>
    <row r="27">
      <c r="A27" s="14" t="inlineStr">
        <is>
          <t>MIX-31</t>
        </is>
      </c>
      <c r="B27" s="14" t="inlineStr">
        <is>
          <t>美国 2024</t>
        </is>
      </c>
      <c r="C27" s="14" t="inlineStr">
        <is>
          <t>可再生能源占比</t>
        </is>
      </c>
      <c r="D27" s="14" t="inlineStr">
        <is>
          <t>美国</t>
        </is>
      </c>
      <c r="E27" s="33" t="n">
        <v>0.24</v>
      </c>
      <c r="F27" s="14" t="inlineStr">
        <is>
          <t>%</t>
        </is>
      </c>
      <c r="G27" s="14" t="inlineStr">
        <is>
          <t>2024</t>
        </is>
      </c>
      <c r="H27" s="14" t="inlineStr">
        <is>
          <t>官方估计</t>
        </is>
      </c>
      <c r="I27" s="14" t="inlineStr">
        <is>
          <t>主要为光伏和风电</t>
        </is>
      </c>
      <c r="J27" s="14" t="inlineStr">
        <is>
          <t>IEA《能源与人工智能》Energy and AI（世界能源展望特别报告）</t>
        </is>
      </c>
      <c r="K27" s="14" t="inlineStr">
        <is>
          <t>2025-04（PDF 元数据 2025-04-11）</t>
        </is>
      </c>
      <c r="L27" s="14" t="inlineStr">
        <is>
          <t>https://iea.blob.core.windows.net/assets/b3a8b37f-32d1-4873-9eca-31cec5895264/EnergyandAI.pdf｜PDF 第 87 页</t>
        </is>
      </c>
      <c r="M27" s="14" t="inlineStr">
        <is>
          <t>2026-10-22</t>
        </is>
      </c>
      <c r="N27" s="14" t="inlineStr">
        <is>
          <t>IEA25</t>
        </is>
      </c>
    </row>
    <row r="28">
      <c r="A28" s="14" t="inlineStr">
        <is>
          <t>MIX-32</t>
        </is>
      </c>
      <c r="B28" s="14" t="inlineStr">
        <is>
          <t>美国 2024</t>
        </is>
      </c>
      <c r="C28" s="14" t="inlineStr">
        <is>
          <t>煤电占比</t>
        </is>
      </c>
      <c r="D28" s="14" t="inlineStr">
        <is>
          <t>美国</t>
        </is>
      </c>
      <c r="E28" s="33" t="n">
        <v>0.2</v>
      </c>
      <c r="F28" s="14" t="inlineStr">
        <is>
          <t>%</t>
        </is>
      </c>
      <c r="G28" s="14" t="inlineStr">
        <is>
          <t>2024</t>
        </is>
      </c>
      <c r="H28" s="14" t="inlineStr">
        <is>
          <t>官方估计</t>
        </is>
      </c>
      <c r="I28" s="14" t="inlineStr">
        <is>
          <t>原文“约 20%”</t>
        </is>
      </c>
      <c r="J28" s="14" t="inlineStr">
        <is>
          <t>IEA《能源与人工智能》Energy and AI（世界能源展望特别报告）</t>
        </is>
      </c>
      <c r="K28" s="14" t="inlineStr">
        <is>
          <t>2025-04（PDF 元数据 2025-04-11）</t>
        </is>
      </c>
      <c r="L28" s="14" t="inlineStr">
        <is>
          <t>https://iea.blob.core.windows.net/assets/b3a8b37f-32d1-4873-9eca-31cec5895264/EnergyandAI.pdf｜PDF 第 87 页</t>
        </is>
      </c>
      <c r="M28" s="14" t="inlineStr">
        <is>
          <t>2026-10-22</t>
        </is>
      </c>
      <c r="N28" s="14" t="inlineStr">
        <is>
          <t>IEA25</t>
        </is>
      </c>
    </row>
    <row r="29">
      <c r="A29" s="14" t="inlineStr">
        <is>
          <t>MIX-33</t>
        </is>
      </c>
      <c r="B29" s="14" t="inlineStr">
        <is>
          <t>美国 2024</t>
        </is>
      </c>
      <c r="C29" s="14" t="inlineStr">
        <is>
          <t>核电占比</t>
        </is>
      </c>
      <c r="D29" s="14" t="inlineStr">
        <is>
          <t>美国</t>
        </is>
      </c>
      <c r="E29" s="33" t="n">
        <v>0.15</v>
      </c>
      <c r="F29" s="14" t="inlineStr">
        <is>
          <t>%</t>
        </is>
      </c>
      <c r="G29" s="14" t="inlineStr">
        <is>
          <t>2024</t>
        </is>
      </c>
      <c r="H29" s="14" t="inlineStr">
        <is>
          <t>官方估计</t>
        </is>
      </c>
      <c r="I29" s="14" t="inlineStr">
        <is>
          <t>原文“接近 15%”</t>
        </is>
      </c>
      <c r="J29" s="14" t="inlineStr">
        <is>
          <t>IEA《能源与人工智能》Energy and AI（世界能源展望特别报告）</t>
        </is>
      </c>
      <c r="K29" s="14" t="inlineStr">
        <is>
          <t>2025-04（PDF 元数据 2025-04-11）</t>
        </is>
      </c>
      <c r="L29" s="14" t="inlineStr">
        <is>
          <t>https://iea.blob.core.windows.net/assets/b3a8b37f-32d1-4873-9eca-31cec5895264/EnergyandAI.pdf｜PDF 第 87 页</t>
        </is>
      </c>
      <c r="M29" s="14" t="inlineStr">
        <is>
          <t>2026-10-22</t>
        </is>
      </c>
      <c r="N29" s="14" t="inlineStr">
        <is>
          <t>IEA25</t>
        </is>
      </c>
    </row>
    <row r="30">
      <c r="A30" s="14" t="inlineStr">
        <is>
          <t>MIX-34</t>
        </is>
      </c>
      <c r="B30" s="14" t="inlineStr">
        <is>
          <t>美国 2024</t>
        </is>
      </c>
      <c r="C30" s="14" t="inlineStr">
        <is>
          <t>发电量/用电量系数（借用全球 2024）</t>
        </is>
      </c>
      <c r="D30" s="14" t="inlineStr">
        <is>
          <t>美国</t>
        </is>
      </c>
      <c r="E30" s="36">
        <f>$E$5/'D1_数据中心用电'!$E$5</f>
        <v>1.10843373493976</v>
      </c>
      <c r="F30" s="14" t="inlineStr">
        <is>
          <t>倍</t>
        </is>
      </c>
      <c r="G30" s="14" t="inlineStr">
        <is>
          <t>2024</t>
        </is>
      </c>
      <c r="H30" s="14" t="inlineStr">
        <is>
          <t>本表计算</t>
        </is>
      </c>
      <c r="I30" s="14" t="inlineStr">
        <is>
          <t>美国未单独披露，借用全球 460÷415</t>
        </is>
      </c>
      <c r="J30" s="14" t="inlineStr">
        <is>
          <t>本表计算（公式见单元格）</t>
        </is>
      </c>
      <c r="K30" s="14" t="inlineStr">
        <is>
          <t>2026-10-22</t>
        </is>
      </c>
      <c r="L30" s="14" t="inlineStr"/>
      <c r="M30" s="14" t="inlineStr">
        <is>
          <t>—</t>
        </is>
      </c>
      <c r="N30" s="14" t="inlineStr">
        <is>
          <t>CALC</t>
        </is>
      </c>
    </row>
    <row r="31">
      <c r="A31" s="14" t="inlineStr">
        <is>
          <t>MIX-35</t>
        </is>
      </c>
      <c r="B31" s="14" t="inlineStr">
        <is>
          <t>美国 2024</t>
        </is>
      </c>
      <c r="C31" s="14" t="inlineStr">
        <is>
          <t>为美国数据中心供电的发电量（推算）</t>
        </is>
      </c>
      <c r="D31" s="14" t="inlineStr">
        <is>
          <t>美国</t>
        </is>
      </c>
      <c r="E31" s="36">
        <f>'D1_数据中心用电'!$E$27*$E$30</f>
        <v>202.843373493976</v>
      </c>
      <c r="F31" s="14" t="inlineStr">
        <is>
          <t>TWh</t>
        </is>
      </c>
      <c r="G31" s="14" t="inlineStr">
        <is>
          <t>2024</t>
        </is>
      </c>
      <c r="H31" s="14" t="inlineStr">
        <is>
          <t>本表计算</t>
        </is>
      </c>
      <c r="I31" s="14" t="inlineStr">
        <is>
          <t>183 × 系数</t>
        </is>
      </c>
      <c r="J31" s="14" t="inlineStr">
        <is>
          <t>本表计算（公式见单元格）</t>
        </is>
      </c>
      <c r="K31" s="14" t="inlineStr">
        <is>
          <t>2026-10-22</t>
        </is>
      </c>
      <c r="L31" s="14" t="inlineStr"/>
      <c r="M31" s="14" t="inlineStr">
        <is>
          <t>—</t>
        </is>
      </c>
      <c r="N31" s="14" t="inlineStr">
        <is>
          <t>CALC</t>
        </is>
      </c>
    </row>
    <row r="32">
      <c r="A32" s="14" t="inlineStr">
        <is>
          <t>MIX-40</t>
        </is>
      </c>
      <c r="B32" s="14" t="inlineStr">
        <is>
          <t>中国 2024</t>
        </is>
      </c>
      <c r="C32" s="14" t="inlineStr">
        <is>
          <t>煤电占中国数据中心供电比例</t>
        </is>
      </c>
      <c r="D32" s="14" t="inlineStr">
        <is>
          <t>中国</t>
        </is>
      </c>
      <c r="E32" s="33" t="n">
        <v>0.7</v>
      </c>
      <c r="F32" s="14" t="inlineStr">
        <is>
          <t>%</t>
        </is>
      </c>
      <c r="G32" s="14" t="inlineStr">
        <is>
          <t>2024</t>
        </is>
      </c>
      <c r="H32" s="14" t="inlineStr">
        <is>
          <t>官方估计</t>
        </is>
      </c>
      <c r="I32" s="14" t="inlineStr">
        <is>
          <t>原文“约 70%”，数据中心多在东部</t>
        </is>
      </c>
      <c r="J32" s="14" t="inlineStr">
        <is>
          <t>IEA《能源与人工智能》Energy and AI（世界能源展望特别报告）</t>
        </is>
      </c>
      <c r="K32" s="14" t="inlineStr">
        <is>
          <t>2025-04（PDF 元数据 2025-04-11）</t>
        </is>
      </c>
      <c r="L32" s="14" t="inlineStr">
        <is>
          <t>https://iea.blob.core.windows.net/assets/b3a8b37f-32d1-4873-9eca-31cec5895264/EnergyandAI.pdf｜PDF 第 88 页</t>
        </is>
      </c>
      <c r="M32" s="14" t="inlineStr">
        <is>
          <t>2026-10-22</t>
        </is>
      </c>
      <c r="N32" s="14" t="inlineStr">
        <is>
          <t>IEA25</t>
        </is>
      </c>
    </row>
    <row r="33">
      <c r="A33" s="14" t="inlineStr">
        <is>
          <t>MIX-41</t>
        </is>
      </c>
      <c r="B33" s="14" t="inlineStr">
        <is>
          <t>中国 2024</t>
        </is>
      </c>
      <c r="C33" s="14" t="inlineStr">
        <is>
          <t>可再生能源占比</t>
        </is>
      </c>
      <c r="D33" s="14" t="inlineStr">
        <is>
          <t>中国</t>
        </is>
      </c>
      <c r="E33" s="33" t="n">
        <v>0.2</v>
      </c>
      <c r="F33" s="14" t="inlineStr">
        <is>
          <t>%</t>
        </is>
      </c>
      <c r="G33" s="14" t="inlineStr">
        <is>
          <t>2024</t>
        </is>
      </c>
      <c r="H33" s="14" t="inlineStr">
        <is>
          <t>官方估计</t>
        </is>
      </c>
      <c r="I33" s="14" t="inlineStr">
        <is>
          <t>原文“接近 20%”</t>
        </is>
      </c>
      <c r="J33" s="14" t="inlineStr">
        <is>
          <t>IEA《能源与人工智能》Energy and AI（世界能源展望特别报告）</t>
        </is>
      </c>
      <c r="K33" s="14" t="inlineStr">
        <is>
          <t>2025-04（PDF 元数据 2025-04-11）</t>
        </is>
      </c>
      <c r="L33" s="14" t="inlineStr">
        <is>
          <t>https://iea.blob.core.windows.net/assets/b3a8b37f-32d1-4873-9eca-31cec5895264/EnergyandAI.pdf｜PDF 第 88 页</t>
        </is>
      </c>
      <c r="M33" s="14" t="inlineStr">
        <is>
          <t>2026-10-22</t>
        </is>
      </c>
      <c r="N33" s="14" t="inlineStr">
        <is>
          <t>IEA25</t>
        </is>
      </c>
    </row>
    <row r="34">
      <c r="A34" s="14" t="inlineStr">
        <is>
          <t>MIX-42</t>
        </is>
      </c>
      <c r="B34" s="14" t="inlineStr">
        <is>
          <t>中国 2024</t>
        </is>
      </c>
      <c r="C34" s="14" t="inlineStr">
        <is>
          <t>核电占比</t>
        </is>
      </c>
      <c r="D34" s="14" t="inlineStr">
        <is>
          <t>中国</t>
        </is>
      </c>
      <c r="E34" s="33" t="n">
        <v>0.1</v>
      </c>
      <c r="F34" s="14" t="inlineStr">
        <is>
          <t>%</t>
        </is>
      </c>
      <c r="G34" s="14" t="inlineStr">
        <is>
          <t>2024</t>
        </is>
      </c>
      <c r="H34" s="14" t="inlineStr">
        <is>
          <t>官方估计</t>
        </is>
      </c>
      <c r="I34" s="14" t="inlineStr">
        <is>
          <t>原文“接近 10%”，其余为天然气</t>
        </is>
      </c>
      <c r="J34" s="14" t="inlineStr">
        <is>
          <t>IEA《能源与人工智能》Energy and AI（世界能源展望特别报告）</t>
        </is>
      </c>
      <c r="K34" s="14" t="inlineStr">
        <is>
          <t>2025-04（PDF 元数据 2025-04-11）</t>
        </is>
      </c>
      <c r="L34" s="14" t="inlineStr">
        <is>
          <t>https://iea.blob.core.windows.net/assets/b3a8b37f-32d1-4873-9eca-31cec5895264/EnergyandAI.pdf｜PDF 第 88 页</t>
        </is>
      </c>
      <c r="M34" s="14" t="inlineStr">
        <is>
          <t>2026-10-22</t>
        </is>
      </c>
      <c r="N34" s="14" t="inlineStr">
        <is>
          <t>IEA25</t>
        </is>
      </c>
    </row>
    <row r="35">
      <c r="A35" s="14" t="inlineStr">
        <is>
          <t>MIX-50</t>
        </is>
      </c>
      <c r="B35" s="14" t="inlineStr">
        <is>
          <t>结论</t>
        </is>
      </c>
      <c r="C35" s="14" t="inlineStr">
        <is>
          <t>2024–2030 年可再生能源满足的数据中心新增需求比例</t>
        </is>
      </c>
      <c r="D35" s="14" t="inlineStr">
        <is>
          <t>全球</t>
        </is>
      </c>
      <c r="E35" s="33" t="n">
        <v>0.5</v>
      </c>
      <c r="F35" s="14" t="inlineStr">
        <is>
          <t>%</t>
        </is>
      </c>
      <c r="G35" s="14" t="inlineStr">
        <is>
          <t>2024–2030</t>
        </is>
      </c>
      <c r="H35" s="14" t="inlineStr">
        <is>
          <t>官方预测</t>
        </is>
      </c>
      <c r="I35" s="14" t="inlineStr">
        <is>
          <t>原文“接近一半”</t>
        </is>
      </c>
      <c r="J35" s="14" t="inlineStr">
        <is>
          <t>IEA《能源与人工智能》Energy and AI（世界能源展望特别报告）</t>
        </is>
      </c>
      <c r="K35" s="14" t="inlineStr">
        <is>
          <t>2025-04（PDF 元数据 2025-04-11）</t>
        </is>
      </c>
      <c r="L35" s="14" t="inlineStr">
        <is>
          <t>https://iea.blob.core.windows.net/assets/b3a8b37f-32d1-4873-9eca-31cec5895264/EnergyandAI.pdf｜PDF 第 86 页图 2.20 说明</t>
        </is>
      </c>
      <c r="M35" s="14" t="inlineStr">
        <is>
          <t>2026-10-22</t>
        </is>
      </c>
      <c r="N35" s="14" t="inlineStr">
        <is>
          <t>IEA25</t>
        </is>
      </c>
    </row>
    <row r="36">
      <c r="A36" s="14" t="inlineStr">
        <is>
          <t>MIX-51</t>
        </is>
      </c>
      <c r="B36" s="14" t="inlineStr">
        <is>
          <t>结论</t>
        </is>
      </c>
      <c r="C36" s="14" t="inlineStr">
        <is>
          <t>2024–2030 年天然气与煤电合计满足的新增需求比例</t>
        </is>
      </c>
      <c r="D36" s="14" t="inlineStr">
        <is>
          <t>全球</t>
        </is>
      </c>
      <c r="E36" s="33" t="n">
        <v>0.4</v>
      </c>
      <c r="F36" s="14" t="inlineStr">
        <is>
          <t>%</t>
        </is>
      </c>
      <c r="G36" s="14" t="inlineStr">
        <is>
          <t>2024–2030</t>
        </is>
      </c>
      <c r="H36" s="14" t="inlineStr">
        <is>
          <t>官方预测</t>
        </is>
      </c>
      <c r="I36" s="14" t="inlineStr">
        <is>
          <t>原文“超过 40%”</t>
        </is>
      </c>
      <c r="J36" s="14" t="inlineStr">
        <is>
          <t>IEA《能源与人工智能》Energy and AI（世界能源展望特别报告）</t>
        </is>
      </c>
      <c r="K36" s="14" t="inlineStr">
        <is>
          <t>2025-04（PDF 元数据 2025-04-11）</t>
        </is>
      </c>
      <c r="L36" s="14" t="inlineStr">
        <is>
          <t>https://iea.blob.core.windows.net/assets/b3a8b37f-32d1-4873-9eca-31cec5895264/EnergyandAI.pdf｜PDF 第 86 页</t>
        </is>
      </c>
      <c r="M36" s="14" t="inlineStr">
        <is>
          <t>2026-10-22</t>
        </is>
      </c>
      <c r="N36" s="14" t="inlineStr">
        <is>
          <t>IEA25</t>
        </is>
      </c>
    </row>
    <row r="37">
      <c r="A37" s="14" t="inlineStr">
        <is>
          <t>MIX-52</t>
        </is>
      </c>
      <c r="B37" s="14" t="inlineStr">
        <is>
          <t>结论</t>
        </is>
      </c>
      <c r="C37" s="14" t="inlineStr">
        <is>
          <t>2024–2035 年为数据中心新增的天然气发电量</t>
        </is>
      </c>
      <c r="D37" s="14" t="inlineStr">
        <is>
          <t>全球（主要在美国）</t>
        </is>
      </c>
      <c r="E37" s="32" t="n">
        <v>175</v>
      </c>
      <c r="F37" s="14" t="inlineStr">
        <is>
          <t>TWh</t>
        </is>
      </c>
      <c r="G37" s="14" t="inlineStr">
        <is>
          <t>2024–2035</t>
        </is>
      </c>
      <c r="H37" s="14" t="inlineStr">
        <is>
          <t>官方预测</t>
        </is>
      </c>
      <c r="I37" s="14" t="inlineStr">
        <is>
          <t>起飞情景 +290 TWh</t>
        </is>
      </c>
      <c r="J37" s="14" t="inlineStr">
        <is>
          <t>IEA《能源与人工智能》Energy and AI（世界能源展望特别报告）</t>
        </is>
      </c>
      <c r="K37" s="14" t="inlineStr">
        <is>
          <t>2025-04（PDF 元数据 2025-04-11）</t>
        </is>
      </c>
      <c r="L37" s="14" t="inlineStr">
        <is>
          <t>https://iea.blob.core.windows.net/assets/b3a8b37f-32d1-4873-9eca-31cec5895264/EnergyandAI.pdf｜PDF 第 49 页（执行摘要）</t>
        </is>
      </c>
      <c r="M37" s="14" t="inlineStr">
        <is>
          <t>2026-10-22</t>
        </is>
      </c>
      <c r="N37" s="14" t="inlineStr">
        <is>
          <t>IEA25</t>
        </is>
      </c>
    </row>
    <row r="38">
      <c r="A38" s="14" t="inlineStr">
        <is>
          <t>MIX-53</t>
        </is>
      </c>
      <c r="B38" s="14" t="inlineStr">
        <is>
          <t>结论</t>
        </is>
      </c>
      <c r="C38" s="14" t="inlineStr">
        <is>
          <t>2024–2030 年美国为数据中心新增的天然气发电量</t>
        </is>
      </c>
      <c r="D38" s="14" t="inlineStr">
        <is>
          <t>美国</t>
        </is>
      </c>
      <c r="E38" s="32" t="n">
        <v>130</v>
      </c>
      <c r="F38" s="14" t="inlineStr">
        <is>
          <t>TWh</t>
        </is>
      </c>
      <c r="G38" s="14" t="inlineStr">
        <is>
          <t>2024–2030</t>
        </is>
      </c>
      <c r="H38" s="14" t="inlineStr">
        <is>
          <t>官方预测</t>
        </is>
      </c>
      <c r="I38" s="14" t="inlineStr">
        <is>
          <t>原文“超过 130 TWh”；可再生能源 +110 TWh</t>
        </is>
      </c>
      <c r="J38" s="14" t="inlineStr">
        <is>
          <t>IEA《能源与人工智能》Energy and AI（世界能源展望特别报告）</t>
        </is>
      </c>
      <c r="K38" s="14" t="inlineStr">
        <is>
          <t>2025-04（PDF 元数据 2025-04-11）</t>
        </is>
      </c>
      <c r="L38" s="14" t="inlineStr">
        <is>
          <t>https://iea.blob.core.windows.net/assets/b3a8b37f-32d1-4873-9eca-31cec5895264/EnergyandAI.pdf｜PDF 第 87 页</t>
        </is>
      </c>
      <c r="M38" s="14" t="inlineStr">
        <is>
          <t>2026-10-22</t>
        </is>
      </c>
      <c r="N38" s="14" t="inlineStr">
        <is>
          <t>IEA25</t>
        </is>
      </c>
    </row>
    <row r="39">
      <c r="A39" s="14" t="inlineStr">
        <is>
          <t>GRID-01</t>
        </is>
      </c>
      <c r="B39" s="14" t="inlineStr">
        <is>
          <t>美国电网 2025</t>
        </is>
      </c>
      <c r="C39" s="14" t="inlineStr">
        <is>
          <t>美国公用事业级总发电量</t>
        </is>
      </c>
      <c r="D39" s="14" t="inlineStr">
        <is>
          <t>美国</t>
        </is>
      </c>
      <c r="E39" s="35" t="n">
        <v>4429.5</v>
      </c>
      <c r="F39" s="14" t="inlineStr">
        <is>
          <t>TWh</t>
        </is>
      </c>
      <c r="G39" s="14" t="inlineStr">
        <is>
          <t>2025</t>
        </is>
      </c>
      <c r="H39" s="14" t="inlineStr">
        <is>
          <t>披露事实</t>
        </is>
      </c>
      <c r="I39" s="14" t="inlineStr">
        <is>
          <t>公用事业级，不含小型分布式光伏</t>
        </is>
      </c>
      <c r="J39" s="14" t="inlineStr">
        <is>
          <t>EIA《电力月报》表 1.1 分能源净发电量</t>
        </is>
      </c>
      <c r="K39" s="14" t="inlineStr">
        <is>
          <t>2026-09-24</t>
        </is>
      </c>
      <c r="L39" s="14" t="inlineStr">
        <is>
          <t>https://www.eia.gov/electricity/monthly/epm_table_grapher.php?t=epmt_1_01｜表 1.1</t>
        </is>
      </c>
      <c r="M39" s="14" t="inlineStr">
        <is>
          <t>2026-10-22</t>
        </is>
      </c>
      <c r="N39" s="14" t="inlineStr">
        <is>
          <t>EIA_EPM11</t>
        </is>
      </c>
    </row>
    <row r="40">
      <c r="A40" s="14" t="inlineStr">
        <is>
          <t>GRID-02</t>
        </is>
      </c>
      <c r="B40" s="14" t="inlineStr">
        <is>
          <t>美国电网 2025</t>
        </is>
      </c>
      <c r="C40" s="14" t="inlineStr">
        <is>
          <t>天然气发电量</t>
        </is>
      </c>
      <c r="D40" s="14" t="inlineStr">
        <is>
          <t>美国</t>
        </is>
      </c>
      <c r="E40" s="35" t="n">
        <v>1807.3</v>
      </c>
      <c r="F40" s="14" t="inlineStr">
        <is>
          <t>TWh</t>
        </is>
      </c>
      <c r="G40" s="14" t="inlineStr">
        <is>
          <t>2025</t>
        </is>
      </c>
      <c r="H40" s="14" t="inlineStr">
        <is>
          <t>披露事实</t>
        </is>
      </c>
      <c r="I40" s="14" t="inlineStr"/>
      <c r="J40" s="14" t="inlineStr">
        <is>
          <t>EIA《电力月报》表 1.1 分能源净发电量</t>
        </is>
      </c>
      <c r="K40" s="14" t="inlineStr">
        <is>
          <t>2026-09-24</t>
        </is>
      </c>
      <c r="L40" s="14" t="inlineStr">
        <is>
          <t>https://www.eia.gov/electricity/monthly/epm_table_grapher.php?t=epmt_1_01｜表 1.1</t>
        </is>
      </c>
      <c r="M40" s="14" t="inlineStr">
        <is>
          <t>2026-10-22</t>
        </is>
      </c>
      <c r="N40" s="14" t="inlineStr">
        <is>
          <t>EIA_EPM11</t>
        </is>
      </c>
    </row>
    <row r="41">
      <c r="A41" s="14" t="inlineStr">
        <is>
          <t>GRID-03</t>
        </is>
      </c>
      <c r="B41" s="14" t="inlineStr">
        <is>
          <t>美国电网 2025</t>
        </is>
      </c>
      <c r="C41" s="14" t="inlineStr">
        <is>
          <t>核电发电量</t>
        </is>
      </c>
      <c r="D41" s="14" t="inlineStr">
        <is>
          <t>美国</t>
        </is>
      </c>
      <c r="E41" s="35" t="n">
        <v>784.8</v>
      </c>
      <c r="F41" s="14" t="inlineStr">
        <is>
          <t>TWh</t>
        </is>
      </c>
      <c r="G41" s="14" t="inlineStr">
        <is>
          <t>2025</t>
        </is>
      </c>
      <c r="H41" s="14" t="inlineStr">
        <is>
          <t>披露事实</t>
        </is>
      </c>
      <c r="I41" s="14" t="inlineStr"/>
      <c r="J41" s="14" t="inlineStr">
        <is>
          <t>EIA《电力月报》表 1.1 分能源净发电量</t>
        </is>
      </c>
      <c r="K41" s="14" t="inlineStr">
        <is>
          <t>2026-09-24</t>
        </is>
      </c>
      <c r="L41" s="14" t="inlineStr">
        <is>
          <t>https://www.eia.gov/electricity/monthly/epm_table_grapher.php?t=epmt_1_01｜表 1.1</t>
        </is>
      </c>
      <c r="M41" s="14" t="inlineStr">
        <is>
          <t>2026-10-22</t>
        </is>
      </c>
      <c r="N41" s="14" t="inlineStr">
        <is>
          <t>EIA_EPM11</t>
        </is>
      </c>
    </row>
    <row r="42">
      <c r="A42" s="14" t="inlineStr">
        <is>
          <t>GRID-04</t>
        </is>
      </c>
      <c r="B42" s="14" t="inlineStr">
        <is>
          <t>美国电网 2025</t>
        </is>
      </c>
      <c r="C42" s="14" t="inlineStr">
        <is>
          <t>煤电发电量</t>
        </is>
      </c>
      <c r="D42" s="14" t="inlineStr">
        <is>
          <t>美国</t>
        </is>
      </c>
      <c r="E42" s="35" t="n">
        <v>737.2</v>
      </c>
      <c r="F42" s="14" t="inlineStr">
        <is>
          <t>TWh</t>
        </is>
      </c>
      <c r="G42" s="14" t="inlineStr">
        <is>
          <t>2025</t>
        </is>
      </c>
      <c r="H42" s="14" t="inlineStr">
        <is>
          <t>披露事实</t>
        </is>
      </c>
      <c r="I42" s="14" t="inlineStr">
        <is>
          <t>较 2024 年 +13%</t>
        </is>
      </c>
      <c r="J42" s="14" t="inlineStr">
        <is>
          <t>EIA《电力月报》表 1.1 分能源净发电量</t>
        </is>
      </c>
      <c r="K42" s="14" t="inlineStr">
        <is>
          <t>2026-09-24</t>
        </is>
      </c>
      <c r="L42" s="14" t="inlineStr">
        <is>
          <t>https://www.eia.gov/electricity/monthly/epm_table_grapher.php?t=epmt_1_01｜表 1.1</t>
        </is>
      </c>
      <c r="M42" s="14" t="inlineStr">
        <is>
          <t>2026-10-22</t>
        </is>
      </c>
      <c r="N42" s="14" t="inlineStr">
        <is>
          <t>EIA_EPM11</t>
        </is>
      </c>
    </row>
    <row r="43">
      <c r="A43" s="14" t="inlineStr">
        <is>
          <t>GRID-05</t>
        </is>
      </c>
      <c r="B43" s="14" t="inlineStr">
        <is>
          <t>美国电网 2025</t>
        </is>
      </c>
      <c r="C43" s="14" t="inlineStr">
        <is>
          <t>风电发电量</t>
        </is>
      </c>
      <c r="D43" s="14" t="inlineStr">
        <is>
          <t>美国</t>
        </is>
      </c>
      <c r="E43" s="35" t="n">
        <v>464.4</v>
      </c>
      <c r="F43" s="14" t="inlineStr">
        <is>
          <t>TWh</t>
        </is>
      </c>
      <c r="G43" s="14" t="inlineStr">
        <is>
          <t>2025</t>
        </is>
      </c>
      <c r="H43" s="14" t="inlineStr">
        <is>
          <t>披露事实</t>
        </is>
      </c>
      <c r="I43" s="14" t="inlineStr"/>
      <c r="J43" s="14" t="inlineStr">
        <is>
          <t>EIA《电力月报》表 1.1 分能源净发电量</t>
        </is>
      </c>
      <c r="K43" s="14" t="inlineStr">
        <is>
          <t>2026-09-24</t>
        </is>
      </c>
      <c r="L43" s="14" t="inlineStr">
        <is>
          <t>https://www.eia.gov/electricity/monthly/epm_table_grapher.php?t=epmt_1_01｜表 1.1.A</t>
        </is>
      </c>
      <c r="M43" s="14" t="inlineStr">
        <is>
          <t>2026-10-22</t>
        </is>
      </c>
      <c r="N43" s="14" t="inlineStr">
        <is>
          <t>EIA_EPM11</t>
        </is>
      </c>
    </row>
    <row r="44">
      <c r="A44" s="14" t="inlineStr">
        <is>
          <t>GRID-06</t>
        </is>
      </c>
      <c r="B44" s="14" t="inlineStr">
        <is>
          <t>美国电网 2025</t>
        </is>
      </c>
      <c r="C44" s="14" t="inlineStr">
        <is>
          <t>公用事业级光伏发电量</t>
        </is>
      </c>
      <c r="D44" s="14" t="inlineStr">
        <is>
          <t>美国</t>
        </is>
      </c>
      <c r="E44" s="35" t="n">
        <v>295.7</v>
      </c>
      <c r="F44" s="14" t="inlineStr">
        <is>
          <t>TWh</t>
        </is>
      </c>
      <c r="G44" s="14" t="inlineStr">
        <is>
          <t>2025</t>
        </is>
      </c>
      <c r="H44" s="14" t="inlineStr">
        <is>
          <t>披露事实</t>
        </is>
      </c>
      <c r="I44" s="14" t="inlineStr">
        <is>
          <t>含光热</t>
        </is>
      </c>
      <c r="J44" s="14" t="inlineStr">
        <is>
          <t>EIA《电力月报》表 1.1 分能源净发电量</t>
        </is>
      </c>
      <c r="K44" s="14" t="inlineStr">
        <is>
          <t>2026-09-24</t>
        </is>
      </c>
      <c r="L44" s="14" t="inlineStr">
        <is>
          <t>https://www.eia.gov/electricity/monthly/epm_table_grapher.php?t=epmt_1_01｜表 1.1</t>
        </is>
      </c>
      <c r="M44" s="14" t="inlineStr">
        <is>
          <t>2026-10-22</t>
        </is>
      </c>
      <c r="N44" s="14" t="inlineStr">
        <is>
          <t>EIA_EPM11</t>
        </is>
      </c>
    </row>
    <row r="45">
      <c r="A45" s="14" t="inlineStr">
        <is>
          <t>GRID-07</t>
        </is>
      </c>
      <c r="B45" s="14" t="inlineStr">
        <is>
          <t>美国电网 2025</t>
        </is>
      </c>
      <c r="C45" s="14" t="inlineStr">
        <is>
          <t>常规水电发电量</t>
        </is>
      </c>
      <c r="D45" s="14" t="inlineStr">
        <is>
          <t>美国</t>
        </is>
      </c>
      <c r="E45" s="32" t="n">
        <v>247</v>
      </c>
      <c r="F45" s="14" t="inlineStr">
        <is>
          <t>TWh</t>
        </is>
      </c>
      <c r="G45" s="14" t="inlineStr">
        <is>
          <t>2025</t>
        </is>
      </c>
      <c r="H45" s="14" t="inlineStr">
        <is>
          <t>披露事实</t>
        </is>
      </c>
      <c r="I45" s="14" t="inlineStr"/>
      <c r="J45" s="14" t="inlineStr">
        <is>
          <t>EIA《电力月报》表 1.1 分能源净发电量</t>
        </is>
      </c>
      <c r="K45" s="14" t="inlineStr">
        <is>
          <t>2026-09-24</t>
        </is>
      </c>
      <c r="L45" s="14" t="inlineStr">
        <is>
          <t>https://www.eia.gov/electricity/monthly/epm_table_grapher.php?t=epmt_1_01｜表 1.1</t>
        </is>
      </c>
      <c r="M45" s="14" t="inlineStr">
        <is>
          <t>2026-10-22</t>
        </is>
      </c>
      <c r="N45" s="14" t="inlineStr">
        <is>
          <t>EIA_EPM11</t>
        </is>
      </c>
    </row>
    <row r="46">
      <c r="A46" s="14" t="inlineStr">
        <is>
          <t>GRID-08</t>
        </is>
      </c>
      <c r="B46" s="14" t="inlineStr">
        <is>
          <t>美国电网 2025</t>
        </is>
      </c>
      <c r="C46" s="14" t="inlineStr">
        <is>
          <t>其他（生物质、地热、燃油等）</t>
        </is>
      </c>
      <c r="D46" s="14" t="inlineStr">
        <is>
          <t>美国</t>
        </is>
      </c>
      <c r="E46" s="36">
        <f>$E$39-$E$40-$E$41-$E$42-$E$43-$E$44-$E$45</f>
        <v>93.0999999999999</v>
      </c>
      <c r="F46" s="14" t="inlineStr">
        <is>
          <t>TWh</t>
        </is>
      </c>
      <c r="G46" s="14" t="inlineStr">
        <is>
          <t>2025</t>
        </is>
      </c>
      <c r="H46" s="14" t="inlineStr">
        <is>
          <t>本表计算</t>
        </is>
      </c>
      <c r="I46" s="14" t="inlineStr">
        <is>
          <t>总量减去上述各项</t>
        </is>
      </c>
      <c r="J46" s="14" t="inlineStr">
        <is>
          <t>本表计算（公式见单元格）</t>
        </is>
      </c>
      <c r="K46" s="14" t="inlineStr">
        <is>
          <t>2026-10-22</t>
        </is>
      </c>
      <c r="L46" s="14" t="inlineStr"/>
      <c r="M46" s="14" t="inlineStr">
        <is>
          <t>—</t>
        </is>
      </c>
      <c r="N46" s="14" t="inlineStr">
        <is>
          <t>CALC</t>
        </is>
      </c>
    </row>
    <row r="47">
      <c r="A47" s="14" t="inlineStr">
        <is>
          <t>GRID-10</t>
        </is>
      </c>
      <c r="B47" s="14" t="inlineStr">
        <is>
          <t>美国电网 2025</t>
        </is>
      </c>
      <c r="C47" s="14" t="inlineStr">
        <is>
          <t>美国在运核电装机（净夏季）</t>
        </is>
      </c>
      <c r="D47" s="14" t="inlineStr">
        <is>
          <t>美国</t>
        </is>
      </c>
      <c r="E47" s="32" t="n">
        <v>98441</v>
      </c>
      <c r="F47" s="14" t="inlineStr">
        <is>
          <t>MW</t>
        </is>
      </c>
      <c r="G47" s="14" t="inlineStr">
        <is>
          <t>2026-03</t>
        </is>
      </c>
      <c r="H47" s="14" t="inlineStr">
        <is>
          <t>披露事实</t>
        </is>
      </c>
      <c r="I47" s="14" t="inlineStr">
        <is>
          <t>94 台机组；含报告为“运行但停机”的 Palisades 与 Crane</t>
        </is>
      </c>
      <c r="J47" s="14" t="inlineStr">
        <is>
          <t>EIA《核能释义：美国核电产业》</t>
        </is>
      </c>
      <c r="K47" s="14" t="inlineStr">
        <is>
          <t>2026（页面未标更新日）</t>
        </is>
      </c>
      <c r="L47" s="14" t="inlineStr">
        <is>
          <t>https://www.eia.gov/energyexplained/nuclear/us-nuclear-industry.php｜页面正文</t>
        </is>
      </c>
      <c r="M47" s="14" t="inlineStr">
        <is>
          <t>2026-10-22</t>
        </is>
      </c>
      <c r="N47" s="14" t="inlineStr">
        <is>
          <t>EIA_NUC</t>
        </is>
      </c>
    </row>
    <row r="48">
      <c r="A48" s="14" t="inlineStr">
        <is>
          <t>GRID-11</t>
        </is>
      </c>
      <c r="B48" s="14" t="inlineStr">
        <is>
          <t>美国电网 2025</t>
        </is>
      </c>
      <c r="C48" s="14" t="inlineStr">
        <is>
          <t>美国核电平均容量系数</t>
        </is>
      </c>
      <c r="D48" s="14" t="inlineStr">
        <is>
          <t>美国</t>
        </is>
      </c>
      <c r="E48" s="33" t="n">
        <v>0.91</v>
      </c>
      <c r="F48" s="14" t="inlineStr">
        <is>
          <t>%</t>
        </is>
      </c>
      <c r="G48" s="14" t="inlineStr">
        <is>
          <t>2025</t>
        </is>
      </c>
      <c r="H48" s="14" t="inlineStr">
        <is>
          <t>披露事实</t>
        </is>
      </c>
      <c r="I48" s="14" t="inlineStr">
        <is>
          <t>2024 年 90.8%</t>
        </is>
      </c>
      <c r="J48" s="14" t="inlineStr">
        <is>
          <t>EIA《核能释义：美国核电产业》</t>
        </is>
      </c>
      <c r="K48" s="14" t="inlineStr">
        <is>
          <t>2026（页面未标更新日）</t>
        </is>
      </c>
      <c r="L48" s="14" t="inlineStr">
        <is>
          <t>https://www.eia.gov/energyexplained/nuclear/us-nuclear-industry.php｜页面正文</t>
        </is>
      </c>
      <c r="M48" s="14" t="inlineStr">
        <is>
          <t>2026-10-22</t>
        </is>
      </c>
      <c r="N48" s="14" t="inlineStr">
        <is>
          <t>EIA_NUC</t>
        </is>
      </c>
    </row>
    <row r="49">
      <c r="A49" s="14" t="inlineStr">
        <is>
          <t>GRID-12</t>
        </is>
      </c>
      <c r="B49" s="14" t="inlineStr">
        <is>
          <t>美国电网 2026</t>
        </is>
      </c>
      <c r="C49" s="14" t="inlineStr">
        <is>
          <t>2026 年计划新增装机</t>
        </is>
      </c>
      <c r="D49" s="14" t="inlineStr">
        <is>
          <t>美国</t>
        </is>
      </c>
      <c r="E49" s="32" t="n">
        <v>86</v>
      </c>
      <c r="F49" s="14" t="inlineStr">
        <is>
          <t>GW</t>
        </is>
      </c>
      <c r="G49" s="14" t="inlineStr">
        <is>
          <t>2026E</t>
        </is>
      </c>
      <c r="H49" s="14" t="inlineStr">
        <is>
          <t>官方预测</t>
        </is>
      </c>
      <c r="I49" s="14" t="inlineStr">
        <is>
          <t>光伏 43.4、电池 24、风电 11.8、燃气 6.3 GW（开发商计划）</t>
        </is>
      </c>
      <c r="J49" s="14" t="inlineStr">
        <is>
          <t>EIA《今日能源》：2026 年美国新增发电装机预计创纪录</t>
        </is>
      </c>
      <c r="K49" s="14" t="inlineStr">
        <is>
          <t>2026-02-20</t>
        </is>
      </c>
      <c r="L49" s="14" t="inlineStr">
        <is>
          <t>https://www.eia.gov/todayinenergy/detail.php?id=67205｜正文</t>
        </is>
      </c>
      <c r="M49" s="14" t="inlineStr">
        <is>
          <t>2026-10-22</t>
        </is>
      </c>
      <c r="N49" s="14" t="inlineStr">
        <is>
          <t>EIA_TIE</t>
        </is>
      </c>
    </row>
    <row r="50">
      <c r="A50" s="14" t="inlineStr">
        <is>
          <t>GRID-13</t>
        </is>
      </c>
      <c r="B50" s="14" t="inlineStr">
        <is>
          <t>美国电网 2026</t>
        </is>
      </c>
      <c r="C50" s="14" t="inlineStr">
        <is>
          <t>其中燃气</t>
        </is>
      </c>
      <c r="D50" s="14" t="inlineStr">
        <is>
          <t>美国</t>
        </is>
      </c>
      <c r="E50" s="34" t="n">
        <v>6.3</v>
      </c>
      <c r="F50" s="14" t="inlineStr">
        <is>
          <t>GW</t>
        </is>
      </c>
      <c r="G50" s="14" t="inlineStr">
        <is>
          <t>2026E</t>
        </is>
      </c>
      <c r="H50" s="14" t="inlineStr">
        <is>
          <t>官方预测</t>
        </is>
      </c>
      <c r="I50" s="14" t="inlineStr"/>
      <c r="J50" s="14" t="inlineStr">
        <is>
          <t>EIA《今日能源》：2026 年美国新增发电装机预计创纪录</t>
        </is>
      </c>
      <c r="K50" s="14" t="inlineStr">
        <is>
          <t>2026-02-20</t>
        </is>
      </c>
      <c r="L50" s="14" t="inlineStr">
        <is>
          <t>https://www.eia.gov/todayinenergy/detail.php?id=67205｜正文</t>
        </is>
      </c>
      <c r="M50" s="14" t="inlineStr">
        <is>
          <t>2026-10-22</t>
        </is>
      </c>
      <c r="N50" s="14" t="inlineStr">
        <is>
          <t>EIA_TIE</t>
        </is>
      </c>
    </row>
    <row r="51">
      <c r="A51" s="14" t="inlineStr">
        <is>
          <t>GRID-14</t>
        </is>
      </c>
      <c r="B51" s="14" t="inlineStr">
        <is>
          <t>美国电网 2026</t>
        </is>
      </c>
      <c r="C51" s="14" t="inlineStr">
        <is>
          <t>其中光伏</t>
        </is>
      </c>
      <c r="D51" s="14" t="inlineStr">
        <is>
          <t>美国</t>
        </is>
      </c>
      <c r="E51" s="35" t="n">
        <v>43.4</v>
      </c>
      <c r="F51" s="14" t="inlineStr">
        <is>
          <t>GW</t>
        </is>
      </c>
      <c r="G51" s="14" t="inlineStr">
        <is>
          <t>2026E</t>
        </is>
      </c>
      <c r="H51" s="14" t="inlineStr">
        <is>
          <t>官方预测</t>
        </is>
      </c>
      <c r="I51" s="14" t="inlineStr"/>
      <c r="J51" s="14" t="inlineStr">
        <is>
          <t>EIA《今日能源》：2026 年美国新增发电装机预计创纪录</t>
        </is>
      </c>
      <c r="K51" s="14" t="inlineStr">
        <is>
          <t>2026-02-20</t>
        </is>
      </c>
      <c r="L51" s="14" t="inlineStr">
        <is>
          <t>https://www.eia.gov/todayinenergy/detail.php?id=67205｜正文</t>
        </is>
      </c>
      <c r="M51" s="14" t="inlineStr">
        <is>
          <t>2026-10-22</t>
        </is>
      </c>
      <c r="N51" s="14" t="inlineStr">
        <is>
          <t>EIA_TIE</t>
        </is>
      </c>
    </row>
  </sheetData>
  <autoFilter ref="A4:N51"/>
  <mergeCells count="1">
    <mergeCell ref="A2:N2"/>
  </mergeCells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6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  <col width="18" customWidth="1" min="4" max="4"/>
    <col width="13" customWidth="1" min="5" max="5"/>
    <col width="12" customWidth="1" min="6" max="6"/>
    <col width="14" customWidth="1" min="7" max="7"/>
    <col width="11" customWidth="1" min="8" max="8"/>
    <col width="44" customWidth="1" min="9" max="9"/>
    <col width="44" customWidth="1" min="10" max="10"/>
    <col width="16" customWidth="1" min="11" max="11"/>
    <col width="52" customWidth="1" min="12" max="12"/>
    <col width="12" customWidth="1" min="13" max="13"/>
    <col width="10" customWidth="1" min="14" max="14"/>
  </cols>
  <sheetData>
    <row r="1">
      <c r="A1" s="8" t="inlineStr">
        <is>
          <t>D3 美国科技巨头资本开支、指引与电力相关披露（各公司财报、电话会及官网）</t>
        </is>
      </c>
    </row>
    <row r="2" ht="30" customHeight="1">
      <c r="A2" s="9" t="inlineStr">
        <is>
          <t>蓝底=输入（披露数据）；橙底=输入（假设）；绿底=公式（本表计算）。“出处定位”给出原始材料的文件与章节，或网页链接；“访问日期”为网页查阅日期。</t>
        </is>
      </c>
    </row>
    <row r="4" ht="30" customHeight="1">
      <c r="A4" s="10" t="inlineStr">
        <is>
          <t>编号</t>
        </is>
      </c>
      <c r="B4" s="10" t="inlineStr">
        <is>
          <t>类别</t>
        </is>
      </c>
      <c r="C4" s="10" t="inlineStr">
        <is>
          <t>指标</t>
        </is>
      </c>
      <c r="D4" s="10" t="inlineStr">
        <is>
          <t>主体/地区</t>
        </is>
      </c>
      <c r="E4" s="10" t="inlineStr">
        <is>
          <t>数值</t>
        </is>
      </c>
      <c r="F4" s="10" t="inlineStr">
        <is>
          <t>单位</t>
        </is>
      </c>
      <c r="G4" s="10" t="inlineStr">
        <is>
          <t>期间</t>
        </is>
      </c>
      <c r="H4" s="10" t="inlineStr">
        <is>
          <t>性质</t>
        </is>
      </c>
      <c r="I4" s="10" t="inlineStr">
        <is>
          <t>口径说明</t>
        </is>
      </c>
      <c r="J4" s="10" t="inlineStr">
        <is>
          <t>来源名称</t>
        </is>
      </c>
      <c r="K4" s="10" t="inlineStr">
        <is>
          <t>发布日期</t>
        </is>
      </c>
      <c r="L4" s="10" t="inlineStr">
        <is>
          <t>出处定位（文件章节/表名或网页链接）</t>
        </is>
      </c>
      <c r="M4" s="10" t="inlineStr">
        <is>
          <t>访问日期</t>
        </is>
      </c>
      <c r="N4" s="10" t="inlineStr">
        <is>
          <t>来源编号</t>
        </is>
      </c>
    </row>
    <row r="5">
      <c r="A5" s="14" t="inlineStr">
        <is>
          <t>CQ-MS-24Q1</t>
        </is>
      </c>
      <c r="B5" s="14" t="inlineStr">
        <is>
          <t>季度资本开支</t>
        </is>
      </c>
      <c r="C5" s="14" t="inlineStr">
        <is>
          <t>微软资本开支</t>
        </is>
      </c>
      <c r="D5" s="14" t="inlineStr">
        <is>
          <t>微软</t>
        </is>
      </c>
      <c r="E5" s="32" t="n">
        <v>14</v>
      </c>
      <c r="F5" s="14" t="inlineStr">
        <is>
          <t>十亿美元</t>
        </is>
      </c>
      <c r="G5" s="14" t="inlineStr">
        <is>
          <t>2024Q1（FY24 Q3）</t>
        </is>
      </c>
      <c r="H5" s="14" t="inlineStr">
        <is>
          <t>披露事实</t>
        </is>
      </c>
      <c r="I5" s="14" t="inlineStr">
        <is>
          <t>微软口径：含融资租赁的资本开支（电话会口径）</t>
        </is>
      </c>
      <c r="J5" s="14" t="inlineStr">
        <is>
          <t>微软 FY24 Q3 业绩电话会（投资者关系页）</t>
        </is>
      </c>
      <c r="K5" s="14" t="inlineStr">
        <is>
          <t>2024-04-25</t>
        </is>
      </c>
      <c r="L5" s="14" t="inlineStr">
        <is>
          <t>https://www.microsoft.com/en-us/investor/events/fy-2024/earnings-fy-2024-q3｜CFO 发言</t>
        </is>
      </c>
      <c r="M5" s="14" t="inlineStr">
        <is>
          <t>2026-10-22</t>
        </is>
      </c>
      <c r="N5" s="14" t="inlineStr">
        <is>
          <t>MSFT24Q3</t>
        </is>
      </c>
    </row>
    <row r="6">
      <c r="A6" s="14" t="inlineStr">
        <is>
          <t>CQ-MS-24Q2</t>
        </is>
      </c>
      <c r="B6" s="14" t="inlineStr">
        <is>
          <t>季度资本开支</t>
        </is>
      </c>
      <c r="C6" s="14" t="inlineStr">
        <is>
          <t>微软资本开支</t>
        </is>
      </c>
      <c r="D6" s="14" t="inlineStr">
        <is>
          <t>微软</t>
        </is>
      </c>
      <c r="E6" s="32" t="n">
        <v>19</v>
      </c>
      <c r="F6" s="14" t="inlineStr">
        <is>
          <t>十亿美元</t>
        </is>
      </c>
      <c r="G6" s="14" t="inlineStr">
        <is>
          <t>2024Q2（FY24 Q4）</t>
        </is>
      </c>
      <c r="H6" s="14" t="inlineStr">
        <is>
          <t>披露事实</t>
        </is>
      </c>
      <c r="I6" s="14" t="inlineStr">
        <is>
          <t>微软口径：含融资租赁的资本开支（电话会口径）</t>
        </is>
      </c>
      <c r="J6" s="14" t="inlineStr">
        <is>
          <t>微软 FY24 Q4 业绩电话会</t>
        </is>
      </c>
      <c r="K6" s="14" t="inlineStr">
        <is>
          <t>2024-07-30</t>
        </is>
      </c>
      <c r="L6" s="14" t="inlineStr">
        <is>
          <t>https://www.microsoft.com/en-us/investor/events/fy-2024/earnings-fy-2024-q4｜CFO 发言</t>
        </is>
      </c>
      <c r="M6" s="14" t="inlineStr">
        <is>
          <t>2026-10-22</t>
        </is>
      </c>
      <c r="N6" s="14" t="inlineStr">
        <is>
          <t>MSFT24Q4</t>
        </is>
      </c>
    </row>
    <row r="7">
      <c r="A7" s="14" t="inlineStr">
        <is>
          <t>CQ-MS-24Q3</t>
        </is>
      </c>
      <c r="B7" s="14" t="inlineStr">
        <is>
          <t>季度资本开支</t>
        </is>
      </c>
      <c r="C7" s="14" t="inlineStr">
        <is>
          <t>微软资本开支</t>
        </is>
      </c>
      <c r="D7" s="14" t="inlineStr">
        <is>
          <t>微软</t>
        </is>
      </c>
      <c r="E7" s="32" t="n">
        <v>20</v>
      </c>
      <c r="F7" s="14" t="inlineStr">
        <is>
          <t>十亿美元</t>
        </is>
      </c>
      <c r="G7" s="14" t="inlineStr">
        <is>
          <t>2024Q3（FY25 Q1）</t>
        </is>
      </c>
      <c r="H7" s="14" t="inlineStr">
        <is>
          <t>披露事实</t>
        </is>
      </c>
      <c r="I7" s="14" t="inlineStr">
        <is>
          <t>微软口径：含融资租赁的资本开支（电话会口径）</t>
        </is>
      </c>
      <c r="J7" s="14" t="inlineStr">
        <is>
          <t>微软 FY25 Q1 业绩电话会</t>
        </is>
      </c>
      <c r="K7" s="14" t="inlineStr">
        <is>
          <t>2024-10-30</t>
        </is>
      </c>
      <c r="L7" s="14" t="inlineStr">
        <is>
          <t>https://www.microsoft.com/en-us/investor/events/fy-2025/earnings-fy-2025-q1｜CFO 发言</t>
        </is>
      </c>
      <c r="M7" s="14" t="inlineStr">
        <is>
          <t>2026-10-22</t>
        </is>
      </c>
      <c r="N7" s="14" t="inlineStr">
        <is>
          <t>MSFT25Q1</t>
        </is>
      </c>
    </row>
    <row r="8">
      <c r="A8" s="14" t="inlineStr">
        <is>
          <t>CQ-MS-24Q4</t>
        </is>
      </c>
      <c r="B8" s="14" t="inlineStr">
        <is>
          <t>季度资本开支</t>
        </is>
      </c>
      <c r="C8" s="14" t="inlineStr">
        <is>
          <t>微软资本开支</t>
        </is>
      </c>
      <c r="D8" s="14" t="inlineStr">
        <is>
          <t>微软</t>
        </is>
      </c>
      <c r="E8" s="35" t="n">
        <v>22.6</v>
      </c>
      <c r="F8" s="14" t="inlineStr">
        <is>
          <t>十亿美元</t>
        </is>
      </c>
      <c r="G8" s="14" t="inlineStr">
        <is>
          <t>2024Q4（FY25 Q2）</t>
        </is>
      </c>
      <c r="H8" s="14" t="inlineStr">
        <is>
          <t>披露事实</t>
        </is>
      </c>
      <c r="I8" s="14" t="inlineStr">
        <is>
          <t>微软口径：含融资租赁的资本开支（电话会口径）</t>
        </is>
      </c>
      <c r="J8" s="14" t="inlineStr">
        <is>
          <t>微软 FY25 Q2 业绩电话会</t>
        </is>
      </c>
      <c r="K8" s="14" t="inlineStr">
        <is>
          <t>2025-01-29</t>
        </is>
      </c>
      <c r="L8" s="14" t="inlineStr">
        <is>
          <t>https://www.microsoft.com/en-us/investor/events/fy-2025/earnings-fy-2025-q2｜CFO 发言</t>
        </is>
      </c>
      <c r="M8" s="14" t="inlineStr">
        <is>
          <t>2026-10-22</t>
        </is>
      </c>
      <c r="N8" s="14" t="inlineStr">
        <is>
          <t>MSFT25Q2</t>
        </is>
      </c>
    </row>
    <row r="9">
      <c r="A9" s="14" t="inlineStr">
        <is>
          <t>CQ-MS-25Q1</t>
        </is>
      </c>
      <c r="B9" s="14" t="inlineStr">
        <is>
          <t>季度资本开支</t>
        </is>
      </c>
      <c r="C9" s="14" t="inlineStr">
        <is>
          <t>微软资本开支</t>
        </is>
      </c>
      <c r="D9" s="14" t="inlineStr">
        <is>
          <t>微软</t>
        </is>
      </c>
      <c r="E9" s="35" t="n">
        <v>21.4</v>
      </c>
      <c r="F9" s="14" t="inlineStr">
        <is>
          <t>十亿美元</t>
        </is>
      </c>
      <c r="G9" s="14" t="inlineStr">
        <is>
          <t>2025Q1（FY25 Q3）</t>
        </is>
      </c>
      <c r="H9" s="14" t="inlineStr">
        <is>
          <t>披露事实</t>
        </is>
      </c>
      <c r="I9" s="14" t="inlineStr">
        <is>
          <t>微软口径：含融资租赁的资本开支（电话会口径）</t>
        </is>
      </c>
      <c r="J9" s="14" t="inlineStr">
        <is>
          <t>微软 FY25 Q3 业绩电话会</t>
        </is>
      </c>
      <c r="K9" s="14" t="inlineStr">
        <is>
          <t>2025-04-30</t>
        </is>
      </c>
      <c r="L9" s="14" t="inlineStr">
        <is>
          <t>https://www.microsoft.com/en-us/investor/events/fy-2025/earnings-fy-2025-q3｜CFO 发言</t>
        </is>
      </c>
      <c r="M9" s="14" t="inlineStr">
        <is>
          <t>2026-10-22</t>
        </is>
      </c>
      <c r="N9" s="14" t="inlineStr">
        <is>
          <t>MSFT25Q3</t>
        </is>
      </c>
    </row>
    <row r="10">
      <c r="A10" s="14" t="inlineStr">
        <is>
          <t>CQ-MS-25Q2</t>
        </is>
      </c>
      <c r="B10" s="14" t="inlineStr">
        <is>
          <t>季度资本开支</t>
        </is>
      </c>
      <c r="C10" s="14" t="inlineStr">
        <is>
          <t>微软资本开支</t>
        </is>
      </c>
      <c r="D10" s="14" t="inlineStr">
        <is>
          <t>微软</t>
        </is>
      </c>
      <c r="E10" s="35" t="n">
        <v>24.2</v>
      </c>
      <c r="F10" s="14" t="inlineStr">
        <is>
          <t>十亿美元</t>
        </is>
      </c>
      <c r="G10" s="14" t="inlineStr">
        <is>
          <t>2025Q2（FY25 Q4）</t>
        </is>
      </c>
      <c r="H10" s="14" t="inlineStr">
        <is>
          <t>披露事实</t>
        </is>
      </c>
      <c r="I10" s="14" t="inlineStr">
        <is>
          <t>微软口径：含融资租赁的资本开支（电话会口径）；含融资租赁 65 亿</t>
        </is>
      </c>
      <c r="J10" s="14" t="inlineStr">
        <is>
          <t>微软 FY25 Q4 业绩电话会</t>
        </is>
      </c>
      <c r="K10" s="14" t="inlineStr">
        <is>
          <t>2025-07-30</t>
        </is>
      </c>
      <c r="L10" s="14" t="inlineStr">
        <is>
          <t>https://www.microsoft.com/en-us/investor/events/fy-2025/earnings-fy-2025-q4｜CFO 发言</t>
        </is>
      </c>
      <c r="M10" s="14" t="inlineStr">
        <is>
          <t>2026-10-22</t>
        </is>
      </c>
      <c r="N10" s="14" t="inlineStr">
        <is>
          <t>MSFT25Q4</t>
        </is>
      </c>
    </row>
    <row r="11">
      <c r="A11" s="14" t="inlineStr">
        <is>
          <t>CQ-MS-25Q3</t>
        </is>
      </c>
      <c r="B11" s="14" t="inlineStr">
        <is>
          <t>季度资本开支</t>
        </is>
      </c>
      <c r="C11" s="14" t="inlineStr">
        <is>
          <t>微软资本开支</t>
        </is>
      </c>
      <c r="D11" s="14" t="inlineStr">
        <is>
          <t>微软</t>
        </is>
      </c>
      <c r="E11" s="35" t="n">
        <v>34.9</v>
      </c>
      <c r="F11" s="14" t="inlineStr">
        <is>
          <t>十亿美元</t>
        </is>
      </c>
      <c r="G11" s="14" t="inlineStr">
        <is>
          <t>2025Q3（FY26 Q1）</t>
        </is>
      </c>
      <c r="H11" s="14" t="inlineStr">
        <is>
          <t>披露事实</t>
        </is>
      </c>
      <c r="I11" s="14" t="inlineStr">
        <is>
          <t>微软口径：含融资租赁的资本开支（电话会口径）；含融资租赁 111 亿</t>
        </is>
      </c>
      <c r="J11" s="14" t="inlineStr">
        <is>
          <t>微软 FY26 Q1 业绩电话会</t>
        </is>
      </c>
      <c r="K11" s="14" t="inlineStr">
        <is>
          <t>2025-10-29</t>
        </is>
      </c>
      <c r="L11" s="14" t="inlineStr">
        <is>
          <t>https://www.microsoft.com/en-us/investor/events/fy-2026/earnings-fy-2026-q1｜CFO 发言</t>
        </is>
      </c>
      <c r="M11" s="14" t="inlineStr">
        <is>
          <t>2026-10-22</t>
        </is>
      </c>
      <c r="N11" s="14" t="inlineStr">
        <is>
          <t>MSFT26Q1</t>
        </is>
      </c>
    </row>
    <row r="12">
      <c r="A12" s="14" t="inlineStr">
        <is>
          <t>CQ-MS-25Q4</t>
        </is>
      </c>
      <c r="B12" s="14" t="inlineStr">
        <is>
          <t>季度资本开支</t>
        </is>
      </c>
      <c r="C12" s="14" t="inlineStr">
        <is>
          <t>微软资本开支</t>
        </is>
      </c>
      <c r="D12" s="14" t="inlineStr">
        <is>
          <t>微软</t>
        </is>
      </c>
      <c r="E12" s="35" t="n">
        <v>37.5</v>
      </c>
      <c r="F12" s="14" t="inlineStr">
        <is>
          <t>十亿美元</t>
        </is>
      </c>
      <c r="G12" s="14" t="inlineStr">
        <is>
          <t>2025Q4（FY26 Q2）</t>
        </is>
      </c>
      <c r="H12" s="14" t="inlineStr">
        <is>
          <t>披露事实</t>
        </is>
      </c>
      <c r="I12" s="14" t="inlineStr">
        <is>
          <t>微软口径：含融资租赁的资本开支（电话会口径）；含融资租赁 67 亿</t>
        </is>
      </c>
      <c r="J12" s="14" t="inlineStr">
        <is>
          <t>微软 FY26 Q2 业绩电话会</t>
        </is>
      </c>
      <c r="K12" s="14" t="inlineStr">
        <is>
          <t>2026-01-28</t>
        </is>
      </c>
      <c r="L12" s="14" t="inlineStr">
        <is>
          <t>https://www.microsoft.com/en-us/investor/events/fy-2026/earnings-fy-2026-q2｜CFO 发言</t>
        </is>
      </c>
      <c r="M12" s="14" t="inlineStr">
        <is>
          <t>2026-10-22</t>
        </is>
      </c>
      <c r="N12" s="14" t="inlineStr">
        <is>
          <t>MSFT26Q2</t>
        </is>
      </c>
    </row>
    <row r="13">
      <c r="A13" s="14" t="inlineStr">
        <is>
          <t>CQ-MS-26Q1</t>
        </is>
      </c>
      <c r="B13" s="14" t="inlineStr">
        <is>
          <t>季度资本开支</t>
        </is>
      </c>
      <c r="C13" s="14" t="inlineStr">
        <is>
          <t>微软资本开支</t>
        </is>
      </c>
      <c r="D13" s="14" t="inlineStr">
        <is>
          <t>微软</t>
        </is>
      </c>
      <c r="E13" s="35" t="n">
        <v>31.9</v>
      </c>
      <c r="F13" s="14" t="inlineStr">
        <is>
          <t>十亿美元</t>
        </is>
      </c>
      <c r="G13" s="14" t="inlineStr">
        <is>
          <t>2026Q1（FY26 Q3）</t>
        </is>
      </c>
      <c r="H13" s="14" t="inlineStr">
        <is>
          <t>披露事实</t>
        </is>
      </c>
      <c r="I13" s="14" t="inlineStr">
        <is>
          <t>微软口径：含融资租赁的资本开支（电话会口径）；含融资租赁 47 亿</t>
        </is>
      </c>
      <c r="J13" s="14" t="inlineStr">
        <is>
          <t>微软 FY26 Q3 业绩电话会</t>
        </is>
      </c>
      <c r="K13" s="14" t="inlineStr">
        <is>
          <t>2026-04-29</t>
        </is>
      </c>
      <c r="L13" s="14" t="inlineStr">
        <is>
          <t>https://www.microsoft.com/en-us/investor/events/fy-2026/earnings-fy-2026-q3｜CFO 发言</t>
        </is>
      </c>
      <c r="M13" s="14" t="inlineStr">
        <is>
          <t>2026-10-22</t>
        </is>
      </c>
      <c r="N13" s="14" t="inlineStr">
        <is>
          <t>MSFT26Q3</t>
        </is>
      </c>
    </row>
    <row r="14">
      <c r="A14" s="14" t="inlineStr">
        <is>
          <t>CQ-MS-26Q2</t>
        </is>
      </c>
      <c r="B14" s="14" t="inlineStr">
        <is>
          <t>季度资本开支</t>
        </is>
      </c>
      <c r="C14" s="14" t="inlineStr">
        <is>
          <t>微软资本开支</t>
        </is>
      </c>
      <c r="D14" s="14" t="inlineStr">
        <is>
          <t>微软</t>
        </is>
      </c>
      <c r="E14" s="32" t="n">
        <v>41</v>
      </c>
      <c r="F14" s="14" t="inlineStr">
        <is>
          <t>十亿美元</t>
        </is>
      </c>
      <c r="G14" s="14" t="inlineStr">
        <is>
          <t>2026Q2（FY26 Q4）</t>
        </is>
      </c>
      <c r="H14" s="14" t="inlineStr">
        <is>
          <t>披露事实</t>
        </is>
      </c>
      <c r="I14" s="14" t="inlineStr">
        <is>
          <t>微软口径：含融资租赁的资本开支（电话会口径）；含融资租赁 56 亿；含元器件涨价影响</t>
        </is>
      </c>
      <c r="J14" s="14" t="inlineStr">
        <is>
          <t>微软 FY26 Q4 业绩电话会</t>
        </is>
      </c>
      <c r="K14" s="14" t="inlineStr">
        <is>
          <t>2026-07-29</t>
        </is>
      </c>
      <c r="L14" s="14" t="inlineStr">
        <is>
          <t>https://www.microsoft.com/en-us/investor/events/fy-2026/earnings-fy-2026-q4｜CFO 发言</t>
        </is>
      </c>
      <c r="M14" s="14" t="inlineStr">
        <is>
          <t>2026-10-22</t>
        </is>
      </c>
      <c r="N14" s="14" t="inlineStr">
        <is>
          <t>MSFT26Q4</t>
        </is>
      </c>
    </row>
    <row r="15">
      <c r="A15" s="14" t="inlineStr">
        <is>
          <t>CY-GO-2024</t>
        </is>
      </c>
      <c r="B15" s="14" t="inlineStr">
        <is>
          <t>年度资本开支</t>
        </is>
      </c>
      <c r="C15" s="14" t="inlineStr">
        <is>
          <t>Alphabet 资本开支</t>
        </is>
      </c>
      <c r="D15" s="14" t="inlineStr">
        <is>
          <t>Alphabet</t>
        </is>
      </c>
      <c r="E15" s="35" t="n">
        <v>52.535</v>
      </c>
      <c r="F15" s="14" t="inlineStr">
        <is>
          <t>十亿美元</t>
        </is>
      </c>
      <c r="G15" s="14" t="inlineStr">
        <is>
          <t>2024</t>
        </is>
      </c>
      <c r="H15" s="14" t="inlineStr">
        <is>
          <t>披露事实</t>
        </is>
      </c>
      <c r="I15" s="14" t="inlineStr">
        <is>
          <t>Alphabet 口径：购置物业与设备（现金流量表）</t>
        </is>
      </c>
      <c r="J15" s="14" t="inlineStr">
        <is>
          <t>Alphabet 2025 年四季度及全年业绩（8-K 附件 99.1）</t>
        </is>
      </c>
      <c r="K15" s="14" t="inlineStr">
        <is>
          <t>2026-02-04</t>
        </is>
      </c>
      <c r="L15" s="14" t="inlineStr">
        <is>
          <t>https://www.sec.gov/Archives/edgar/data/1652044/000165204426000012/googexhibit991q42025.htm｜现金流量表 2024 列</t>
        </is>
      </c>
      <c r="M15" s="14" t="inlineStr">
        <is>
          <t>2026-10-22</t>
        </is>
      </c>
      <c r="N15" s="14" t="inlineStr">
        <is>
          <t>GOOG25Q4</t>
        </is>
      </c>
    </row>
    <row r="16">
      <c r="A16" s="14" t="inlineStr">
        <is>
          <t>CY-GO-2025</t>
        </is>
      </c>
      <c r="B16" s="14" t="inlineStr">
        <is>
          <t>年度资本开支</t>
        </is>
      </c>
      <c r="C16" s="14" t="inlineStr">
        <is>
          <t>Alphabet 资本开支</t>
        </is>
      </c>
      <c r="D16" s="14" t="inlineStr">
        <is>
          <t>Alphabet</t>
        </is>
      </c>
      <c r="E16" s="35" t="n">
        <v>91.447</v>
      </c>
      <c r="F16" s="14" t="inlineStr">
        <is>
          <t>十亿美元</t>
        </is>
      </c>
      <c r="G16" s="14" t="inlineStr">
        <is>
          <t>2025</t>
        </is>
      </c>
      <c r="H16" s="14" t="inlineStr">
        <is>
          <t>披露事实</t>
        </is>
      </c>
      <c r="I16" s="14" t="inlineStr">
        <is>
          <t>Alphabet 口径：购置物业与设备（现金流量表）</t>
        </is>
      </c>
      <c r="J16" s="14" t="inlineStr">
        <is>
          <t>Alphabet 2025 年四季度及全年业绩（8-K 附件 99.1）</t>
        </is>
      </c>
      <c r="K16" s="14" t="inlineStr">
        <is>
          <t>2026-02-04</t>
        </is>
      </c>
      <c r="L16" s="14" t="inlineStr">
        <is>
          <t>https://www.sec.gov/Archives/edgar/data/1652044/000165204426000012/googexhibit991q42025.htm｜现金流量表 2025 列</t>
        </is>
      </c>
      <c r="M16" s="14" t="inlineStr">
        <is>
          <t>2026-10-22</t>
        </is>
      </c>
      <c r="N16" s="14" t="inlineStr">
        <is>
          <t>GOOG25Q4</t>
        </is>
      </c>
    </row>
    <row r="17">
      <c r="A17" s="14" t="inlineStr">
        <is>
          <t>CQ-GO-25Q1</t>
        </is>
      </c>
      <c r="B17" s="14" t="inlineStr">
        <is>
          <t>季度资本开支</t>
        </is>
      </c>
      <c r="C17" s="14" t="inlineStr">
        <is>
          <t>Alphabet 资本开支</t>
        </is>
      </c>
      <c r="D17" s="14" t="inlineStr">
        <is>
          <t>Alphabet</t>
        </is>
      </c>
      <c r="E17" s="35" t="n">
        <v>17.197</v>
      </c>
      <c r="F17" s="14" t="inlineStr">
        <is>
          <t>十亿美元</t>
        </is>
      </c>
      <c r="G17" s="14" t="inlineStr">
        <is>
          <t>2025Q1</t>
        </is>
      </c>
      <c r="H17" s="14" t="inlineStr">
        <is>
          <t>披露事实</t>
        </is>
      </c>
      <c r="I17" s="14" t="inlineStr">
        <is>
          <t>Alphabet 口径：购置物业与设备（现金流量表）</t>
        </is>
      </c>
      <c r="J17" s="14" t="inlineStr">
        <is>
          <t>Alphabet 2026 年一季度业绩（8-K 附件 99.1）</t>
        </is>
      </c>
      <c r="K17" s="14" t="inlineStr">
        <is>
          <t>2026-04-29</t>
        </is>
      </c>
      <c r="L17" s="14" t="inlineStr">
        <is>
          <t>https://www.sec.gov/Archives/edgar/data/0001652044/000165204426000043/googexhibit991q12026.htm｜上年同期列</t>
        </is>
      </c>
      <c r="M17" s="14" t="inlineStr">
        <is>
          <t>2026-10-22</t>
        </is>
      </c>
      <c r="N17" s="14" t="inlineStr">
        <is>
          <t>GOOG26Q1</t>
        </is>
      </c>
    </row>
    <row r="18">
      <c r="A18" s="14" t="inlineStr">
        <is>
          <t>CQ-GO-25Q2</t>
        </is>
      </c>
      <c r="B18" s="14" t="inlineStr">
        <is>
          <t>季度资本开支</t>
        </is>
      </c>
      <c r="C18" s="14" t="inlineStr">
        <is>
          <t>Alphabet 资本开支</t>
        </is>
      </c>
      <c r="D18" s="14" t="inlineStr">
        <is>
          <t>Alphabet</t>
        </is>
      </c>
      <c r="E18" s="35" t="n">
        <v>22.446</v>
      </c>
      <c r="F18" s="14" t="inlineStr">
        <is>
          <t>十亿美元</t>
        </is>
      </c>
      <c r="G18" s="14" t="inlineStr">
        <is>
          <t>2025Q2</t>
        </is>
      </c>
      <c r="H18" s="14" t="inlineStr">
        <is>
          <t>披露事实</t>
        </is>
      </c>
      <c r="I18" s="14" t="inlineStr">
        <is>
          <t>Alphabet 口径：购置物业与设备（现金流量表）</t>
        </is>
      </c>
      <c r="J18" s="14" t="inlineStr">
        <is>
          <t>Alphabet 2026 年二季度业绩（8-K 附件 99.1）及业绩电话会</t>
        </is>
      </c>
      <c r="K18" s="14" t="inlineStr">
        <is>
          <t>2026-07-22</t>
        </is>
      </c>
      <c r="L18" s="14" t="inlineStr">
        <is>
          <t>https://www.sec.gov/Archives/edgar/data/0001652044/000165204426000066/googexhibit991q22026.htm｜上年同期列</t>
        </is>
      </c>
      <c r="M18" s="14" t="inlineStr">
        <is>
          <t>2026-10-22</t>
        </is>
      </c>
      <c r="N18" s="14" t="inlineStr">
        <is>
          <t>GOOG26Q2</t>
        </is>
      </c>
    </row>
    <row r="19">
      <c r="A19" s="14" t="inlineStr">
        <is>
          <t>CQ-GO-25Q4</t>
        </is>
      </c>
      <c r="B19" s="14" t="inlineStr">
        <is>
          <t>季度资本开支</t>
        </is>
      </c>
      <c r="C19" s="14" t="inlineStr">
        <is>
          <t>Alphabet 资本开支</t>
        </is>
      </c>
      <c r="D19" s="14" t="inlineStr">
        <is>
          <t>Alphabet</t>
        </is>
      </c>
      <c r="E19" s="35" t="n">
        <v>27.851</v>
      </c>
      <c r="F19" s="14" t="inlineStr">
        <is>
          <t>十亿美元</t>
        </is>
      </c>
      <c r="G19" s="14" t="inlineStr">
        <is>
          <t>2025Q4</t>
        </is>
      </c>
      <c r="H19" s="14" t="inlineStr">
        <is>
          <t>披露事实</t>
        </is>
      </c>
      <c r="I19" s="14" t="inlineStr">
        <is>
          <t>Alphabet 口径：购置物业与设备（现金流量表）</t>
        </is>
      </c>
      <c r="J19" s="14" t="inlineStr">
        <is>
          <t>Alphabet 2025 年四季度及全年业绩（8-K 附件 99.1）</t>
        </is>
      </c>
      <c r="K19" s="14" t="inlineStr">
        <is>
          <t>2026-02-04</t>
        </is>
      </c>
      <c r="L19" s="14" t="inlineStr">
        <is>
          <t>https://www.sec.gov/Archives/edgar/data/1652044/000165204426000012/googexhibit991q42025.htm｜现金流量表</t>
        </is>
      </c>
      <c r="M19" s="14" t="inlineStr">
        <is>
          <t>2026-10-22</t>
        </is>
      </c>
      <c r="N19" s="14" t="inlineStr">
        <is>
          <t>GOOG25Q4</t>
        </is>
      </c>
    </row>
    <row r="20">
      <c r="A20" s="14" t="inlineStr">
        <is>
          <t>CQ-GO-25Q3</t>
        </is>
      </c>
      <c r="B20" s="14" t="inlineStr">
        <is>
          <t>季度资本开支</t>
        </is>
      </c>
      <c r="C20" s="14" t="inlineStr">
        <is>
          <t>Alphabet 资本开支（推算）</t>
        </is>
      </c>
      <c r="D20" s="14" t="inlineStr">
        <is>
          <t>Alphabet</t>
        </is>
      </c>
      <c r="E20" s="36">
        <f>$E$16-$E$17-$E$18-$E$19</f>
        <v>23.953</v>
      </c>
      <c r="F20" s="14" t="inlineStr">
        <is>
          <t>十亿美元</t>
        </is>
      </c>
      <c r="G20" s="14" t="inlineStr">
        <is>
          <t>2025Q3</t>
        </is>
      </c>
      <c r="H20" s="14" t="inlineStr">
        <is>
          <t>本表计算</t>
        </is>
      </c>
      <c r="I20" s="14" t="inlineStr">
        <is>
          <t>全年 − 其余三个季度</t>
        </is>
      </c>
      <c r="J20" s="14" t="inlineStr">
        <is>
          <t>本表计算（公式见单元格）</t>
        </is>
      </c>
      <c r="K20" s="14" t="inlineStr">
        <is>
          <t>2026-10-22</t>
        </is>
      </c>
      <c r="L20" s="14" t="inlineStr"/>
      <c r="M20" s="14" t="inlineStr">
        <is>
          <t>—</t>
        </is>
      </c>
      <c r="N20" s="14" t="inlineStr">
        <is>
          <t>CALC</t>
        </is>
      </c>
    </row>
    <row r="21">
      <c r="A21" s="14" t="inlineStr">
        <is>
          <t>CQ-GO-26Q1</t>
        </is>
      </c>
      <c r="B21" s="14" t="inlineStr">
        <is>
          <t>季度资本开支</t>
        </is>
      </c>
      <c r="C21" s="14" t="inlineStr">
        <is>
          <t>Alphabet 资本开支</t>
        </is>
      </c>
      <c r="D21" s="14" t="inlineStr">
        <is>
          <t>Alphabet</t>
        </is>
      </c>
      <c r="E21" s="35" t="n">
        <v>35.674</v>
      </c>
      <c r="F21" s="14" t="inlineStr">
        <is>
          <t>十亿美元</t>
        </is>
      </c>
      <c r="G21" s="14" t="inlineStr">
        <is>
          <t>2026Q1</t>
        </is>
      </c>
      <c r="H21" s="14" t="inlineStr">
        <is>
          <t>披露事实</t>
        </is>
      </c>
      <c r="I21" s="14" t="inlineStr">
        <is>
          <t>Alphabet 口径：购置物业与设备（现金流量表）</t>
        </is>
      </c>
      <c r="J21" s="14" t="inlineStr">
        <is>
          <t>Alphabet 2026 年一季度业绩（8-K 附件 99.1）</t>
        </is>
      </c>
      <c r="K21" s="14" t="inlineStr">
        <is>
          <t>2026-04-29</t>
        </is>
      </c>
      <c r="L21" s="14" t="inlineStr">
        <is>
          <t>https://www.sec.gov/Archives/edgar/data/0001652044/000165204426000043/googexhibit991q12026.htm｜现金流量表</t>
        </is>
      </c>
      <c r="M21" s="14" t="inlineStr">
        <is>
          <t>2026-10-22</t>
        </is>
      </c>
      <c r="N21" s="14" t="inlineStr">
        <is>
          <t>GOOG26Q1</t>
        </is>
      </c>
    </row>
    <row r="22">
      <c r="A22" s="14" t="inlineStr">
        <is>
          <t>CQ-GO-26Q2</t>
        </is>
      </c>
      <c r="B22" s="14" t="inlineStr">
        <is>
          <t>季度资本开支</t>
        </is>
      </c>
      <c r="C22" s="14" t="inlineStr">
        <is>
          <t>Alphabet 资本开支</t>
        </is>
      </c>
      <c r="D22" s="14" t="inlineStr">
        <is>
          <t>Alphabet</t>
        </is>
      </c>
      <c r="E22" s="35" t="n">
        <v>44.924</v>
      </c>
      <c r="F22" s="14" t="inlineStr">
        <is>
          <t>十亿美元</t>
        </is>
      </c>
      <c r="G22" s="14" t="inlineStr">
        <is>
          <t>2026Q2</t>
        </is>
      </c>
      <c r="H22" s="14" t="inlineStr">
        <is>
          <t>披露事实</t>
        </is>
      </c>
      <c r="I22" s="14" t="inlineStr">
        <is>
          <t>Alphabet 口径：购置物业与设备（现金流量表）</t>
        </is>
      </c>
      <c r="J22" s="14" t="inlineStr">
        <is>
          <t>Alphabet 2026 年二季度业绩（8-K 附件 99.1）及业绩电话会</t>
        </is>
      </c>
      <c r="K22" s="14" t="inlineStr">
        <is>
          <t>2026-07-22</t>
        </is>
      </c>
      <c r="L22" s="14" t="inlineStr">
        <is>
          <t>https://www.sec.gov/Archives/edgar/data/0001652044/000165204426000066/googexhibit991q22026.htm｜现金流量表</t>
        </is>
      </c>
      <c r="M22" s="14" t="inlineStr">
        <is>
          <t>2026-10-22</t>
        </is>
      </c>
      <c r="N22" s="14" t="inlineStr">
        <is>
          <t>GOOG26Q2</t>
        </is>
      </c>
    </row>
    <row r="23">
      <c r="A23" s="14" t="inlineStr">
        <is>
          <t>CY-AM-2024</t>
        </is>
      </c>
      <c r="B23" s="14" t="inlineStr">
        <is>
          <t>年度资本开支</t>
        </is>
      </c>
      <c r="C23" s="14" t="inlineStr">
        <is>
          <t>亚马逊资本开支</t>
        </is>
      </c>
      <c r="D23" s="14" t="inlineStr">
        <is>
          <t>亚马逊</t>
        </is>
      </c>
      <c r="E23" s="35" t="n">
        <v>82.999</v>
      </c>
      <c r="F23" s="14" t="inlineStr">
        <is>
          <t>十亿美元</t>
        </is>
      </c>
      <c r="G23" s="14" t="inlineStr">
        <is>
          <t>2024</t>
        </is>
      </c>
      <c r="H23" s="14" t="inlineStr">
        <is>
          <t>披露事实</t>
        </is>
      </c>
      <c r="I23" s="14" t="inlineStr">
        <is>
          <t>亚马逊口径：购置物业与设备总额（未扣除处置收入与激励）</t>
        </is>
      </c>
      <c r="J23" s="14" t="inlineStr">
        <is>
          <t>亚马逊 2025 年四季度业绩（8-K 附件 99.1）</t>
        </is>
      </c>
      <c r="K23" s="14" t="inlineStr">
        <is>
          <t>2026-02-05</t>
        </is>
      </c>
      <c r="L23" s="14" t="inlineStr">
        <is>
          <t>https://www.sec.gov/Archives/edgar/data/1018724/000101872426000002/amzn-20251231xex991.htm｜十二个月现金流 2024 列</t>
        </is>
      </c>
      <c r="M23" s="14" t="inlineStr">
        <is>
          <t>2026-10-22</t>
        </is>
      </c>
      <c r="N23" s="14" t="inlineStr">
        <is>
          <t>AMZN25Q4</t>
        </is>
      </c>
    </row>
    <row r="24">
      <c r="A24" s="14" t="inlineStr">
        <is>
          <t>CY-AM-2025</t>
        </is>
      </c>
      <c r="B24" s="14" t="inlineStr">
        <is>
          <t>年度资本开支</t>
        </is>
      </c>
      <c r="C24" s="14" t="inlineStr">
        <is>
          <t>亚马逊资本开支</t>
        </is>
      </c>
      <c r="D24" s="14" t="inlineStr">
        <is>
          <t>亚马逊</t>
        </is>
      </c>
      <c r="E24" s="35" t="n">
        <v>131.819</v>
      </c>
      <c r="F24" s="14" t="inlineStr">
        <is>
          <t>十亿美元</t>
        </is>
      </c>
      <c r="G24" s="14" t="inlineStr">
        <is>
          <t>2025</t>
        </is>
      </c>
      <c r="H24" s="14" t="inlineStr">
        <is>
          <t>披露事实</t>
        </is>
      </c>
      <c r="I24" s="14" t="inlineStr">
        <is>
          <t>亚马逊口径：购置物业与设备总额（未扣除处置收入与激励）</t>
        </is>
      </c>
      <c r="J24" s="14" t="inlineStr">
        <is>
          <t>亚马逊 2025 年四季度业绩（8-K 附件 99.1）</t>
        </is>
      </c>
      <c r="K24" s="14" t="inlineStr">
        <is>
          <t>2026-02-05</t>
        </is>
      </c>
      <c r="L24" s="14" t="inlineStr">
        <is>
          <t>https://www.sec.gov/Archives/edgar/data/1018724/000101872426000002/amzn-20251231xex991.htm｜十二个月现金流 2025 列</t>
        </is>
      </c>
      <c r="M24" s="14" t="inlineStr">
        <is>
          <t>2026-10-22</t>
        </is>
      </c>
      <c r="N24" s="14" t="inlineStr">
        <is>
          <t>AMZN25Q4</t>
        </is>
      </c>
    </row>
    <row r="25">
      <c r="A25" s="14" t="inlineStr">
        <is>
          <t>CQ-AM-25Q1</t>
        </is>
      </c>
      <c r="B25" s="14" t="inlineStr">
        <is>
          <t>季度资本开支</t>
        </is>
      </c>
      <c r="C25" s="14" t="inlineStr">
        <is>
          <t>亚马逊资本开支</t>
        </is>
      </c>
      <c r="D25" s="14" t="inlineStr">
        <is>
          <t>亚马逊</t>
        </is>
      </c>
      <c r="E25" s="35" t="n">
        <v>25.019</v>
      </c>
      <c r="F25" s="14" t="inlineStr">
        <is>
          <t>十亿美元</t>
        </is>
      </c>
      <c r="G25" s="14" t="inlineStr">
        <is>
          <t>2025Q1</t>
        </is>
      </c>
      <c r="H25" s="14" t="inlineStr">
        <is>
          <t>披露事实</t>
        </is>
      </c>
      <c r="I25" s="14" t="inlineStr">
        <is>
          <t>亚马逊口径：购置物业与设备总额（未扣除处置收入与激励）</t>
        </is>
      </c>
      <c r="J25" s="14" t="inlineStr">
        <is>
          <t>亚马逊 2026 年一季度业绩（8-K 附件 99.1）</t>
        </is>
      </c>
      <c r="K25" s="14" t="inlineStr">
        <is>
          <t>2026-04-29</t>
        </is>
      </c>
      <c r="L25" s="14" t="inlineStr">
        <is>
          <t>https://www.sec.gov/Archives/edgar/data/0001018724/000101872426000012/amzn-20260331xex991.htm｜上年同期列</t>
        </is>
      </c>
      <c r="M25" s="14" t="inlineStr">
        <is>
          <t>2026-10-22</t>
        </is>
      </c>
      <c r="N25" s="14" t="inlineStr">
        <is>
          <t>AMZN26Q1</t>
        </is>
      </c>
    </row>
    <row r="26">
      <c r="A26" s="14" t="inlineStr">
        <is>
          <t>CQ-AM-25Q2</t>
        </is>
      </c>
      <c r="B26" s="14" t="inlineStr">
        <is>
          <t>季度资本开支</t>
        </is>
      </c>
      <c r="C26" s="14" t="inlineStr">
        <is>
          <t>亚马逊资本开支</t>
        </is>
      </c>
      <c r="D26" s="14" t="inlineStr">
        <is>
          <t>亚马逊</t>
        </is>
      </c>
      <c r="E26" s="35" t="n">
        <v>32.183</v>
      </c>
      <c r="F26" s="14" t="inlineStr">
        <is>
          <t>十亿美元</t>
        </is>
      </c>
      <c r="G26" s="14" t="inlineStr">
        <is>
          <t>2025Q2</t>
        </is>
      </c>
      <c r="H26" s="14" t="inlineStr">
        <is>
          <t>披露事实</t>
        </is>
      </c>
      <c r="I26" s="14" t="inlineStr">
        <is>
          <t>亚马逊口径：购置物业与设备总额（未扣除处置收入与激励）</t>
        </is>
      </c>
      <c r="J26" s="14" t="inlineStr">
        <is>
          <t>亚马逊 2026 年二季度业绩（8-K 附件 99.1）</t>
        </is>
      </c>
      <c r="K26" s="14" t="inlineStr">
        <is>
          <t>2026-07-30</t>
        </is>
      </c>
      <c r="L26" s="14" t="inlineStr">
        <is>
          <t>https://www.sec.gov/Archives/edgar/data/0001018724/000101872426000024/amzn-20260630xex991.htm｜上年同期列</t>
        </is>
      </c>
      <c r="M26" s="14" t="inlineStr">
        <is>
          <t>2026-10-22</t>
        </is>
      </c>
      <c r="N26" s="14" t="inlineStr">
        <is>
          <t>AMZN26Q2</t>
        </is>
      </c>
    </row>
    <row r="27">
      <c r="A27" s="14" t="inlineStr">
        <is>
          <t>CQ-AM-25Q4</t>
        </is>
      </c>
      <c r="B27" s="14" t="inlineStr">
        <is>
          <t>季度资本开支</t>
        </is>
      </c>
      <c r="C27" s="14" t="inlineStr">
        <is>
          <t>亚马逊资本开支</t>
        </is>
      </c>
      <c r="D27" s="14" t="inlineStr">
        <is>
          <t>亚马逊</t>
        </is>
      </c>
      <c r="E27" s="35" t="n">
        <v>39.522</v>
      </c>
      <c r="F27" s="14" t="inlineStr">
        <is>
          <t>十亿美元</t>
        </is>
      </c>
      <c r="G27" s="14" t="inlineStr">
        <is>
          <t>2025Q4</t>
        </is>
      </c>
      <c r="H27" s="14" t="inlineStr">
        <is>
          <t>披露事实</t>
        </is>
      </c>
      <c r="I27" s="14" t="inlineStr">
        <is>
          <t>亚马逊口径：购置物业与设备总额（未扣除处置收入与激励）</t>
        </is>
      </c>
      <c r="J27" s="14" t="inlineStr">
        <is>
          <t>亚马逊 2025 年四季度业绩（8-K 附件 99.1）</t>
        </is>
      </c>
      <c r="K27" s="14" t="inlineStr">
        <is>
          <t>2026-02-05</t>
        </is>
      </c>
      <c r="L27" s="14" t="inlineStr">
        <is>
          <t>https://www.sec.gov/Archives/edgar/data/1018724/000101872426000002/amzn-20251231xex991.htm｜现金流量表</t>
        </is>
      </c>
      <c r="M27" s="14" t="inlineStr">
        <is>
          <t>2026-10-22</t>
        </is>
      </c>
      <c r="N27" s="14" t="inlineStr">
        <is>
          <t>AMZN25Q4</t>
        </is>
      </c>
    </row>
    <row r="28">
      <c r="A28" s="14" t="inlineStr">
        <is>
          <t>CQ-AM-25Q3</t>
        </is>
      </c>
      <c r="B28" s="14" t="inlineStr">
        <is>
          <t>季度资本开支</t>
        </is>
      </c>
      <c r="C28" s="14" t="inlineStr">
        <is>
          <t>亚马逊资本开支（推算）</t>
        </is>
      </c>
      <c r="D28" s="14" t="inlineStr">
        <is>
          <t>亚马逊</t>
        </is>
      </c>
      <c r="E28" s="36">
        <f>$E$24-$E$25-$E$26-$E$27</f>
        <v>35.095</v>
      </c>
      <c r="F28" s="14" t="inlineStr">
        <is>
          <t>十亿美元</t>
        </is>
      </c>
      <c r="G28" s="14" t="inlineStr">
        <is>
          <t>2025Q3</t>
        </is>
      </c>
      <c r="H28" s="14" t="inlineStr">
        <is>
          <t>本表计算</t>
        </is>
      </c>
      <c r="I28" s="14" t="inlineStr">
        <is>
          <t>全年 − 其余三个季度</t>
        </is>
      </c>
      <c r="J28" s="14" t="inlineStr">
        <is>
          <t>本表计算（公式见单元格）</t>
        </is>
      </c>
      <c r="K28" s="14" t="inlineStr">
        <is>
          <t>2026-10-22</t>
        </is>
      </c>
      <c r="L28" s="14" t="inlineStr"/>
      <c r="M28" s="14" t="inlineStr">
        <is>
          <t>—</t>
        </is>
      </c>
      <c r="N28" s="14" t="inlineStr">
        <is>
          <t>CALC</t>
        </is>
      </c>
    </row>
    <row r="29">
      <c r="A29" s="14" t="inlineStr">
        <is>
          <t>CQ-AM-26Q1</t>
        </is>
      </c>
      <c r="B29" s="14" t="inlineStr">
        <is>
          <t>季度资本开支</t>
        </is>
      </c>
      <c r="C29" s="14" t="inlineStr">
        <is>
          <t>亚马逊资本开支</t>
        </is>
      </c>
      <c r="D29" s="14" t="inlineStr">
        <is>
          <t>亚马逊</t>
        </is>
      </c>
      <c r="E29" s="35" t="n">
        <v>44.203</v>
      </c>
      <c r="F29" s="14" t="inlineStr">
        <is>
          <t>十亿美元</t>
        </is>
      </c>
      <c r="G29" s="14" t="inlineStr">
        <is>
          <t>2026Q1</t>
        </is>
      </c>
      <c r="H29" s="14" t="inlineStr">
        <is>
          <t>披露事实</t>
        </is>
      </c>
      <c r="I29" s="14" t="inlineStr">
        <is>
          <t>亚马逊口径：购置物业与设备总额（未扣除处置收入与激励）</t>
        </is>
      </c>
      <c r="J29" s="14" t="inlineStr">
        <is>
          <t>亚马逊 2026 年一季度业绩（8-K 附件 99.1）</t>
        </is>
      </c>
      <c r="K29" s="14" t="inlineStr">
        <is>
          <t>2026-04-29</t>
        </is>
      </c>
      <c r="L29" s="14" t="inlineStr">
        <is>
          <t>https://www.sec.gov/Archives/edgar/data/0001018724/000101872426000012/amzn-20260331xex991.htm｜现金流量表</t>
        </is>
      </c>
      <c r="M29" s="14" t="inlineStr">
        <is>
          <t>2026-10-22</t>
        </is>
      </c>
      <c r="N29" s="14" t="inlineStr">
        <is>
          <t>AMZN26Q1</t>
        </is>
      </c>
    </row>
    <row r="30">
      <c r="A30" s="14" t="inlineStr">
        <is>
          <t>CQ-AM-26Q2</t>
        </is>
      </c>
      <c r="B30" s="14" t="inlineStr">
        <is>
          <t>季度资本开支</t>
        </is>
      </c>
      <c r="C30" s="14" t="inlineStr">
        <is>
          <t>亚马逊资本开支</t>
        </is>
      </c>
      <c r="D30" s="14" t="inlineStr">
        <is>
          <t>亚马逊</t>
        </is>
      </c>
      <c r="E30" s="35" t="n">
        <v>54.208</v>
      </c>
      <c r="F30" s="14" t="inlineStr">
        <is>
          <t>十亿美元</t>
        </is>
      </c>
      <c r="G30" s="14" t="inlineStr">
        <is>
          <t>2026Q2</t>
        </is>
      </c>
      <c r="H30" s="14" t="inlineStr">
        <is>
          <t>披露事实</t>
        </is>
      </c>
      <c r="I30" s="14" t="inlineStr">
        <is>
          <t>亚马逊口径：购置物业与设备总额（未扣除处置收入与激励）</t>
        </is>
      </c>
      <c r="J30" s="14" t="inlineStr">
        <is>
          <t>亚马逊 2026 年二季度业绩（8-K 附件 99.1）</t>
        </is>
      </c>
      <c r="K30" s="14" t="inlineStr">
        <is>
          <t>2026-07-30</t>
        </is>
      </c>
      <c r="L30" s="14" t="inlineStr">
        <is>
          <t>https://www.sec.gov/Archives/edgar/data/0001018724/000101872426000024/amzn-20260630xex991.htm｜现金流量表</t>
        </is>
      </c>
      <c r="M30" s="14" t="inlineStr">
        <is>
          <t>2026-10-22</t>
        </is>
      </c>
      <c r="N30" s="14" t="inlineStr">
        <is>
          <t>AMZN26Q2</t>
        </is>
      </c>
    </row>
    <row r="31">
      <c r="A31" s="14" t="inlineStr">
        <is>
          <t>CY-ME-2024</t>
        </is>
      </c>
      <c r="B31" s="14" t="inlineStr">
        <is>
          <t>年度资本开支</t>
        </is>
      </c>
      <c r="C31" s="14" t="inlineStr">
        <is>
          <t>Meta 资本开支</t>
        </is>
      </c>
      <c r="D31" s="14" t="inlineStr">
        <is>
          <t>Meta</t>
        </is>
      </c>
      <c r="E31" s="35" t="n">
        <v>39.225</v>
      </c>
      <c r="F31" s="14" t="inlineStr">
        <is>
          <t>十亿美元</t>
        </is>
      </c>
      <c r="G31" s="14" t="inlineStr">
        <is>
          <t>2024</t>
        </is>
      </c>
      <c r="H31" s="14" t="inlineStr">
        <is>
          <t>披露事实</t>
        </is>
      </c>
      <c r="I31" s="14" t="inlineStr">
        <is>
          <t>Meta 口径：购置物业与设备 + 融资租赁本金（372.56 + 19.69）</t>
        </is>
      </c>
      <c r="J31" s="14" t="inlineStr">
        <is>
          <t>Meta 2025 年四季度及全年业绩新闻稿</t>
        </is>
      </c>
      <c r="K31" s="14" t="inlineStr">
        <is>
          <t>2026-01-28</t>
        </is>
      </c>
      <c r="L31" s="14" t="inlineStr">
        <is>
          <t>https://investor.atmeta.com/investor-news/press-release-details/2026/Meta-Reports-Fourth-Quarter-and-Full-Year-2025-Results/default.aspx｜现金流量表</t>
        </is>
      </c>
      <c r="M31" s="14" t="inlineStr">
        <is>
          <t>2026-10-22</t>
        </is>
      </c>
      <c r="N31" s="14" t="inlineStr">
        <is>
          <t>META25Q4</t>
        </is>
      </c>
    </row>
    <row r="32">
      <c r="A32" s="14" t="inlineStr">
        <is>
          <t>CY-ME-2025</t>
        </is>
      </c>
      <c r="B32" s="14" t="inlineStr">
        <is>
          <t>年度资本开支</t>
        </is>
      </c>
      <c r="C32" s="14" t="inlineStr">
        <is>
          <t>Meta 资本开支</t>
        </is>
      </c>
      <c r="D32" s="14" t="inlineStr">
        <is>
          <t>Meta</t>
        </is>
      </c>
      <c r="E32" s="35" t="n">
        <v>72.215</v>
      </c>
      <c r="F32" s="14" t="inlineStr">
        <is>
          <t>十亿美元</t>
        </is>
      </c>
      <c r="G32" s="14" t="inlineStr">
        <is>
          <t>2025</t>
        </is>
      </c>
      <c r="H32" s="14" t="inlineStr">
        <is>
          <t>披露事实</t>
        </is>
      </c>
      <c r="I32" s="14" t="inlineStr">
        <is>
          <t>Meta 口径：购置物业与设备 + 融资租赁本金（696.91 + 25.24）</t>
        </is>
      </c>
      <c r="J32" s="14" t="inlineStr">
        <is>
          <t>Meta 2025 年四季度及全年业绩新闻稿</t>
        </is>
      </c>
      <c r="K32" s="14" t="inlineStr">
        <is>
          <t>2026-01-28</t>
        </is>
      </c>
      <c r="L32" s="14" t="inlineStr">
        <is>
          <t>https://investor.atmeta.com/investor-news/press-release-details/2026/Meta-Reports-Fourth-Quarter-and-Full-Year-2025-Results/default.aspx｜新闻稿“722.2 亿美元”</t>
        </is>
      </c>
      <c r="M32" s="14" t="inlineStr">
        <is>
          <t>2026-10-22</t>
        </is>
      </c>
      <c r="N32" s="14" t="inlineStr">
        <is>
          <t>META25Q4</t>
        </is>
      </c>
    </row>
    <row r="33">
      <c r="A33" s="14" t="inlineStr">
        <is>
          <t>CQ-ME-25Q1</t>
        </is>
      </c>
      <c r="B33" s="14" t="inlineStr">
        <is>
          <t>季度资本开支</t>
        </is>
      </c>
      <c r="C33" s="14" t="inlineStr">
        <is>
          <t>Meta 资本开支</t>
        </is>
      </c>
      <c r="D33" s="14" t="inlineStr">
        <is>
          <t>Meta</t>
        </is>
      </c>
      <c r="E33" s="35" t="n">
        <v>13.692</v>
      </c>
      <c r="F33" s="14" t="inlineStr">
        <is>
          <t>十亿美元</t>
        </is>
      </c>
      <c r="G33" s="14" t="inlineStr">
        <is>
          <t>2025Q1</t>
        </is>
      </c>
      <c r="H33" s="14" t="inlineStr">
        <is>
          <t>披露事实</t>
        </is>
      </c>
      <c r="I33" s="14" t="inlineStr">
        <is>
          <t>Meta 口径：购置物业与设备 + 融资租赁本金；两项取自季度报表同期列后相加</t>
        </is>
      </c>
      <c r="J33" s="14" t="inlineStr">
        <is>
          <t>Meta 2026 年一季度业绩新闻稿</t>
        </is>
      </c>
      <c r="K33" s="14" t="inlineStr">
        <is>
          <t>2026-04-29</t>
        </is>
      </c>
      <c r="L33" s="14" t="inlineStr">
        <is>
          <t>https://investor.atmeta.com/investor-news/press-release-details/2026/Meta-Reports-First-Quarter-2026-Results/default.aspx｜上年同期列</t>
        </is>
      </c>
      <c r="M33" s="14" t="inlineStr">
        <is>
          <t>2026-10-22</t>
        </is>
      </c>
      <c r="N33" s="14" t="inlineStr">
        <is>
          <t>META26Q1</t>
        </is>
      </c>
    </row>
    <row r="34">
      <c r="A34" s="14" t="inlineStr">
        <is>
          <t>CQ-ME-25Q2</t>
        </is>
      </c>
      <c r="B34" s="14" t="inlineStr">
        <is>
          <t>季度资本开支</t>
        </is>
      </c>
      <c r="C34" s="14" t="inlineStr">
        <is>
          <t>Meta 资本开支</t>
        </is>
      </c>
      <c r="D34" s="14" t="inlineStr">
        <is>
          <t>Meta</t>
        </is>
      </c>
      <c r="E34" s="35" t="n">
        <v>17.012</v>
      </c>
      <c r="F34" s="14" t="inlineStr">
        <is>
          <t>十亿美元</t>
        </is>
      </c>
      <c r="G34" s="14" t="inlineStr">
        <is>
          <t>2025Q2</t>
        </is>
      </c>
      <c r="H34" s="14" t="inlineStr">
        <is>
          <t>披露事实</t>
        </is>
      </c>
      <c r="I34" s="14" t="inlineStr">
        <is>
          <t>Meta 口径：购置物业与设备 + 融资租赁本金；同上</t>
        </is>
      </c>
      <c r="J34" s="14" t="inlineStr">
        <is>
          <t>Meta 2026 年二季度业绩新闻稿</t>
        </is>
      </c>
      <c r="K34" s="14" t="inlineStr">
        <is>
          <t>2026-07-29</t>
        </is>
      </c>
      <c r="L34" s="14" t="inlineStr">
        <is>
          <t>https://investor.atmeta.com/investor-news/press-release-details/2026/Meta-Reports-Second-Quarter-2026-Results/default.aspx｜上年同期列</t>
        </is>
      </c>
      <c r="M34" s="14" t="inlineStr">
        <is>
          <t>2026-10-22</t>
        </is>
      </c>
      <c r="N34" s="14" t="inlineStr">
        <is>
          <t>META26Q2</t>
        </is>
      </c>
    </row>
    <row r="35">
      <c r="A35" s="14" t="inlineStr">
        <is>
          <t>CQ-ME-25Q3</t>
        </is>
      </c>
      <c r="B35" s="14" t="inlineStr">
        <is>
          <t>季度资本开支</t>
        </is>
      </c>
      <c r="C35" s="14" t="inlineStr">
        <is>
          <t>Meta 资本开支</t>
        </is>
      </c>
      <c r="D35" s="14" t="inlineStr">
        <is>
          <t>Meta</t>
        </is>
      </c>
      <c r="E35" s="35" t="n">
        <v>19.374</v>
      </c>
      <c r="F35" s="14" t="inlineStr">
        <is>
          <t>十亿美元</t>
        </is>
      </c>
      <c r="G35" s="14" t="inlineStr">
        <is>
          <t>2025Q3</t>
        </is>
      </c>
      <c r="H35" s="14" t="inlineStr">
        <is>
          <t>披露事实</t>
        </is>
      </c>
      <c r="I35" s="14" t="inlineStr">
        <is>
          <t>Meta 口径：购置物业与设备 + 融资租赁本金；同上</t>
        </is>
      </c>
      <c r="J35" s="14" t="inlineStr">
        <is>
          <t>Meta 2026 年三季度业绩新闻稿</t>
        </is>
      </c>
      <c r="K35" s="14" t="inlineStr">
        <is>
          <t>2026-10-21</t>
        </is>
      </c>
      <c r="L35" s="14" t="inlineStr">
        <is>
          <t>https://investor.atmeta.com/investor-news/press-release-details/2026/Meta-Reports-Third-Quarter-2026-Results/default.aspx｜上年同期列</t>
        </is>
      </c>
      <c r="M35" s="14" t="inlineStr">
        <is>
          <t>2026-10-22</t>
        </is>
      </c>
      <c r="N35" s="14" t="inlineStr">
        <is>
          <t>META26Q3</t>
        </is>
      </c>
    </row>
    <row r="36">
      <c r="A36" s="14" t="inlineStr">
        <is>
          <t>CQ-ME-25Q4</t>
        </is>
      </c>
      <c r="B36" s="14" t="inlineStr">
        <is>
          <t>季度资本开支</t>
        </is>
      </c>
      <c r="C36" s="14" t="inlineStr">
        <is>
          <t>Meta 资本开支</t>
        </is>
      </c>
      <c r="D36" s="14" t="inlineStr">
        <is>
          <t>Meta</t>
        </is>
      </c>
      <c r="E36" s="35" t="n">
        <v>22.137</v>
      </c>
      <c r="F36" s="14" t="inlineStr">
        <is>
          <t>十亿美元</t>
        </is>
      </c>
      <c r="G36" s="14" t="inlineStr">
        <is>
          <t>2025Q4</t>
        </is>
      </c>
      <c r="H36" s="14" t="inlineStr">
        <is>
          <t>披露事实</t>
        </is>
      </c>
      <c r="I36" s="14" t="inlineStr">
        <is>
          <t>Meta 口径：购置物业与设备 + 融资租赁本金</t>
        </is>
      </c>
      <c r="J36" s="14" t="inlineStr">
        <is>
          <t>Meta 2025 年四季度及全年业绩新闻稿</t>
        </is>
      </c>
      <c r="K36" s="14" t="inlineStr">
        <is>
          <t>2026-01-28</t>
        </is>
      </c>
      <c r="L36" s="14" t="inlineStr">
        <is>
          <t>https://investor.atmeta.com/investor-news/press-release-details/2026/Meta-Reports-Fourth-Quarter-and-Full-Year-2025-Results/default.aspx｜新闻稿“221.4 亿美元”</t>
        </is>
      </c>
      <c r="M36" s="14" t="inlineStr">
        <is>
          <t>2026-10-22</t>
        </is>
      </c>
      <c r="N36" s="14" t="inlineStr">
        <is>
          <t>META25Q4</t>
        </is>
      </c>
    </row>
    <row r="37">
      <c r="A37" s="14" t="inlineStr">
        <is>
          <t>CQ-ME-26Q1</t>
        </is>
      </c>
      <c r="B37" s="14" t="inlineStr">
        <is>
          <t>季度资本开支</t>
        </is>
      </c>
      <c r="C37" s="14" t="inlineStr">
        <is>
          <t>Meta 资本开支</t>
        </is>
      </c>
      <c r="D37" s="14" t="inlineStr">
        <is>
          <t>Meta</t>
        </is>
      </c>
      <c r="E37" s="35" t="n">
        <v>19.84</v>
      </c>
      <c r="F37" s="14" t="inlineStr">
        <is>
          <t>十亿美元</t>
        </is>
      </c>
      <c r="G37" s="14" t="inlineStr">
        <is>
          <t>2026Q1</t>
        </is>
      </c>
      <c r="H37" s="14" t="inlineStr">
        <is>
          <t>披露事实</t>
        </is>
      </c>
      <c r="I37" s="14" t="inlineStr">
        <is>
          <t>Meta 口径：购置物业与设备 + 融资租赁本金</t>
        </is>
      </c>
      <c r="J37" s="14" t="inlineStr">
        <is>
          <t>Meta 2026 年一季度业绩新闻稿</t>
        </is>
      </c>
      <c r="K37" s="14" t="inlineStr">
        <is>
          <t>2026-04-29</t>
        </is>
      </c>
      <c r="L37" s="14" t="inlineStr">
        <is>
          <t>https://investor.atmeta.com/investor-news/press-release-details/2026/Meta-Reports-First-Quarter-2026-Results/default.aspx｜新闻稿“198.4 亿美元”</t>
        </is>
      </c>
      <c r="M37" s="14" t="inlineStr">
        <is>
          <t>2026-10-22</t>
        </is>
      </c>
      <c r="N37" s="14" t="inlineStr">
        <is>
          <t>META26Q1</t>
        </is>
      </c>
    </row>
    <row r="38">
      <c r="A38" s="14" t="inlineStr">
        <is>
          <t>CQ-ME-26Q2</t>
        </is>
      </c>
      <c r="B38" s="14" t="inlineStr">
        <is>
          <t>季度资本开支</t>
        </is>
      </c>
      <c r="C38" s="14" t="inlineStr">
        <is>
          <t>Meta 资本开支</t>
        </is>
      </c>
      <c r="D38" s="14" t="inlineStr">
        <is>
          <t>Meta</t>
        </is>
      </c>
      <c r="E38" s="35" t="n">
        <v>31.08</v>
      </c>
      <c r="F38" s="14" t="inlineStr">
        <is>
          <t>十亿美元</t>
        </is>
      </c>
      <c r="G38" s="14" t="inlineStr">
        <is>
          <t>2026Q2</t>
        </is>
      </c>
      <c r="H38" s="14" t="inlineStr">
        <is>
          <t>披露事实</t>
        </is>
      </c>
      <c r="I38" s="14" t="inlineStr">
        <is>
          <t>Meta 口径：购置物业与设备 + 融资租赁本金</t>
        </is>
      </c>
      <c r="J38" s="14" t="inlineStr">
        <is>
          <t>Meta 2026 年二季度业绩新闻稿</t>
        </is>
      </c>
      <c r="K38" s="14" t="inlineStr">
        <is>
          <t>2026-07-29</t>
        </is>
      </c>
      <c r="L38" s="14" t="inlineStr">
        <is>
          <t>https://investor.atmeta.com/investor-news/press-release-details/2026/Meta-Reports-Second-Quarter-2026-Results/default.aspx｜新闻稿“310.8 亿美元”</t>
        </is>
      </c>
      <c r="M38" s="14" t="inlineStr">
        <is>
          <t>2026-10-22</t>
        </is>
      </c>
      <c r="N38" s="14" t="inlineStr">
        <is>
          <t>META26Q2</t>
        </is>
      </c>
    </row>
    <row r="39">
      <c r="A39" s="14" t="inlineStr">
        <is>
          <t>CQ-ME-26Q3</t>
        </is>
      </c>
      <c r="B39" s="14" t="inlineStr">
        <is>
          <t>季度资本开支</t>
        </is>
      </c>
      <c r="C39" s="14" t="inlineStr">
        <is>
          <t>Meta 资本开支</t>
        </is>
      </c>
      <c r="D39" s="14" t="inlineStr">
        <is>
          <t>Meta</t>
        </is>
      </c>
      <c r="E39" s="36">
        <f>'D4_Meta三季报'!$E$5</f>
        <v>34.91</v>
      </c>
      <c r="F39" s="14" t="inlineStr">
        <is>
          <t>十亿美元</t>
        </is>
      </c>
      <c r="G39" s="14" t="inlineStr">
        <is>
          <t>2026Q3</t>
        </is>
      </c>
      <c r="H39" s="14" t="inlineStr">
        <is>
          <t>披露事实</t>
        </is>
      </c>
      <c r="I39" s="14" t="inlineStr">
        <is>
          <t>Meta 口径：购置物业与设备 + 融资租赁本金；引用 D4 原始材料 10-Q</t>
        </is>
      </c>
      <c r="J39" s="14" t="inlineStr">
        <is>
          <t>Meta Platforms, Inc. 10-Q 季报（截至 2026-09-30 的季度）</t>
        </is>
      </c>
      <c r="K39" s="14" t="inlineStr">
        <is>
          <t>2026-10-21（签署日）</t>
        </is>
      </c>
      <c r="L39" s="14" t="inlineStr">
        <is>
          <t>材料/Meta_2026Q3季报__meta-20260930.htm｜见 D4 META-01</t>
        </is>
      </c>
      <c r="M39" s="14" t="inlineStr">
        <is>
          <t>原始材料</t>
        </is>
      </c>
      <c r="N39" s="14" t="inlineStr">
        <is>
          <t>M1</t>
        </is>
      </c>
    </row>
    <row r="40">
      <c r="A40" s="14" t="inlineStr">
        <is>
          <t>CQ-ME-CHK</t>
        </is>
      </c>
      <c r="B40" s="14" t="inlineStr">
        <is>
          <t>季度资本开支</t>
        </is>
      </c>
      <c r="C40" s="14" t="inlineStr">
        <is>
          <t>核对：Meta 2026 年前三季度（季度相加 − 10-Q 累计）</t>
        </is>
      </c>
      <c r="D40" s="14" t="inlineStr">
        <is>
          <t>Meta</t>
        </is>
      </c>
      <c r="E40" s="36">
        <f>$E$37+$E$38+$E$39-'D4_Meta三季报'!$E$6</f>
        <v>0.0100000000000051</v>
      </c>
      <c r="F40" s="14" t="inlineStr">
        <is>
          <t>十亿美元</t>
        </is>
      </c>
      <c r="G40" s="14" t="inlineStr">
        <is>
          <t>2026 年前三季度</t>
        </is>
      </c>
      <c r="H40" s="14" t="inlineStr">
        <is>
          <t>本表计算</t>
        </is>
      </c>
      <c r="I40" s="14" t="inlineStr">
        <is>
          <t>差值应接近 0（四舍五入误差）</t>
        </is>
      </c>
      <c r="J40" s="14" t="inlineStr">
        <is>
          <t>本表计算（公式见单元格）</t>
        </is>
      </c>
      <c r="K40" s="14" t="inlineStr">
        <is>
          <t>2026-10-22</t>
        </is>
      </c>
      <c r="L40" s="14" t="inlineStr"/>
      <c r="M40" s="14" t="inlineStr">
        <is>
          <t>—</t>
        </is>
      </c>
      <c r="N40" s="14" t="inlineStr">
        <is>
          <t>CALC</t>
        </is>
      </c>
    </row>
    <row r="41">
      <c r="A41" s="14" t="inlineStr">
        <is>
          <t>G-MS-2026</t>
        </is>
      </c>
      <c r="B41" s="14" t="inlineStr">
        <is>
          <t>指引</t>
        </is>
      </c>
      <c r="C41" s="14" t="inlineStr">
        <is>
          <t>微软 2026 自然年资本开支预期（租赁重分类后）</t>
        </is>
      </c>
      <c r="D41" s="14" t="inlineStr">
        <is>
          <t>微软</t>
        </is>
      </c>
      <c r="E41" s="32" t="n">
        <v>175</v>
      </c>
      <c r="F41" s="14" t="inlineStr">
        <is>
          <t>十亿美元</t>
        </is>
      </c>
      <c r="G41" s="14" t="inlineStr">
        <is>
          <t>2026E</t>
        </is>
      </c>
      <c r="H41" s="14" t="inlineStr">
        <is>
          <t>公司指引</t>
        </is>
      </c>
      <c r="I41" s="14" t="inlineStr">
        <is>
          <t>2026-07-29 称“约 1750 亿美元”；4 月给出的约 1900 亿口径因部分融资租赁改为经营租赁而下调，公司称投资计划未变</t>
        </is>
      </c>
      <c r="J41" s="14" t="inlineStr">
        <is>
          <t>微软 FY26 Q4 业绩电话会</t>
        </is>
      </c>
      <c r="K41" s="14" t="inlineStr">
        <is>
          <t>2026-07-29</t>
        </is>
      </c>
      <c r="L41" s="14" t="inlineStr">
        <is>
          <t>https://www.microsoft.com/en-us/investor/events/fy-2026/earnings-fy-2026-q4｜CFO 发言</t>
        </is>
      </c>
      <c r="M41" s="14" t="inlineStr">
        <is>
          <t>2026-10-22</t>
        </is>
      </c>
      <c r="N41" s="14" t="inlineStr">
        <is>
          <t>MSFT26Q4</t>
        </is>
      </c>
    </row>
    <row r="42">
      <c r="A42" s="14" t="inlineStr">
        <is>
          <t>G-MS-2026B</t>
        </is>
      </c>
      <c r="B42" s="14" t="inlineStr">
        <is>
          <t>指引</t>
        </is>
      </c>
      <c r="C42" s="14" t="inlineStr">
        <is>
          <t>微软 2026 自然年资本开支预期（重分类前口径）</t>
        </is>
      </c>
      <c r="D42" s="14" t="inlineStr">
        <is>
          <t>微软</t>
        </is>
      </c>
      <c r="E42" s="32" t="n">
        <v>190</v>
      </c>
      <c r="F42" s="14" t="inlineStr">
        <is>
          <t>十亿美元</t>
        </is>
      </c>
      <c r="G42" s="14" t="inlineStr">
        <is>
          <t>2026E</t>
        </is>
      </c>
      <c r="H42" s="14" t="inlineStr">
        <is>
          <t>公司指引</t>
        </is>
      </c>
      <c r="I42" s="14" t="inlineStr">
        <is>
          <t>含约 250 亿美元元器件涨价影响</t>
        </is>
      </c>
      <c r="J42" s="14" t="inlineStr">
        <is>
          <t>微软 FY26 Q3 业绩电话会</t>
        </is>
      </c>
      <c r="K42" s="14" t="inlineStr">
        <is>
          <t>2026-04-29</t>
        </is>
      </c>
      <c r="L42" s="14" t="inlineStr">
        <is>
          <t>https://www.microsoft.com/en-us/investor/events/fy-2026/earnings-fy-2026-q3｜CFO 发言</t>
        </is>
      </c>
      <c r="M42" s="14" t="inlineStr">
        <is>
          <t>2026-10-22</t>
        </is>
      </c>
      <c r="N42" s="14" t="inlineStr">
        <is>
          <t>MSFT26Q3</t>
        </is>
      </c>
    </row>
    <row r="43">
      <c r="A43" s="14" t="inlineStr">
        <is>
          <t>G-GO-2026L</t>
        </is>
      </c>
      <c r="B43" s="14" t="inlineStr">
        <is>
          <t>指引</t>
        </is>
      </c>
      <c r="C43" s="14" t="inlineStr">
        <is>
          <t>Alphabet 2026 年资本开支指引下限</t>
        </is>
      </c>
      <c r="D43" s="14" t="inlineStr">
        <is>
          <t>Alphabet</t>
        </is>
      </c>
      <c r="E43" s="32" t="n">
        <v>195</v>
      </c>
      <c r="F43" s="14" t="inlineStr">
        <is>
          <t>十亿美元</t>
        </is>
      </c>
      <c r="G43" s="14" t="inlineStr">
        <is>
          <t>2026E</t>
        </is>
      </c>
      <c r="H43" s="14" t="inlineStr">
        <is>
          <t>公司指引</t>
        </is>
      </c>
      <c r="I43" s="14" t="inlineStr">
        <is>
          <t>2 月 175–185 → 4 月 180–190 → 7 月 195–205</t>
        </is>
      </c>
      <c r="J43" s="14" t="inlineStr">
        <is>
          <t>Alphabet 2026 年二季度业绩（8-K 附件 99.1）及业绩电话会</t>
        </is>
      </c>
      <c r="K43" s="14" t="inlineStr">
        <is>
          <t>2026-07-22</t>
        </is>
      </c>
      <c r="L43" s="14" t="inlineStr">
        <is>
          <t>https://www.sec.gov/Archives/edgar/data/0001652044/000165204426000066/googexhibit991q22026.htm｜业绩电话会</t>
        </is>
      </c>
      <c r="M43" s="14" t="inlineStr">
        <is>
          <t>2026-10-22</t>
        </is>
      </c>
      <c r="N43" s="14" t="inlineStr">
        <is>
          <t>GOOG26Q2</t>
        </is>
      </c>
    </row>
    <row r="44">
      <c r="A44" s="14" t="inlineStr">
        <is>
          <t>G-GO-2026H</t>
        </is>
      </c>
      <c r="B44" s="14" t="inlineStr">
        <is>
          <t>指引</t>
        </is>
      </c>
      <c r="C44" s="14" t="inlineStr">
        <is>
          <t>Alphabet 2026 年资本开支指引上限</t>
        </is>
      </c>
      <c r="D44" s="14" t="inlineStr">
        <is>
          <t>Alphabet</t>
        </is>
      </c>
      <c r="E44" s="32" t="n">
        <v>205</v>
      </c>
      <c r="F44" s="14" t="inlineStr">
        <is>
          <t>十亿美元</t>
        </is>
      </c>
      <c r="G44" s="14" t="inlineStr">
        <is>
          <t>2026E</t>
        </is>
      </c>
      <c r="H44" s="14" t="inlineStr">
        <is>
          <t>公司指引</t>
        </is>
      </c>
      <c r="I44" s="14" t="inlineStr">
        <is>
          <t>同上</t>
        </is>
      </c>
      <c r="J44" s="14" t="inlineStr">
        <is>
          <t>Alphabet 2026 年二季度业绩（8-K 附件 99.1）及业绩电话会</t>
        </is>
      </c>
      <c r="K44" s="14" t="inlineStr">
        <is>
          <t>2026-07-22</t>
        </is>
      </c>
      <c r="L44" s="14" t="inlineStr">
        <is>
          <t>https://www.sec.gov/Archives/edgar/data/0001652044/000165204426000066/googexhibit991q22026.htm｜业绩电话会</t>
        </is>
      </c>
      <c r="M44" s="14" t="inlineStr">
        <is>
          <t>2026-10-22</t>
        </is>
      </c>
      <c r="N44" s="14" t="inlineStr">
        <is>
          <t>GOOG26Q2</t>
        </is>
      </c>
    </row>
    <row r="45">
      <c r="A45" s="14" t="inlineStr">
        <is>
          <t>G-AM-2026</t>
        </is>
      </c>
      <c r="B45" s="14" t="inlineStr">
        <is>
          <t>指引</t>
        </is>
      </c>
      <c r="C45" s="14" t="inlineStr">
        <is>
          <t>亚马逊 2026 年资本开支预期</t>
        </is>
      </c>
      <c r="D45" s="14" t="inlineStr">
        <is>
          <t>亚马逊</t>
        </is>
      </c>
      <c r="E45" s="32" t="n">
        <v>220</v>
      </c>
      <c r="F45" s="14" t="inlineStr">
        <is>
          <t>十亿美元</t>
        </is>
      </c>
      <c r="G45" s="14" t="inlineStr">
        <is>
          <t>2026E</t>
        </is>
      </c>
      <c r="H45" s="14" t="inlineStr">
        <is>
          <t>公司指引</t>
        </is>
      </c>
      <c r="I45" s="14" t="inlineStr">
        <is>
          <t>2 月新闻稿“约 2000 亿美元”；7 月电话会上调至约 2200 亿（内存涨价），来自电话会文字记录（二手）</t>
        </is>
      </c>
      <c r="J45" s="14" t="inlineStr">
        <is>
          <t>亚马逊 2026 年二季度业绩电话会文字记录（Motley Fool，经 Webull 转载）</t>
        </is>
      </c>
      <c r="K45" s="14" t="inlineStr">
        <is>
          <t>2026-07-30</t>
        </is>
      </c>
      <c r="L45" s="14" t="inlineStr">
        <is>
          <t>https://www.webull.com/news/15364638750483456｜电话会文字记录</t>
        </is>
      </c>
      <c r="M45" s="14" t="inlineStr">
        <is>
          <t>2026-10-22</t>
        </is>
      </c>
      <c r="N45" s="14" t="inlineStr">
        <is>
          <t>AMZN26Q2C</t>
        </is>
      </c>
    </row>
    <row r="46">
      <c r="A46" s="14" t="inlineStr">
        <is>
          <t>G-ME-2026L</t>
        </is>
      </c>
      <c r="B46" s="14" t="inlineStr">
        <is>
          <t>指引</t>
        </is>
      </c>
      <c r="C46" s="14" t="inlineStr">
        <is>
          <t>Meta 2026 年资本开支指引下限</t>
        </is>
      </c>
      <c r="D46" s="14" t="inlineStr">
        <is>
          <t>Meta</t>
        </is>
      </c>
      <c r="E46" s="36">
        <f>'D4_Meta三季报'!$E$13</f>
        <v>135</v>
      </c>
      <c r="F46" s="14" t="inlineStr">
        <is>
          <t>十亿美元</t>
        </is>
      </c>
      <c r="G46" s="14" t="inlineStr">
        <is>
          <t>2026E</t>
        </is>
      </c>
      <c r="H46" s="14" t="inlineStr">
        <is>
          <t>公司指引</t>
        </is>
      </c>
      <c r="I46" s="14" t="inlineStr">
        <is>
          <t>引用原始材料 10-Q</t>
        </is>
      </c>
      <c r="J46" s="14" t="inlineStr">
        <is>
          <t>Meta Platforms, Inc. 10-Q 季报（截至 2026-09-30 的季度）</t>
        </is>
      </c>
      <c r="K46" s="14" t="inlineStr">
        <is>
          <t>2026-10-21（签署日）</t>
        </is>
      </c>
      <c r="L46" s="14" t="inlineStr">
        <is>
          <t>材料/Meta_2026Q3季报__meta-20260930.htm｜见 D4 META-09</t>
        </is>
      </c>
      <c r="M46" s="14" t="inlineStr">
        <is>
          <t>原始材料</t>
        </is>
      </c>
      <c r="N46" s="14" t="inlineStr">
        <is>
          <t>M1</t>
        </is>
      </c>
    </row>
    <row r="47">
      <c r="A47" s="14" t="inlineStr">
        <is>
          <t>G-ME-2026H</t>
        </is>
      </c>
      <c r="B47" s="14" t="inlineStr">
        <is>
          <t>指引</t>
        </is>
      </c>
      <c r="C47" s="14" t="inlineStr">
        <is>
          <t>Meta 2026 年资本开支指引上限</t>
        </is>
      </c>
      <c r="D47" s="14" t="inlineStr">
        <is>
          <t>Meta</t>
        </is>
      </c>
      <c r="E47" s="36">
        <f>'D4_Meta三季报'!$E$14</f>
        <v>145</v>
      </c>
      <c r="F47" s="14" t="inlineStr">
        <is>
          <t>十亿美元</t>
        </is>
      </c>
      <c r="G47" s="14" t="inlineStr">
        <is>
          <t>2026E</t>
        </is>
      </c>
      <c r="H47" s="14" t="inlineStr">
        <is>
          <t>公司指引</t>
        </is>
      </c>
      <c r="I47" s="14" t="inlineStr">
        <is>
          <t>引用原始材料 10-Q</t>
        </is>
      </c>
      <c r="J47" s="14" t="inlineStr">
        <is>
          <t>Meta Platforms, Inc. 10-Q 季报（截至 2026-09-30 的季度）</t>
        </is>
      </c>
      <c r="K47" s="14" t="inlineStr">
        <is>
          <t>2026-10-21（签署日）</t>
        </is>
      </c>
      <c r="L47" s="14" t="inlineStr">
        <is>
          <t>材料/Meta_2026Q3季报__meta-20260930.htm｜见 D4 META-10</t>
        </is>
      </c>
      <c r="M47" s="14" t="inlineStr">
        <is>
          <t>原始材料</t>
        </is>
      </c>
      <c r="N47" s="14" t="inlineStr">
        <is>
          <t>M1</t>
        </is>
      </c>
    </row>
    <row r="48">
      <c r="A48" s="14" t="inlineStr">
        <is>
          <t>G-ME-2026J</t>
        </is>
      </c>
      <c r="B48" s="14" t="inlineStr">
        <is>
          <t>指引</t>
        </is>
      </c>
      <c r="C48" s="14" t="inlineStr">
        <is>
          <t>Meta 2026 年 1 月给出的初始指引中值</t>
        </is>
      </c>
      <c r="D48" s="14" t="inlineStr">
        <is>
          <t>Meta</t>
        </is>
      </c>
      <c r="E48" s="32" t="n">
        <v>125</v>
      </c>
      <c r="F48" s="14" t="inlineStr">
        <is>
          <t>十亿美元</t>
        </is>
      </c>
      <c r="G48" s="14" t="inlineStr">
        <is>
          <t>2026E</t>
        </is>
      </c>
      <c r="H48" s="14" t="inlineStr">
        <is>
          <t>公司指引</t>
        </is>
      </c>
      <c r="I48" s="14" t="inlineStr">
        <is>
          <t>初始区间 1150–1350 亿美元</t>
        </is>
      </c>
      <c r="J48" s="14" t="inlineStr">
        <is>
          <t>Meta 2025 年四季度及全年业绩新闻稿</t>
        </is>
      </c>
      <c r="K48" s="14" t="inlineStr">
        <is>
          <t>2026-01-28</t>
        </is>
      </c>
      <c r="L48" s="14" t="inlineStr">
        <is>
          <t>https://investor.atmeta.com/investor-news/press-release-details/2026/Meta-Reports-Fourth-Quarter-and-Full-Year-2025-Results/default.aspx｜新闻稿</t>
        </is>
      </c>
      <c r="M48" s="14" t="inlineStr">
        <is>
          <t>2026-10-22</t>
        </is>
      </c>
      <c r="N48" s="14" t="inlineStr">
        <is>
          <t>META25Q4</t>
        </is>
      </c>
    </row>
    <row r="49">
      <c r="A49" s="14" t="inlineStr">
        <is>
          <t>FY-OR-2025</t>
        </is>
      </c>
      <c r="B49" s="14" t="inlineStr">
        <is>
          <t>年度资本开支</t>
        </is>
      </c>
      <c r="C49" s="14" t="inlineStr">
        <is>
          <t>甲骨文资本开支</t>
        </is>
      </c>
      <c r="D49" s="14" t="inlineStr">
        <is>
          <t>甲骨文</t>
        </is>
      </c>
      <c r="E49" s="35" t="n">
        <v>21.215</v>
      </c>
      <c r="F49" s="14" t="inlineStr">
        <is>
          <t>十亿美元</t>
        </is>
      </c>
      <c r="G49" s="14" t="inlineStr">
        <is>
          <t>FY2025（2024-06 至 2025-05）</t>
        </is>
      </c>
      <c r="H49" s="14" t="inlineStr">
        <is>
          <t>披露事实</t>
        </is>
      </c>
      <c r="I49" s="14" t="inlineStr">
        <is>
          <t>现金流量表资本开支</t>
        </is>
      </c>
      <c r="J49" s="14" t="inlineStr">
        <is>
          <t>甲骨文 FY2026 年报 10-K（现金流量表）</t>
        </is>
      </c>
      <c r="K49" s="14" t="inlineStr">
        <is>
          <t>2026-06-22</t>
        </is>
      </c>
      <c r="L49" s="14" t="inlineStr">
        <is>
          <t>https://www.sec.gov/Archives/edgar/data/1341439/000119312526277521/R8.htm｜现金流量表</t>
        </is>
      </c>
      <c r="M49" s="14" t="inlineStr">
        <is>
          <t>2026-10-22</t>
        </is>
      </c>
      <c r="N49" s="14" t="inlineStr">
        <is>
          <t>ORCL10K26</t>
        </is>
      </c>
    </row>
    <row r="50">
      <c r="A50" s="14" t="inlineStr">
        <is>
          <t>FY-OR-2026</t>
        </is>
      </c>
      <c r="B50" s="14" t="inlineStr">
        <is>
          <t>年度资本开支</t>
        </is>
      </c>
      <c r="C50" s="14" t="inlineStr">
        <is>
          <t>甲骨文资本开支</t>
        </is>
      </c>
      <c r="D50" s="14" t="inlineStr">
        <is>
          <t>甲骨文</t>
        </is>
      </c>
      <c r="E50" s="35" t="n">
        <v>55.663</v>
      </c>
      <c r="F50" s="14" t="inlineStr">
        <is>
          <t>十亿美元</t>
        </is>
      </c>
      <c r="G50" s="14" t="inlineStr">
        <is>
          <t>FY2026（2025-06 至 2026-05）</t>
        </is>
      </c>
      <c r="H50" s="14" t="inlineStr">
        <is>
          <t>披露事实</t>
        </is>
      </c>
      <c r="I50" s="14" t="inlineStr">
        <is>
          <t>同上</t>
        </is>
      </c>
      <c r="J50" s="14" t="inlineStr">
        <is>
          <t>甲骨文 FY2026 年报 10-K（现金流量表）</t>
        </is>
      </c>
      <c r="K50" s="14" t="inlineStr">
        <is>
          <t>2026-06-22</t>
        </is>
      </c>
      <c r="L50" s="14" t="inlineStr">
        <is>
          <t>https://www.sec.gov/Archives/edgar/data/1341439/000119312526277521/R8.htm｜现金流量表</t>
        </is>
      </c>
      <c r="M50" s="14" t="inlineStr">
        <is>
          <t>2026-10-22</t>
        </is>
      </c>
      <c r="N50" s="14" t="inlineStr">
        <is>
          <t>ORCL10K26</t>
        </is>
      </c>
    </row>
    <row r="51">
      <c r="A51" s="14" t="inlineStr">
        <is>
          <t>FQ-OR-27Q1</t>
        </is>
      </c>
      <c r="B51" s="14" t="inlineStr">
        <is>
          <t>季度资本开支</t>
        </is>
      </c>
      <c r="C51" s="14" t="inlineStr">
        <is>
          <t>甲骨文资本开支</t>
        </is>
      </c>
      <c r="D51" s="14" t="inlineStr">
        <is>
          <t>甲骨文</t>
        </is>
      </c>
      <c r="E51" s="35" t="n">
        <v>28.499</v>
      </c>
      <c r="F51" s="14" t="inlineStr">
        <is>
          <t>十亿美元</t>
        </is>
      </c>
      <c r="G51" s="14" t="inlineStr">
        <is>
          <t>FY27 Q1（2026-06 至 08）</t>
        </is>
      </c>
      <c r="H51" s="14" t="inlineStr">
        <is>
          <t>披露事实</t>
        </is>
      </c>
      <c r="I51" s="14" t="inlineStr">
        <is>
          <t>同上；同期交付约 850 MW 数据中心容量</t>
        </is>
      </c>
      <c r="J51" s="14" t="inlineStr">
        <is>
          <t>甲骨文 FY27 一季度业绩（8-K 附件 99.1）</t>
        </is>
      </c>
      <c r="K51" s="14" t="inlineStr">
        <is>
          <t>2026-09-10</t>
        </is>
      </c>
      <c r="L51" s="14" t="inlineStr">
        <is>
          <t>https://www.sec.gov/Archives/edgar/data/0001341439/000119312526387905/orcl-ex99_1.htm｜新闻稿现金流</t>
        </is>
      </c>
      <c r="M51" s="14" t="inlineStr">
        <is>
          <t>2026-10-22</t>
        </is>
      </c>
      <c r="N51" s="14" t="inlineStr">
        <is>
          <t>ORCL27Q1</t>
        </is>
      </c>
    </row>
    <row r="52">
      <c r="A52" s="14" t="inlineStr">
        <is>
          <t>G-OR-2027</t>
        </is>
      </c>
      <c r="B52" s="14" t="inlineStr">
        <is>
          <t>指引</t>
        </is>
      </c>
      <c r="C52" s="14" t="inlineStr">
        <is>
          <t>甲骨文 FY2027 资本开支预期（上限）</t>
        </is>
      </c>
      <c r="D52" s="14" t="inlineStr">
        <is>
          <t>甲骨文</t>
        </is>
      </c>
      <c r="E52" s="32" t="n">
        <v>95</v>
      </c>
      <c r="F52" s="14" t="inlineStr">
        <is>
          <t>十亿美元</t>
        </is>
      </c>
      <c r="G52" s="14" t="inlineStr">
        <is>
          <t>FY2027E</t>
        </is>
      </c>
      <c r="H52" s="14" t="inlineStr">
        <is>
          <t>公司指引</t>
        </is>
      </c>
      <c r="I52" s="14" t="inlineStr">
        <is>
          <t>其中最多约 250 亿美元预计由客户偿付（媒体报道）</t>
        </is>
      </c>
      <c r="J52" s="14" t="inlineStr">
        <is>
          <t>The Standard（香港）：甲骨文 AI 支出超预期（FY27 资本开支指引报道）</t>
        </is>
      </c>
      <c r="K52" s="14" t="inlineStr">
        <is>
          <t>2026-06-11</t>
        </is>
      </c>
      <c r="L52" s="14" t="inlineStr">
        <is>
          <t>https://www.thestandard.com.hk/finance/article/334347/Oracles-AI-spending-blows-past-estimates-raising-worries-over-growing-debt｜报道正文</t>
        </is>
      </c>
      <c r="M52" s="14" t="inlineStr">
        <is>
          <t>2026-10-22</t>
        </is>
      </c>
      <c r="N52" s="14" t="inlineStr">
        <is>
          <t>ORCL_G</t>
        </is>
      </c>
    </row>
    <row r="53">
      <c r="A53" s="14" t="inlineStr">
        <is>
          <t>PW-01</t>
        </is>
      </c>
      <c r="B53" s="14" t="inlineStr">
        <is>
          <t>电力</t>
        </is>
      </c>
      <c r="C53" s="14" t="inlineStr">
        <is>
          <t>微软单季新增数据中心容量</t>
        </is>
      </c>
      <c r="D53" s="14" t="inlineStr">
        <is>
          <t>微软</t>
        </is>
      </c>
      <c r="E53" s="32" t="n">
        <v>1</v>
      </c>
      <c r="F53" s="14" t="inlineStr">
        <is>
          <t>GW/季度</t>
        </is>
      </c>
      <c r="G53" s="14" t="inlineStr">
        <is>
          <t>FY26 Q3–Q4</t>
        </is>
      </c>
      <c r="H53" s="14" t="inlineStr">
        <is>
          <t>披露事实</t>
        </is>
      </c>
      <c r="I53" s="14" t="inlineStr">
        <is>
          <t>电话会：本季度再增加约 1 GW</t>
        </is>
      </c>
      <c r="J53" s="14" t="inlineStr">
        <is>
          <t>微软 FY26 Q4 业绩电话会</t>
        </is>
      </c>
      <c r="K53" s="14" t="inlineStr">
        <is>
          <t>2026-07-29</t>
        </is>
      </c>
      <c r="L53" s="14" t="inlineStr">
        <is>
          <t>https://www.microsoft.com/en-us/investor/events/fy-2026/earnings-fy-2026-q4｜CEO/CFO 发言</t>
        </is>
      </c>
      <c r="M53" s="14" t="inlineStr">
        <is>
          <t>2026-10-22</t>
        </is>
      </c>
      <c r="N53" s="14" t="inlineStr">
        <is>
          <t>MSFT26Q4</t>
        </is>
      </c>
    </row>
    <row r="54">
      <c r="A54" s="14" t="inlineStr">
        <is>
          <t>PW-02</t>
        </is>
      </c>
      <c r="B54" s="14" t="inlineStr">
        <is>
          <t>电力</t>
        </is>
      </c>
      <c r="C54" s="14" t="inlineStr">
        <is>
          <t>微软 Fairwater（威斯康星）园区规划规模</t>
        </is>
      </c>
      <c r="D54" s="14" t="inlineStr">
        <is>
          <t>微软</t>
        </is>
      </c>
      <c r="E54" s="32" t="n">
        <v>2</v>
      </c>
      <c r="F54" s="14" t="inlineStr">
        <is>
          <t>GW</t>
        </is>
      </c>
      <c r="G54" s="14" t="inlineStr">
        <is>
          <t>规划</t>
        </is>
      </c>
      <c r="H54" s="14" t="inlineStr">
        <is>
          <t>公司指引</t>
        </is>
      </c>
      <c r="I54" s="14" t="inlineStr">
        <is>
          <t>CEO 称“单此一处将扩展到 2 GW”</t>
        </is>
      </c>
      <c r="J54" s="14" t="inlineStr">
        <is>
          <t>微软 FY26 Q1 业绩电话会</t>
        </is>
      </c>
      <c r="K54" s="14" t="inlineStr">
        <is>
          <t>2025-10-29</t>
        </is>
      </c>
      <c r="L54" s="14" t="inlineStr">
        <is>
          <t>https://www.microsoft.com/en-us/investor/events/fy-2026/earnings-fy-2026-q1｜CEO 发言</t>
        </is>
      </c>
      <c r="M54" s="14" t="inlineStr">
        <is>
          <t>2026-10-22</t>
        </is>
      </c>
      <c r="N54" s="14" t="inlineStr">
        <is>
          <t>MSFT26Q1</t>
        </is>
      </c>
    </row>
    <row r="55">
      <c r="A55" s="14" t="inlineStr">
        <is>
          <t>PW-03</t>
        </is>
      </c>
      <c r="B55" s="14" t="inlineStr">
        <is>
          <t>电力</t>
        </is>
      </c>
      <c r="C55" s="14" t="inlineStr">
        <is>
          <t>Meta Hyperion（路易斯安那）园区算力容量</t>
        </is>
      </c>
      <c r="D55" s="14" t="inlineStr">
        <is>
          <t>Meta</t>
        </is>
      </c>
      <c r="E55" s="32" t="n">
        <v>5</v>
      </c>
      <c r="F55" s="14" t="inlineStr">
        <is>
          <t>GW</t>
        </is>
      </c>
      <c r="G55" s="14" t="inlineStr">
        <is>
          <t>规划</t>
        </is>
      </c>
      <c r="H55" s="14" t="inlineStr">
        <is>
          <t>公司指引</t>
        </is>
      </c>
      <c r="I55" s="14" t="inlineStr">
        <is>
          <t>在路易斯安那投资 500 亿美元以上</t>
        </is>
      </c>
      <c r="J55" s="14" t="inlineStr">
        <is>
          <t>Meta 数据中心：Richland Parish（Hyperion）</t>
        </is>
      </c>
      <c r="K55" s="14" t="inlineStr">
        <is>
          <t>页面未标日期</t>
        </is>
      </c>
      <c r="L55" s="14" t="inlineStr">
        <is>
          <t>https://datacenters.atmeta.com/richland-parish-data-center/｜园区页面</t>
        </is>
      </c>
      <c r="M55" s="14" t="inlineStr">
        <is>
          <t>2026-10-22</t>
        </is>
      </c>
      <c r="N55" s="14" t="inlineStr">
        <is>
          <t>META_RP</t>
        </is>
      </c>
    </row>
    <row r="56">
      <c r="A56" s="14" t="inlineStr">
        <is>
          <t>PW-04</t>
        </is>
      </c>
      <c r="B56" s="14" t="inlineStr">
        <is>
          <t>电力</t>
        </is>
      </c>
      <c r="C56" s="14" t="inlineStr">
        <is>
          <t>为 Hyperion 获批新建的燃气联合循环机组</t>
        </is>
      </c>
      <c r="D56" s="14" t="inlineStr">
        <is>
          <t>Entergy → Meta</t>
        </is>
      </c>
      <c r="E56" s="32" t="n">
        <v>2262</v>
      </c>
      <c r="F56" s="14" t="inlineStr">
        <is>
          <t>MW</t>
        </is>
      </c>
      <c r="G56" s="14" t="inlineStr">
        <is>
          <t>2025-08-20 获批</t>
        </is>
      </c>
      <c r="H56" s="14" t="inlineStr">
        <is>
          <t>披露事实</t>
        </is>
      </c>
      <c r="I56" s="14" t="inlineStr">
        <is>
          <t>3 台机组（MW 数据据 Entergy 申请文件，经 POWER 报道）；2028–2029 年投运</t>
        </is>
      </c>
      <c r="J56" s="14" t="inlineStr">
        <is>
          <t>Entergy 新闻稿：路易斯安那监管委员会批准为 Meta 数据中心建设的基础设施</t>
        </is>
      </c>
      <c r="K56" s="14" t="inlineStr">
        <is>
          <t>2025-08-20</t>
        </is>
      </c>
      <c r="L56" s="14" t="inlineStr">
        <is>
          <t>https://www.entergy.com/news/entergy-louisiana-receives-lpsc-approval-for-major-infrastructure-investments-to-support-metas-data-center-and-improve-reliability｜新闻稿；MW 见 POWER 2024-11-19</t>
        </is>
      </c>
      <c r="M56" s="14" t="inlineStr">
        <is>
          <t>2026-10-22</t>
        </is>
      </c>
      <c r="N56" s="14" t="inlineStr">
        <is>
          <t>ENTG25</t>
        </is>
      </c>
    </row>
    <row r="57">
      <c r="A57" s="14" t="inlineStr">
        <is>
          <t>PW-05</t>
        </is>
      </c>
      <c r="B57" s="14" t="inlineStr">
        <is>
          <t>电力</t>
        </is>
      </c>
      <c r="C57" s="14" t="inlineStr">
        <is>
          <t>Hyperion 扩建拟新增燃气联合循环机组</t>
        </is>
      </c>
      <c r="D57" s="14" t="inlineStr">
        <is>
          <t>Entergy → Meta</t>
        </is>
      </c>
      <c r="E57" s="32" t="n">
        <v>5200</v>
      </c>
      <c r="F57" s="14" t="inlineStr">
        <is>
          <t>MW</t>
        </is>
      </c>
      <c r="G57" s="14" t="inlineStr">
        <is>
          <t>2026-03-27 申报</t>
        </is>
      </c>
      <c r="H57" s="14" t="inlineStr">
        <is>
          <t>公司指引</t>
        </is>
      </c>
      <c r="I57" s="14" t="inlineStr">
        <is>
          <t>7 台机组，原文“超过 5200 MW”，2030–2031 年；截至调研日未见监管批准</t>
        </is>
      </c>
      <c r="J57" s="14" t="inlineStr">
        <is>
          <t>Entergy 新闻稿：与 Meta 签署新协议（Evest 扩建）</t>
        </is>
      </c>
      <c r="K57" s="14" t="inlineStr">
        <is>
          <t>2026-03-27</t>
        </is>
      </c>
      <c r="L57" s="14" t="inlineStr">
        <is>
          <t>https://www.entergy.com/news/entergy-louisiana-announces-a-new-agreement-with-meta-that-will-deliver-an-additional-2b-in-customer-savings｜新闻稿</t>
        </is>
      </c>
      <c r="M57" s="14" t="inlineStr">
        <is>
          <t>2026-10-22</t>
        </is>
      </c>
      <c r="N57" s="14" t="inlineStr">
        <is>
          <t>ENTG26</t>
        </is>
      </c>
    </row>
    <row r="58">
      <c r="A58" s="14" t="inlineStr">
        <is>
          <t>PW-06</t>
        </is>
      </c>
      <c r="B58" s="14" t="inlineStr">
        <is>
          <t>电力</t>
        </is>
      </c>
      <c r="C58" s="14" t="inlineStr">
        <is>
          <t>甲骨文单季交付数据中心容量</t>
        </is>
      </c>
      <c r="D58" s="14" t="inlineStr">
        <is>
          <t>甲骨文</t>
        </is>
      </c>
      <c r="E58" s="32" t="n">
        <v>850</v>
      </c>
      <c r="F58" s="14" t="inlineStr">
        <is>
          <t>MW</t>
        </is>
      </c>
      <c r="G58" s="14" t="inlineStr">
        <is>
          <t>FY27 Q1</t>
        </is>
      </c>
      <c r="H58" s="14" t="inlineStr">
        <is>
          <t>披露事实</t>
        </is>
      </c>
      <c r="I58" s="14" t="inlineStr">
        <is>
          <t>约为上一季度的三倍</t>
        </is>
      </c>
      <c r="J58" s="14" t="inlineStr">
        <is>
          <t>甲骨文 FY27 一季度业绩（8-K 附件 99.1）</t>
        </is>
      </c>
      <c r="K58" s="14" t="inlineStr">
        <is>
          <t>2026-09-10</t>
        </is>
      </c>
      <c r="L58" s="14" t="inlineStr">
        <is>
          <t>https://www.sec.gov/Archives/edgar/data/0001341439/000119312526387905/orcl-ex99_1.htm｜新闻稿</t>
        </is>
      </c>
      <c r="M58" s="14" t="inlineStr">
        <is>
          <t>2026-10-22</t>
        </is>
      </c>
      <c r="N58" s="14" t="inlineStr">
        <is>
          <t>ORCL27Q1</t>
        </is>
      </c>
    </row>
    <row r="59">
      <c r="A59" s="14" t="inlineStr">
        <is>
          <t>PW-07</t>
        </is>
      </c>
      <c r="B59" s="14" t="inlineStr">
        <is>
          <t>电力</t>
        </is>
      </c>
      <c r="C59" s="14" t="inlineStr">
        <is>
          <t>OpenAI 与 NVIDIA 合作部署的系统规模</t>
        </is>
      </c>
      <c r="D59" s="14" t="inlineStr">
        <is>
          <t>OpenAI / NVIDIA</t>
        </is>
      </c>
      <c r="E59" s="32" t="n">
        <v>10</v>
      </c>
      <c r="F59" s="14" t="inlineStr">
        <is>
          <t>GW</t>
        </is>
      </c>
      <c r="G59" s="14" t="inlineStr">
        <is>
          <t>2026 下半年起</t>
        </is>
      </c>
      <c r="H59" s="14" t="inlineStr">
        <is>
          <t>公司指引</t>
        </is>
      </c>
      <c r="I59" s="14" t="inlineStr">
        <is>
          <t>原文“至少 10 GW”</t>
        </is>
      </c>
      <c r="J59" s="14" t="inlineStr">
        <is>
          <t>NVIDIA 新闻稿：OpenAI 与 NVIDIA 宣布部署 10 GW NVIDIA 系统</t>
        </is>
      </c>
      <c r="K59" s="14" t="inlineStr">
        <is>
          <t>2025-09-22</t>
        </is>
      </c>
      <c r="L59" s="14" t="inlineStr">
        <is>
          <t>https://nvidianews.nvidia.com/news/openai-and-nvidia-announce-strategic-partnership-to-deploy-10gw-of-nvidia-systems｜新闻稿</t>
        </is>
      </c>
      <c r="M59" s="14" t="inlineStr">
        <is>
          <t>2026-10-22</t>
        </is>
      </c>
      <c r="N59" s="14" t="inlineStr">
        <is>
          <t>NV_OAI</t>
        </is>
      </c>
    </row>
    <row r="60">
      <c r="A60" s="14" t="inlineStr">
        <is>
          <t>PW-08</t>
        </is>
      </c>
      <c r="B60" s="14" t="inlineStr">
        <is>
          <t>电力</t>
        </is>
      </c>
      <c r="C60" s="14" t="inlineStr">
        <is>
          <t>星际之门（Stargate）规划容量</t>
        </is>
      </c>
      <c r="D60" s="14" t="inlineStr">
        <is>
          <t>OpenAI / 甲骨文 / 软银</t>
        </is>
      </c>
      <c r="E60" s="32" t="n">
        <v>7</v>
      </c>
      <c r="F60" s="14" t="inlineStr">
        <is>
          <t>GW</t>
        </is>
      </c>
      <c r="G60" s="14" t="inlineStr">
        <is>
          <t>2025-09</t>
        </is>
      </c>
      <c r="H60" s="14" t="inlineStr">
        <is>
          <t>公司指引</t>
        </is>
      </c>
      <c r="I60" s="14" t="inlineStr">
        <is>
          <t>原文“近 7 GW、未来三年投资超 4000 亿美元”（二手）</t>
        </is>
      </c>
      <c r="J60" s="14" t="inlineStr">
        <is>
          <t>维基百科：Stargate LLC（引用 OpenAI 2025-09-23 公告）</t>
        </is>
      </c>
      <c r="K60" s="14" t="inlineStr">
        <is>
          <t>2025-09-23（被引公告）</t>
        </is>
      </c>
      <c r="L60" s="14" t="inlineStr">
        <is>
          <t>https://en.wikipedia.org/wiki/Stargate_LLC｜词条引用 OpenAI 公告</t>
        </is>
      </c>
      <c r="M60" s="14" t="inlineStr">
        <is>
          <t>2026-10-22</t>
        </is>
      </c>
      <c r="N60" s="14" t="inlineStr">
        <is>
          <t>WIKI_SG</t>
        </is>
      </c>
    </row>
    <row r="61">
      <c r="A61" s="14" t="inlineStr">
        <is>
          <t>PW-09</t>
        </is>
      </c>
      <c r="B61" s="14" t="inlineStr">
        <is>
          <t>电力</t>
        </is>
      </c>
      <c r="C61" s="14" t="inlineStr">
        <is>
          <t>Google 累计签约清洁能源</t>
        </is>
      </c>
      <c r="D61" s="14" t="inlineStr">
        <is>
          <t>Google</t>
        </is>
      </c>
      <c r="E61" s="32" t="n">
        <v>35</v>
      </c>
      <c r="F61" s="14" t="inlineStr">
        <is>
          <t>GW</t>
        </is>
      </c>
      <c r="G61" s="14" t="inlineStr">
        <is>
          <t>截至 2025 年</t>
        </is>
      </c>
      <c r="H61" s="14" t="inlineStr">
        <is>
          <t>披露事实</t>
        </is>
      </c>
      <c r="I61" s="14" t="inlineStr">
        <is>
          <t>原文“近 35 GW”，2025 年单年超过 12 GW</t>
        </is>
      </c>
      <c r="J61" s="14" t="inlineStr">
        <is>
          <t>Google 可持续发展：运营（清洁能源合同）</t>
        </is>
      </c>
      <c r="K61" s="14" t="inlineStr">
        <is>
          <t>页面未标日期</t>
        </is>
      </c>
      <c r="L61" s="14" t="inlineStr">
        <is>
          <t>https://sustainability.google/operations/｜页面正文</t>
        </is>
      </c>
      <c r="M61" s="14" t="inlineStr">
        <is>
          <t>2026-10-22</t>
        </is>
      </c>
      <c r="N61" s="14" t="inlineStr">
        <is>
          <t>GOOG_OPS</t>
        </is>
      </c>
    </row>
    <row r="62">
      <c r="A62" s="14" t="inlineStr">
        <is>
          <t>PW-10</t>
        </is>
      </c>
      <c r="B62" s="14" t="inlineStr">
        <is>
          <t>电力</t>
        </is>
      </c>
      <c r="C62" s="14" t="inlineStr">
        <is>
          <t>亚马逊无碳能源项目容量</t>
        </is>
      </c>
      <c r="D62" s="14" t="inlineStr">
        <is>
          <t>亚马逊</t>
        </is>
      </c>
      <c r="E62" s="32" t="n">
        <v>40</v>
      </c>
      <c r="F62" s="14" t="inlineStr">
        <is>
          <t>GW</t>
        </is>
      </c>
      <c r="G62" s="14" t="inlineStr">
        <is>
          <t>截至 2026 年</t>
        </is>
      </c>
      <c r="H62" s="14" t="inlineStr">
        <is>
          <t>披露事实</t>
        </is>
      </c>
      <c r="I62" s="14" t="inlineStr">
        <is>
          <t>原文“40+ GW、700+ 个项目”</t>
        </is>
      </c>
      <c r="J62" s="14" t="inlineStr">
        <is>
          <t>亚马逊可持续发展：无碳能源</t>
        </is>
      </c>
      <c r="K62" s="14" t="inlineStr">
        <is>
          <t>页面未标日期</t>
        </is>
      </c>
      <c r="L62" s="14" t="inlineStr">
        <is>
          <t>https://sustainability.aboutamazon.com/climate-solutions/carbon-free-energy｜页面正文</t>
        </is>
      </c>
      <c r="M62" s="14" t="inlineStr">
        <is>
          <t>2026-10-22</t>
        </is>
      </c>
      <c r="N62" s="14" t="inlineStr">
        <is>
          <t>AMZN_CFE</t>
        </is>
      </c>
    </row>
    <row r="63">
      <c r="A63" s="14" t="inlineStr">
        <is>
          <t>PW-11</t>
        </is>
      </c>
      <c r="B63" s="14" t="inlineStr">
        <is>
          <t>电力</t>
        </is>
      </c>
      <c r="C63" s="14" t="inlineStr">
        <is>
          <t>Meta 支持的清洁能源项目容量</t>
        </is>
      </c>
      <c r="D63" s="14" t="inlineStr">
        <is>
          <t>Meta</t>
        </is>
      </c>
      <c r="E63" s="32" t="n">
        <v>30</v>
      </c>
      <c r="F63" s="14" t="inlineStr">
        <is>
          <t>GW</t>
        </is>
      </c>
      <c r="G63" s="14" t="inlineStr">
        <is>
          <t>截至 2026 年</t>
        </is>
      </c>
      <c r="H63" s="14" t="inlineStr">
        <is>
          <t>披露事实</t>
        </is>
      </c>
      <c r="I63" s="14" t="inlineStr">
        <is>
          <t>原文“超过 30 GW，近 12 GW 已发电”</t>
        </is>
      </c>
      <c r="J63" s="14" t="inlineStr">
        <is>
          <t>Meta 数据中心：能源</t>
        </is>
      </c>
      <c r="K63" s="14" t="inlineStr">
        <is>
          <t>页面未标日期</t>
        </is>
      </c>
      <c r="L63" s="14" t="inlineStr">
        <is>
          <t>https://datacenters.atmeta.com/energy/｜页面正文</t>
        </is>
      </c>
      <c r="M63" s="14" t="inlineStr">
        <is>
          <t>2026-10-22</t>
        </is>
      </c>
      <c r="N63" s="14" t="inlineStr">
        <is>
          <t>META_EN</t>
        </is>
      </c>
    </row>
    <row r="64">
      <c r="A64" s="14" t="inlineStr">
        <is>
          <t>PW-12</t>
        </is>
      </c>
      <c r="B64" s="14" t="inlineStr">
        <is>
          <t>电力</t>
        </is>
      </c>
      <c r="C64" s="14" t="inlineStr">
        <is>
          <t>Google 数据中心用电量</t>
        </is>
      </c>
      <c r="D64" s="14" t="inlineStr">
        <is>
          <t>Google</t>
        </is>
      </c>
      <c r="E64" s="35" t="n">
        <v>30.8</v>
      </c>
      <c r="F64" s="14" t="inlineStr">
        <is>
          <t>TWh</t>
        </is>
      </c>
      <c r="G64" s="14" t="inlineStr">
        <is>
          <t>2024</t>
        </is>
      </c>
      <c r="H64" s="14" t="inlineStr">
        <is>
          <t>披露事实</t>
        </is>
      </c>
      <c r="I64" s="14" t="inlineStr">
        <is>
          <t>占 Google 总用电 95.8%；2025 年再增 37%（经维基百科转引，二手）</t>
        </is>
      </c>
      <c r="J64" s="14" t="inlineStr">
        <is>
          <t>维基百科：Google data centers（引用 Google 2025、2026 环境报告）</t>
        </is>
      </c>
      <c r="K64" s="14" t="inlineStr">
        <is>
          <t>2026（页面修订）</t>
        </is>
      </c>
      <c r="L64" s="14" t="inlineStr">
        <is>
          <t>https://en.wikipedia.org/wiki/Google_data_centers｜词条引用 Google 环境报告</t>
        </is>
      </c>
      <c r="M64" s="14" t="inlineStr">
        <is>
          <t>2026-10-22</t>
        </is>
      </c>
      <c r="N64" s="14" t="inlineStr">
        <is>
          <t>WIKI_GDC</t>
        </is>
      </c>
    </row>
    <row r="65">
      <c r="A65" s="14" t="inlineStr">
        <is>
          <t>PW-13</t>
        </is>
      </c>
      <c r="B65" s="14" t="inlineStr">
        <is>
          <t>成本</t>
        </is>
      </c>
      <c r="C65" s="14" t="inlineStr">
        <is>
          <t>每 GW IT 功率的 AI 数据中心总成本</t>
        </is>
      </c>
      <c r="D65" s="14" t="inlineStr">
        <is>
          <t>Epoch AI</t>
        </is>
      </c>
      <c r="E65" s="32" t="n">
        <v>38</v>
      </c>
      <c r="F65" s="14" t="inlineStr">
        <is>
          <t>十亿美元/GW</t>
        </is>
      </c>
      <c r="G65" s="14" t="inlineStr">
        <is>
          <t>2026</t>
        </is>
      </c>
      <c r="H65" s="14" t="inlineStr">
        <is>
          <t>第三方估计</t>
        </is>
      </c>
      <c r="I65" s="14" t="inlineStr">
        <is>
          <t>其中算力设备约 260 亿、建设约 120 亿；按设施总功率约 300 亿/GW</t>
        </is>
      </c>
      <c r="J65" s="14" t="inlineStr">
        <is>
          <t>Epoch AI：前沿数据中心数据库与成本方法</t>
        </is>
      </c>
      <c r="K65" s="14" t="inlineStr">
        <is>
          <t>2026-10-20（数据库更新）</t>
        </is>
      </c>
      <c r="L65" s="14" t="inlineStr">
        <is>
          <t>https://epoch.ai/data/data-centers｜成本方法说明</t>
        </is>
      </c>
      <c r="M65" s="14" t="inlineStr">
        <is>
          <t>2026-10-22</t>
        </is>
      </c>
      <c r="N65" s="14" t="inlineStr">
        <is>
          <t>EPOCH</t>
        </is>
      </c>
    </row>
    <row r="66">
      <c r="A66" s="14" t="inlineStr">
        <is>
          <t>PW-14</t>
        </is>
      </c>
      <c r="B66" s="14" t="inlineStr">
        <is>
          <t>成本</t>
        </is>
      </c>
      <c r="C66" s="14" t="inlineStr">
        <is>
          <t>星际之门隐含每 GW 投资</t>
        </is>
      </c>
      <c r="D66" s="14" t="inlineStr">
        <is>
          <t>OpenAI 等</t>
        </is>
      </c>
      <c r="E66" s="36">
        <f>$E$67/$E$60</f>
        <v>57.1428571428571</v>
      </c>
      <c r="F66" s="14" t="inlineStr">
        <is>
          <t>十亿美元/GW</t>
        </is>
      </c>
      <c r="G66" s="14" t="inlineStr">
        <is>
          <t>2025-09</t>
        </is>
      </c>
      <c r="H66" s="14" t="inlineStr">
        <is>
          <t>本表计算</t>
        </is>
      </c>
      <c r="I66" s="14" t="inlineStr">
        <is>
          <t>4000 亿美元 ÷ 约 7 GW（二手公告数字）</t>
        </is>
      </c>
      <c r="J66" s="14" t="inlineStr">
        <is>
          <t>本表计算（公式见单元格）</t>
        </is>
      </c>
      <c r="K66" s="14" t="inlineStr">
        <is>
          <t>2026-10-22</t>
        </is>
      </c>
      <c r="L66" s="14" t="inlineStr"/>
      <c r="M66" s="14" t="inlineStr">
        <is>
          <t>—</t>
        </is>
      </c>
      <c r="N66" s="14" t="inlineStr">
        <is>
          <t>CALC</t>
        </is>
      </c>
    </row>
    <row r="67">
      <c r="A67" s="14" t="inlineStr">
        <is>
          <t>PW-16</t>
        </is>
      </c>
      <c r="B67" s="14" t="inlineStr">
        <is>
          <t>成本</t>
        </is>
      </c>
      <c r="C67" s="14" t="inlineStr">
        <is>
          <t>星际之门三年规划投资</t>
        </is>
      </c>
      <c r="D67" s="14" t="inlineStr">
        <is>
          <t>OpenAI / 甲骨文 / 软银</t>
        </is>
      </c>
      <c r="E67" s="32" t="n">
        <v>400</v>
      </c>
      <c r="F67" s="14" t="inlineStr">
        <is>
          <t>十亿美元</t>
        </is>
      </c>
      <c r="G67" s="14" t="inlineStr">
        <is>
          <t>2025-09</t>
        </is>
      </c>
      <c r="H67" s="14" t="inlineStr">
        <is>
          <t>公司指引</t>
        </is>
      </c>
      <c r="I67" s="14" t="inlineStr">
        <is>
          <t>原文“未来三年投资超过 4000 亿美元”（二手）</t>
        </is>
      </c>
      <c r="J67" s="14" t="inlineStr">
        <is>
          <t>维基百科：Stargate LLC（引用 OpenAI 2025-09-23 公告）</t>
        </is>
      </c>
      <c r="K67" s="14" t="inlineStr">
        <is>
          <t>2025-09-23（被引公告）</t>
        </is>
      </c>
      <c r="L67" s="14" t="inlineStr">
        <is>
          <t>https://en.wikipedia.org/wiki/Stargate_LLC｜词条引用 OpenAI 公告</t>
        </is>
      </c>
      <c r="M67" s="14" t="inlineStr">
        <is>
          <t>2026-10-22</t>
        </is>
      </c>
      <c r="N67" s="14" t="inlineStr">
        <is>
          <t>WIKI_SG</t>
        </is>
      </c>
    </row>
    <row r="68">
      <c r="A68" s="14" t="inlineStr">
        <is>
          <t>PW-15</t>
        </is>
      </c>
      <c r="B68" s="14" t="inlineStr">
        <is>
          <t>电力</t>
        </is>
      </c>
      <c r="C68" s="14" t="inlineStr">
        <is>
          <t>规划中的数据中心自建电源（表后）</t>
        </is>
      </c>
      <c r="D68" s="14" t="inlineStr">
        <is>
          <t>美国</t>
        </is>
      </c>
      <c r="E68" s="32" t="n">
        <v>90</v>
      </c>
      <c r="F68" s="14" t="inlineStr">
        <is>
          <t>GW</t>
        </is>
      </c>
      <c r="G68" s="14" t="inlineStr">
        <is>
          <t>截至 2026-05</t>
        </is>
      </c>
      <c r="H68" s="14" t="inlineStr">
        <is>
          <t>第三方估计</t>
        </is>
      </c>
      <c r="I68" s="14" t="inlineStr">
        <is>
          <t>59 个项目，多为燃气；仅约 2 GW（2.2%）已运行</t>
        </is>
      </c>
      <c r="J68" s="14" t="inlineStr">
        <is>
          <t>Cleanview：绕开电网——数据中心开发商自建电厂报告</t>
        </is>
      </c>
      <c r="K68" s="14" t="inlineStr">
        <is>
          <t>2026 年中（数据截至 2026-05）</t>
        </is>
      </c>
      <c r="L68" s="14" t="inlineStr">
        <is>
          <t>https://cleanview.co/reports/behind-the-meter-data-centers｜报告正文</t>
        </is>
      </c>
      <c r="M68" s="14" t="inlineStr">
        <is>
          <t>2026-10-22</t>
        </is>
      </c>
      <c r="N68" s="14" t="inlineStr">
        <is>
          <t>CLEANVIEW</t>
        </is>
      </c>
    </row>
  </sheetData>
  <autoFilter ref="A4:N68"/>
  <mergeCells count="1">
    <mergeCell ref="A2:N2"/>
  </mergeCells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N4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  <col width="18" customWidth="1" min="4" max="4"/>
    <col width="13" customWidth="1" min="5" max="5"/>
    <col width="12" customWidth="1" min="6" max="6"/>
    <col width="14" customWidth="1" min="7" max="7"/>
    <col width="11" customWidth="1" min="8" max="8"/>
    <col width="44" customWidth="1" min="9" max="9"/>
    <col width="44" customWidth="1" min="10" max="10"/>
    <col width="16" customWidth="1" min="11" max="11"/>
    <col width="52" customWidth="1" min="12" max="12"/>
    <col width="12" customWidth="1" min="13" max="13"/>
    <col width="10" customWidth="1" min="14" max="14"/>
  </cols>
  <sheetData>
    <row r="1">
      <c r="A1" s="8" t="inlineStr">
        <is>
          <t>D4 Meta 2026 年三季报（10-Q）关键数据——原始材料，财务数字以此为准</t>
        </is>
      </c>
    </row>
    <row r="2" ht="30" customHeight="1">
      <c r="A2" s="9" t="inlineStr">
        <is>
          <t>蓝底=输入（披露数据）；橙底=输入（假设）；绿底=公式（本表计算）。“出处定位”给出原始材料的文件与章节，或网页链接；“访问日期”为网页查阅日期。</t>
        </is>
      </c>
    </row>
    <row r="4" ht="30" customHeight="1">
      <c r="A4" s="10" t="inlineStr">
        <is>
          <t>编号</t>
        </is>
      </c>
      <c r="B4" s="10" t="inlineStr">
        <is>
          <t>类别</t>
        </is>
      </c>
      <c r="C4" s="10" t="inlineStr">
        <is>
          <t>指标</t>
        </is>
      </c>
      <c r="D4" s="10" t="inlineStr">
        <is>
          <t>主体/地区</t>
        </is>
      </c>
      <c r="E4" s="10" t="inlineStr">
        <is>
          <t>数值</t>
        </is>
      </c>
      <c r="F4" s="10" t="inlineStr">
        <is>
          <t>单位</t>
        </is>
      </c>
      <c r="G4" s="10" t="inlineStr">
        <is>
          <t>期间</t>
        </is>
      </c>
      <c r="H4" s="10" t="inlineStr">
        <is>
          <t>性质</t>
        </is>
      </c>
      <c r="I4" s="10" t="inlineStr">
        <is>
          <t>口径说明</t>
        </is>
      </c>
      <c r="J4" s="10" t="inlineStr">
        <is>
          <t>来源名称</t>
        </is>
      </c>
      <c r="K4" s="10" t="inlineStr">
        <is>
          <t>发布日期</t>
        </is>
      </c>
      <c r="L4" s="10" t="inlineStr">
        <is>
          <t>出处定位（文件章节/表名或网页链接）</t>
        </is>
      </c>
      <c r="M4" s="10" t="inlineStr">
        <is>
          <t>访问日期</t>
        </is>
      </c>
      <c r="N4" s="10" t="inlineStr">
        <is>
          <t>来源编号</t>
        </is>
      </c>
    </row>
    <row r="5">
      <c r="A5" s="14" t="inlineStr">
        <is>
          <t>META-01</t>
        </is>
      </c>
      <c r="B5" s="14" t="inlineStr">
        <is>
          <t>资本开支</t>
        </is>
      </c>
      <c r="C5" s="14" t="inlineStr">
        <is>
          <t>资本开支（含融资租赁本金支付）</t>
        </is>
      </c>
      <c r="D5" s="14" t="inlineStr">
        <is>
          <t>Meta</t>
        </is>
      </c>
      <c r="E5" s="35" t="n">
        <v>34.91</v>
      </c>
      <c r="F5" s="14" t="inlineStr">
        <is>
          <t>十亿美元</t>
        </is>
      </c>
      <c r="G5" s="14" t="inlineStr">
        <is>
          <t>2026Q3</t>
        </is>
      </c>
      <c r="H5" s="14" t="inlineStr">
        <is>
          <t>披露事实</t>
        </is>
      </c>
      <c r="I5" s="14" t="inlineStr">
        <is>
          <t>购置物业与设备 + 融资租赁本金支付</t>
        </is>
      </c>
      <c r="J5" s="14" t="inlineStr">
        <is>
          <t>Meta Platforms, Inc. 10-Q 季报（截至 2026-09-30 的季度）</t>
        </is>
      </c>
      <c r="K5" s="14" t="inlineStr">
        <is>
          <t>2026-10-21（签署日）</t>
        </is>
      </c>
      <c r="L5" s="14" t="inlineStr">
        <is>
          <t>材料/Meta_2026Q3季报__meta-20260930.htm｜第 2 项 MD&amp;A“第三季度业绩概览”</t>
        </is>
      </c>
      <c r="M5" s="14" t="inlineStr">
        <is>
          <t>原始材料</t>
        </is>
      </c>
      <c r="N5" s="14" t="inlineStr">
        <is>
          <t>M1</t>
        </is>
      </c>
    </row>
    <row r="6">
      <c r="A6" s="14" t="inlineStr">
        <is>
          <t>META-02</t>
        </is>
      </c>
      <c r="B6" s="14" t="inlineStr">
        <is>
          <t>资本开支</t>
        </is>
      </c>
      <c r="C6" s="14" t="inlineStr">
        <is>
          <t>资本开支（含融资租赁本金支付）</t>
        </is>
      </c>
      <c r="D6" s="14" t="inlineStr">
        <is>
          <t>Meta</t>
        </is>
      </c>
      <c r="E6" s="35" t="n">
        <v>85.81999999999999</v>
      </c>
      <c r="F6" s="14" t="inlineStr">
        <is>
          <t>十亿美元</t>
        </is>
      </c>
      <c r="G6" s="14" t="inlineStr">
        <is>
          <t>2026 年前三季度</t>
        </is>
      </c>
      <c r="H6" s="14" t="inlineStr">
        <is>
          <t>披露事实</t>
        </is>
      </c>
      <c r="I6" s="14" t="inlineStr">
        <is>
          <t>同上</t>
        </is>
      </c>
      <c r="J6" s="14" t="inlineStr">
        <is>
          <t>Meta Platforms, Inc. 10-Q 季报（截至 2026-09-30 的季度）</t>
        </is>
      </c>
      <c r="K6" s="14" t="inlineStr">
        <is>
          <t>2026-10-21（签署日）</t>
        </is>
      </c>
      <c r="L6" s="14" t="inlineStr">
        <is>
          <t>材料/Meta_2026Q3季报__meta-20260930.htm｜MD&amp;A“流动性与资本资源”</t>
        </is>
      </c>
      <c r="M6" s="14" t="inlineStr">
        <is>
          <t>原始材料</t>
        </is>
      </c>
      <c r="N6" s="14" t="inlineStr">
        <is>
          <t>M1</t>
        </is>
      </c>
    </row>
    <row r="7">
      <c r="A7" s="14" t="inlineStr">
        <is>
          <t>META-03</t>
        </is>
      </c>
      <c r="B7" s="14" t="inlineStr">
        <is>
          <t>资本开支</t>
        </is>
      </c>
      <c r="C7" s="14" t="inlineStr">
        <is>
          <t>购置物业与设备</t>
        </is>
      </c>
      <c r="D7" s="14" t="inlineStr">
        <is>
          <t>Meta</t>
        </is>
      </c>
      <c r="E7" s="35" t="n">
        <v>83.05500000000001</v>
      </c>
      <c r="F7" s="14" t="inlineStr">
        <is>
          <t>十亿美元</t>
        </is>
      </c>
      <c r="G7" s="14" t="inlineStr">
        <is>
          <t>2026 年前三季度</t>
        </is>
      </c>
      <c r="H7" s="14" t="inlineStr">
        <is>
          <t>披露事实</t>
        </is>
      </c>
      <c r="I7" s="14" t="inlineStr">
        <is>
          <t>现金流量表</t>
        </is>
      </c>
      <c r="J7" s="14" t="inlineStr">
        <is>
          <t>Meta Platforms, Inc. 10-Q 季报（截至 2026-09-30 的季度）</t>
        </is>
      </c>
      <c r="K7" s="14" t="inlineStr">
        <is>
          <t>2026-10-21（签署日）</t>
        </is>
      </c>
      <c r="L7" s="14" t="inlineStr">
        <is>
          <t>材料/Meta_2026Q3季报__meta-20260930.htm｜简明合并现金流量表</t>
        </is>
      </c>
      <c r="M7" s="14" t="inlineStr">
        <is>
          <t>原始材料</t>
        </is>
      </c>
      <c r="N7" s="14" t="inlineStr">
        <is>
          <t>M1</t>
        </is>
      </c>
    </row>
    <row r="8">
      <c r="A8" s="14" t="inlineStr">
        <is>
          <t>META-04</t>
        </is>
      </c>
      <c r="B8" s="14" t="inlineStr">
        <is>
          <t>资本开支</t>
        </is>
      </c>
      <c r="C8" s="14" t="inlineStr">
        <is>
          <t>融资租赁本金支付</t>
        </is>
      </c>
      <c r="D8" s="14" t="inlineStr">
        <is>
          <t>Meta</t>
        </is>
      </c>
      <c r="E8" s="34" t="n">
        <v>2.769</v>
      </c>
      <c r="F8" s="14" t="inlineStr">
        <is>
          <t>十亿美元</t>
        </is>
      </c>
      <c r="G8" s="14" t="inlineStr">
        <is>
          <t>2026 年前三季度</t>
        </is>
      </c>
      <c r="H8" s="14" t="inlineStr">
        <is>
          <t>披露事实</t>
        </is>
      </c>
      <c r="I8" s="14" t="inlineStr">
        <is>
          <t>现金流量表</t>
        </is>
      </c>
      <c r="J8" s="14" t="inlineStr">
        <is>
          <t>Meta Platforms, Inc. 10-Q 季报（截至 2026-09-30 的季度）</t>
        </is>
      </c>
      <c r="K8" s="14" t="inlineStr">
        <is>
          <t>2026-10-21（签署日）</t>
        </is>
      </c>
      <c r="L8" s="14" t="inlineStr">
        <is>
          <t>材料/Meta_2026Q3季报__meta-20260930.htm｜简明合并现金流量表</t>
        </is>
      </c>
      <c r="M8" s="14" t="inlineStr">
        <is>
          <t>原始材料</t>
        </is>
      </c>
      <c r="N8" s="14" t="inlineStr">
        <is>
          <t>M1</t>
        </is>
      </c>
    </row>
    <row r="9">
      <c r="A9" s="14" t="inlineStr">
        <is>
          <t>META-05</t>
        </is>
      </c>
      <c r="B9" s="14" t="inlineStr">
        <is>
          <t>资本开支</t>
        </is>
      </c>
      <c r="C9" s="14" t="inlineStr">
        <is>
          <t>购置物业与设备</t>
        </is>
      </c>
      <c r="D9" s="14" t="inlineStr">
        <is>
          <t>Meta</t>
        </is>
      </c>
      <c r="E9" s="35" t="n">
        <v>48.308</v>
      </c>
      <c r="F9" s="14" t="inlineStr">
        <is>
          <t>十亿美元</t>
        </is>
      </c>
      <c r="G9" s="14" t="inlineStr">
        <is>
          <t>2025 年前三季度</t>
        </is>
      </c>
      <c r="H9" s="14" t="inlineStr">
        <is>
          <t>披露事实</t>
        </is>
      </c>
      <c r="I9" s="14" t="inlineStr">
        <is>
          <t>现金流量表（上年同期）</t>
        </is>
      </c>
      <c r="J9" s="14" t="inlineStr">
        <is>
          <t>Meta Platforms, Inc. 10-Q 季报（截至 2026-09-30 的季度）</t>
        </is>
      </c>
      <c r="K9" s="14" t="inlineStr">
        <is>
          <t>2026-10-21（签署日）</t>
        </is>
      </c>
      <c r="L9" s="14" t="inlineStr">
        <is>
          <t>材料/Meta_2026Q3季报__meta-20260930.htm｜简明合并现金流量表</t>
        </is>
      </c>
      <c r="M9" s="14" t="inlineStr">
        <is>
          <t>原始材料</t>
        </is>
      </c>
      <c r="N9" s="14" t="inlineStr">
        <is>
          <t>M1</t>
        </is>
      </c>
    </row>
    <row r="10">
      <c r="A10" s="14" t="inlineStr">
        <is>
          <t>META-06</t>
        </is>
      </c>
      <c r="B10" s="14" t="inlineStr">
        <is>
          <t>资本开支</t>
        </is>
      </c>
      <c r="C10" s="14" t="inlineStr">
        <is>
          <t>融资租赁本金支付</t>
        </is>
      </c>
      <c r="D10" s="14" t="inlineStr">
        <is>
          <t>Meta</t>
        </is>
      </c>
      <c r="E10" s="34" t="n">
        <v>1.77</v>
      </c>
      <c r="F10" s="14" t="inlineStr">
        <is>
          <t>十亿美元</t>
        </is>
      </c>
      <c r="G10" s="14" t="inlineStr">
        <is>
          <t>2025 年前三季度</t>
        </is>
      </c>
      <c r="H10" s="14" t="inlineStr">
        <is>
          <t>披露事实</t>
        </is>
      </c>
      <c r="I10" s="14" t="inlineStr">
        <is>
          <t>现金流量表（上年同期）</t>
        </is>
      </c>
      <c r="J10" s="14" t="inlineStr">
        <is>
          <t>Meta Platforms, Inc. 10-Q 季报（截至 2026-09-30 的季度）</t>
        </is>
      </c>
      <c r="K10" s="14" t="inlineStr">
        <is>
          <t>2026-10-21（签署日）</t>
        </is>
      </c>
      <c r="L10" s="14" t="inlineStr">
        <is>
          <t>材料/Meta_2026Q3季报__meta-20260930.htm｜简明合并现金流量表</t>
        </is>
      </c>
      <c r="M10" s="14" t="inlineStr">
        <is>
          <t>原始材料</t>
        </is>
      </c>
      <c r="N10" s="14" t="inlineStr">
        <is>
          <t>M1</t>
        </is>
      </c>
    </row>
    <row r="11">
      <c r="A11" s="14" t="inlineStr">
        <is>
          <t>META-07</t>
        </is>
      </c>
      <c r="B11" s="14" t="inlineStr">
        <is>
          <t>资本开支</t>
        </is>
      </c>
      <c r="C11" s="14" t="inlineStr">
        <is>
          <t>2025 年前三季度资本开支（含融资租赁本金）</t>
        </is>
      </c>
      <c r="D11" s="14" t="inlineStr">
        <is>
          <t>Meta</t>
        </is>
      </c>
      <c r="E11" s="36">
        <f>$E$9+$E$10</f>
        <v>50.078</v>
      </c>
      <c r="F11" s="14" t="inlineStr">
        <is>
          <t>十亿美元</t>
        </is>
      </c>
      <c r="G11" s="14" t="inlineStr">
        <is>
          <t>2025 年前三季度</t>
        </is>
      </c>
      <c r="H11" s="14" t="inlineStr">
        <is>
          <t>本表计算</t>
        </is>
      </c>
      <c r="I11" s="14" t="inlineStr">
        <is>
          <t>与 2026 年同口径</t>
        </is>
      </c>
      <c r="J11" s="14" t="inlineStr">
        <is>
          <t>本表计算（公式见单元格）</t>
        </is>
      </c>
      <c r="K11" s="14" t="inlineStr">
        <is>
          <t>2026-10-22</t>
        </is>
      </c>
      <c r="L11" s="14" t="inlineStr"/>
      <c r="M11" s="14" t="inlineStr">
        <is>
          <t>—</t>
        </is>
      </c>
      <c r="N11" s="14" t="inlineStr">
        <is>
          <t>CALC</t>
        </is>
      </c>
    </row>
    <row r="12">
      <c r="A12" s="14" t="inlineStr">
        <is>
          <t>META-08</t>
        </is>
      </c>
      <c r="B12" s="14" t="inlineStr">
        <is>
          <t>资本开支</t>
        </is>
      </c>
      <c r="C12" s="14" t="inlineStr">
        <is>
          <t>2026 年前三季度资本开支同比增速</t>
        </is>
      </c>
      <c r="D12" s="14" t="inlineStr">
        <is>
          <t>Meta</t>
        </is>
      </c>
      <c r="E12" s="18">
        <f>$E$6/$E$11-1</f>
        <v>0.713726586525021</v>
      </c>
      <c r="F12" s="14" t="inlineStr">
        <is>
          <t>%</t>
        </is>
      </c>
      <c r="G12" s="14" t="inlineStr">
        <is>
          <t>2026 年前三季度</t>
        </is>
      </c>
      <c r="H12" s="14" t="inlineStr">
        <is>
          <t>本表计算</t>
        </is>
      </c>
      <c r="I12" s="14" t="inlineStr"/>
      <c r="J12" s="14" t="inlineStr">
        <is>
          <t>本表计算（公式见单元格）</t>
        </is>
      </c>
      <c r="K12" s="14" t="inlineStr">
        <is>
          <t>2026-10-22</t>
        </is>
      </c>
      <c r="L12" s="14" t="inlineStr"/>
      <c r="M12" s="14" t="inlineStr">
        <is>
          <t>—</t>
        </is>
      </c>
      <c r="N12" s="14" t="inlineStr">
        <is>
          <t>CALC</t>
        </is>
      </c>
    </row>
    <row r="13">
      <c r="A13" s="14" t="inlineStr">
        <is>
          <t>META-09</t>
        </is>
      </c>
      <c r="B13" s="14" t="inlineStr">
        <is>
          <t>资本开支</t>
        </is>
      </c>
      <c r="C13" s="14" t="inlineStr">
        <is>
          <t>2026 年资本开支指引下限</t>
        </is>
      </c>
      <c r="D13" s="14" t="inlineStr">
        <is>
          <t>Meta</t>
        </is>
      </c>
      <c r="E13" s="32" t="n">
        <v>135</v>
      </c>
      <c r="F13" s="14" t="inlineStr">
        <is>
          <t>十亿美元</t>
        </is>
      </c>
      <c r="G13" s="14" t="inlineStr">
        <is>
          <t>2026</t>
        </is>
      </c>
      <c r="H13" s="14" t="inlineStr">
        <is>
          <t>公司指引</t>
        </is>
      </c>
      <c r="I13" s="14" t="inlineStr">
        <is>
          <t>“约 1350 亿至 1450 亿美元”，用于 AI 与核心业务</t>
        </is>
      </c>
      <c r="J13" s="14" t="inlineStr">
        <is>
          <t>Meta Platforms, Inc. 10-Q 季报（截至 2026-09-30 的季度）</t>
        </is>
      </c>
      <c r="K13" s="14" t="inlineStr">
        <is>
          <t>2026-10-21（签署日）</t>
        </is>
      </c>
      <c r="L13" s="14" t="inlineStr">
        <is>
          <t>材料/Meta_2026Q3季报__meta-20260930.htm｜MD&amp;A“投资活动现金流”</t>
        </is>
      </c>
      <c r="M13" s="14" t="inlineStr">
        <is>
          <t>原始材料</t>
        </is>
      </c>
      <c r="N13" s="14" t="inlineStr">
        <is>
          <t>M1</t>
        </is>
      </c>
    </row>
    <row r="14">
      <c r="A14" s="14" t="inlineStr">
        <is>
          <t>META-10</t>
        </is>
      </c>
      <c r="B14" s="14" t="inlineStr">
        <is>
          <t>资本开支</t>
        </is>
      </c>
      <c r="C14" s="14" t="inlineStr">
        <is>
          <t>2026 年资本开支指引上限</t>
        </is>
      </c>
      <c r="D14" s="14" t="inlineStr">
        <is>
          <t>Meta</t>
        </is>
      </c>
      <c r="E14" s="32" t="n">
        <v>145</v>
      </c>
      <c r="F14" s="14" t="inlineStr">
        <is>
          <t>十亿美元</t>
        </is>
      </c>
      <c r="G14" s="14" t="inlineStr">
        <is>
          <t>2026</t>
        </is>
      </c>
      <c r="H14" s="14" t="inlineStr">
        <is>
          <t>公司指引</t>
        </is>
      </c>
      <c r="I14" s="14" t="inlineStr">
        <is>
          <t>同上</t>
        </is>
      </c>
      <c r="J14" s="14" t="inlineStr">
        <is>
          <t>Meta Platforms, Inc. 10-Q 季报（截至 2026-09-30 的季度）</t>
        </is>
      </c>
      <c r="K14" s="14" t="inlineStr">
        <is>
          <t>2026-10-21（签署日）</t>
        </is>
      </c>
      <c r="L14" s="14" t="inlineStr">
        <is>
          <t>材料/Meta_2026Q3季报__meta-20260930.htm｜MD&amp;A“投资活动现金流”</t>
        </is>
      </c>
      <c r="M14" s="14" t="inlineStr">
        <is>
          <t>原始材料</t>
        </is>
      </c>
      <c r="N14" s="14" t="inlineStr">
        <is>
          <t>M1</t>
        </is>
      </c>
    </row>
    <row r="15">
      <c r="A15" s="14" t="inlineStr">
        <is>
          <t>META-11</t>
        </is>
      </c>
      <c r="B15" s="14" t="inlineStr">
        <is>
          <t>资本开支</t>
        </is>
      </c>
      <c r="C15" s="14" t="inlineStr">
        <is>
          <t>2026 年四季度隐含资本开支（按指引中值）</t>
        </is>
      </c>
      <c r="D15" s="14" t="inlineStr">
        <is>
          <t>Meta</t>
        </is>
      </c>
      <c r="E15" s="36">
        <f>($E$13+$E$14)/2-$E$6</f>
        <v>54.18</v>
      </c>
      <c r="F15" s="14" t="inlineStr">
        <is>
          <t>十亿美元</t>
        </is>
      </c>
      <c r="G15" s="14" t="inlineStr">
        <is>
          <t>2026Q4E</t>
        </is>
      </c>
      <c r="H15" s="14" t="inlineStr">
        <is>
          <t>本表计算</t>
        </is>
      </c>
      <c r="I15" s="14" t="inlineStr">
        <is>
          <t>指引中值 − 前三季度实际；取中值为假设</t>
        </is>
      </c>
      <c r="J15" s="14" t="inlineStr">
        <is>
          <t>本表计算（公式见单元格）</t>
        </is>
      </c>
      <c r="K15" s="14" t="inlineStr">
        <is>
          <t>2026-10-22</t>
        </is>
      </c>
      <c r="L15" s="14" t="inlineStr"/>
      <c r="M15" s="14" t="inlineStr">
        <is>
          <t>—</t>
        </is>
      </c>
      <c r="N15" s="14" t="inlineStr">
        <is>
          <t>CALC</t>
        </is>
      </c>
    </row>
    <row r="16">
      <c r="A16" s="14" t="inlineStr">
        <is>
          <t>META-38</t>
        </is>
      </c>
      <c r="B16" s="14" t="inlineStr">
        <is>
          <t>经营</t>
        </is>
      </c>
      <c r="C16" s="14" t="inlineStr">
        <is>
          <t>营业收入</t>
        </is>
      </c>
      <c r="D16" s="14" t="inlineStr">
        <is>
          <t>Meta</t>
        </is>
      </c>
      <c r="E16" s="35" t="n">
        <v>181.712</v>
      </c>
      <c r="F16" s="14" t="inlineStr">
        <is>
          <t>十亿美元</t>
        </is>
      </c>
      <c r="G16" s="14" t="inlineStr">
        <is>
          <t>2026 年前三季度</t>
        </is>
      </c>
      <c r="H16" s="14" t="inlineStr">
        <is>
          <t>披露事实</t>
        </is>
      </c>
      <c r="I16" s="14" t="inlineStr"/>
      <c r="J16" s="14" t="inlineStr">
        <is>
          <t>Meta Platforms, Inc. 10-Q 季报（截至 2026-09-30 的季度）</t>
        </is>
      </c>
      <c r="K16" s="14" t="inlineStr">
        <is>
          <t>2026-10-21（签署日）</t>
        </is>
      </c>
      <c r="L16" s="14" t="inlineStr">
        <is>
          <t>材料/Meta_2026Q3季报__meta-20260930.htm｜简明合并利润表</t>
        </is>
      </c>
      <c r="M16" s="14" t="inlineStr">
        <is>
          <t>原始材料</t>
        </is>
      </c>
      <c r="N16" s="14" t="inlineStr">
        <is>
          <t>M1</t>
        </is>
      </c>
    </row>
    <row r="17">
      <c r="A17" s="14" t="inlineStr">
        <is>
          <t>META-39</t>
        </is>
      </c>
      <c r="B17" s="14" t="inlineStr">
        <is>
          <t>经营</t>
        </is>
      </c>
      <c r="C17" s="14" t="inlineStr">
        <is>
          <t>物业与设备折旧</t>
        </is>
      </c>
      <c r="D17" s="14" t="inlineStr">
        <is>
          <t>Meta</t>
        </is>
      </c>
      <c r="E17" s="34" t="n">
        <v>6.81</v>
      </c>
      <c r="F17" s="14" t="inlineStr">
        <is>
          <t>十亿美元</t>
        </is>
      </c>
      <c r="G17" s="14" t="inlineStr">
        <is>
          <t>2026Q3</t>
        </is>
      </c>
      <c r="H17" s="14" t="inlineStr">
        <is>
          <t>披露事实</t>
        </is>
      </c>
      <c r="I17" s="14" t="inlineStr">
        <is>
          <t>其中服务器与网络资产折旧 53.4 亿</t>
        </is>
      </c>
      <c r="J17" s="14" t="inlineStr">
        <is>
          <t>Meta Platforms, Inc. 10-Q 季报（截至 2026-09-30 的季度）</t>
        </is>
      </c>
      <c r="K17" s="14" t="inlineStr">
        <is>
          <t>2026-10-21（签署日）</t>
        </is>
      </c>
      <c r="L17" s="14" t="inlineStr">
        <is>
          <t>材料/Meta_2026Q3季报__meta-20260930.htm｜附注 6</t>
        </is>
      </c>
      <c r="M17" s="14" t="inlineStr">
        <is>
          <t>原始材料</t>
        </is>
      </c>
      <c r="N17" s="14" t="inlineStr">
        <is>
          <t>M1</t>
        </is>
      </c>
    </row>
    <row r="18">
      <c r="A18" s="14" t="inlineStr">
        <is>
          <t>META-40</t>
        </is>
      </c>
      <c r="B18" s="14" t="inlineStr">
        <is>
          <t>经营</t>
        </is>
      </c>
      <c r="C18" s="14" t="inlineStr">
        <is>
          <t>物业与设备折旧</t>
        </is>
      </c>
      <c r="D18" s="14" t="inlineStr">
        <is>
          <t>Meta</t>
        </is>
      </c>
      <c r="E18" s="34" t="n">
        <v>4.76</v>
      </c>
      <c r="F18" s="14" t="inlineStr">
        <is>
          <t>十亿美元</t>
        </is>
      </c>
      <c r="G18" s="14" t="inlineStr">
        <is>
          <t>2025Q3</t>
        </is>
      </c>
      <c r="H18" s="14" t="inlineStr">
        <is>
          <t>披露事实</t>
        </is>
      </c>
      <c r="I18" s="14" t="inlineStr"/>
      <c r="J18" s="14" t="inlineStr">
        <is>
          <t>Meta Platforms, Inc. 10-Q 季报（截至 2026-09-30 的季度）</t>
        </is>
      </c>
      <c r="K18" s="14" t="inlineStr">
        <is>
          <t>2026-10-21（签署日）</t>
        </is>
      </c>
      <c r="L18" s="14" t="inlineStr">
        <is>
          <t>材料/Meta_2026Q3季报__meta-20260930.htm｜附注 6</t>
        </is>
      </c>
      <c r="M18" s="14" t="inlineStr">
        <is>
          <t>原始材料</t>
        </is>
      </c>
      <c r="N18" s="14" t="inlineStr">
        <is>
          <t>M1</t>
        </is>
      </c>
    </row>
    <row r="19">
      <c r="A19" s="14" t="inlineStr">
        <is>
          <t>META-12</t>
        </is>
      </c>
      <c r="B19" s="14" t="inlineStr">
        <is>
          <t>经营</t>
        </is>
      </c>
      <c r="C19" s="14" t="inlineStr">
        <is>
          <t>营业收入</t>
        </is>
      </c>
      <c r="D19" s="14" t="inlineStr">
        <is>
          <t>Meta</t>
        </is>
      </c>
      <c r="E19" s="35" t="n">
        <v>64.601</v>
      </c>
      <c r="F19" s="14" t="inlineStr">
        <is>
          <t>十亿美元</t>
        </is>
      </c>
      <c r="G19" s="14" t="inlineStr">
        <is>
          <t>2026Q3</t>
        </is>
      </c>
      <c r="H19" s="14" t="inlineStr">
        <is>
          <t>披露事实</t>
        </is>
      </c>
      <c r="I19" s="14" t="inlineStr"/>
      <c r="J19" s="14" t="inlineStr">
        <is>
          <t>Meta Platforms, Inc. 10-Q 季报（截至 2026-09-30 的季度）</t>
        </is>
      </c>
      <c r="K19" s="14" t="inlineStr">
        <is>
          <t>2026-10-21（签署日）</t>
        </is>
      </c>
      <c r="L19" s="14" t="inlineStr">
        <is>
          <t>材料/Meta_2026Q3季报__meta-20260930.htm｜简明合并利润表</t>
        </is>
      </c>
      <c r="M19" s="14" t="inlineStr">
        <is>
          <t>原始材料</t>
        </is>
      </c>
      <c r="N19" s="14" t="inlineStr">
        <is>
          <t>M1</t>
        </is>
      </c>
    </row>
    <row r="20">
      <c r="A20" s="14" t="inlineStr">
        <is>
          <t>META-13</t>
        </is>
      </c>
      <c r="B20" s="14" t="inlineStr">
        <is>
          <t>经营</t>
        </is>
      </c>
      <c r="C20" s="14" t="inlineStr">
        <is>
          <t>营业收入</t>
        </is>
      </c>
      <c r="D20" s="14" t="inlineStr">
        <is>
          <t>Meta</t>
        </is>
      </c>
      <c r="E20" s="35" t="n">
        <v>51.242</v>
      </c>
      <c r="F20" s="14" t="inlineStr">
        <is>
          <t>十亿美元</t>
        </is>
      </c>
      <c r="G20" s="14" t="inlineStr">
        <is>
          <t>2025Q3</t>
        </is>
      </c>
      <c r="H20" s="14" t="inlineStr">
        <is>
          <t>披露事实</t>
        </is>
      </c>
      <c r="I20" s="14" t="inlineStr"/>
      <c r="J20" s="14" t="inlineStr">
        <is>
          <t>Meta Platforms, Inc. 10-Q 季报（截至 2026-09-30 的季度）</t>
        </is>
      </c>
      <c r="K20" s="14" t="inlineStr">
        <is>
          <t>2026-10-21（签署日）</t>
        </is>
      </c>
      <c r="L20" s="14" t="inlineStr">
        <is>
          <t>材料/Meta_2026Q3季报__meta-20260930.htm｜简明合并利润表</t>
        </is>
      </c>
      <c r="M20" s="14" t="inlineStr">
        <is>
          <t>原始材料</t>
        </is>
      </c>
      <c r="N20" s="14" t="inlineStr">
        <is>
          <t>M1</t>
        </is>
      </c>
    </row>
    <row r="21">
      <c r="A21" s="14" t="inlineStr">
        <is>
          <t>META-14</t>
        </is>
      </c>
      <c r="B21" s="14" t="inlineStr">
        <is>
          <t>经营</t>
        </is>
      </c>
      <c r="C21" s="14" t="inlineStr">
        <is>
          <t>营业利润</t>
        </is>
      </c>
      <c r="D21" s="14" t="inlineStr">
        <is>
          <t>Meta</t>
        </is>
      </c>
      <c r="E21" s="35" t="n">
        <v>12.988</v>
      </c>
      <c r="F21" s="14" t="inlineStr">
        <is>
          <t>十亿美元</t>
        </is>
      </c>
      <c r="G21" s="14" t="inlineStr">
        <is>
          <t>2026Q3</t>
        </is>
      </c>
      <c r="H21" s="14" t="inlineStr">
        <is>
          <t>披露事实</t>
        </is>
      </c>
      <c r="I21" s="14" t="inlineStr">
        <is>
          <t>含 98.9 亿美元多州总检察长和解费用</t>
        </is>
      </c>
      <c r="J21" s="14" t="inlineStr">
        <is>
          <t>Meta Platforms, Inc. 10-Q 季报（截至 2026-09-30 的季度）</t>
        </is>
      </c>
      <c r="K21" s="14" t="inlineStr">
        <is>
          <t>2026-10-21（签署日）</t>
        </is>
      </c>
      <c r="L21" s="14" t="inlineStr">
        <is>
          <t>材料/Meta_2026Q3季报__meta-20260930.htm｜简明合并利润表</t>
        </is>
      </c>
      <c r="M21" s="14" t="inlineStr">
        <is>
          <t>原始材料</t>
        </is>
      </c>
      <c r="N21" s="14" t="inlineStr">
        <is>
          <t>M1</t>
        </is>
      </c>
    </row>
    <row r="22">
      <c r="A22" s="14" t="inlineStr">
        <is>
          <t>META-15</t>
        </is>
      </c>
      <c r="B22" s="14" t="inlineStr">
        <is>
          <t>经营</t>
        </is>
      </c>
      <c r="C22" s="14" t="inlineStr">
        <is>
          <t>营业利润</t>
        </is>
      </c>
      <c r="D22" s="14" t="inlineStr">
        <is>
          <t>Meta</t>
        </is>
      </c>
      <c r="E22" s="35" t="n">
        <v>20.535</v>
      </c>
      <c r="F22" s="14" t="inlineStr">
        <is>
          <t>十亿美元</t>
        </is>
      </c>
      <c r="G22" s="14" t="inlineStr">
        <is>
          <t>2025Q3</t>
        </is>
      </c>
      <c r="H22" s="14" t="inlineStr">
        <is>
          <t>披露事实</t>
        </is>
      </c>
      <c r="I22" s="14" t="inlineStr"/>
      <c r="J22" s="14" t="inlineStr">
        <is>
          <t>Meta Platforms, Inc. 10-Q 季报（截至 2026-09-30 的季度）</t>
        </is>
      </c>
      <c r="K22" s="14" t="inlineStr">
        <is>
          <t>2026-10-21（签署日）</t>
        </is>
      </c>
      <c r="L22" s="14" t="inlineStr">
        <is>
          <t>材料/Meta_2026Q3季报__meta-20260930.htm｜简明合并利润表</t>
        </is>
      </c>
      <c r="M22" s="14" t="inlineStr">
        <is>
          <t>原始材料</t>
        </is>
      </c>
      <c r="N22" s="14" t="inlineStr">
        <is>
          <t>M1</t>
        </is>
      </c>
    </row>
    <row r="23">
      <c r="A23" s="14" t="inlineStr">
        <is>
          <t>META-16</t>
        </is>
      </c>
      <c r="B23" s="14" t="inlineStr">
        <is>
          <t>经营</t>
        </is>
      </c>
      <c r="C23" s="14" t="inlineStr">
        <is>
          <t>经营活动现金流</t>
        </is>
      </c>
      <c r="D23" s="14" t="inlineStr">
        <is>
          <t>Meta</t>
        </is>
      </c>
      <c r="E23" s="35" t="n">
        <v>96.873</v>
      </c>
      <c r="F23" s="14" t="inlineStr">
        <is>
          <t>十亿美元</t>
        </is>
      </c>
      <c r="G23" s="14" t="inlineStr">
        <is>
          <t>2026 年前三季度</t>
        </is>
      </c>
      <c r="H23" s="14" t="inlineStr">
        <is>
          <t>披露事实</t>
        </is>
      </c>
      <c r="I23" s="14" t="inlineStr"/>
      <c r="J23" s="14" t="inlineStr">
        <is>
          <t>Meta Platforms, Inc. 10-Q 季报（截至 2026-09-30 的季度）</t>
        </is>
      </c>
      <c r="K23" s="14" t="inlineStr">
        <is>
          <t>2026-10-21（签署日）</t>
        </is>
      </c>
      <c r="L23" s="14" t="inlineStr">
        <is>
          <t>材料/Meta_2026Q3季报__meta-20260930.htm｜简明合并现金流量表</t>
        </is>
      </c>
      <c r="M23" s="14" t="inlineStr">
        <is>
          <t>原始材料</t>
        </is>
      </c>
      <c r="N23" s="14" t="inlineStr">
        <is>
          <t>M1</t>
        </is>
      </c>
    </row>
    <row r="24">
      <c r="A24" s="14" t="inlineStr">
        <is>
          <t>META-17</t>
        </is>
      </c>
      <c r="B24" s="14" t="inlineStr">
        <is>
          <t>经营</t>
        </is>
      </c>
      <c r="C24" s="14" t="inlineStr">
        <is>
          <t>折旧与摊销</t>
        </is>
      </c>
      <c r="D24" s="14" t="inlineStr">
        <is>
          <t>Meta</t>
        </is>
      </c>
      <c r="E24" s="35" t="n">
        <v>19.509</v>
      </c>
      <c r="F24" s="14" t="inlineStr">
        <is>
          <t>十亿美元</t>
        </is>
      </c>
      <c r="G24" s="14" t="inlineStr">
        <is>
          <t>2026 年前三季度</t>
        </is>
      </c>
      <c r="H24" s="14" t="inlineStr">
        <is>
          <t>披露事实</t>
        </is>
      </c>
      <c r="I24" s="14" t="inlineStr">
        <is>
          <t>上年同期 13.205</t>
        </is>
      </c>
      <c r="J24" s="14" t="inlineStr">
        <is>
          <t>Meta Platforms, Inc. 10-Q 季报（截至 2026-09-30 的季度）</t>
        </is>
      </c>
      <c r="K24" s="14" t="inlineStr">
        <is>
          <t>2026-10-21（签署日）</t>
        </is>
      </c>
      <c r="L24" s="14" t="inlineStr">
        <is>
          <t>材料/Meta_2026Q3季报__meta-20260930.htm｜简明合并现金流量表</t>
        </is>
      </c>
      <c r="M24" s="14" t="inlineStr">
        <is>
          <t>原始材料</t>
        </is>
      </c>
      <c r="N24" s="14" t="inlineStr">
        <is>
          <t>M1</t>
        </is>
      </c>
    </row>
    <row r="25">
      <c r="A25" s="14" t="inlineStr">
        <is>
          <t>META-18</t>
        </is>
      </c>
      <c r="B25" s="14" t="inlineStr">
        <is>
          <t>经营</t>
        </is>
      </c>
      <c r="C25" s="14" t="inlineStr">
        <is>
          <t>折旧与摊销</t>
        </is>
      </c>
      <c r="D25" s="14" t="inlineStr">
        <is>
          <t>Meta</t>
        </is>
      </c>
      <c r="E25" s="35" t="n">
        <v>13.205</v>
      </c>
      <c r="F25" s="14" t="inlineStr">
        <is>
          <t>十亿美元</t>
        </is>
      </c>
      <c r="G25" s="14" t="inlineStr">
        <is>
          <t>2025 年前三季度</t>
        </is>
      </c>
      <c r="H25" s="14" t="inlineStr">
        <is>
          <t>披露事实</t>
        </is>
      </c>
      <c r="I25" s="14" t="inlineStr"/>
      <c r="J25" s="14" t="inlineStr">
        <is>
          <t>Meta Platforms, Inc. 10-Q 季报（截至 2026-09-30 的季度）</t>
        </is>
      </c>
      <c r="K25" s="14" t="inlineStr">
        <is>
          <t>2026-10-21（签署日）</t>
        </is>
      </c>
      <c r="L25" s="14" t="inlineStr">
        <is>
          <t>材料/Meta_2026Q3季报__meta-20260930.htm｜简明合并现金流量表</t>
        </is>
      </c>
      <c r="M25" s="14" t="inlineStr">
        <is>
          <t>原始材料</t>
        </is>
      </c>
      <c r="N25" s="14" t="inlineStr">
        <is>
          <t>M1</t>
        </is>
      </c>
    </row>
    <row r="26">
      <c r="A26" s="14" t="inlineStr">
        <is>
          <t>META-19</t>
        </is>
      </c>
      <c r="B26" s="14" t="inlineStr">
        <is>
          <t>资产</t>
        </is>
      </c>
      <c r="C26" s="14" t="inlineStr">
        <is>
          <t>服务器与网络资产（原值）</t>
        </is>
      </c>
      <c r="D26" s="14" t="inlineStr">
        <is>
          <t>Meta</t>
        </is>
      </c>
      <c r="E26" s="35" t="n">
        <v>133.626</v>
      </c>
      <c r="F26" s="14" t="inlineStr">
        <is>
          <t>十亿美元</t>
        </is>
      </c>
      <c r="G26" s="14" t="inlineStr">
        <is>
          <t>2026-09-30</t>
        </is>
      </c>
      <c r="H26" s="14" t="inlineStr">
        <is>
          <t>披露事实</t>
        </is>
      </c>
      <c r="I26" s="14" t="inlineStr">
        <is>
          <t>2025 年末 98.040</t>
        </is>
      </c>
      <c r="J26" s="14" t="inlineStr">
        <is>
          <t>Meta Platforms, Inc. 10-Q 季报（截至 2026-09-30 的季度）</t>
        </is>
      </c>
      <c r="K26" s="14" t="inlineStr">
        <is>
          <t>2026-10-21（签署日）</t>
        </is>
      </c>
      <c r="L26" s="14" t="inlineStr">
        <is>
          <t>材料/Meta_2026Q3季报__meta-20260930.htm｜附注 6 物业与设备</t>
        </is>
      </c>
      <c r="M26" s="14" t="inlineStr">
        <is>
          <t>原始材料</t>
        </is>
      </c>
      <c r="N26" s="14" t="inlineStr">
        <is>
          <t>M1</t>
        </is>
      </c>
    </row>
    <row r="27">
      <c r="A27" s="14" t="inlineStr">
        <is>
          <t>META-20</t>
        </is>
      </c>
      <c r="B27" s="14" t="inlineStr">
        <is>
          <t>资产</t>
        </is>
      </c>
      <c r="C27" s="14" t="inlineStr">
        <is>
          <t>服务器与网络资产（原值）</t>
        </is>
      </c>
      <c r="D27" s="14" t="inlineStr">
        <is>
          <t>Meta</t>
        </is>
      </c>
      <c r="E27" s="35" t="n">
        <v>98.04000000000001</v>
      </c>
      <c r="F27" s="14" t="inlineStr">
        <is>
          <t>十亿美元</t>
        </is>
      </c>
      <c r="G27" s="14" t="inlineStr">
        <is>
          <t>2025-12-31</t>
        </is>
      </c>
      <c r="H27" s="14" t="inlineStr">
        <is>
          <t>披露事实</t>
        </is>
      </c>
      <c r="I27" s="14" t="inlineStr"/>
      <c r="J27" s="14" t="inlineStr">
        <is>
          <t>Meta Platforms, Inc. 10-Q 季报（截至 2026-09-30 的季度）</t>
        </is>
      </c>
      <c r="K27" s="14" t="inlineStr">
        <is>
          <t>2026-10-21（签署日）</t>
        </is>
      </c>
      <c r="L27" s="14" t="inlineStr">
        <is>
          <t>材料/Meta_2026Q3季报__meta-20260930.htm｜附注 6</t>
        </is>
      </c>
      <c r="M27" s="14" t="inlineStr">
        <is>
          <t>原始材料</t>
        </is>
      </c>
      <c r="N27" s="14" t="inlineStr">
        <is>
          <t>M1</t>
        </is>
      </c>
    </row>
    <row r="28">
      <c r="A28" s="14" t="inlineStr">
        <is>
          <t>META-21</t>
        </is>
      </c>
      <c r="B28" s="14" t="inlineStr">
        <is>
          <t>资产</t>
        </is>
      </c>
      <c r="C28" s="14" t="inlineStr">
        <is>
          <t>在建工程（主要为数据中心、服务器与网络）</t>
        </is>
      </c>
      <c r="D28" s="14" t="inlineStr">
        <is>
          <t>Meta</t>
        </is>
      </c>
      <c r="E28" s="35" t="n">
        <v>89.499</v>
      </c>
      <c r="F28" s="14" t="inlineStr">
        <is>
          <t>十亿美元</t>
        </is>
      </c>
      <c r="G28" s="14" t="inlineStr">
        <is>
          <t>2026-09-30</t>
        </is>
      </c>
      <c r="H28" s="14" t="inlineStr">
        <is>
          <t>披露事实</t>
        </is>
      </c>
      <c r="I28" s="14" t="inlineStr">
        <is>
          <t>2025 年末 50.521</t>
        </is>
      </c>
      <c r="J28" s="14" t="inlineStr">
        <is>
          <t>Meta Platforms, Inc. 10-Q 季报（截至 2026-09-30 的季度）</t>
        </is>
      </c>
      <c r="K28" s="14" t="inlineStr">
        <is>
          <t>2026-10-21（签署日）</t>
        </is>
      </c>
      <c r="L28" s="14" t="inlineStr">
        <is>
          <t>材料/Meta_2026Q3季报__meta-20260930.htm｜附注 6</t>
        </is>
      </c>
      <c r="M28" s="14" t="inlineStr">
        <is>
          <t>原始材料</t>
        </is>
      </c>
      <c r="N28" s="14" t="inlineStr">
        <is>
          <t>M1</t>
        </is>
      </c>
    </row>
    <row r="29">
      <c r="A29" s="14" t="inlineStr">
        <is>
          <t>META-22</t>
        </is>
      </c>
      <c r="B29" s="14" t="inlineStr">
        <is>
          <t>资产</t>
        </is>
      </c>
      <c r="C29" s="14" t="inlineStr">
        <is>
          <t>在建工程</t>
        </is>
      </c>
      <c r="D29" s="14" t="inlineStr">
        <is>
          <t>Meta</t>
        </is>
      </c>
      <c r="E29" s="35" t="n">
        <v>50.521</v>
      </c>
      <c r="F29" s="14" t="inlineStr">
        <is>
          <t>十亿美元</t>
        </is>
      </c>
      <c r="G29" s="14" t="inlineStr">
        <is>
          <t>2025-12-31</t>
        </is>
      </c>
      <c r="H29" s="14" t="inlineStr">
        <is>
          <t>披露事实</t>
        </is>
      </c>
      <c r="I29" s="14" t="inlineStr"/>
      <c r="J29" s="14" t="inlineStr">
        <is>
          <t>Meta Platforms, Inc. 10-Q 季报（截至 2026-09-30 的季度）</t>
        </is>
      </c>
      <c r="K29" s="14" t="inlineStr">
        <is>
          <t>2026-10-21（签署日）</t>
        </is>
      </c>
      <c r="L29" s="14" t="inlineStr">
        <is>
          <t>材料/Meta_2026Q3季报__meta-20260930.htm｜附注 6</t>
        </is>
      </c>
      <c r="M29" s="14" t="inlineStr">
        <is>
          <t>原始材料</t>
        </is>
      </c>
      <c r="N29" s="14" t="inlineStr">
        <is>
          <t>M1</t>
        </is>
      </c>
    </row>
    <row r="30">
      <c r="A30" s="14" t="inlineStr">
        <is>
          <t>META-23</t>
        </is>
      </c>
      <c r="B30" s="14" t="inlineStr">
        <is>
          <t>资产</t>
        </is>
      </c>
      <c r="C30" s="14" t="inlineStr">
        <is>
          <t>物业与设备净值</t>
        </is>
      </c>
      <c r="D30" s="14" t="inlineStr">
        <is>
          <t>Meta</t>
        </is>
      </c>
      <c r="E30" s="35" t="n">
        <v>253.222</v>
      </c>
      <c r="F30" s="14" t="inlineStr">
        <is>
          <t>十亿美元</t>
        </is>
      </c>
      <c r="G30" s="14" t="inlineStr">
        <is>
          <t>2026-09-30</t>
        </is>
      </c>
      <c r="H30" s="14" t="inlineStr">
        <is>
          <t>披露事实</t>
        </is>
      </c>
      <c r="I30" s="14" t="inlineStr">
        <is>
          <t>2025 年末 176.400</t>
        </is>
      </c>
      <c r="J30" s="14" t="inlineStr">
        <is>
          <t>Meta Platforms, Inc. 10-Q 季报（截至 2026-09-30 的季度）</t>
        </is>
      </c>
      <c r="K30" s="14" t="inlineStr">
        <is>
          <t>2026-10-21（签署日）</t>
        </is>
      </c>
      <c r="L30" s="14" t="inlineStr">
        <is>
          <t>材料/Meta_2026Q3季报__meta-20260930.htm｜附注 6</t>
        </is>
      </c>
      <c r="M30" s="14" t="inlineStr">
        <is>
          <t>原始材料</t>
        </is>
      </c>
      <c r="N30" s="14" t="inlineStr">
        <is>
          <t>M1</t>
        </is>
      </c>
    </row>
    <row r="31">
      <c r="A31" s="14" t="inlineStr">
        <is>
          <t>META-24</t>
        </is>
      </c>
      <c r="B31" s="14" t="inlineStr">
        <is>
          <t>资产</t>
        </is>
      </c>
      <c r="C31" s="14" t="inlineStr">
        <is>
          <t>物业与设备净值</t>
        </is>
      </c>
      <c r="D31" s="14" t="inlineStr">
        <is>
          <t>Meta</t>
        </is>
      </c>
      <c r="E31" s="35" t="n">
        <v>176.4</v>
      </c>
      <c r="F31" s="14" t="inlineStr">
        <is>
          <t>十亿美元</t>
        </is>
      </c>
      <c r="G31" s="14" t="inlineStr">
        <is>
          <t>2025-12-31</t>
        </is>
      </c>
      <c r="H31" s="14" t="inlineStr">
        <is>
          <t>披露事实</t>
        </is>
      </c>
      <c r="I31" s="14" t="inlineStr"/>
      <c r="J31" s="14" t="inlineStr">
        <is>
          <t>Meta Platforms, Inc. 10-Q 季报（截至 2026-09-30 的季度）</t>
        </is>
      </c>
      <c r="K31" s="14" t="inlineStr">
        <is>
          <t>2026-10-21（签署日）</t>
        </is>
      </c>
      <c r="L31" s="14" t="inlineStr">
        <is>
          <t>材料/Meta_2026Q3季报__meta-20260930.htm｜附注 6</t>
        </is>
      </c>
      <c r="M31" s="14" t="inlineStr">
        <is>
          <t>原始材料</t>
        </is>
      </c>
      <c r="N31" s="14" t="inlineStr">
        <is>
          <t>M1</t>
        </is>
      </c>
    </row>
    <row r="32">
      <c r="A32" s="14" t="inlineStr">
        <is>
          <t>META-25</t>
        </is>
      </c>
      <c r="B32" s="14" t="inlineStr">
        <is>
          <t>承诺</t>
        </is>
      </c>
      <c r="C32" s="14" t="inlineStr">
        <is>
          <t>尚未起租的经营与融资租赁</t>
        </is>
      </c>
      <c r="D32" s="14" t="inlineStr">
        <is>
          <t>Meta</t>
        </is>
      </c>
      <c r="E32" s="35" t="n">
        <v>355.73</v>
      </c>
      <c r="F32" s="14" t="inlineStr">
        <is>
          <t>十亿美元</t>
        </is>
      </c>
      <c r="G32" s="14" t="inlineStr">
        <is>
          <t>2026-09-30</t>
        </is>
      </c>
      <c r="H32" s="14" t="inlineStr">
        <is>
          <t>披露事实</t>
        </is>
      </c>
      <c r="I32" s="14" t="inlineStr">
        <is>
          <t>数据中心、能源相关基础设施、托管与网络；2026–2036 年起租，租期 1–30 年</t>
        </is>
      </c>
      <c r="J32" s="14" t="inlineStr">
        <is>
          <t>Meta Platforms, Inc. 10-Q 季报（截至 2026-09-30 的季度）</t>
        </is>
      </c>
      <c r="K32" s="14" t="inlineStr">
        <is>
          <t>2026-10-21（签署日）</t>
        </is>
      </c>
      <c r="L32" s="14" t="inlineStr">
        <is>
          <t>材料/Meta_2026Q3季报__meta-20260930.htm｜附注 10 承诺与或有事项</t>
        </is>
      </c>
      <c r="M32" s="14" t="inlineStr">
        <is>
          <t>原始材料</t>
        </is>
      </c>
      <c r="N32" s="14" t="inlineStr">
        <is>
          <t>M1</t>
        </is>
      </c>
    </row>
    <row r="33">
      <c r="A33" s="14" t="inlineStr">
        <is>
          <t>META-26</t>
        </is>
      </c>
      <c r="B33" s="14" t="inlineStr">
        <is>
          <t>承诺</t>
        </is>
      </c>
      <c r="C33" s="14" t="inlineStr">
        <is>
          <t>不可撤销合同承诺</t>
        </is>
      </c>
      <c r="D33" s="14" t="inlineStr">
        <is>
          <t>Meta</t>
        </is>
      </c>
      <c r="E33" s="35" t="n">
        <v>454.52</v>
      </c>
      <c r="F33" s="14" t="inlineStr">
        <is>
          <t>十亿美元</t>
        </is>
      </c>
      <c r="G33" s="14" t="inlineStr">
        <is>
          <t>2026-09-30</t>
        </is>
      </c>
      <c r="H33" s="14" t="inlineStr">
        <is>
          <t>披露事实</t>
        </is>
      </c>
      <c r="I33" s="14" t="inlineStr">
        <is>
          <t>主要为第三方云容量、服务器与网络投资、数据中心能源服务协议、Reality Labs 硬件</t>
        </is>
      </c>
      <c r="J33" s="14" t="inlineStr">
        <is>
          <t>Meta Platforms, Inc. 10-Q 季报（截至 2026-09-30 的季度）</t>
        </is>
      </c>
      <c r="K33" s="14" t="inlineStr">
        <is>
          <t>2026-10-21（签署日）</t>
        </is>
      </c>
      <c r="L33" s="14" t="inlineStr">
        <is>
          <t>材料/Meta_2026Q3季报__meta-20260930.htm｜附注 10</t>
        </is>
      </c>
      <c r="M33" s="14" t="inlineStr">
        <is>
          <t>原始材料</t>
        </is>
      </c>
      <c r="N33" s="14" t="inlineStr">
        <is>
          <t>M1</t>
        </is>
      </c>
    </row>
    <row r="34">
      <c r="A34" s="14" t="inlineStr">
        <is>
          <t>META-27</t>
        </is>
      </c>
      <c r="B34" s="14" t="inlineStr">
        <is>
          <t>承诺</t>
        </is>
      </c>
      <c r="C34" s="14" t="inlineStr">
        <is>
          <t>其中 2026 年剩余期间到期</t>
        </is>
      </c>
      <c r="D34" s="14" t="inlineStr">
        <is>
          <t>Meta</t>
        </is>
      </c>
      <c r="E34" s="35" t="n">
        <v>45.85</v>
      </c>
      <c r="F34" s="14" t="inlineStr">
        <is>
          <t>十亿美元</t>
        </is>
      </c>
      <c r="G34" s="14" t="inlineStr">
        <is>
          <t>2026Q4</t>
        </is>
      </c>
      <c r="H34" s="14" t="inlineStr">
        <is>
          <t>披露事实</t>
        </is>
      </c>
      <c r="I34" s="14" t="inlineStr"/>
      <c r="J34" s="14" t="inlineStr">
        <is>
          <t>Meta Platforms, Inc. 10-Q 季报（截至 2026-09-30 的季度）</t>
        </is>
      </c>
      <c r="K34" s="14" t="inlineStr">
        <is>
          <t>2026-10-21（签署日）</t>
        </is>
      </c>
      <c r="L34" s="14" t="inlineStr">
        <is>
          <t>材料/Meta_2026Q3季报__meta-20260930.htm｜附注 10</t>
        </is>
      </c>
      <c r="M34" s="14" t="inlineStr">
        <is>
          <t>原始材料</t>
        </is>
      </c>
      <c r="N34" s="14" t="inlineStr">
        <is>
          <t>M1</t>
        </is>
      </c>
    </row>
    <row r="35">
      <c r="A35" s="14" t="inlineStr">
        <is>
          <t>META-28</t>
        </is>
      </c>
      <c r="B35" s="14" t="inlineStr">
        <is>
          <t>承诺</t>
        </is>
      </c>
      <c r="C35" s="14" t="inlineStr">
        <is>
          <t>其中 2027 年到期</t>
        </is>
      </c>
      <c r="D35" s="14" t="inlineStr">
        <is>
          <t>Meta</t>
        </is>
      </c>
      <c r="E35" s="35" t="n">
        <v>121.41</v>
      </c>
      <c r="F35" s="14" t="inlineStr">
        <is>
          <t>十亿美元</t>
        </is>
      </c>
      <c r="G35" s="14" t="inlineStr">
        <is>
          <t>2027</t>
        </is>
      </c>
      <c r="H35" s="14" t="inlineStr">
        <is>
          <t>披露事实</t>
        </is>
      </c>
      <c r="I35" s="14" t="inlineStr"/>
      <c r="J35" s="14" t="inlineStr">
        <is>
          <t>Meta Platforms, Inc. 10-Q 季报（截至 2026-09-30 的季度）</t>
        </is>
      </c>
      <c r="K35" s="14" t="inlineStr">
        <is>
          <t>2026-10-21（签署日）</t>
        </is>
      </c>
      <c r="L35" s="14" t="inlineStr">
        <is>
          <t>材料/Meta_2026Q3季报__meta-20260930.htm｜附注 10</t>
        </is>
      </c>
      <c r="M35" s="14" t="inlineStr">
        <is>
          <t>原始材料</t>
        </is>
      </c>
      <c r="N35" s="14" t="inlineStr">
        <is>
          <t>M1</t>
        </is>
      </c>
    </row>
    <row r="36">
      <c r="A36" s="14" t="inlineStr">
        <is>
          <t>META-29</t>
        </is>
      </c>
      <c r="B36" s="14" t="inlineStr">
        <is>
          <t>承诺</t>
        </is>
      </c>
      <c r="C36" s="14" t="inlineStr">
        <is>
          <t>或有云容量采购义务（五年内，上限）</t>
        </is>
      </c>
      <c r="D36" s="14" t="inlineStr">
        <is>
          <t>Meta</t>
        </is>
      </c>
      <c r="E36" s="35" t="n">
        <v>14.72</v>
      </c>
      <c r="F36" s="14" t="inlineStr">
        <is>
          <t>十亿美元</t>
        </is>
      </c>
      <c r="G36" s="14" t="inlineStr">
        <is>
          <t>2026-09-30</t>
        </is>
      </c>
      <c r="H36" s="14" t="inlineStr">
        <is>
          <t>披露事实</t>
        </is>
      </c>
      <c r="I36" s="14" t="inlineStr">
        <is>
          <t>若云服务商转售可减少</t>
        </is>
      </c>
      <c r="J36" s="14" t="inlineStr">
        <is>
          <t>Meta Platforms, Inc. 10-Q 季报（截至 2026-09-30 的季度）</t>
        </is>
      </c>
      <c r="K36" s="14" t="inlineStr">
        <is>
          <t>2026-10-21（签署日）</t>
        </is>
      </c>
      <c r="L36" s="14" t="inlineStr">
        <is>
          <t>材料/Meta_2026Q3季报__meta-20260930.htm｜附注 10</t>
        </is>
      </c>
      <c r="M36" s="14" t="inlineStr">
        <is>
          <t>原始材料</t>
        </is>
      </c>
      <c r="N36" s="14" t="inlineStr">
        <is>
          <t>M1</t>
        </is>
      </c>
    </row>
    <row r="37">
      <c r="A37" s="14" t="inlineStr">
        <is>
          <t>META-30</t>
        </is>
      </c>
      <c r="B37" s="14" t="inlineStr">
        <is>
          <t>承诺</t>
        </is>
      </c>
      <c r="C37" s="14" t="inlineStr">
        <is>
          <t>为多年期基础设施采购协议托管的受限现金</t>
        </is>
      </c>
      <c r="D37" s="14" t="inlineStr">
        <is>
          <t>Meta</t>
        </is>
      </c>
      <c r="E37" s="35" t="n">
        <v>10.8</v>
      </c>
      <c r="F37" s="14" t="inlineStr">
        <is>
          <t>十亿美元</t>
        </is>
      </c>
      <c r="G37" s="14" t="inlineStr">
        <is>
          <t>2026-09-30</t>
        </is>
      </c>
      <c r="H37" s="14" t="inlineStr">
        <is>
          <t>披露事实</t>
        </is>
      </c>
      <c r="I37" s="14" t="inlineStr">
        <is>
          <t>预计 2028–2030 年释放</t>
        </is>
      </c>
      <c r="J37" s="14" t="inlineStr">
        <is>
          <t>Meta Platforms, Inc. 10-Q 季报（截至 2026-09-30 的季度）</t>
        </is>
      </c>
      <c r="K37" s="14" t="inlineStr">
        <is>
          <t>2026-10-21（签署日）</t>
        </is>
      </c>
      <c r="L37" s="14" t="inlineStr">
        <is>
          <t>材料/Meta_2026Q3季报__meta-20260930.htm｜附注 4 金融工具</t>
        </is>
      </c>
      <c r="M37" s="14" t="inlineStr">
        <is>
          <t>原始材料</t>
        </is>
      </c>
      <c r="N37" s="14" t="inlineStr">
        <is>
          <t>M1</t>
        </is>
      </c>
    </row>
    <row r="38">
      <c r="A38" s="14" t="inlineStr">
        <is>
          <t>META-31</t>
        </is>
      </c>
      <c r="B38" s="14" t="inlineStr">
        <is>
          <t>数据中心合资</t>
        </is>
      </c>
      <c r="C38" s="14" t="inlineStr">
        <is>
          <t>路易斯安那数据中心合资项目总开发成本（估）</t>
        </is>
      </c>
      <c r="D38" s="14" t="inlineStr">
        <is>
          <t>Meta 与合作方</t>
        </is>
      </c>
      <c r="E38" s="32" t="n">
        <v>27</v>
      </c>
      <c r="F38" s="14" t="inlineStr">
        <is>
          <t>十亿美元</t>
        </is>
      </c>
      <c r="G38" s="14" t="inlineStr">
        <is>
          <t>2025-10 签署</t>
        </is>
      </c>
      <c r="H38" s="14" t="inlineStr">
        <is>
          <t>披露事实</t>
        </is>
      </c>
      <c r="I38" s="14" t="inlineStr">
        <is>
          <t>Meta 持股 20%；租约 2029 年起租，初始 4 年、最长 20 年；提供残值担保</t>
        </is>
      </c>
      <c r="J38" s="14" t="inlineStr">
        <is>
          <t>Meta Platforms, Inc. 10-Q 季报（截至 2026-09-30 的季度）</t>
        </is>
      </c>
      <c r="K38" s="14" t="inlineStr">
        <is>
          <t>2026-10-21（签署日）</t>
        </is>
      </c>
      <c r="L38" s="14" t="inlineStr">
        <is>
          <t>材料/Meta_2026Q3季报__meta-20260930.htm｜附注 5 非上市权益投资“数据中心合资”</t>
        </is>
      </c>
      <c r="M38" s="14" t="inlineStr">
        <is>
          <t>原始材料</t>
        </is>
      </c>
      <c r="N38" s="14" t="inlineStr">
        <is>
          <t>M1</t>
        </is>
      </c>
    </row>
    <row r="39">
      <c r="A39" s="14" t="inlineStr">
        <is>
          <t>META-32</t>
        </is>
      </c>
      <c r="B39" s="14" t="inlineStr">
        <is>
          <t>数据中心合资</t>
        </is>
      </c>
      <c r="C39" s="14" t="inlineStr">
        <is>
          <t>得克萨斯数据中心合资项目总开发成本（估）</t>
        </is>
      </c>
      <c r="D39" s="14" t="inlineStr">
        <is>
          <t>Meta 与合作方</t>
        </is>
      </c>
      <c r="E39" s="32" t="n">
        <v>14</v>
      </c>
      <c r="F39" s="14" t="inlineStr">
        <is>
          <t>十亿美元</t>
        </is>
      </c>
      <c r="G39" s="14" t="inlineStr">
        <is>
          <t>2026-07 签署</t>
        </is>
      </c>
      <c r="H39" s="14" t="inlineStr">
        <is>
          <t>披露事实</t>
        </is>
      </c>
      <c r="I39" s="14" t="inlineStr">
        <is>
          <t>Meta 持股 20%；租约 2028 年起租</t>
        </is>
      </c>
      <c r="J39" s="14" t="inlineStr">
        <is>
          <t>Meta Platforms, Inc. 10-Q 季报（截至 2026-09-30 的季度）</t>
        </is>
      </c>
      <c r="K39" s="14" t="inlineStr">
        <is>
          <t>2026-10-21（签署日）</t>
        </is>
      </c>
      <c r="L39" s="14" t="inlineStr">
        <is>
          <t>材料/Meta_2026Q3季报__meta-20260930.htm｜附注 5</t>
        </is>
      </c>
      <c r="M39" s="14" t="inlineStr">
        <is>
          <t>原始材料</t>
        </is>
      </c>
      <c r="N39" s="14" t="inlineStr">
        <is>
          <t>M1</t>
        </is>
      </c>
    </row>
    <row r="40">
      <c r="A40" s="14" t="inlineStr">
        <is>
          <t>META-33</t>
        </is>
      </c>
      <c r="B40" s="14" t="inlineStr">
        <is>
          <t>数据中心合资</t>
        </is>
      </c>
      <c r="C40" s="14" t="inlineStr">
        <is>
          <t>对两家数据中心合资企业的最大损失敞口</t>
        </is>
      </c>
      <c r="D40" s="14" t="inlineStr">
        <is>
          <t>Meta</t>
        </is>
      </c>
      <c r="E40" s="35" t="n">
        <v>68.404</v>
      </c>
      <c r="F40" s="14" t="inlineStr">
        <is>
          <t>十亿美元</t>
        </is>
      </c>
      <c r="G40" s="14" t="inlineStr">
        <is>
          <t>2026-09-30</t>
        </is>
      </c>
      <c r="H40" s="14" t="inlineStr">
        <is>
          <t>披露事实</t>
        </is>
      </c>
      <c r="I40" s="14" t="inlineStr">
        <is>
          <t>含最大残值担保 41.493、租赁承诺 18.476</t>
        </is>
      </c>
      <c r="J40" s="14" t="inlineStr">
        <is>
          <t>Meta Platforms, Inc. 10-Q 季报（截至 2026-09-30 的季度）</t>
        </is>
      </c>
      <c r="K40" s="14" t="inlineStr">
        <is>
          <t>2026-10-21（签署日）</t>
        </is>
      </c>
      <c r="L40" s="14" t="inlineStr">
        <is>
          <t>材料/Meta_2026Q3季报__meta-20260930.htm｜附注 5</t>
        </is>
      </c>
      <c r="M40" s="14" t="inlineStr">
        <is>
          <t>原始材料</t>
        </is>
      </c>
      <c r="N40" s="14" t="inlineStr">
        <is>
          <t>M1</t>
        </is>
      </c>
    </row>
    <row r="41">
      <c r="A41" s="14" t="inlineStr">
        <is>
          <t>META-34</t>
        </is>
      </c>
      <c r="B41" s="14" t="inlineStr">
        <is>
          <t>融资</t>
        </is>
      </c>
      <c r="C41" s="14" t="inlineStr">
        <is>
          <t>长期债券本金余额</t>
        </is>
      </c>
      <c r="D41" s="14" t="inlineStr">
        <is>
          <t>Meta</t>
        </is>
      </c>
      <c r="E41" s="32" t="n">
        <v>84</v>
      </c>
      <c r="F41" s="14" t="inlineStr">
        <is>
          <t>十亿美元</t>
        </is>
      </c>
      <c r="G41" s="14" t="inlineStr">
        <is>
          <t>2026-09-30</t>
        </is>
      </c>
      <c r="H41" s="14" t="inlineStr">
        <is>
          <t>披露事实</t>
        </is>
      </c>
      <c r="I41" s="14" t="inlineStr">
        <is>
          <t>2026 年 5 月新发 250 亿美元</t>
        </is>
      </c>
      <c r="J41" s="14" t="inlineStr">
        <is>
          <t>Meta Platforms, Inc. 10-Q 季报（截至 2026-09-30 的季度）</t>
        </is>
      </c>
      <c r="K41" s="14" t="inlineStr">
        <is>
          <t>2026-10-21（签署日）</t>
        </is>
      </c>
      <c r="L41" s="14" t="inlineStr">
        <is>
          <t>材料/Meta_2026Q3季报__meta-20260930.htm｜附注 9 长期债务</t>
        </is>
      </c>
      <c r="M41" s="14" t="inlineStr">
        <is>
          <t>原始材料</t>
        </is>
      </c>
      <c r="N41" s="14" t="inlineStr">
        <is>
          <t>M1</t>
        </is>
      </c>
    </row>
    <row r="42">
      <c r="A42" s="14" t="inlineStr">
        <is>
          <t>META-35</t>
        </is>
      </c>
      <c r="B42" s="14" t="inlineStr">
        <is>
          <t>融资</t>
        </is>
      </c>
      <c r="C42" s="14" t="inlineStr">
        <is>
          <t>现金、现金等价物及有价证券</t>
        </is>
      </c>
      <c r="D42" s="14" t="inlineStr">
        <is>
          <t>Meta</t>
        </is>
      </c>
      <c r="E42" s="35" t="n">
        <v>82.45</v>
      </c>
      <c r="F42" s="14" t="inlineStr">
        <is>
          <t>十亿美元</t>
        </is>
      </c>
      <c r="G42" s="14" t="inlineStr">
        <is>
          <t>2026-09-30</t>
        </is>
      </c>
      <c r="H42" s="14" t="inlineStr">
        <is>
          <t>披露事实</t>
        </is>
      </c>
      <c r="I42" s="14" t="inlineStr"/>
      <c r="J42" s="14" t="inlineStr">
        <is>
          <t>Meta Platforms, Inc. 10-Q 季报（截至 2026-09-30 的季度）</t>
        </is>
      </c>
      <c r="K42" s="14" t="inlineStr">
        <is>
          <t>2026-10-21（签署日）</t>
        </is>
      </c>
      <c r="L42" s="14" t="inlineStr">
        <is>
          <t>材料/Meta_2026Q3季报__meta-20260930.htm｜MD&amp;A</t>
        </is>
      </c>
      <c r="M42" s="14" t="inlineStr">
        <is>
          <t>原始材料</t>
        </is>
      </c>
      <c r="N42" s="14" t="inlineStr">
        <is>
          <t>M1</t>
        </is>
      </c>
    </row>
    <row r="43">
      <c r="A43" s="14" t="inlineStr">
        <is>
          <t>META-36</t>
        </is>
      </c>
      <c r="B43" s="14" t="inlineStr">
        <is>
          <t>能源</t>
        </is>
      </c>
      <c r="C43" s="14" t="inlineStr">
        <is>
          <t>清洁与可再生能源采购协议期限（下限）</t>
        </is>
      </c>
      <c r="D43" s="14" t="inlineStr">
        <is>
          <t>Meta</t>
        </is>
      </c>
      <c r="E43" s="32" t="n">
        <v>9</v>
      </c>
      <c r="F43" s="14" t="inlineStr">
        <is>
          <t>年</t>
        </is>
      </c>
      <c r="G43" s="14" t="inlineStr">
        <is>
          <t>2026-09-30</t>
        </is>
      </c>
      <c r="H43" s="14" t="inlineStr">
        <is>
          <t>披露事实</t>
        </is>
      </c>
      <c r="I43" s="14" t="inlineStr">
        <is>
          <t>期限 9–25 年，未约定固定或最低采购量</t>
        </is>
      </c>
      <c r="J43" s="14" t="inlineStr">
        <is>
          <t>Meta Platforms, Inc. 10-Q 季报（截至 2026-09-30 的季度）</t>
        </is>
      </c>
      <c r="K43" s="14" t="inlineStr">
        <is>
          <t>2026-10-21（签署日）</t>
        </is>
      </c>
      <c r="L43" s="14" t="inlineStr">
        <is>
          <t>材料/Meta_2026Q3季报__meta-20260930.htm｜附注 10</t>
        </is>
      </c>
      <c r="M43" s="14" t="inlineStr">
        <is>
          <t>原始材料</t>
        </is>
      </c>
      <c r="N43" s="14" t="inlineStr">
        <is>
          <t>M1</t>
        </is>
      </c>
    </row>
    <row r="44">
      <c r="A44" s="14" t="inlineStr">
        <is>
          <t>META-37</t>
        </is>
      </c>
      <c r="B44" s="14" t="inlineStr">
        <is>
          <t>能源</t>
        </is>
      </c>
      <c r="C44" s="14" t="inlineStr">
        <is>
          <t>清洁与可再生能源采购协议期限（上限）</t>
        </is>
      </c>
      <c r="D44" s="14" t="inlineStr">
        <is>
          <t>Meta</t>
        </is>
      </c>
      <c r="E44" s="32" t="n">
        <v>25</v>
      </c>
      <c r="F44" s="14" t="inlineStr">
        <is>
          <t>年</t>
        </is>
      </c>
      <c r="G44" s="14" t="inlineStr">
        <is>
          <t>2026-09-30</t>
        </is>
      </c>
      <c r="H44" s="14" t="inlineStr">
        <is>
          <t>披露事实</t>
        </is>
      </c>
      <c r="I44" s="14" t="inlineStr">
        <is>
          <t>同上</t>
        </is>
      </c>
      <c r="J44" s="14" t="inlineStr">
        <is>
          <t>Meta Platforms, Inc. 10-Q 季报（截至 2026-09-30 的季度）</t>
        </is>
      </c>
      <c r="K44" s="14" t="inlineStr">
        <is>
          <t>2026-10-21（签署日）</t>
        </is>
      </c>
      <c r="L44" s="14" t="inlineStr">
        <is>
          <t>材料/Meta_2026Q3季报__meta-20260930.htm｜附注 10</t>
        </is>
      </c>
      <c r="M44" s="14" t="inlineStr">
        <is>
          <t>原始材料</t>
        </is>
      </c>
      <c r="N44" s="14" t="inlineStr">
        <is>
          <t>M1</t>
        </is>
      </c>
    </row>
  </sheetData>
  <autoFilter ref="A4:N44"/>
  <mergeCells count="1">
    <mergeCell ref="A2:N2"/>
  </mergeCells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N4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  <col width="18" customWidth="1" min="4" max="4"/>
    <col width="13" customWidth="1" min="5" max="5"/>
    <col width="12" customWidth="1" min="6" max="6"/>
    <col width="14" customWidth="1" min="7" max="7"/>
    <col width="11" customWidth="1" min="8" max="8"/>
    <col width="44" customWidth="1" min="9" max="9"/>
    <col width="44" customWidth="1" min="10" max="10"/>
    <col width="16" customWidth="1" min="11" max="11"/>
    <col width="52" customWidth="1" min="12" max="12"/>
    <col width="12" customWidth="1" min="13" max="13"/>
    <col width="10" customWidth="1" min="14" max="14"/>
  </cols>
  <sheetData>
    <row r="1">
      <c r="A1" s="8" t="inlineStr">
        <is>
          <t>D5 Constellation 2025 年报（10-K）与 2026 年二季报（10-Q）关键数据——原始材料</t>
        </is>
      </c>
    </row>
    <row r="2" ht="30" customHeight="1">
      <c r="A2" s="9" t="inlineStr">
        <is>
          <t>蓝底=输入（披露数据）；橙底=输入（假设）；绿底=公式（本表计算）。“出处定位”给出原始材料的文件与章节，或网页链接；“访问日期”为网页查阅日期。</t>
        </is>
      </c>
    </row>
    <row r="4" ht="30" customHeight="1">
      <c r="A4" s="10" t="inlineStr">
        <is>
          <t>编号</t>
        </is>
      </c>
      <c r="B4" s="10" t="inlineStr">
        <is>
          <t>类别</t>
        </is>
      </c>
      <c r="C4" s="10" t="inlineStr">
        <is>
          <t>指标</t>
        </is>
      </c>
      <c r="D4" s="10" t="inlineStr">
        <is>
          <t>主体/地区</t>
        </is>
      </c>
      <c r="E4" s="10" t="inlineStr">
        <is>
          <t>数值</t>
        </is>
      </c>
      <c r="F4" s="10" t="inlineStr">
        <is>
          <t>单位</t>
        </is>
      </c>
      <c r="G4" s="10" t="inlineStr">
        <is>
          <t>期间</t>
        </is>
      </c>
      <c r="H4" s="10" t="inlineStr">
        <is>
          <t>性质</t>
        </is>
      </c>
      <c r="I4" s="10" t="inlineStr">
        <is>
          <t>口径说明</t>
        </is>
      </c>
      <c r="J4" s="10" t="inlineStr">
        <is>
          <t>来源名称</t>
        </is>
      </c>
      <c r="K4" s="10" t="inlineStr">
        <is>
          <t>发布日期</t>
        </is>
      </c>
      <c r="L4" s="10" t="inlineStr">
        <is>
          <t>出处定位（文件章节/表名或网页链接）</t>
        </is>
      </c>
      <c r="M4" s="10" t="inlineStr">
        <is>
          <t>访问日期</t>
        </is>
      </c>
      <c r="N4" s="10" t="inlineStr">
        <is>
          <t>来源编号</t>
        </is>
      </c>
    </row>
    <row r="5">
      <c r="A5" s="14" t="inlineStr">
        <is>
          <t>CEG-01</t>
        </is>
      </c>
      <c r="B5" s="14" t="inlineStr">
        <is>
          <t>规模</t>
        </is>
      </c>
      <c r="C5" s="14" t="inlineStr">
        <is>
          <t>收购 Calpine 后总装机</t>
        </is>
      </c>
      <c r="D5" s="14" t="inlineStr">
        <is>
          <t>Constellation</t>
        </is>
      </c>
      <c r="E5" s="32" t="n">
        <v>55</v>
      </c>
      <c r="F5" s="14" t="inlineStr">
        <is>
          <t>GW</t>
        </is>
      </c>
      <c r="G5" s="14" t="inlineStr">
        <is>
          <t>2026-01</t>
        </is>
      </c>
      <c r="H5" s="14" t="inlineStr">
        <is>
          <t>披露事实</t>
        </is>
      </c>
      <c r="I5" s="14" t="inlineStr">
        <is>
          <t>核电、燃气、地热、水电、风电、光伏</t>
        </is>
      </c>
      <c r="J5" s="14" t="inlineStr">
        <is>
          <t>Constellation Energy Corp. 10-K 年报（2025 财年）</t>
        </is>
      </c>
      <c r="K5" s="14" t="inlineStr">
        <is>
          <t>2026-02-24（签署日）</t>
        </is>
      </c>
      <c r="L5" s="14" t="inlineStr">
        <is>
          <t>材料/Constellation_2025年报__ceg-20251231.htm｜第 1 项“业务”</t>
        </is>
      </c>
      <c r="M5" s="14" t="inlineStr">
        <is>
          <t>原始材料</t>
        </is>
      </c>
      <c r="N5" s="14" t="inlineStr">
        <is>
          <t>M2</t>
        </is>
      </c>
    </row>
    <row r="6">
      <c r="A6" s="14" t="inlineStr">
        <is>
          <t>CEG-02</t>
        </is>
      </c>
      <c r="B6" s="14" t="inlineStr">
        <is>
          <t>规模</t>
        </is>
      </c>
      <c r="C6" s="14" t="inlineStr">
        <is>
          <t>自有发电装机（未含 Calpine）</t>
        </is>
      </c>
      <c r="D6" s="14" t="inlineStr">
        <is>
          <t>Constellation</t>
        </is>
      </c>
      <c r="E6" s="32" t="n">
        <v>31676</v>
      </c>
      <c r="F6" s="14" t="inlineStr">
        <is>
          <t>MW</t>
        </is>
      </c>
      <c r="G6" s="14" t="inlineStr">
        <is>
          <t>2025-12-31</t>
        </is>
      </c>
      <c r="H6" s="14" t="inlineStr">
        <is>
          <t>披露事实</t>
        </is>
      </c>
      <c r="I6" s="14" t="inlineStr">
        <is>
          <t>按权益比例；另有合同电源 4798 MW</t>
        </is>
      </c>
      <c r="J6" s="14" t="inlineStr">
        <is>
          <t>Constellation Energy Corp. 10-K 年报（2025 财年）</t>
        </is>
      </c>
      <c r="K6" s="14" t="inlineStr">
        <is>
          <t>2026-02-24（签署日）</t>
        </is>
      </c>
      <c r="L6" s="14" t="inlineStr">
        <is>
          <t>材料/Constellation_2025年报__ceg-20251231.htm｜“我们的运营”</t>
        </is>
      </c>
      <c r="M6" s="14" t="inlineStr">
        <is>
          <t>原始材料</t>
        </is>
      </c>
      <c r="N6" s="14" t="inlineStr">
        <is>
          <t>M2</t>
        </is>
      </c>
    </row>
    <row r="7">
      <c r="A7" s="14" t="inlineStr">
        <is>
          <t>CEG-03</t>
        </is>
      </c>
      <c r="B7" s="14" t="inlineStr">
        <is>
          <t>规模</t>
        </is>
      </c>
      <c r="C7" s="14" t="inlineStr">
        <is>
          <t>核电装机</t>
        </is>
      </c>
      <c r="D7" s="14" t="inlineStr">
        <is>
          <t>Constellation</t>
        </is>
      </c>
      <c r="E7" s="32" t="n">
        <v>22</v>
      </c>
      <c r="F7" s="14" t="inlineStr">
        <is>
          <t>GW</t>
        </is>
      </c>
      <c r="G7" s="14" t="inlineStr">
        <is>
          <t>2025</t>
        </is>
      </c>
      <c r="H7" s="14" t="inlineStr">
        <is>
          <t>披露事实</t>
        </is>
      </c>
      <c r="I7" s="14" t="inlineStr">
        <is>
          <t>14 座电站、25 台机组</t>
        </is>
      </c>
      <c r="J7" s="14" t="inlineStr">
        <is>
          <t>Constellation Energy Corp. 10-K 年报（2025 财年）</t>
        </is>
      </c>
      <c r="K7" s="14" t="inlineStr">
        <is>
          <t>2026-02-24（签署日）</t>
        </is>
      </c>
      <c r="L7" s="14" t="inlineStr">
        <is>
          <t>材料/Constellation_2025年报__ceg-20251231.htm｜“核电设施”</t>
        </is>
      </c>
      <c r="M7" s="14" t="inlineStr">
        <is>
          <t>原始材料</t>
        </is>
      </c>
      <c r="N7" s="14" t="inlineStr">
        <is>
          <t>M2</t>
        </is>
      </c>
    </row>
    <row r="8">
      <c r="A8" s="14" t="inlineStr">
        <is>
          <t>CEG-04</t>
        </is>
      </c>
      <c r="B8" s="14" t="inlineStr">
        <is>
          <t>规模</t>
        </is>
      </c>
      <c r="C8" s="14" t="inlineStr">
        <is>
          <t>核电发电量</t>
        </is>
      </c>
      <c r="D8" s="14" t="inlineStr">
        <is>
          <t>Constellation</t>
        </is>
      </c>
      <c r="E8" s="32" t="n">
        <v>182690</v>
      </c>
      <c r="F8" s="14" t="inlineStr">
        <is>
          <t>GWh</t>
        </is>
      </c>
      <c r="G8" s="14" t="inlineStr">
        <is>
          <t>2025</t>
        </is>
      </c>
      <c r="H8" s="14" t="inlineStr">
        <is>
          <t>披露事实</t>
        </is>
      </c>
      <c r="I8" s="14" t="inlineStr">
        <is>
          <t>按权益比例；2024 年 181711</t>
        </is>
      </c>
      <c r="J8" s="14" t="inlineStr">
        <is>
          <t>Constellation Energy Corp. 10-K 年报（2025 财年）</t>
        </is>
      </c>
      <c r="K8" s="14" t="inlineStr">
        <is>
          <t>2026-02-24（签署日）</t>
        </is>
      </c>
      <c r="L8" s="14" t="inlineStr">
        <is>
          <t>材料/Constellation_2025年报__ceg-20251231.htm｜MD&amp;A 售电与供电量表</t>
        </is>
      </c>
      <c r="M8" s="14" t="inlineStr">
        <is>
          <t>原始材料</t>
        </is>
      </c>
      <c r="N8" s="14" t="inlineStr">
        <is>
          <t>M2</t>
        </is>
      </c>
    </row>
    <row r="9">
      <c r="A9" s="14" t="inlineStr">
        <is>
          <t>CEG-05</t>
        </is>
      </c>
      <c r="B9" s="14" t="inlineStr">
        <is>
          <t>规模</t>
        </is>
      </c>
      <c r="C9" s="14" t="inlineStr">
        <is>
          <t>核电机组容量系数</t>
        </is>
      </c>
      <c r="D9" s="14" t="inlineStr">
        <is>
          <t>Constellation</t>
        </is>
      </c>
      <c r="E9" s="33" t="n">
        <v>0.947</v>
      </c>
      <c r="F9" s="14" t="inlineStr">
        <is>
          <t>%</t>
        </is>
      </c>
      <c r="G9" s="14" t="inlineStr">
        <is>
          <t>2025</t>
        </is>
      </c>
      <c r="H9" s="14" t="inlineStr">
        <is>
          <t>披露事实</t>
        </is>
      </c>
      <c r="I9" s="14" t="inlineStr">
        <is>
          <t>不含 Salem、STP；2024 年 94.6%</t>
        </is>
      </c>
      <c r="J9" s="14" t="inlineStr">
        <is>
          <t>Constellation Energy Corp. 10-K 年报（2025 财年）</t>
        </is>
      </c>
      <c r="K9" s="14" t="inlineStr">
        <is>
          <t>2026-02-24（签署日）</t>
        </is>
      </c>
      <c r="L9" s="14" t="inlineStr">
        <is>
          <t>材料/Constellation_2025年报__ceg-20251231.htm｜MD&amp;A“核电机组容量系数”</t>
        </is>
      </c>
      <c r="M9" s="14" t="inlineStr">
        <is>
          <t>原始材料</t>
        </is>
      </c>
      <c r="N9" s="14" t="inlineStr">
        <is>
          <t>M2</t>
        </is>
      </c>
    </row>
    <row r="10">
      <c r="A10" s="14" t="inlineStr">
        <is>
          <t>CEG-06</t>
        </is>
      </c>
      <c r="B10" s="14" t="inlineStr">
        <is>
          <t>规模</t>
        </is>
      </c>
      <c r="C10" s="14" t="inlineStr">
        <is>
          <t>电力供应总量（自发 + 外购）</t>
        </is>
      </c>
      <c r="D10" s="14" t="inlineStr">
        <is>
          <t>Constellation</t>
        </is>
      </c>
      <c r="E10" s="32" t="n">
        <v>268943</v>
      </c>
      <c r="F10" s="14" t="inlineStr">
        <is>
          <t>GWh</t>
        </is>
      </c>
      <c r="G10" s="14" t="inlineStr">
        <is>
          <t>2025</t>
        </is>
      </c>
      <c r="H10" s="14" t="inlineStr">
        <is>
          <t>披露事实</t>
        </is>
      </c>
      <c r="I10" s="14" t="inlineStr">
        <is>
          <t>其中外购 63999</t>
        </is>
      </c>
      <c r="J10" s="14" t="inlineStr">
        <is>
          <t>Constellation Energy Corp. 10-K 年报（2025 财年）</t>
        </is>
      </c>
      <c r="K10" s="14" t="inlineStr">
        <is>
          <t>2026-02-24（签署日）</t>
        </is>
      </c>
      <c r="L10" s="14" t="inlineStr">
        <is>
          <t>材料/Constellation_2025年报__ceg-20251231.htm｜MD&amp;A 售电与供电量表</t>
        </is>
      </c>
      <c r="M10" s="14" t="inlineStr">
        <is>
          <t>原始材料</t>
        </is>
      </c>
      <c r="N10" s="14" t="inlineStr">
        <is>
          <t>M2</t>
        </is>
      </c>
    </row>
    <row r="11">
      <c r="A11" s="14" t="inlineStr">
        <is>
          <t>CEG-07</t>
        </is>
      </c>
      <c r="B11" s="14" t="inlineStr">
        <is>
          <t>规模</t>
        </is>
      </c>
      <c r="C11" s="14" t="inlineStr">
        <is>
          <t>Calpine 新增装机</t>
        </is>
      </c>
      <c r="D11" s="14" t="inlineStr">
        <is>
          <t>Constellation</t>
        </is>
      </c>
      <c r="E11" s="32" t="n">
        <v>23</v>
      </c>
      <c r="F11" s="14" t="inlineStr">
        <is>
          <t>GW</t>
        </is>
      </c>
      <c r="G11" s="14" t="inlineStr">
        <is>
          <t>2026-01-07</t>
        </is>
      </c>
      <c r="H11" s="14" t="inlineStr">
        <is>
          <t>披露事实</t>
        </is>
      </c>
      <c r="I11" s="14" t="inlineStr">
        <is>
          <t>72 个发电与储能资产（扣除监管要求剥离后）；零售负荷约 62 TWh</t>
        </is>
      </c>
      <c r="J11" s="14" t="inlineStr">
        <is>
          <t>Constellation Energy Corp. 10-K 年报（2025 财年）</t>
        </is>
      </c>
      <c r="K11" s="14" t="inlineStr">
        <is>
          <t>2026-02-24（签署日）</t>
        </is>
      </c>
      <c r="L11" s="14" t="inlineStr">
        <is>
          <t>材料/Constellation_2025年报__ceg-20251231.htm｜附注 2；第 1 项</t>
        </is>
      </c>
      <c r="M11" s="14" t="inlineStr">
        <is>
          <t>原始材料</t>
        </is>
      </c>
      <c r="N11" s="14" t="inlineStr">
        <is>
          <t>M2</t>
        </is>
      </c>
    </row>
    <row r="12">
      <c r="A12" s="14" t="inlineStr">
        <is>
          <t>CEG-08</t>
        </is>
      </c>
      <c r="B12" s="14" t="inlineStr">
        <is>
          <t>规模</t>
        </is>
      </c>
      <c r="C12" s="14" t="inlineStr">
        <is>
          <t>Calpine 燃气装机</t>
        </is>
      </c>
      <c r="D12" s="14" t="inlineStr">
        <is>
          <t>Calpine</t>
        </is>
      </c>
      <c r="E12" s="32" t="n">
        <v>21</v>
      </c>
      <c r="F12" s="14" t="inlineStr">
        <is>
          <t>GW</t>
        </is>
      </c>
      <c r="G12" s="14" t="inlineStr">
        <is>
          <t>2026-01</t>
        </is>
      </c>
      <c r="H12" s="14" t="inlineStr">
        <is>
          <t>披露事实</t>
        </is>
      </c>
      <c r="I12" s="14" t="inlineStr">
        <is>
          <t>以联合循环为主，分布于得州、加州、东北部</t>
        </is>
      </c>
      <c r="J12" s="14" t="inlineStr">
        <is>
          <t>Constellation Energy Corp. 10-K 年报（2025 财年）</t>
        </is>
      </c>
      <c r="K12" s="14" t="inlineStr">
        <is>
          <t>2026-02-24（签署日）</t>
        </is>
      </c>
      <c r="L12" s="14" t="inlineStr">
        <is>
          <t>材料/Constellation_2025年报__ceg-20251231.htm｜“燃气与燃油设施”</t>
        </is>
      </c>
      <c r="M12" s="14" t="inlineStr">
        <is>
          <t>原始材料</t>
        </is>
      </c>
      <c r="N12" s="14" t="inlineStr">
        <is>
          <t>M2</t>
        </is>
      </c>
    </row>
    <row r="13">
      <c r="A13" s="14" t="inlineStr">
        <is>
          <t>CEG-09</t>
        </is>
      </c>
      <c r="B13" s="14" t="inlineStr">
        <is>
          <t>交易</t>
        </is>
      </c>
      <c r="C13" s="14" t="inlineStr">
        <is>
          <t>Calpine 收购对价</t>
        </is>
      </c>
      <c r="D13" s="14" t="inlineStr">
        <is>
          <t>Constellation</t>
        </is>
      </c>
      <c r="E13" s="35" t="n">
        <v>21.8</v>
      </c>
      <c r="F13" s="14" t="inlineStr">
        <is>
          <t>十亿美元</t>
        </is>
      </c>
      <c r="G13" s="14" t="inlineStr">
        <is>
          <t>2026-01-07</t>
        </is>
      </c>
      <c r="H13" s="14" t="inlineStr">
        <is>
          <t>披露事实</t>
        </is>
      </c>
      <c r="I13" s="14" t="inlineStr">
        <is>
          <t>5000 万股新股 + 约 45 亿美元现金；10-K 写约 220 亿美元，10-Q 写约 218 亿美元</t>
        </is>
      </c>
      <c r="J13" s="14" t="inlineStr">
        <is>
          <t>Constellation Energy Corp. 10-Q 季报（截至 2026-06-30 的季度）</t>
        </is>
      </c>
      <c r="K13" s="14" t="inlineStr">
        <is>
          <t>2026-08-06（签署日）</t>
        </is>
      </c>
      <c r="L13" s="14" t="inlineStr">
        <is>
          <t>材料/Constellation_2026Q2季报__ceg-20260630.htm｜“重大交易与进展”</t>
        </is>
      </c>
      <c r="M13" s="14" t="inlineStr">
        <is>
          <t>原始材料</t>
        </is>
      </c>
      <c r="N13" s="14" t="inlineStr">
        <is>
          <t>M3</t>
        </is>
      </c>
    </row>
    <row r="14">
      <c r="A14" s="14" t="inlineStr">
        <is>
          <t>CEG-10</t>
        </is>
      </c>
      <c r="B14" s="14" t="inlineStr">
        <is>
          <t>交易</t>
        </is>
      </c>
      <c r="C14" s="14" t="inlineStr">
        <is>
          <t>为满足监管承诺出售 5 座燃气电站（PJM）</t>
        </is>
      </c>
      <c r="D14" s="14" t="inlineStr">
        <is>
          <t>Constellation</t>
        </is>
      </c>
      <c r="E14" s="34" t="n">
        <v>4.4</v>
      </c>
      <c r="F14" s="14" t="inlineStr">
        <is>
          <t>GW</t>
        </is>
      </c>
      <c r="G14" s="14" t="inlineStr">
        <is>
          <t>2026-03</t>
        </is>
      </c>
      <c r="H14" s="14" t="inlineStr">
        <is>
          <t>披露事实</t>
        </is>
      </c>
      <c r="I14" s="14" t="inlineStr">
        <is>
          <t>作价 50 亿美元，买方 LS Power</t>
        </is>
      </c>
      <c r="J14" s="14" t="inlineStr">
        <is>
          <t>Constellation Energy Corp. 10-Q 季报（截至 2026-06-30 的季度）</t>
        </is>
      </c>
      <c r="K14" s="14" t="inlineStr">
        <is>
          <t>2026-08-06（签署日）</t>
        </is>
      </c>
      <c r="L14" s="14" t="inlineStr">
        <is>
          <t>材料/Constellation_2026Q2季报__ceg-20260630.htm｜“重大交易与进展”</t>
        </is>
      </c>
      <c r="M14" s="14" t="inlineStr">
        <is>
          <t>原始材料</t>
        </is>
      </c>
      <c r="N14" s="14" t="inlineStr">
        <is>
          <t>M3</t>
        </is>
      </c>
    </row>
    <row r="15">
      <c r="A15" s="14" t="inlineStr">
        <is>
          <t>CEG-11</t>
        </is>
      </c>
      <c r="B15" s="14" t="inlineStr">
        <is>
          <t>财务</t>
        </is>
      </c>
      <c r="C15" s="14" t="inlineStr">
        <is>
          <t>营业收入</t>
        </is>
      </c>
      <c r="D15" s="14" t="inlineStr">
        <is>
          <t>Constellation</t>
        </is>
      </c>
      <c r="E15" s="32" t="n">
        <v>25533</v>
      </c>
      <c r="F15" s="14" t="inlineStr">
        <is>
          <t>百万美元</t>
        </is>
      </c>
      <c r="G15" s="14" t="inlineStr">
        <is>
          <t>2025</t>
        </is>
      </c>
      <c r="H15" s="14" t="inlineStr">
        <is>
          <t>披露事实</t>
        </is>
      </c>
      <c r="I15" s="14" t="inlineStr">
        <is>
          <t>2024 年 23568</t>
        </is>
      </c>
      <c r="J15" s="14" t="inlineStr">
        <is>
          <t>Constellation Energy Corp. 10-K 年报（2025 财年）</t>
        </is>
      </c>
      <c r="K15" s="14" t="inlineStr">
        <is>
          <t>2026-02-24（签署日）</t>
        </is>
      </c>
      <c r="L15" s="14" t="inlineStr">
        <is>
          <t>材料/Constellation_2025年报__ceg-20251231.htm｜MD&amp;A 经营业绩</t>
        </is>
      </c>
      <c r="M15" s="14" t="inlineStr">
        <is>
          <t>原始材料</t>
        </is>
      </c>
      <c r="N15" s="14" t="inlineStr">
        <is>
          <t>M2</t>
        </is>
      </c>
    </row>
    <row r="16">
      <c r="A16" s="14" t="inlineStr">
        <is>
          <t>CEG-12</t>
        </is>
      </c>
      <c r="B16" s="14" t="inlineStr">
        <is>
          <t>财务</t>
        </is>
      </c>
      <c r="C16" s="14" t="inlineStr">
        <is>
          <t>营业收入</t>
        </is>
      </c>
      <c r="D16" s="14" t="inlineStr">
        <is>
          <t>Constellation</t>
        </is>
      </c>
      <c r="E16" s="32" t="n">
        <v>23568</v>
      </c>
      <c r="F16" s="14" t="inlineStr">
        <is>
          <t>百万美元</t>
        </is>
      </c>
      <c r="G16" s="14" t="inlineStr">
        <is>
          <t>2024</t>
        </is>
      </c>
      <c r="H16" s="14" t="inlineStr">
        <is>
          <t>披露事实</t>
        </is>
      </c>
      <c r="I16" s="14" t="inlineStr"/>
      <c r="J16" s="14" t="inlineStr">
        <is>
          <t>Constellation Energy Corp. 10-K 年报（2025 财年）</t>
        </is>
      </c>
      <c r="K16" s="14" t="inlineStr">
        <is>
          <t>2026-02-24（签署日）</t>
        </is>
      </c>
      <c r="L16" s="14" t="inlineStr">
        <is>
          <t>材料/Constellation_2025年报__ceg-20251231.htm｜MD&amp;A 经营业绩</t>
        </is>
      </c>
      <c r="M16" s="14" t="inlineStr">
        <is>
          <t>原始材料</t>
        </is>
      </c>
      <c r="N16" s="14" t="inlineStr">
        <is>
          <t>M2</t>
        </is>
      </c>
    </row>
    <row r="17">
      <c r="A17" s="14" t="inlineStr">
        <is>
          <t>CEG-13</t>
        </is>
      </c>
      <c r="B17" s="14" t="inlineStr">
        <is>
          <t>财务</t>
        </is>
      </c>
      <c r="C17" s="14" t="inlineStr">
        <is>
          <t>归母净利润</t>
        </is>
      </c>
      <c r="D17" s="14" t="inlineStr">
        <is>
          <t>Constellation</t>
        </is>
      </c>
      <c r="E17" s="32" t="n">
        <v>2319</v>
      </c>
      <c r="F17" s="14" t="inlineStr">
        <is>
          <t>百万美元</t>
        </is>
      </c>
      <c r="G17" s="14" t="inlineStr">
        <is>
          <t>2025</t>
        </is>
      </c>
      <c r="H17" s="14" t="inlineStr">
        <is>
          <t>披露事实</t>
        </is>
      </c>
      <c r="I17" s="14" t="inlineStr">
        <is>
          <t>2024 年 3749（核电 PTC 收入下降等）</t>
        </is>
      </c>
      <c r="J17" s="14" t="inlineStr">
        <is>
          <t>Constellation Energy Corp. 10-K 年报（2025 财年）</t>
        </is>
      </c>
      <c r="K17" s="14" t="inlineStr">
        <is>
          <t>2026-02-24（签署日）</t>
        </is>
      </c>
      <c r="L17" s="14" t="inlineStr">
        <is>
          <t>材料/Constellation_2025年报__ceg-20251231.htm｜MD&amp;A 经营业绩</t>
        </is>
      </c>
      <c r="M17" s="14" t="inlineStr">
        <is>
          <t>原始材料</t>
        </is>
      </c>
      <c r="N17" s="14" t="inlineStr">
        <is>
          <t>M2</t>
        </is>
      </c>
    </row>
    <row r="18">
      <c r="A18" s="14" t="inlineStr">
        <is>
          <t>CEG-14</t>
        </is>
      </c>
      <c r="B18" s="14" t="inlineStr">
        <is>
          <t>财务</t>
        </is>
      </c>
      <c r="C18" s="14" t="inlineStr">
        <is>
          <t>营业收入</t>
        </is>
      </c>
      <c r="D18" s="14" t="inlineStr">
        <is>
          <t>Constellation</t>
        </is>
      </c>
      <c r="E18" s="32" t="n">
        <v>18626</v>
      </c>
      <c r="F18" s="14" t="inlineStr">
        <is>
          <t>百万美元</t>
        </is>
      </c>
      <c r="G18" s="14" t="inlineStr">
        <is>
          <t>2026H1</t>
        </is>
      </c>
      <c r="H18" s="14" t="inlineStr">
        <is>
          <t>披露事实</t>
        </is>
      </c>
      <c r="I18" s="14" t="inlineStr">
        <is>
          <t>含 Calpine；2025H1 为 12889</t>
        </is>
      </c>
      <c r="J18" s="14" t="inlineStr">
        <is>
          <t>Constellation Energy Corp. 10-Q 季报（截至 2026-06-30 的季度）</t>
        </is>
      </c>
      <c r="K18" s="14" t="inlineStr">
        <is>
          <t>2026-08-06（签署日）</t>
        </is>
      </c>
      <c r="L18" s="14" t="inlineStr">
        <is>
          <t>材料/Constellation_2026Q2季报__ceg-20260630.htm｜合并利润表</t>
        </is>
      </c>
      <c r="M18" s="14" t="inlineStr">
        <is>
          <t>原始材料</t>
        </is>
      </c>
      <c r="N18" s="14" t="inlineStr">
        <is>
          <t>M3</t>
        </is>
      </c>
    </row>
    <row r="19">
      <c r="A19" s="14" t="inlineStr">
        <is>
          <t>CEG-15</t>
        </is>
      </c>
      <c r="B19" s="14" t="inlineStr">
        <is>
          <t>财务</t>
        </is>
      </c>
      <c r="C19" s="14" t="inlineStr">
        <is>
          <t>营业收入</t>
        </is>
      </c>
      <c r="D19" s="14" t="inlineStr">
        <is>
          <t>Constellation</t>
        </is>
      </c>
      <c r="E19" s="32" t="n">
        <v>12889</v>
      </c>
      <c r="F19" s="14" t="inlineStr">
        <is>
          <t>百万美元</t>
        </is>
      </c>
      <c r="G19" s="14" t="inlineStr">
        <is>
          <t>2025H1</t>
        </is>
      </c>
      <c r="H19" s="14" t="inlineStr">
        <is>
          <t>披露事实</t>
        </is>
      </c>
      <c r="I19" s="14" t="inlineStr"/>
      <c r="J19" s="14" t="inlineStr">
        <is>
          <t>Constellation Energy Corp. 10-Q 季报（截至 2026-06-30 的季度）</t>
        </is>
      </c>
      <c r="K19" s="14" t="inlineStr">
        <is>
          <t>2026-08-06（签署日）</t>
        </is>
      </c>
      <c r="L19" s="14" t="inlineStr">
        <is>
          <t>材料/Constellation_2026Q2季报__ceg-20260630.htm｜合并利润表</t>
        </is>
      </c>
      <c r="M19" s="14" t="inlineStr">
        <is>
          <t>原始材料</t>
        </is>
      </c>
      <c r="N19" s="14" t="inlineStr">
        <is>
          <t>M3</t>
        </is>
      </c>
    </row>
    <row r="20">
      <c r="A20" s="14" t="inlineStr">
        <is>
          <t>CEG-16</t>
        </is>
      </c>
      <c r="B20" s="14" t="inlineStr">
        <is>
          <t>财务</t>
        </is>
      </c>
      <c r="C20" s="14" t="inlineStr">
        <is>
          <t>资本开支</t>
        </is>
      </c>
      <c r="D20" s="14" t="inlineStr">
        <is>
          <t>Constellation</t>
        </is>
      </c>
      <c r="E20" s="32" t="n">
        <v>2949</v>
      </c>
      <c r="F20" s="14" t="inlineStr">
        <is>
          <t>百万美元</t>
        </is>
      </c>
      <c r="G20" s="14" t="inlineStr">
        <is>
          <t>2025</t>
        </is>
      </c>
      <c r="H20" s="14" t="inlineStr">
        <is>
          <t>披露事实</t>
        </is>
      </c>
      <c r="I20" s="14" t="inlineStr">
        <is>
          <t>2024 年 2565</t>
        </is>
      </c>
      <c r="J20" s="14" t="inlineStr">
        <is>
          <t>Constellation Energy Corp. 10-K 年报（2025 财年）</t>
        </is>
      </c>
      <c r="K20" s="14" t="inlineStr">
        <is>
          <t>2026-02-24（签署日）</t>
        </is>
      </c>
      <c r="L20" s="14" t="inlineStr">
        <is>
          <t>材料/Constellation_2025年报__ceg-20251231.htm｜合并现金流量表</t>
        </is>
      </c>
      <c r="M20" s="14" t="inlineStr">
        <is>
          <t>原始材料</t>
        </is>
      </c>
      <c r="N20" s="14" t="inlineStr">
        <is>
          <t>M2</t>
        </is>
      </c>
    </row>
    <row r="21">
      <c r="A21" s="14" t="inlineStr">
        <is>
          <t>CEG-17</t>
        </is>
      </c>
      <c r="B21" s="14" t="inlineStr">
        <is>
          <t>财务</t>
        </is>
      </c>
      <c r="C21" s="14" t="inlineStr">
        <is>
          <t>资本开支预估（含 Calpine）</t>
        </is>
      </c>
      <c r="D21" s="14" t="inlineStr">
        <is>
          <t>Constellation</t>
        </is>
      </c>
      <c r="E21" s="34" t="n">
        <v>5.7</v>
      </c>
      <c r="F21" s="14" t="inlineStr">
        <is>
          <t>十亿美元</t>
        </is>
      </c>
      <c r="G21" s="14" t="inlineStr">
        <is>
          <t>2026E</t>
        </is>
      </c>
      <c r="H21" s="14" t="inlineStr">
        <is>
          <t>公司指引</t>
        </is>
      </c>
      <c r="I21" s="14" t="inlineStr">
        <is>
          <t>其中增长性资本开支 39 亿美元（Crane 重启、核电增容、共址基础设施、延寿）；约 29% 为核燃料</t>
        </is>
      </c>
      <c r="J21" s="14" t="inlineStr">
        <is>
          <t>Constellation Energy Corp. 10-K 年报（2025 财年）</t>
        </is>
      </c>
      <c r="K21" s="14" t="inlineStr">
        <is>
          <t>2026-02-24（签署日）</t>
        </is>
      </c>
      <c r="L21" s="14" t="inlineStr">
        <is>
          <t>材料/Constellation_2025年报__ceg-20251231.htm｜“流动性与资本资源”</t>
        </is>
      </c>
      <c r="M21" s="14" t="inlineStr">
        <is>
          <t>原始材料</t>
        </is>
      </c>
      <c r="N21" s="14" t="inlineStr">
        <is>
          <t>M2</t>
        </is>
      </c>
    </row>
    <row r="22">
      <c r="A22" s="14" t="inlineStr">
        <is>
          <t>CEG-18</t>
        </is>
      </c>
      <c r="B22" s="14" t="inlineStr">
        <is>
          <t>财务</t>
        </is>
      </c>
      <c r="C22" s="14" t="inlineStr">
        <is>
          <t>资本开支预估（含 Calpine）</t>
        </is>
      </c>
      <c r="D22" s="14" t="inlineStr">
        <is>
          <t>Constellation</t>
        </is>
      </c>
      <c r="E22" s="34" t="n">
        <v>4.7</v>
      </c>
      <c r="F22" s="14" t="inlineStr">
        <is>
          <t>十亿美元</t>
        </is>
      </c>
      <c r="G22" s="14" t="inlineStr">
        <is>
          <t>2027E</t>
        </is>
      </c>
      <c r="H22" s="14" t="inlineStr">
        <is>
          <t>公司指引</t>
        </is>
      </c>
      <c r="I22" s="14" t="inlineStr"/>
      <c r="J22" s="14" t="inlineStr">
        <is>
          <t>Constellation Energy Corp. 10-K 年报（2025 财年）</t>
        </is>
      </c>
      <c r="K22" s="14" t="inlineStr">
        <is>
          <t>2026-02-24（签署日）</t>
        </is>
      </c>
      <c r="L22" s="14" t="inlineStr">
        <is>
          <t>材料/Constellation_2025年报__ceg-20251231.htm｜“流动性与资本资源”</t>
        </is>
      </c>
      <c r="M22" s="14" t="inlineStr">
        <is>
          <t>原始材料</t>
        </is>
      </c>
      <c r="N22" s="14" t="inlineStr">
        <is>
          <t>M2</t>
        </is>
      </c>
    </row>
    <row r="23">
      <c r="A23" s="14" t="inlineStr">
        <is>
          <t>CEG-19</t>
        </is>
      </c>
      <c r="B23" s="14" t="inlineStr">
        <is>
          <t>财务</t>
        </is>
      </c>
      <c r="C23" s="14" t="inlineStr">
        <is>
          <t>资本开支</t>
        </is>
      </c>
      <c r="D23" s="14" t="inlineStr">
        <is>
          <t>Constellation</t>
        </is>
      </c>
      <c r="E23" s="32" t="n">
        <v>2521</v>
      </c>
      <c r="F23" s="14" t="inlineStr">
        <is>
          <t>百万美元</t>
        </is>
      </c>
      <c r="G23" s="14" t="inlineStr">
        <is>
          <t>2026H1</t>
        </is>
      </c>
      <c r="H23" s="14" t="inlineStr">
        <is>
          <t>披露事实</t>
        </is>
      </c>
      <c r="I23" s="14" t="inlineStr">
        <is>
          <t>2025H1 为 1573</t>
        </is>
      </c>
      <c r="J23" s="14" t="inlineStr">
        <is>
          <t>Constellation Energy Corp. 10-Q 季报（截至 2026-06-30 的季度）</t>
        </is>
      </c>
      <c r="K23" s="14" t="inlineStr">
        <is>
          <t>2026-08-06（签署日）</t>
        </is>
      </c>
      <c r="L23" s="14" t="inlineStr">
        <is>
          <t>材料/Constellation_2026Q2季报__ceg-20260630.htm｜合并现金流量表</t>
        </is>
      </c>
      <c r="M23" s="14" t="inlineStr">
        <is>
          <t>原始材料</t>
        </is>
      </c>
      <c r="N23" s="14" t="inlineStr">
        <is>
          <t>M3</t>
        </is>
      </c>
    </row>
    <row r="24">
      <c r="A24" s="14" t="inlineStr">
        <is>
          <t>CEG-20</t>
        </is>
      </c>
      <c r="B24" s="14" t="inlineStr">
        <is>
          <t>协议</t>
        </is>
      </c>
      <c r="C24" s="14" t="inlineStr">
        <is>
          <t>Crane（原三哩岛 1 号机组）重启后装机</t>
        </is>
      </c>
      <c r="D24" s="14" t="inlineStr">
        <is>
          <t>Constellation → 微软</t>
        </is>
      </c>
      <c r="E24" s="32" t="n">
        <v>835</v>
      </c>
      <c r="F24" s="14" t="inlineStr">
        <is>
          <t>MW</t>
        </is>
      </c>
      <c r="G24" s="14" t="inlineStr">
        <is>
          <t>2024-09 签约</t>
        </is>
      </c>
      <c r="H24" s="14" t="inlineStr">
        <is>
          <t>披露事实</t>
        </is>
      </c>
      <c r="I24" s="14" t="inlineStr">
        <is>
          <t>20 年购电协议，微软购买电量、容量与零排放属性，用于其 PJM 区域数据中心</t>
        </is>
      </c>
      <c r="J24" s="14" t="inlineStr">
        <is>
          <t>Constellation Energy Corp. 10-K 年报（2025 财年）</t>
        </is>
      </c>
      <c r="K24" s="14" t="inlineStr">
        <is>
          <t>2026-02-24（签署日）</t>
        </is>
      </c>
      <c r="L24" s="14" t="inlineStr">
        <is>
          <t>材料/Constellation_2025年报__ceg-20251231.htm｜“核电设施”</t>
        </is>
      </c>
      <c r="M24" s="14" t="inlineStr">
        <is>
          <t>原始材料</t>
        </is>
      </c>
      <c r="N24" s="14" t="inlineStr">
        <is>
          <t>M2</t>
        </is>
      </c>
    </row>
    <row r="25">
      <c r="A25" s="14" t="inlineStr">
        <is>
          <t>CEG-21</t>
        </is>
      </c>
      <c r="B25" s="14" t="inlineStr">
        <is>
          <t>协议</t>
        </is>
      </c>
      <c r="C25" s="14" t="inlineStr">
        <is>
          <t>Crane 重启贷款担保（美国能源部）</t>
        </is>
      </c>
      <c r="D25" s="14" t="inlineStr">
        <is>
          <t>Constellation</t>
        </is>
      </c>
      <c r="E25" s="32" t="n">
        <v>1</v>
      </c>
      <c r="F25" s="14" t="inlineStr">
        <is>
          <t>十亿美元</t>
        </is>
      </c>
      <c r="G25" s="14" t="inlineStr">
        <is>
          <t>2025-11</t>
        </is>
      </c>
      <c r="H25" s="14" t="inlineStr">
        <is>
          <t>披露事实</t>
        </is>
      </c>
      <c r="I25" s="14" t="inlineStr">
        <is>
          <t>联邦融资银行贷款，美国国债利率 + 0.375%；到期日 10-K 两处分别写 2055 年 10 月和 11 月</t>
        </is>
      </c>
      <c r="J25" s="14" t="inlineStr">
        <is>
          <t>Constellation Energy Corp. 10-K 年报（2025 财年）</t>
        </is>
      </c>
      <c r="K25" s="14" t="inlineStr">
        <is>
          <t>2026-02-24（签署日）</t>
        </is>
      </c>
      <c r="L25" s="14" t="inlineStr">
        <is>
          <t>材料/Constellation_2025年报__ceg-20251231.htm｜附注 16；MD&amp;A</t>
        </is>
      </c>
      <c r="M25" s="14" t="inlineStr">
        <is>
          <t>原始材料</t>
        </is>
      </c>
      <c r="N25" s="14" t="inlineStr">
        <is>
          <t>M2</t>
        </is>
      </c>
    </row>
    <row r="26">
      <c r="A26" s="14" t="inlineStr">
        <is>
          <t>CEG-22</t>
        </is>
      </c>
      <c r="B26" s="14" t="inlineStr">
        <is>
          <t>协议</t>
        </is>
      </c>
      <c r="C26" s="14" t="inlineStr">
        <is>
          <t>Crane 并网：PJM 研究显示部分输电升级最晚至</t>
        </is>
      </c>
      <c r="D26" s="14" t="inlineStr">
        <is>
          <t>Constellation</t>
        </is>
      </c>
      <c r="E26" s="32" t="n">
        <v>2030</v>
      </c>
      <c r="F26" s="14" t="inlineStr">
        <is>
          <t>年</t>
        </is>
      </c>
      <c r="G26" s="14" t="inlineStr">
        <is>
          <t>2026-06</t>
        </is>
      </c>
      <c r="H26" s="14" t="inlineStr">
        <is>
          <t>披露事实</t>
        </is>
      </c>
      <c r="I26" s="14" t="inlineStr">
        <is>
          <t>2026 年 3 月申请将 Eddystone 容量并网权转给 Crane，FERC 于 2026 年 6 月批准</t>
        </is>
      </c>
      <c r="J26" s="14" t="inlineStr">
        <is>
          <t>Constellation Energy Corp. 10-Q 季报（截至 2026-06-30 的季度）</t>
        </is>
      </c>
      <c r="K26" s="14" t="inlineStr">
        <is>
          <t>2026-08-06（签署日）</t>
        </is>
      </c>
      <c r="L26" s="14" t="inlineStr">
        <is>
          <t>材料/Constellation_2026Q2季报__ceg-20260630.htm｜附注 3 监管事项</t>
        </is>
      </c>
      <c r="M26" s="14" t="inlineStr">
        <is>
          <t>原始材料</t>
        </is>
      </c>
      <c r="N26" s="14" t="inlineStr">
        <is>
          <t>M3</t>
        </is>
      </c>
    </row>
    <row r="27">
      <c r="A27" s="14" t="inlineStr">
        <is>
          <t>CEG-23</t>
        </is>
      </c>
      <c r="B27" s="14" t="inlineStr">
        <is>
          <t>协议</t>
        </is>
      </c>
      <c r="C27" s="14" t="inlineStr">
        <is>
          <t>Clinton 核电站净装机</t>
        </is>
      </c>
      <c r="D27" s="14" t="inlineStr">
        <is>
          <t>Constellation → Meta</t>
        </is>
      </c>
      <c r="E27" s="32" t="n">
        <v>1092</v>
      </c>
      <c r="F27" s="14" t="inlineStr">
        <is>
          <t>MW</t>
        </is>
      </c>
      <c r="G27" s="14" t="inlineStr">
        <is>
          <t>2025-12-31</t>
        </is>
      </c>
      <c r="H27" s="14" t="inlineStr">
        <is>
          <t>披露事实</t>
        </is>
      </c>
      <c r="I27" s="14" t="inlineStr">
        <is>
          <t>20 年购电协议，2027 年 6 月起；另增容 30 MW（2029 年完成）</t>
        </is>
      </c>
      <c r="J27" s="14" t="inlineStr">
        <is>
          <t>Constellation Energy Corp. 10-K 年报（2025 财年）</t>
        </is>
      </c>
      <c r="K27" s="14" t="inlineStr">
        <is>
          <t>2026-02-24（签署日）</t>
        </is>
      </c>
      <c r="L27" s="14" t="inlineStr">
        <is>
          <t>材料/Constellation_2025年报__ceg-20251231.htm｜第 2 项“物业”；MD&amp;A</t>
        </is>
      </c>
      <c r="M27" s="14" t="inlineStr">
        <is>
          <t>原始材料</t>
        </is>
      </c>
      <c r="N27" s="14" t="inlineStr">
        <is>
          <t>M2</t>
        </is>
      </c>
    </row>
    <row r="28">
      <c r="A28" s="14" t="inlineStr">
        <is>
          <t>CEG-24</t>
        </is>
      </c>
      <c r="B28" s="14" t="inlineStr">
        <is>
          <t>协议</t>
        </is>
      </c>
      <c r="C28" s="14" t="inlineStr">
        <is>
          <t>Clinton 增容</t>
        </is>
      </c>
      <c r="D28" s="14" t="inlineStr">
        <is>
          <t>Constellation → Meta</t>
        </is>
      </c>
      <c r="E28" s="32" t="n">
        <v>30</v>
      </c>
      <c r="F28" s="14" t="inlineStr">
        <is>
          <t>MW</t>
        </is>
      </c>
      <c r="G28" s="14" t="inlineStr">
        <is>
          <t>2029</t>
        </is>
      </c>
      <c r="H28" s="14" t="inlineStr">
        <is>
          <t>公司指引</t>
        </is>
      </c>
      <c r="I28" s="14" t="inlineStr"/>
      <c r="J28" s="14" t="inlineStr">
        <is>
          <t>Constellation Energy Corp. 10-K 年报（2025 财年）</t>
        </is>
      </c>
      <c r="K28" s="14" t="inlineStr">
        <is>
          <t>2026-02-24（签署日）</t>
        </is>
      </c>
      <c r="L28" s="14" t="inlineStr">
        <is>
          <t>材料/Constellation_2025年报__ceg-20251231.htm｜MD&amp;A“Clinton 清洁能源中心”</t>
        </is>
      </c>
      <c r="M28" s="14" t="inlineStr">
        <is>
          <t>原始材料</t>
        </is>
      </c>
      <c r="N28" s="14" t="inlineStr">
        <is>
          <t>M2</t>
        </is>
      </c>
    </row>
    <row r="29">
      <c r="A29" s="14" t="inlineStr">
        <is>
          <t>CEG-25</t>
        </is>
      </c>
      <c r="B29" s="14" t="inlineStr">
        <is>
          <t>协议</t>
        </is>
      </c>
      <c r="C29" s="14" t="inlineStr">
        <is>
          <t>CyrusOne 数据中心接入（Freestone 一期）</t>
        </is>
      </c>
      <c r="D29" s="14" t="inlineStr">
        <is>
          <t>Constellation → CyrusOne</t>
        </is>
      </c>
      <c r="E29" s="32" t="n">
        <v>380</v>
      </c>
      <c r="F29" s="14" t="inlineStr">
        <is>
          <t>MW</t>
        </is>
      </c>
      <c r="G29" s="14" t="inlineStr">
        <is>
          <t>2026Q1</t>
        </is>
      </c>
      <c r="H29" s="14" t="inlineStr">
        <is>
          <t>披露事实</t>
        </is>
      </c>
      <c r="I29" s="14" t="inlineStr">
        <is>
          <t>紧邻得州 Freestone 能源中心；二期再 380 MW 为独家协议</t>
        </is>
      </c>
      <c r="J29" s="14" t="inlineStr">
        <is>
          <t>Constellation Energy Corp. 10-Q 季报（截至 2026-06-30 的季度）</t>
        </is>
      </c>
      <c r="K29" s="14" t="inlineStr">
        <is>
          <t>2026-08-06（签署日）</t>
        </is>
      </c>
      <c r="L29" s="14" t="inlineStr">
        <is>
          <t>材料/Constellation_2026Q2季报__ceg-20260630.htm｜“Freestone 新数据中心设施”</t>
        </is>
      </c>
      <c r="M29" s="14" t="inlineStr">
        <is>
          <t>原始材料</t>
        </is>
      </c>
      <c r="N29" s="14" t="inlineStr">
        <is>
          <t>M3</t>
        </is>
      </c>
    </row>
    <row r="30">
      <c r="A30" s="14" t="inlineStr">
        <is>
          <t>CEG-26</t>
        </is>
      </c>
      <c r="B30" s="14" t="inlineStr">
        <is>
          <t>协议</t>
        </is>
      </c>
      <c r="C30" s="14" t="inlineStr">
        <is>
          <t>CyrusOne 数据中心接入（Freestone 二期，独家）</t>
        </is>
      </c>
      <c r="D30" s="14" t="inlineStr">
        <is>
          <t>Constellation → CyrusOne</t>
        </is>
      </c>
      <c r="E30" s="32" t="n">
        <v>380</v>
      </c>
      <c r="F30" s="14" t="inlineStr">
        <is>
          <t>MW</t>
        </is>
      </c>
      <c r="G30" s="14" t="inlineStr">
        <is>
          <t>2026Q1</t>
        </is>
      </c>
      <c r="H30" s="14" t="inlineStr">
        <is>
          <t>披露事实</t>
        </is>
      </c>
      <c r="I30" s="14" t="inlineStr">
        <is>
          <t>独家协议</t>
        </is>
      </c>
      <c r="J30" s="14" t="inlineStr">
        <is>
          <t>Constellation Energy Corp. 10-Q 季报（截至 2026-06-30 的季度）</t>
        </is>
      </c>
      <c r="K30" s="14" t="inlineStr">
        <is>
          <t>2026-08-06（签署日）</t>
        </is>
      </c>
      <c r="L30" s="14" t="inlineStr">
        <is>
          <t>材料/Constellation_2026Q2季报__ceg-20260630.htm｜同上</t>
        </is>
      </c>
      <c r="M30" s="14" t="inlineStr">
        <is>
          <t>原始材料</t>
        </is>
      </c>
      <c r="N30" s="14" t="inlineStr">
        <is>
          <t>M3</t>
        </is>
      </c>
    </row>
    <row r="31">
      <c r="A31" s="14" t="inlineStr">
        <is>
          <t>CEG-27</t>
        </is>
      </c>
      <c r="B31" s="14" t="inlineStr">
        <is>
          <t>协议</t>
        </is>
      </c>
      <c r="C31" s="14" t="inlineStr">
        <is>
          <t>Calpine 与 CyrusOne（Thad Hill 能源中心）</t>
        </is>
      </c>
      <c r="D31" s="14" t="inlineStr">
        <is>
          <t>Calpine → CyrusOne</t>
        </is>
      </c>
      <c r="E31" s="32" t="n">
        <v>400</v>
      </c>
      <c r="F31" s="14" t="inlineStr">
        <is>
          <t>MW</t>
        </is>
      </c>
      <c r="G31" s="14" t="inlineStr">
        <is>
          <t>2025 下半年</t>
        </is>
      </c>
      <c r="H31" s="14" t="inlineStr">
        <is>
          <t>披露事实</t>
        </is>
      </c>
      <c r="I31" s="14" t="inlineStr">
        <is>
          <t>得州 Bosque 县</t>
        </is>
      </c>
      <c r="J31" s="14" t="inlineStr">
        <is>
          <t>Constellation Energy Corp. 10-Q 季报（截至 2026-06-30 的季度）</t>
        </is>
      </c>
      <c r="K31" s="14" t="inlineStr">
        <is>
          <t>2026-08-06（签署日）</t>
        </is>
      </c>
      <c r="L31" s="14" t="inlineStr">
        <is>
          <t>材料/Constellation_2026Q2季报__ceg-20260630.htm｜同上</t>
        </is>
      </c>
      <c r="M31" s="14" t="inlineStr">
        <is>
          <t>原始材料</t>
        </is>
      </c>
      <c r="N31" s="14" t="inlineStr">
        <is>
          <t>M3</t>
        </is>
      </c>
    </row>
    <row r="32">
      <c r="A32" s="14" t="inlineStr">
        <is>
          <t>CEG-28</t>
        </is>
      </c>
      <c r="B32" s="14" t="inlineStr">
        <is>
          <t>协议</t>
        </is>
      </c>
      <c r="C32" s="14" t="inlineStr">
        <is>
          <t>新签长期核电购电协议</t>
        </is>
      </c>
      <c r="D32" s="14" t="inlineStr">
        <is>
          <t>Constellation → 多家投资级客户</t>
        </is>
      </c>
      <c r="E32" s="32" t="n">
        <v>920</v>
      </c>
      <c r="F32" s="14" t="inlineStr">
        <is>
          <t>MW</t>
        </is>
      </c>
      <c r="G32" s="14" t="inlineStr">
        <is>
          <t>2026</t>
        </is>
      </c>
      <c r="H32" s="14" t="inlineStr">
        <is>
          <t>披露事实</t>
        </is>
      </c>
      <c r="I32" s="14" t="inlineStr">
        <is>
          <t>期限 15–20 年，2029–2032 年起；含沃尔玛 176 MW（支持 Dresden 增容 30 MW）</t>
        </is>
      </c>
      <c r="J32" s="14" t="inlineStr">
        <is>
          <t>Constellation Energy Corp. 10-Q 季报（截至 2026-06-30 的季度）</t>
        </is>
      </c>
      <c r="K32" s="14" t="inlineStr">
        <is>
          <t>2026-08-06（签署日）</t>
        </is>
      </c>
      <c r="L32" s="14" t="inlineStr">
        <is>
          <t>材料/Constellation_2026Q2季报__ceg-20260630.htm｜“长期核电购电协议”</t>
        </is>
      </c>
      <c r="M32" s="14" t="inlineStr">
        <is>
          <t>原始材料</t>
        </is>
      </c>
      <c r="N32" s="14" t="inlineStr">
        <is>
          <t>M3</t>
        </is>
      </c>
    </row>
    <row r="33">
      <c r="A33" s="14" t="inlineStr">
        <is>
          <t>CEG-29</t>
        </is>
      </c>
      <c r="B33" s="14" t="inlineStr">
        <is>
          <t>电价</t>
        </is>
      </c>
      <c r="C33" s="14" t="inlineStr">
        <is>
          <t>PJM West 平均电价</t>
        </is>
      </c>
      <c r="D33" s="14" t="inlineStr">
        <is>
          <t>PJM</t>
        </is>
      </c>
      <c r="E33" s="35" t="n">
        <v>50.19</v>
      </c>
      <c r="F33" s="14" t="inlineStr">
        <is>
          <t>美元/MWh</t>
        </is>
      </c>
      <c r="G33" s="14" t="inlineStr">
        <is>
          <t>2025</t>
        </is>
      </c>
      <c r="H33" s="14" t="inlineStr">
        <is>
          <t>披露事实</t>
        </is>
      </c>
      <c r="I33" s="14" t="inlineStr">
        <is>
          <t>2024 年 33.74，+48.8%</t>
        </is>
      </c>
      <c r="J33" s="14" t="inlineStr">
        <is>
          <t>Constellation Energy Corp. 10-K 年报（2025 财年）</t>
        </is>
      </c>
      <c r="K33" s="14" t="inlineStr">
        <is>
          <t>2026-02-24（签署日）</t>
        </is>
      </c>
      <c r="L33" s="14" t="inlineStr">
        <is>
          <t>材料/Constellation_2025年报__ceg-20251231.htm｜MD&amp;A“电价”</t>
        </is>
      </c>
      <c r="M33" s="14" t="inlineStr">
        <is>
          <t>原始材料</t>
        </is>
      </c>
      <c r="N33" s="14" t="inlineStr">
        <is>
          <t>M2</t>
        </is>
      </c>
    </row>
    <row r="34">
      <c r="A34" s="14" t="inlineStr">
        <is>
          <t>CEG-30</t>
        </is>
      </c>
      <c r="B34" s="14" t="inlineStr">
        <is>
          <t>电价</t>
        </is>
      </c>
      <c r="C34" s="14" t="inlineStr">
        <is>
          <t>PJM West 平均电价</t>
        </is>
      </c>
      <c r="D34" s="14" t="inlineStr">
        <is>
          <t>PJM</t>
        </is>
      </c>
      <c r="E34" s="35" t="n">
        <v>33.74</v>
      </c>
      <c r="F34" s="14" t="inlineStr">
        <is>
          <t>美元/MWh</t>
        </is>
      </c>
      <c r="G34" s="14" t="inlineStr">
        <is>
          <t>2024</t>
        </is>
      </c>
      <c r="H34" s="14" t="inlineStr">
        <is>
          <t>披露事实</t>
        </is>
      </c>
      <c r="I34" s="14" t="inlineStr"/>
      <c r="J34" s="14" t="inlineStr">
        <is>
          <t>Constellation Energy Corp. 10-K 年报（2025 财年）</t>
        </is>
      </c>
      <c r="K34" s="14" t="inlineStr">
        <is>
          <t>2026-02-24（签署日）</t>
        </is>
      </c>
      <c r="L34" s="14" t="inlineStr">
        <is>
          <t>材料/Constellation_2025年报__ceg-20251231.htm｜MD&amp;A“电价”</t>
        </is>
      </c>
      <c r="M34" s="14" t="inlineStr">
        <is>
          <t>原始材料</t>
        </is>
      </c>
      <c r="N34" s="14" t="inlineStr">
        <is>
          <t>M2</t>
        </is>
      </c>
    </row>
    <row r="35">
      <c r="A35" s="14" t="inlineStr">
        <is>
          <t>CEG-31</t>
        </is>
      </c>
      <c r="B35" s="14" t="inlineStr">
        <is>
          <t>电价</t>
        </is>
      </c>
      <c r="C35" s="14" t="inlineStr">
        <is>
          <t>PJM West 平均电价</t>
        </is>
      </c>
      <c r="D35" s="14" t="inlineStr">
        <is>
          <t>PJM</t>
        </is>
      </c>
      <c r="E35" s="35" t="n">
        <v>74.28</v>
      </c>
      <c r="F35" s="14" t="inlineStr">
        <is>
          <t>美元/MWh</t>
        </is>
      </c>
      <c r="G35" s="14" t="inlineStr">
        <is>
          <t>2026H1</t>
        </is>
      </c>
      <c r="H35" s="14" t="inlineStr">
        <is>
          <t>披露事实</t>
        </is>
      </c>
      <c r="I35" s="14" t="inlineStr">
        <is>
          <t>2025H1 为 48.06，+54.6%</t>
        </is>
      </c>
      <c r="J35" s="14" t="inlineStr">
        <is>
          <t>Constellation Energy Corp. 10-Q 季报（截至 2026-06-30 的季度）</t>
        </is>
      </c>
      <c r="K35" s="14" t="inlineStr">
        <is>
          <t>2026-08-06（签署日）</t>
        </is>
      </c>
      <c r="L35" s="14" t="inlineStr">
        <is>
          <t>材料/Constellation_2026Q2季报__ceg-20260630.htm｜MD&amp;A“电价”</t>
        </is>
      </c>
      <c r="M35" s="14" t="inlineStr">
        <is>
          <t>原始材料</t>
        </is>
      </c>
      <c r="N35" s="14" t="inlineStr">
        <is>
          <t>M3</t>
        </is>
      </c>
    </row>
    <row r="36">
      <c r="A36" s="14" t="inlineStr">
        <is>
          <t>CEG-32</t>
        </is>
      </c>
      <c r="B36" s="14" t="inlineStr">
        <is>
          <t>电价</t>
        </is>
      </c>
      <c r="C36" s="14" t="inlineStr">
        <is>
          <t>PJM West 平均电价</t>
        </is>
      </c>
      <c r="D36" s="14" t="inlineStr">
        <is>
          <t>PJM</t>
        </is>
      </c>
      <c r="E36" s="35" t="n">
        <v>48.06</v>
      </c>
      <c r="F36" s="14" t="inlineStr">
        <is>
          <t>美元/MWh</t>
        </is>
      </c>
      <c r="G36" s="14" t="inlineStr">
        <is>
          <t>2025H1</t>
        </is>
      </c>
      <c r="H36" s="14" t="inlineStr">
        <is>
          <t>披露事实</t>
        </is>
      </c>
      <c r="I36" s="14" t="inlineStr"/>
      <c r="J36" s="14" t="inlineStr">
        <is>
          <t>Constellation Energy Corp. 10-Q 季报（截至 2026-06-30 的季度）</t>
        </is>
      </c>
      <c r="K36" s="14" t="inlineStr">
        <is>
          <t>2026-08-06（签署日）</t>
        </is>
      </c>
      <c r="L36" s="14" t="inlineStr">
        <is>
          <t>材料/Constellation_2026Q2季报__ceg-20260630.htm｜MD&amp;A“电价”</t>
        </is>
      </c>
      <c r="M36" s="14" t="inlineStr">
        <is>
          <t>原始材料</t>
        </is>
      </c>
      <c r="N36" s="14" t="inlineStr">
        <is>
          <t>M3</t>
        </is>
      </c>
    </row>
    <row r="37">
      <c r="A37" s="14" t="inlineStr">
        <is>
          <t>CEG-33</t>
        </is>
      </c>
      <c r="B37" s="14" t="inlineStr">
        <is>
          <t>容量价格</t>
        </is>
      </c>
      <c r="C37" s="14" t="inlineStr">
        <is>
          <t>PJM 东部（EMAAC）平均容量价格</t>
        </is>
      </c>
      <c r="D37" s="14" t="inlineStr">
        <is>
          <t>PJM</t>
        </is>
      </c>
      <c r="E37" s="35" t="n">
        <v>179.79</v>
      </c>
      <c r="F37" s="14" t="inlineStr">
        <is>
          <t>美元/MW·天</t>
        </is>
      </c>
      <c r="G37" s="14" t="inlineStr">
        <is>
          <t>2025</t>
        </is>
      </c>
      <c r="H37" s="14" t="inlineStr">
        <is>
          <t>披露事实</t>
        </is>
      </c>
      <c r="I37" s="14" t="inlineStr">
        <is>
          <t>2024 年 51.89</t>
        </is>
      </c>
      <c r="J37" s="14" t="inlineStr">
        <is>
          <t>Constellation Energy Corp. 10-K 年报（2025 财年）</t>
        </is>
      </c>
      <c r="K37" s="14" t="inlineStr">
        <is>
          <t>2026-02-24（签署日）</t>
        </is>
      </c>
      <c r="L37" s="14" t="inlineStr">
        <is>
          <t>材料/Constellation_2025年报__ceg-20251231.htm｜MD&amp;A“容量价格”</t>
        </is>
      </c>
      <c r="M37" s="14" t="inlineStr">
        <is>
          <t>原始材料</t>
        </is>
      </c>
      <c r="N37" s="14" t="inlineStr">
        <is>
          <t>M2</t>
        </is>
      </c>
    </row>
    <row r="38">
      <c r="A38" s="14" t="inlineStr">
        <is>
          <t>CEG-34</t>
        </is>
      </c>
      <c r="B38" s="14" t="inlineStr">
        <is>
          <t>容量价格</t>
        </is>
      </c>
      <c r="C38" s="14" t="inlineStr">
        <is>
          <t>PJM 东部（EMAAC）平均容量价格</t>
        </is>
      </c>
      <c r="D38" s="14" t="inlineStr">
        <is>
          <t>PJM</t>
        </is>
      </c>
      <c r="E38" s="35" t="n">
        <v>51.89</v>
      </c>
      <c r="F38" s="14" t="inlineStr">
        <is>
          <t>美元/MW·天</t>
        </is>
      </c>
      <c r="G38" s="14" t="inlineStr">
        <is>
          <t>2024</t>
        </is>
      </c>
      <c r="H38" s="14" t="inlineStr">
        <is>
          <t>披露事实</t>
        </is>
      </c>
      <c r="I38" s="14" t="inlineStr"/>
      <c r="J38" s="14" t="inlineStr">
        <is>
          <t>Constellation Energy Corp. 10-K 年报（2025 财年）</t>
        </is>
      </c>
      <c r="K38" s="14" t="inlineStr">
        <is>
          <t>2026-02-24（签署日）</t>
        </is>
      </c>
      <c r="L38" s="14" t="inlineStr">
        <is>
          <t>材料/Constellation_2025年报__ceg-20251231.htm｜MD&amp;A“容量价格”</t>
        </is>
      </c>
      <c r="M38" s="14" t="inlineStr">
        <is>
          <t>原始材料</t>
        </is>
      </c>
      <c r="N38" s="14" t="inlineStr">
        <is>
          <t>M2</t>
        </is>
      </c>
    </row>
    <row r="39">
      <c r="A39" s="14" t="inlineStr">
        <is>
          <t>CEG-35</t>
        </is>
      </c>
      <c r="B39" s="14" t="inlineStr">
        <is>
          <t>容量价格</t>
        </is>
      </c>
      <c r="C39" s="14" t="inlineStr">
        <is>
          <t>PJM 东部（EMAAC）平均容量价格</t>
        </is>
      </c>
      <c r="D39" s="14" t="inlineStr">
        <is>
          <t>PJM</t>
        </is>
      </c>
      <c r="E39" s="35" t="n">
        <v>279.8</v>
      </c>
      <c r="F39" s="14" t="inlineStr">
        <is>
          <t>美元/MW·天</t>
        </is>
      </c>
      <c r="G39" s="14" t="inlineStr">
        <is>
          <t>2026H1</t>
        </is>
      </c>
      <c r="H39" s="14" t="inlineStr">
        <is>
          <t>披露事实</t>
        </is>
      </c>
      <c r="I39" s="14" t="inlineStr">
        <is>
          <t>2025H1 为 89.65</t>
        </is>
      </c>
      <c r="J39" s="14" t="inlineStr">
        <is>
          <t>Constellation Energy Corp. 10-Q 季报（截至 2026-06-30 的季度）</t>
        </is>
      </c>
      <c r="K39" s="14" t="inlineStr">
        <is>
          <t>2026-08-06（签署日）</t>
        </is>
      </c>
      <c r="L39" s="14" t="inlineStr">
        <is>
          <t>材料/Constellation_2026Q2季报__ceg-20260630.htm｜MD&amp;A“容量价格”</t>
        </is>
      </c>
      <c r="M39" s="14" t="inlineStr">
        <is>
          <t>原始材料</t>
        </is>
      </c>
      <c r="N39" s="14" t="inlineStr">
        <is>
          <t>M3</t>
        </is>
      </c>
    </row>
    <row r="40">
      <c r="A40" s="14" t="inlineStr">
        <is>
          <t>CEG-36</t>
        </is>
      </c>
      <c r="B40" s="14" t="inlineStr">
        <is>
          <t>容量价格</t>
        </is>
      </c>
      <c r="C40" s="14" t="inlineStr">
        <is>
          <t>PJM 2028/29 容量拍卖全网出清价（触及上限）</t>
        </is>
      </c>
      <c r="D40" s="14" t="inlineStr">
        <is>
          <t>PJM</t>
        </is>
      </c>
      <c r="E40" s="32" t="n">
        <v>325</v>
      </c>
      <c r="F40" s="14" t="inlineStr">
        <is>
          <t>美元/MW·天</t>
        </is>
      </c>
      <c r="G40" s="14" t="inlineStr">
        <is>
          <t>2026-07</t>
        </is>
      </c>
      <c r="H40" s="14" t="inlineStr">
        <is>
          <t>披露事实</t>
        </is>
      </c>
      <c r="I40" s="14" t="inlineStr">
        <is>
          <t>FERC 2026 年 4 月批准把约 175–325 美元的价格区间延用到 2028/29、2029/30 两期</t>
        </is>
      </c>
      <c r="J40" s="14" t="inlineStr">
        <is>
          <t>Constellation Energy Corp. 10-Q 季报（截至 2026-06-30 的季度）</t>
        </is>
      </c>
      <c r="K40" s="14" t="inlineStr">
        <is>
          <t>2026-08-06（签署日）</t>
        </is>
      </c>
      <c r="L40" s="14" t="inlineStr">
        <is>
          <t>材料/Constellation_2026Q2季报__ceg-20260630.htm｜“其他关键业务驱动因素—PJM 市场改革”</t>
        </is>
      </c>
      <c r="M40" s="14" t="inlineStr">
        <is>
          <t>原始材料</t>
        </is>
      </c>
      <c r="N40" s="14" t="inlineStr">
        <is>
          <t>M3</t>
        </is>
      </c>
    </row>
    <row r="41">
      <c r="A41" s="14" t="inlineStr">
        <is>
          <t>CEG-37</t>
        </is>
      </c>
      <c r="B41" s="14" t="inlineStr">
        <is>
          <t>政策</t>
        </is>
      </c>
      <c r="C41" s="14" t="inlineStr">
        <is>
          <t>核电生产税收抵免（PTC）上限</t>
        </is>
      </c>
      <c r="D41" s="14" t="inlineStr">
        <is>
          <t>美国</t>
        </is>
      </c>
      <c r="E41" s="32" t="n">
        <v>15</v>
      </c>
      <c r="F41" s="14" t="inlineStr">
        <is>
          <t>美元/MWh</t>
        </is>
      </c>
      <c r="G41" s="14" t="inlineStr">
        <is>
          <t>2024–2032</t>
        </is>
      </c>
      <c r="H41" s="14" t="inlineStr">
        <is>
          <t>披露事实</t>
        </is>
      </c>
      <c r="I41" s="14" t="inlineStr">
        <is>
          <t>随收入阈值递减，按通胀调整</t>
        </is>
      </c>
      <c r="J41" s="14" t="inlineStr">
        <is>
          <t>Constellation Energy Corp. 10-K 年报（2025 财年）</t>
        </is>
      </c>
      <c r="K41" s="14" t="inlineStr">
        <is>
          <t>2026-02-24（签署日）</t>
        </is>
      </c>
      <c r="L41" s="14" t="inlineStr">
        <is>
          <t>材料/Constellation_2025年报__ceg-20251231.htm｜MD&amp;A“核电 PTC”</t>
        </is>
      </c>
      <c r="M41" s="14" t="inlineStr">
        <is>
          <t>原始材料</t>
        </is>
      </c>
      <c r="N41" s="14" t="inlineStr">
        <is>
          <t>M2</t>
        </is>
      </c>
    </row>
  </sheetData>
  <autoFilter ref="A4:N41"/>
  <mergeCells count="1">
    <mergeCell ref="A2:N2"/>
  </mergeCells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W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22" customWidth="1" min="4" max="4"/>
    <col width="34" customWidth="1" min="5" max="5"/>
    <col width="13" customWidth="1" min="6" max="6"/>
    <col width="11" customWidth="1" min="7" max="7"/>
    <col width="16" customWidth="1" min="8" max="8"/>
    <col width="11" customWidth="1" min="9" max="9"/>
    <col width="13" customWidth="1" min="10" max="10"/>
    <col width="9" customWidth="1" min="11" max="11"/>
    <col width="20" customWidth="1" min="12" max="12"/>
    <col width="13" customWidth="1" min="13" max="13"/>
    <col width="10" customWidth="1" min="14" max="14"/>
    <col width="13" customWidth="1" min="15" max="15"/>
    <col width="40" customWidth="1" min="16" max="16"/>
    <col width="44" customWidth="1" min="17" max="17"/>
    <col width="12" customWidth="1" min="18" max="18"/>
    <col width="52" customWidth="1" min="19" max="19"/>
    <col width="11" customWidth="1" min="20" max="20"/>
    <col width="10" customWidth="1" min="21" max="21"/>
    <col width="36" customWidth="1" min="22" max="22"/>
    <col width="11" customWidth="1" min="23" max="23"/>
  </cols>
  <sheetData>
    <row r="1">
      <c r="A1" s="8" t="inlineStr">
        <is>
          <t>D6 核电（及其他）与科技公司的长期购电协议：逐笔明细</t>
        </is>
      </c>
    </row>
    <row r="2" ht="30" customHeight="1">
      <c r="A2" s="9" t="inlineStr">
        <is>
          <t>“容量”为合同或公告中的装机/合同容量；“计入确定合同”= 现役、重启、增容机组的确定购电协议（不含先进堆意向、供电合同、燃气共址与非科技公司）。年发电量当量 = 容量 × 核电容量系数（假设页）× 8760 ÷ 10^6。均未披露电价。</t>
        </is>
      </c>
    </row>
    <row r="4" ht="30" customHeight="1">
      <c r="A4" s="10" t="inlineStr">
        <is>
          <t>编号</t>
        </is>
      </c>
      <c r="B4" s="10" t="inlineStr">
        <is>
          <t>买方</t>
        </is>
      </c>
      <c r="C4" s="10" t="inlineStr">
        <is>
          <t>买方归类</t>
        </is>
      </c>
      <c r="D4" s="10" t="inlineStr">
        <is>
          <t>卖方/开发商</t>
        </is>
      </c>
      <c r="E4" s="10" t="inlineStr">
        <is>
          <t>电厂/项目</t>
        </is>
      </c>
      <c r="F4" s="10" t="inlineStr">
        <is>
          <t>技术类型</t>
        </is>
      </c>
      <c r="G4" s="10" t="inlineStr">
        <is>
          <t>归类</t>
        </is>
      </c>
      <c r="H4" s="10" t="inlineStr">
        <is>
          <t>合同性质</t>
        </is>
      </c>
      <c r="I4" s="10" t="inlineStr">
        <is>
          <t>容量（MW）</t>
        </is>
      </c>
      <c r="J4" s="10" t="inlineStr">
        <is>
          <t>其中新增上网容量（MW）</t>
        </is>
      </c>
      <c r="K4" s="10" t="inlineStr">
        <is>
          <t>期限（年）</t>
        </is>
      </c>
      <c r="L4" s="10" t="inlineStr">
        <is>
          <t>起始/目标</t>
        </is>
      </c>
      <c r="M4" s="10" t="inlineStr">
        <is>
          <t>公告日期</t>
        </is>
      </c>
      <c r="N4" s="10" t="inlineStr">
        <is>
          <t>计入“确定合同”合计</t>
        </is>
      </c>
      <c r="O4" s="10" t="inlineStr">
        <is>
          <t>年发电量当量（TWh，公式）</t>
        </is>
      </c>
      <c r="P4" s="10" t="inlineStr">
        <is>
          <t>结构说明</t>
        </is>
      </c>
      <c r="Q4" s="10" t="inlineStr">
        <is>
          <t>来源名称</t>
        </is>
      </c>
      <c r="R4" s="10" t="inlineStr">
        <is>
          <t>发布日期</t>
        </is>
      </c>
      <c r="S4" s="10" t="inlineStr">
        <is>
          <t>出处定位（文件章节或网页链接）</t>
        </is>
      </c>
      <c r="T4" s="10" t="inlineStr">
        <is>
          <t>访问日期</t>
        </is>
      </c>
      <c r="U4" s="10" t="inlineStr">
        <is>
          <t>性质</t>
        </is>
      </c>
      <c r="V4" s="10" t="inlineStr">
        <is>
          <t>备注</t>
        </is>
      </c>
      <c r="W4" s="10" t="inlineStr">
        <is>
          <t>来源编号</t>
        </is>
      </c>
    </row>
    <row r="5" ht="48" customHeight="1">
      <c r="A5" s="14" t="inlineStr">
        <is>
          <t>PPA-01</t>
        </is>
      </c>
      <c r="B5" s="14" t="inlineStr">
        <is>
          <t>微软</t>
        </is>
      </c>
      <c r="C5" s="14" t="inlineStr">
        <is>
          <t>微软</t>
        </is>
      </c>
      <c r="D5" s="14" t="inlineStr">
        <is>
          <t>Constellation</t>
        </is>
      </c>
      <c r="E5" s="14" t="inlineStr">
        <is>
          <t>Crane（原三哩岛 1 号，宾州，PJM）</t>
        </is>
      </c>
      <c r="F5" s="14" t="inlineStr">
        <is>
          <t>重启</t>
        </is>
      </c>
      <c r="G5" s="14" t="inlineStr">
        <is>
          <t>重启</t>
        </is>
      </c>
      <c r="H5" s="14" t="inlineStr">
        <is>
          <t>确定</t>
        </is>
      </c>
      <c r="I5" s="38" t="n">
        <v>835</v>
      </c>
      <c r="J5" s="38" t="n">
        <v>835</v>
      </c>
      <c r="K5" s="38" t="n">
        <v>20</v>
      </c>
      <c r="L5" s="14" t="inlineStr">
        <is>
          <t>2027 年（原定 2028）</t>
        </is>
      </c>
      <c r="M5" s="14" t="inlineStr">
        <is>
          <t>2024-09-20</t>
        </is>
      </c>
      <c r="N5" s="14" t="inlineStr">
        <is>
          <t>是</t>
        </is>
      </c>
      <c r="O5" s="39">
        <f>IF(N5="是",I5*'假设'!$C$11*'假设'!$C$12/1000000,0)</f>
        <v>6.656286</v>
      </c>
      <c r="P5" s="14" t="inlineStr">
        <is>
          <t>购电协议，电厂接入 PJM 电网</t>
        </is>
      </c>
      <c r="Q5" s="14" t="inlineStr">
        <is>
          <t>Constellation 新闻稿：启动 Crane 清洁能源中心（与微软签署 20 年协议）</t>
        </is>
      </c>
      <c r="R5" s="14" t="inlineStr">
        <is>
          <t>2024-09-20</t>
        </is>
      </c>
      <c r="S5" s="14" t="inlineStr">
        <is>
          <t>https://www.constellationenergy.com/news/2024/Constellation-to-Launch-Crane-Clean-Energy-Center-Restoring-Jobs-and-Carbon-Free-Power-to-The-Grid.html｜新闻稿；重启提前至 2027 见 2025-09-23 新闻稿；原始材料 10-K“核电设施”</t>
        </is>
      </c>
      <c r="T5" s="14" t="inlineStr">
        <is>
          <t>2026-10-22</t>
        </is>
      </c>
      <c r="U5" s="14" t="inlineStr">
        <is>
          <t>披露事实</t>
        </is>
      </c>
      <c r="V5" s="14" t="inlineStr">
        <is>
          <t>美国能源部 10 亿美元贷款（2025-11）</t>
        </is>
      </c>
      <c r="W5" s="14" t="inlineStr">
        <is>
          <t>CEG_CRANE24</t>
        </is>
      </c>
    </row>
    <row r="6" ht="48" customHeight="1">
      <c r="A6" s="14" t="inlineStr">
        <is>
          <t>PPA-02</t>
        </is>
      </c>
      <c r="B6" s="14" t="inlineStr">
        <is>
          <t>Meta</t>
        </is>
      </c>
      <c r="C6" s="14" t="inlineStr">
        <is>
          <t>Meta</t>
        </is>
      </c>
      <c r="D6" s="14" t="inlineStr">
        <is>
          <t>Constellation</t>
        </is>
      </c>
      <c r="E6" s="14" t="inlineStr">
        <is>
          <t>Clinton（伊利诺伊，MISO）</t>
        </is>
      </c>
      <c r="F6" s="14" t="inlineStr">
        <is>
          <t>现役 + 增容</t>
        </is>
      </c>
      <c r="G6" s="14" t="inlineStr">
        <is>
          <t>现役/增容</t>
        </is>
      </c>
      <c r="H6" s="14" t="inlineStr">
        <is>
          <t>确定</t>
        </is>
      </c>
      <c r="I6" s="38" t="n">
        <v>1121</v>
      </c>
      <c r="J6" s="38" t="n">
        <v>30</v>
      </c>
      <c r="K6" s="38" t="n">
        <v>20</v>
      </c>
      <c r="L6" s="14" t="inlineStr">
        <is>
          <t>2027-06</t>
        </is>
      </c>
      <c r="M6" s="14" t="inlineStr">
        <is>
          <t>2025-06-03</t>
        </is>
      </c>
      <c r="N6" s="14" t="inlineStr">
        <is>
          <t>是</t>
        </is>
      </c>
      <c r="O6" s="39">
        <f>IF(N6="是",I6*'假设'!$C$11*'假设'!$C$12/1000000,0)</f>
        <v>8.9361636</v>
      </c>
      <c r="P6" s="14" t="inlineStr">
        <is>
          <t>购电协议；接替伊州零排放补贴，支持延寿</t>
        </is>
      </c>
      <c r="Q6" s="14" t="inlineStr">
        <is>
          <t>Constellation 新闻稿：与 Meta 签署 20 年伊利诺伊核电协议</t>
        </is>
      </c>
      <c r="R6" s="14" t="inlineStr">
        <is>
          <t>2025-06-03</t>
        </is>
      </c>
      <c r="S6" s="14" t="inlineStr">
        <is>
          <t>https://www.constellationenergy.com/news/2025/constellation-meta-sign-20-year-deal-for-clean-reliable-nuclear-energy-in-illinois.html｜新闻稿；原始材料 10-K MD&amp;A“Clinton 清洁能源中心”</t>
        </is>
      </c>
      <c r="T6" s="14" t="inlineStr">
        <is>
          <t>2026-10-22</t>
        </is>
      </c>
      <c r="U6" s="14" t="inlineStr">
        <is>
          <t>披露事实</t>
        </is>
      </c>
      <c r="V6" s="14" t="inlineStr">
        <is>
          <t>10-K 物业表中 Clinton 净装机 1092 MW</t>
        </is>
      </c>
      <c r="W6" s="14" t="inlineStr">
        <is>
          <t>CEG_META</t>
        </is>
      </c>
    </row>
    <row r="7" ht="48" customHeight="1">
      <c r="A7" s="14" t="inlineStr">
        <is>
          <t>PPA-03</t>
        </is>
      </c>
      <c r="B7" s="14" t="inlineStr">
        <is>
          <t>亚马逊（AWS）</t>
        </is>
      </c>
      <c r="C7" s="14" t="inlineStr">
        <is>
          <t>亚马逊</t>
        </is>
      </c>
      <c r="D7" s="14" t="inlineStr">
        <is>
          <t>Talen Energy</t>
        </is>
      </c>
      <c r="E7" s="14" t="inlineStr">
        <is>
          <t>Susquehanna（宾州，PJM）</t>
        </is>
      </c>
      <c r="F7" s="14" t="inlineStr">
        <is>
          <t>现役</t>
        </is>
      </c>
      <c r="G7" s="14" t="inlineStr">
        <is>
          <t>现役/增容</t>
        </is>
      </c>
      <c r="H7" s="14" t="inlineStr">
        <is>
          <t>确定</t>
        </is>
      </c>
      <c r="I7" s="38" t="n">
        <v>1920</v>
      </c>
      <c r="J7" s="38" t="n">
        <v>0</v>
      </c>
      <c r="K7" s="38" t="n">
        <v>17</v>
      </c>
      <c r="L7" s="14" t="inlineStr">
        <is>
          <t>逐步爬坡，最迟 2032 年满量</t>
        </is>
      </c>
      <c r="M7" s="14" t="inlineStr">
        <is>
          <t>2025-06-11</t>
        </is>
      </c>
      <c r="N7" s="14" t="inlineStr">
        <is>
          <t>是</t>
        </is>
      </c>
      <c r="O7" s="39">
        <f>IF(N7="是",I7*'假设'!$C$11*'假设'!$C$12/1000000,0)</f>
        <v>15.305472</v>
      </c>
      <c r="P7" s="14" t="inlineStr">
        <is>
          <t>电网侧零售供电；过渡期 300 MW 表后</t>
        </is>
      </c>
      <c r="Q7" s="14" t="inlineStr">
        <is>
          <t>Talen Energy 8-K：扩大与亚马逊的核电合作</t>
        </is>
      </c>
      <c r="R7" s="14" t="inlineStr">
        <is>
          <t>2025-06-11</t>
        </is>
      </c>
      <c r="S7" s="14" t="inlineStr">
        <is>
          <t>https://www.sec.gov/Archives/edgar/data/1622536/000162828025030559/a20250611pressreleasebusin.htm｜8-K 新闻稿与投资者演示</t>
        </is>
      </c>
      <c r="T7" s="14" t="inlineStr">
        <is>
          <t>2026-10-22</t>
        </is>
      </c>
      <c r="U7" s="14" t="inlineStr">
        <is>
          <t>披露事实</t>
        </is>
      </c>
      <c r="V7" s="14" t="inlineStr">
        <is>
          <t>17 年名义收入约 180 亿美元（非价格）</t>
        </is>
      </c>
      <c r="W7" s="14" t="inlineStr">
        <is>
          <t>TALEN25</t>
        </is>
      </c>
    </row>
    <row r="8" ht="48" customHeight="1">
      <c r="A8" s="14" t="inlineStr">
        <is>
          <t>PPA-04</t>
        </is>
      </c>
      <c r="B8" s="14" t="inlineStr">
        <is>
          <t>亚马逊（AWS）</t>
        </is>
      </c>
      <c r="C8" s="14" t="inlineStr">
        <is>
          <t>亚马逊</t>
        </is>
      </c>
      <c r="D8" s="14" t="inlineStr">
        <is>
          <t>Vistra</t>
        </is>
      </c>
      <c r="E8" s="14" t="inlineStr">
        <is>
          <t>Comanche Peak（得州，ERCOT）</t>
        </is>
      </c>
      <c r="F8" s="14" t="inlineStr">
        <is>
          <t>现役</t>
        </is>
      </c>
      <c r="G8" s="14" t="inlineStr">
        <is>
          <t>现役/增容</t>
        </is>
      </c>
      <c r="H8" s="14" t="inlineStr">
        <is>
          <t>确定</t>
        </is>
      </c>
      <c r="I8" s="38" t="n">
        <v>1200</v>
      </c>
      <c r="J8" s="38" t="n">
        <v>0</v>
      </c>
      <c r="K8" s="38" t="n">
        <v>20</v>
      </c>
      <c r="L8" s="14" t="inlineStr">
        <is>
          <t>2027Q4 起，2032 年满量</t>
        </is>
      </c>
      <c r="M8" s="14" t="inlineStr">
        <is>
          <t>2026-02-26（披露买方）</t>
        </is>
      </c>
      <c r="N8" s="14" t="inlineStr">
        <is>
          <t>是</t>
        </is>
      </c>
      <c r="O8" s="39">
        <f>IF(N8="是",I8*'假设'!$C$11*'假设'!$C$12/1000000,0)</f>
        <v>9.56592</v>
      </c>
      <c r="P8" s="14" t="inlineStr">
        <is>
          <t>购电协议；物理结构未披露</t>
        </is>
      </c>
      <c r="Q8" s="14" t="inlineStr">
        <is>
          <t>Vistra 2025 年四季度及全年业绩新闻稿（Comanche Peak 与 AWS 协议）</t>
        </is>
      </c>
      <c r="R8" s="14" t="inlineStr">
        <is>
          <t>2026-02-26</t>
        </is>
      </c>
      <c r="S8" s="14" t="inlineStr">
        <is>
          <t>https://investor.vistracorp.com/2026-02-26-Vistra-Reports-Fourth-Quarter-and-Full-Year-2025-Results｜业绩新闻稿</t>
        </is>
      </c>
      <c r="T8" s="14" t="inlineStr">
        <is>
          <t>2026-10-22</t>
        </is>
      </c>
      <c r="U8" s="14" t="inlineStr">
        <is>
          <t>披露事实</t>
        </is>
      </c>
      <c r="V8" s="14" t="inlineStr">
        <is>
          <t>2025-09-29 8-K 首次披露时未点名买方</t>
        </is>
      </c>
      <c r="W8" s="14" t="inlineStr">
        <is>
          <t>VST_4Q25</t>
        </is>
      </c>
    </row>
    <row r="9" ht="48" customHeight="1">
      <c r="A9" s="14" t="inlineStr">
        <is>
          <t>PPA-05</t>
        </is>
      </c>
      <c r="B9" s="14" t="inlineStr">
        <is>
          <t>Meta</t>
        </is>
      </c>
      <c r="C9" s="14" t="inlineStr">
        <is>
          <t>Meta</t>
        </is>
      </c>
      <c r="D9" s="14" t="inlineStr">
        <is>
          <t>Vistra</t>
        </is>
      </c>
      <c r="E9" s="14" t="inlineStr">
        <is>
          <t>Perry、Davis-Besse（俄亥俄）及 Beaver Valley 增容（宾州），PJM</t>
        </is>
      </c>
      <c r="F9" s="14" t="inlineStr">
        <is>
          <t>现役 + 增容</t>
        </is>
      </c>
      <c r="G9" s="14" t="inlineStr">
        <is>
          <t>现役/增容</t>
        </is>
      </c>
      <c r="H9" s="14" t="inlineStr">
        <is>
          <t>确定</t>
        </is>
      </c>
      <c r="I9" s="38" t="n">
        <v>2609</v>
      </c>
      <c r="J9" s="38" t="n">
        <v>433</v>
      </c>
      <c r="K9" s="38" t="n">
        <v>20</v>
      </c>
      <c r="L9" s="14" t="inlineStr">
        <is>
          <t>2026 年底起；增容 2031–2034</t>
        </is>
      </c>
      <c r="M9" s="14" t="inlineStr">
        <is>
          <t>2026-01-09</t>
        </is>
      </c>
      <c r="N9" s="14" t="inlineStr">
        <is>
          <t>是</t>
        </is>
      </c>
      <c r="O9" s="39">
        <f>IF(N9="是",I9*'假设'!$C$11*'假设'!$C$12/1000000,0)</f>
        <v>20.7979044</v>
      </c>
      <c r="P9" s="14" t="inlineStr">
        <is>
          <t>电量 + 容量购电协议，电力继续进入电网</t>
        </is>
      </c>
      <c r="Q9" s="14" t="inlineStr">
        <is>
          <t>Vistra 8-K：与 Meta 签署核电购电协议</t>
        </is>
      </c>
      <c r="R9" s="14" t="inlineStr">
        <is>
          <t>2026-01-09</t>
        </is>
      </c>
      <c r="S9" s="14" t="inlineStr">
        <is>
          <t>https://www.sec.gov/Archives/edgar/data/1692819/000119312526008508/d20785d8k.htm｜8-K</t>
        </is>
      </c>
      <c r="T9" s="14" t="inlineStr">
        <is>
          <t>2026-10-22</t>
        </is>
      </c>
      <c r="U9" s="14" t="inlineStr">
        <is>
          <t>披露事实</t>
        </is>
      </c>
      <c r="V9" s="14" t="inlineStr">
        <is>
          <t>能源部 42 亿美元有条件承诺支持 433 MW 增容（2026-10-05）</t>
        </is>
      </c>
      <c r="W9" s="14" t="inlineStr">
        <is>
          <t>VST_META</t>
        </is>
      </c>
    </row>
    <row r="10" ht="48" customHeight="1">
      <c r="A10" s="14" t="inlineStr">
        <is>
          <t>PPA-06</t>
        </is>
      </c>
      <c r="B10" s="14" t="inlineStr">
        <is>
          <t>Google</t>
        </is>
      </c>
      <c r="C10" s="14" t="inlineStr">
        <is>
          <t>Google</t>
        </is>
      </c>
      <c r="D10" s="14" t="inlineStr">
        <is>
          <t>NextEra</t>
        </is>
      </c>
      <c r="E10" s="14" t="inlineStr">
        <is>
          <t>Duane Arnold（艾奥瓦，MISO）</t>
        </is>
      </c>
      <c r="F10" s="14" t="inlineStr">
        <is>
          <t>重启</t>
        </is>
      </c>
      <c r="G10" s="14" t="inlineStr">
        <is>
          <t>重启</t>
        </is>
      </c>
      <c r="H10" s="14" t="inlineStr">
        <is>
          <t>确定</t>
        </is>
      </c>
      <c r="I10" s="38" t="n">
        <v>615</v>
      </c>
      <c r="J10" s="38" t="n">
        <v>615</v>
      </c>
      <c r="K10" s="38" t="n">
        <v>25</v>
      </c>
      <c r="L10" s="14" t="inlineStr">
        <is>
          <t>2029Q1 前</t>
        </is>
      </c>
      <c r="M10" s="14" t="inlineStr">
        <is>
          <t>2025-10-27</t>
        </is>
      </c>
      <c r="N10" s="14" t="inlineStr">
        <is>
          <t>是</t>
        </is>
      </c>
      <c r="O10" s="39">
        <f>IF(N10="是",I10*'假设'!$C$11*'假设'!$C$12/1000000,0)</f>
        <v>4.902534</v>
      </c>
      <c r="P10" s="14" t="inlineStr">
        <is>
          <t>购电协议（其余电量由 CIPCO 按相同条款购买）</t>
        </is>
      </c>
      <c r="Q10" s="14" t="inlineStr">
        <is>
          <t>NextEra 新闻稿：与 Google 合作重启 Duane Arnold</t>
        </is>
      </c>
      <c r="R10" s="14" t="inlineStr">
        <is>
          <t>2025-10-27</t>
        </is>
      </c>
      <c r="S10" s="14" t="inlineStr">
        <is>
          <t>https://investor.nexteraenergy.com/news-and-events/news-releases/2025/10-27-2025-203948689｜新闻稿</t>
        </is>
      </c>
      <c r="T10" s="14" t="inlineStr">
        <is>
          <t>2026-10-22</t>
        </is>
      </c>
      <c r="U10" s="14" t="inlineStr">
        <is>
          <t>披露事实</t>
        </is>
      </c>
      <c r="V10" s="14" t="inlineStr">
        <is>
          <t>能源部 19 亿美元贷款于 2026-09-08 完成</t>
        </is>
      </c>
      <c r="W10" s="14" t="inlineStr">
        <is>
          <t>NEE_GOOG</t>
        </is>
      </c>
    </row>
    <row r="11" ht="48" customHeight="1">
      <c r="A11" s="14" t="inlineStr">
        <is>
          <t>PPA-07</t>
        </is>
      </c>
      <c r="B11" s="14" t="inlineStr">
        <is>
          <t>亚马逊（AWS）</t>
        </is>
      </c>
      <c r="C11" s="14" t="inlineStr">
        <is>
          <t>亚马逊</t>
        </is>
      </c>
      <c r="D11" s="14" t="inlineStr">
        <is>
          <t>Constellation</t>
        </is>
      </c>
      <c r="E11" s="14" t="inlineStr">
        <is>
          <t>Calvert Cliffs（马里兰，PJM）</t>
        </is>
      </c>
      <c r="F11" s="14" t="inlineStr">
        <is>
          <t>现役 + 增容</t>
        </is>
      </c>
      <c r="G11" s="14" t="inlineStr">
        <is>
          <t>现役/增容</t>
        </is>
      </c>
      <c r="H11" s="14" t="inlineStr">
        <is>
          <t>确定</t>
        </is>
      </c>
      <c r="I11" s="38" t="n">
        <v>690</v>
      </c>
      <c r="J11" s="38" t="n">
        <v>190</v>
      </c>
      <c r="K11" s="38" t="n">
        <v>20</v>
      </c>
      <c r="L11" s="14" t="inlineStr">
        <is>
          <t>增容 2030–2032</t>
        </is>
      </c>
      <c r="M11" s="14" t="inlineStr">
        <is>
          <t>2026-09-30</t>
        </is>
      </c>
      <c r="N11" s="14" t="inlineStr">
        <is>
          <t>是</t>
        </is>
      </c>
      <c r="O11" s="39">
        <f>IF(N11="是",I11*'假设'!$C$11*'假设'!$C$12/1000000,0)</f>
        <v>5.500404</v>
      </c>
      <c r="P11" s="14" t="inlineStr">
        <is>
          <t>购电协议 + PJM 零售供电；电力继续进入电网</t>
        </is>
      </c>
      <c r="Q11" s="14" t="inlineStr">
        <is>
          <t>Constellation 新闻稿：与亚马逊签署 Calvert Cliffs 20 年购电协议</t>
        </is>
      </c>
      <c r="R11" s="14" t="inlineStr">
        <is>
          <t>2026-09-30</t>
        </is>
      </c>
      <c r="S11" s="14" t="inlineStr">
        <is>
          <t>https://www.constellationenergy.com/news/2026/09/constellation-and-amazon-announce-20-year-power-purchase-agreement-at-calvert-cliffs.html｜新闻稿</t>
        </is>
      </c>
      <c r="T11" s="14" t="inlineStr">
        <is>
          <t>2026-10-22</t>
        </is>
      </c>
      <c r="U11" s="14" t="inlineStr">
        <is>
          <t>披露事实</t>
        </is>
      </c>
      <c r="V11" s="14" t="inlineStr">
        <is>
          <t>Constellation 投资超 30 亿美元并延寿 20 年</t>
        </is>
      </c>
      <c r="W11" s="14" t="inlineStr">
        <is>
          <t>CEG_AMZN</t>
        </is>
      </c>
    </row>
    <row r="12" ht="48" customHeight="1">
      <c r="A12" s="14" t="inlineStr">
        <is>
          <t>PPA-08</t>
        </is>
      </c>
      <c r="B12" s="14" t="inlineStr">
        <is>
          <t>Google</t>
        </is>
      </c>
      <c r="C12" s="14" t="inlineStr">
        <is>
          <t>Google</t>
        </is>
      </c>
      <c r="D12" s="14" t="inlineStr">
        <is>
          <t>Constellation</t>
        </is>
      </c>
      <c r="E12" s="14" t="inlineStr">
        <is>
          <t>伊利诺伊、宾州、新泽西 11 台机组增容（PJM）</t>
        </is>
      </c>
      <c r="F12" s="14" t="inlineStr">
        <is>
          <t>增容</t>
        </is>
      </c>
      <c r="G12" s="14" t="inlineStr">
        <is>
          <t>现役/增容</t>
        </is>
      </c>
      <c r="H12" s="14" t="inlineStr">
        <is>
          <t>确定</t>
        </is>
      </c>
      <c r="I12" s="38" t="n">
        <v>890</v>
      </c>
      <c r="J12" s="38" t="n">
        <v>890</v>
      </c>
      <c r="K12" s="38" t="n">
        <v>20</v>
      </c>
      <c r="L12" s="14" t="inlineStr">
        <is>
          <t>首批 2028 年</t>
        </is>
      </c>
      <c r="M12" s="14" t="inlineStr">
        <is>
          <t>2026-10-06</t>
        </is>
      </c>
      <c r="N12" s="14" t="inlineStr">
        <is>
          <t>是</t>
        </is>
      </c>
      <c r="O12" s="39">
        <f>IF(N12="是",I12*'假设'!$C$11*'假设'!$C$12/1000000,0)</f>
        <v>7.094724</v>
      </c>
      <c r="P12" s="14" t="inlineStr">
        <is>
          <t>新增容量购电协议</t>
        </is>
      </c>
      <c r="Q12" s="14" t="inlineStr">
        <is>
          <t>Constellation 新闻稿：Google 与 Constellation 宣布为 PJM 带来 890 MW 新增核电容量</t>
        </is>
      </c>
      <c r="R12" s="14" t="inlineStr">
        <is>
          <t>2026-10-06</t>
        </is>
      </c>
      <c r="S12" s="14" t="inlineStr">
        <is>
          <t>https://www.constellationenergy.com/news/2026/10/google-and-constellation-announce-landmark-agreement-to-bring-890-mw-of-new-nuclear-capacity-to-pjm-grid.html｜新闻稿</t>
        </is>
      </c>
      <c r="T12" s="14" t="inlineStr">
        <is>
          <t>2026-10-22</t>
        </is>
      </c>
      <c r="U12" s="14" t="inlineStr">
        <is>
          <t>披露事实</t>
        </is>
      </c>
      <c r="V12" s="14" t="inlineStr">
        <is>
          <t>Constellation 新增投资超 43 亿美元</t>
        </is>
      </c>
      <c r="W12" s="14" t="inlineStr">
        <is>
          <t>CEG_GOOG</t>
        </is>
      </c>
    </row>
    <row r="13" ht="48" customHeight="1">
      <c r="A13" s="14" t="inlineStr">
        <is>
          <t>PPA-09</t>
        </is>
      </c>
      <c r="B13" s="14" t="inlineStr">
        <is>
          <t>Google</t>
        </is>
      </c>
      <c r="C13" s="14" t="inlineStr">
        <is>
          <t>Google</t>
        </is>
      </c>
      <c r="D13" s="14" t="inlineStr">
        <is>
          <t>佐治亚电力</t>
        </is>
      </c>
      <c r="E13" s="14" t="inlineStr">
        <is>
          <t>Vogtle 1–2、Hatch 1–2 增容（佐治亚）</t>
        </is>
      </c>
      <c r="F13" s="14" t="inlineStr">
        <is>
          <t>增容</t>
        </is>
      </c>
      <c r="G13" s="14" t="inlineStr">
        <is>
          <t>现役/增容</t>
        </is>
      </c>
      <c r="H13" s="14" t="inlineStr">
        <is>
          <t>确定（待州监管批准）</t>
        </is>
      </c>
      <c r="I13" s="38" t="n">
        <v>96</v>
      </c>
      <c r="J13" s="38" t="n">
        <v>96</v>
      </c>
      <c r="K13" s="14" t="n"/>
      <c r="L13" s="14" t="inlineStr">
        <is>
          <t>未披露</t>
        </is>
      </c>
      <c r="M13" s="14" t="inlineStr">
        <is>
          <t>2026-09-21</t>
        </is>
      </c>
      <c r="N13" s="14" t="inlineStr">
        <is>
          <t>是</t>
        </is>
      </c>
      <c r="O13" s="39">
        <f>IF(N13="是",I13*'假设'!$C$11*'假设'!$C$12/1000000,0)</f>
        <v>0.7652736</v>
      </c>
      <c r="P13" s="14" t="inlineStr">
        <is>
          <t>新设 NU-1 认购电价，Google 获得零排放证书</t>
        </is>
      </c>
      <c r="Q13" s="14" t="inlineStr">
        <is>
          <t>佐治亚电力新闻稿：与 Google 签署核电增容协议</t>
        </is>
      </c>
      <c r="R13" s="14" t="inlineStr">
        <is>
          <t>2026-09-21</t>
        </is>
      </c>
      <c r="S13" s="14" t="inlineStr">
        <is>
          <t>https://www.georgiapower.com/news-hub/press-releases/agreement-with-google-provides-$900-million-customer-benefits-advances-nuclear-energy.html｜新闻稿</t>
        </is>
      </c>
      <c r="T13" s="14" t="inlineStr">
        <is>
          <t>2026-10-22</t>
        </is>
      </c>
      <c r="U13" s="14" t="inlineStr">
        <is>
          <t>披露事实</t>
        </is>
      </c>
      <c r="V13" s="14" t="inlineStr">
        <is>
          <t>约 96 MW 为佐治亚电力份额</t>
        </is>
      </c>
      <c r="W13" s="14" t="inlineStr">
        <is>
          <t>GPC_GOOG</t>
        </is>
      </c>
    </row>
    <row r="14" ht="48" customHeight="1">
      <c r="A14" s="14" t="inlineStr">
        <is>
          <t>PPA-10</t>
        </is>
      </c>
      <c r="B14" s="14" t="inlineStr">
        <is>
          <t>Google</t>
        </is>
      </c>
      <c r="C14" s="14" t="inlineStr">
        <is>
          <t>Google</t>
        </is>
      </c>
      <c r="D14" s="14" t="inlineStr">
        <is>
          <t>Constellation</t>
        </is>
      </c>
      <c r="E14" s="14" t="inlineStr">
        <is>
          <t>PJM 现役机组（能源供应合同）</t>
        </is>
      </c>
      <c r="F14" s="14" t="inlineStr">
        <is>
          <t>现役（供电合同）</t>
        </is>
      </c>
      <c r="G14" s="14" t="inlineStr">
        <is>
          <t>供电合同</t>
        </is>
      </c>
      <c r="H14" s="14" t="inlineStr">
        <is>
          <t>确定</t>
        </is>
      </c>
      <c r="I14" s="38" t="n">
        <v>2700</v>
      </c>
      <c r="J14" s="38" t="n">
        <v>0</v>
      </c>
      <c r="K14" s="38" t="n">
        <v>15</v>
      </c>
      <c r="L14" s="14" t="inlineStr">
        <is>
          <t>未披露</t>
        </is>
      </c>
      <c r="M14" s="14" t="inlineStr">
        <is>
          <t>2026-10-06</t>
        </is>
      </c>
      <c r="N14" s="14" t="inlineStr">
        <is>
          <t>否</t>
        </is>
      </c>
      <c r="O14" s="39">
        <f>IF(N14="是",I14*'假设'!$C$11*'假设'!$C$12/1000000,0)</f>
        <v>0</v>
      </c>
      <c r="P14" s="14" t="inlineStr">
        <is>
          <t>15 年能源供应协议，不是新增容量</t>
        </is>
      </c>
      <c r="Q14" s="14" t="inlineStr">
        <is>
          <t>Constellation 新闻稿：Google 与 Constellation 宣布为 PJM 带来 890 MW 新增核电容量</t>
        </is>
      </c>
      <c r="R14" s="14" t="inlineStr">
        <is>
          <t>2026-10-06</t>
        </is>
      </c>
      <c r="S14" s="14" t="inlineStr">
        <is>
          <t>https://www.constellationenergy.com/news/2026/10/google-and-constellation-announce-landmark-agreement-to-bring-890-mw-of-new-nuclear-capacity-to-pjm-grid.html｜新闻稿</t>
        </is>
      </c>
      <c r="T14" s="14" t="inlineStr">
        <is>
          <t>2026-10-22</t>
        </is>
      </c>
      <c r="U14" s="14" t="inlineStr">
        <is>
          <t>披露事实</t>
        </is>
      </c>
      <c r="V14" s="14" t="inlineStr">
        <is>
          <t>与 PPA-08 同日签署；单独统计，不计入购电协议合计</t>
        </is>
      </c>
      <c r="W14" s="14" t="inlineStr">
        <is>
          <t>CEG_GOOG</t>
        </is>
      </c>
    </row>
    <row r="15" ht="48" customHeight="1">
      <c r="A15" s="14" t="inlineStr">
        <is>
          <t>PPA-11</t>
        </is>
      </c>
      <c r="B15" s="14" t="inlineStr">
        <is>
          <t>Meta</t>
        </is>
      </c>
      <c r="C15" s="14" t="inlineStr">
        <is>
          <t>Meta</t>
        </is>
      </c>
      <c r="D15" s="14" t="inlineStr">
        <is>
          <t>TerraPower</t>
        </is>
      </c>
      <c r="E15" s="14" t="inlineStr">
        <is>
          <t>Natrium 先进堆（最多 8 台，场址待定）</t>
        </is>
      </c>
      <c r="F15" s="14" t="inlineStr">
        <is>
          <t>先进堆</t>
        </is>
      </c>
      <c r="G15" s="14" t="inlineStr">
        <is>
          <t>先进堆/小堆</t>
        </is>
      </c>
      <c r="H15" s="14" t="inlineStr">
        <is>
          <t>开发资金 + 电量权利</t>
        </is>
      </c>
      <c r="I15" s="38" t="n">
        <v>2760</v>
      </c>
      <c r="J15" s="14" t="n"/>
      <c r="K15" s="14" t="n"/>
      <c r="L15" s="14" t="inlineStr">
        <is>
          <t>最早 2032 年，其余至 2035 年</t>
        </is>
      </c>
      <c r="M15" s="14" t="inlineStr">
        <is>
          <t>2026-01-09</t>
        </is>
      </c>
      <c r="N15" s="14" t="inlineStr">
        <is>
          <t>否</t>
        </is>
      </c>
      <c r="O15" s="39">
        <f>IF(N15="是",I15*'假设'!$C$11*'假设'!$C$12/1000000,0)</f>
        <v>0</v>
      </c>
      <c r="P15" s="14" t="inlineStr">
        <is>
          <t>2 台确定（690 MW）+ 6 台选择权</t>
        </is>
      </c>
      <c r="Q15" s="14" t="inlineStr">
        <is>
          <t>TerraPower 新闻稿：与 Meta 签署 8 座 Natrium 先进核电站协议</t>
        </is>
      </c>
      <c r="R15" s="14" t="inlineStr">
        <is>
          <t>2026-01-09</t>
        </is>
      </c>
      <c r="S15" s="14" t="inlineStr">
        <is>
          <t>https://www.terrapower.com/terrapower-announces-deal-with-meta｜新闻稿</t>
        </is>
      </c>
      <c r="T15" s="14" t="inlineStr">
        <is>
          <t>2026-10-22</t>
        </is>
      </c>
      <c r="U15" s="14" t="inlineStr">
        <is>
          <t>公司目标</t>
        </is>
      </c>
      <c r="V15" s="14" t="inlineStr">
        <is>
          <t>首座 Natrium（Kemmerer 1 号）2026 年 4 月开工，目标 2030 年</t>
        </is>
      </c>
      <c r="W15" s="14" t="inlineStr">
        <is>
          <t>TP_META</t>
        </is>
      </c>
    </row>
    <row r="16" ht="48" customHeight="1">
      <c r="A16" s="14" t="inlineStr">
        <is>
          <t>PPA-12</t>
        </is>
      </c>
      <c r="B16" s="14" t="inlineStr">
        <is>
          <t>Meta</t>
        </is>
      </c>
      <c r="C16" s="14" t="inlineStr">
        <is>
          <t>Meta</t>
        </is>
      </c>
      <c r="D16" s="14" t="inlineStr">
        <is>
          <t>Oklo</t>
        </is>
      </c>
      <c r="E16" s="14" t="inlineStr">
        <is>
          <t>Pike 县园区（俄亥俄）</t>
        </is>
      </c>
      <c r="F16" s="14" t="inlineStr">
        <is>
          <t>先进堆</t>
        </is>
      </c>
      <c r="G16" s="14" t="inlineStr">
        <is>
          <t>先进堆/小堆</t>
        </is>
      </c>
      <c r="H16" s="14" t="inlineStr">
        <is>
          <t>预付电费 + 项目资金</t>
        </is>
      </c>
      <c r="I16" s="38" t="n">
        <v>1200</v>
      </c>
      <c r="J16" s="14" t="n"/>
      <c r="K16" s="14" t="n"/>
      <c r="L16" s="14" t="inlineStr">
        <is>
          <t>最早 2030 年，2034 年满量</t>
        </is>
      </c>
      <c r="M16" s="14" t="inlineStr">
        <is>
          <t>2026-01-09</t>
        </is>
      </c>
      <c r="N16" s="14" t="inlineStr">
        <is>
          <t>否</t>
        </is>
      </c>
      <c r="O16" s="39">
        <f>IF(N16="是",I16*'假设'!$C$11*'假设'!$C$12/1000000,0)</f>
        <v>0</v>
      </c>
      <c r="P16" s="14" t="inlineStr">
        <is>
          <t>“最多 1.2 GW”</t>
        </is>
      </c>
      <c r="Q16" s="14" t="inlineStr">
        <is>
          <t>Oklo 与 Meta 宣布支持俄亥俄 1.2 GW 核能开发（Business Wire；页面拒绝访问，据检索摘录与世界核新闻）</t>
        </is>
      </c>
      <c r="R16" s="14" t="inlineStr">
        <is>
          <t>2026-01-09</t>
        </is>
      </c>
      <c r="S16" s="14" t="inlineStr">
        <is>
          <t>https://wnn.world-nuclear.org/articles/meta-announces-landmark-agreements-for-new-nuclear｜世界核新闻转述；Business Wire 原稿拒绝访问</t>
        </is>
      </c>
      <c r="T16" s="14" t="inlineStr">
        <is>
          <t>2026-10-22</t>
        </is>
      </c>
      <c r="U16" s="14" t="inlineStr">
        <is>
          <t>公司目标</t>
        </is>
      </c>
      <c r="V16" s="14" t="inlineStr"/>
      <c r="W16" s="14" t="inlineStr">
        <is>
          <t>OKLO_META</t>
        </is>
      </c>
    </row>
    <row r="17" ht="48" customHeight="1">
      <c r="A17" s="14" t="inlineStr">
        <is>
          <t>PPA-13</t>
        </is>
      </c>
      <c r="B17" s="14" t="inlineStr">
        <is>
          <t>Google</t>
        </is>
      </c>
      <c r="C17" s="14" t="inlineStr">
        <is>
          <t>Google</t>
        </is>
      </c>
      <c r="D17" s="14" t="inlineStr">
        <is>
          <t>Kairos Power</t>
        </is>
      </c>
      <c r="E17" s="14" t="inlineStr">
        <is>
          <t>KP-FHR 熔盐堆（含经 TVA 的 Hermes 2，50 MW）</t>
        </is>
      </c>
      <c r="F17" s="14" t="inlineStr">
        <is>
          <t>先进堆</t>
        </is>
      </c>
      <c r="G17" s="14" t="inlineStr">
        <is>
          <t>先进堆/小堆</t>
        </is>
      </c>
      <c r="H17" s="14" t="inlineStr">
        <is>
          <t>框架协议</t>
        </is>
      </c>
      <c r="I17" s="38" t="n">
        <v>500</v>
      </c>
      <c r="J17" s="14" t="n"/>
      <c r="K17" s="14" t="n"/>
      <c r="L17" s="14" t="inlineStr">
        <is>
          <t>首台 2030 年，2035 年前</t>
        </is>
      </c>
      <c r="M17" s="14" t="inlineStr">
        <is>
          <t>2024-10-14</t>
        </is>
      </c>
      <c r="N17" s="14" t="inlineStr">
        <is>
          <t>否</t>
        </is>
      </c>
      <c r="O17" s="39">
        <f>IF(N17="是",I17*'假设'!$C$11*'假设'!$C$12/1000000,0)</f>
        <v>0</v>
      </c>
      <c r="P17" s="14" t="inlineStr">
        <is>
          <t>主开发协议 + 购电协议</t>
        </is>
      </c>
      <c r="Q17" s="14" t="inlineStr">
        <is>
          <t>Kairos Power 新闻：与 Google 合作部署 500 MW</t>
        </is>
      </c>
      <c r="R17" s="14" t="inlineStr">
        <is>
          <t>2024-10-14</t>
        </is>
      </c>
      <c r="S17" s="14" t="inlineStr">
        <is>
          <t>https://kairospower.com/updates/google-and-kairos-power-partner-to-deploy-500-mw-of-clean-electricity-generation｜新闻稿</t>
        </is>
      </c>
      <c r="T17" s="14" t="inlineStr">
        <is>
          <t>2026-10-22</t>
        </is>
      </c>
      <c r="U17" s="14" t="inlineStr">
        <is>
          <t>公司目标</t>
        </is>
      </c>
      <c r="V17" s="14" t="inlineStr"/>
      <c r="W17" s="14" t="inlineStr">
        <is>
          <t>KAIROS24</t>
        </is>
      </c>
    </row>
    <row r="18" ht="48" customHeight="1">
      <c r="A18" s="14" t="inlineStr">
        <is>
          <t>PPA-14</t>
        </is>
      </c>
      <c r="B18" s="14" t="inlineStr">
        <is>
          <t>Google</t>
        </is>
      </c>
      <c r="C18" s="14" t="inlineStr">
        <is>
          <t>Google</t>
        </is>
      </c>
      <c r="D18" s="14" t="inlineStr">
        <is>
          <t>Elementl Power</t>
        </is>
      </c>
      <c r="E18" s="14" t="inlineStr">
        <is>
          <t>三处先进核电场址（每处 ≥600 MW）</t>
        </is>
      </c>
      <c r="F18" s="14" t="inlineStr">
        <is>
          <t>先进堆</t>
        </is>
      </c>
      <c r="G18" s="14" t="inlineStr">
        <is>
          <t>先进堆/小堆</t>
        </is>
      </c>
      <c r="H18" s="14" t="inlineStr">
        <is>
          <t>早期开发资金 + 购电选择权</t>
        </is>
      </c>
      <c r="I18" s="38" t="n">
        <v>1800</v>
      </c>
      <c r="J18" s="14" t="n"/>
      <c r="K18" s="14" t="n"/>
      <c r="L18" s="14" t="inlineStr">
        <is>
          <t>约 2035 年</t>
        </is>
      </c>
      <c r="M18" s="14" t="inlineStr">
        <is>
          <t>2025-05-07</t>
        </is>
      </c>
      <c r="N18" s="14" t="inlineStr">
        <is>
          <t>否</t>
        </is>
      </c>
      <c r="O18" s="39">
        <f>IF(N18="是",I18*'假设'!$C$11*'假设'!$C$12/1000000,0)</f>
        <v>0</v>
      </c>
      <c r="P18" s="14" t="inlineStr">
        <is>
          <t>技术路线未定</t>
        </is>
      </c>
      <c r="Q18" s="14" t="inlineStr">
        <is>
          <t>Google 官方博客：与 Elementl 合作开发三处先进核电场址</t>
        </is>
      </c>
      <c r="R18" s="14" t="inlineStr">
        <is>
          <t>2025-05-07</t>
        </is>
      </c>
      <c r="S18" s="14" t="inlineStr">
        <is>
          <t>https://blog.google/feed/google-and-elementl-nuclear-energy-site-development/｜官方博客</t>
        </is>
      </c>
      <c r="T18" s="14" t="inlineStr">
        <is>
          <t>2026-10-22</t>
        </is>
      </c>
      <c r="U18" s="14" t="inlineStr">
        <is>
          <t>公司目标</t>
        </is>
      </c>
      <c r="V18" s="14" t="inlineStr"/>
      <c r="W18" s="14" t="inlineStr">
        <is>
          <t>ELEMENTL</t>
        </is>
      </c>
    </row>
    <row r="19" ht="48" customHeight="1">
      <c r="A19" s="14" t="inlineStr">
        <is>
          <t>PPA-15</t>
        </is>
      </c>
      <c r="B19" s="14" t="inlineStr">
        <is>
          <t>亚马逊</t>
        </is>
      </c>
      <c r="C19" s="14" t="inlineStr">
        <is>
          <t>亚马逊</t>
        </is>
      </c>
      <c r="D19" s="14" t="inlineStr">
        <is>
          <t>Energy Northwest / X-energy</t>
        </is>
      </c>
      <c r="E19" s="14" t="inlineStr">
        <is>
          <t>Cascade（华盛顿州）</t>
        </is>
      </c>
      <c r="F19" s="14" t="inlineStr">
        <is>
          <t>小型模块堆</t>
        </is>
      </c>
      <c r="G19" s="14" t="inlineStr">
        <is>
          <t>先进堆/小堆</t>
        </is>
      </c>
      <c r="H19" s="14" t="inlineStr">
        <is>
          <t>开发资金</t>
        </is>
      </c>
      <c r="I19" s="38" t="n">
        <v>320</v>
      </c>
      <c r="J19" s="14" t="n"/>
      <c r="K19" s="14" t="n"/>
      <c r="L19" s="14" t="inlineStr">
        <is>
          <t>2030 年代初</t>
        </is>
      </c>
      <c r="M19" s="14" t="inlineStr">
        <is>
          <t>2024-10-16</t>
        </is>
      </c>
      <c r="N19" s="14" t="inlineStr">
        <is>
          <t>否</t>
        </is>
      </c>
      <c r="O19" s="39">
        <f>IF(N19="是",I19*'假设'!$C$11*'假设'!$C$12/1000000,0)</f>
        <v>0</v>
      </c>
      <c r="P19" s="14" t="inlineStr">
        <is>
          <t>一期约 320 MW，可扩至 960 MW</t>
        </is>
      </c>
      <c r="Q19" s="14" t="inlineStr">
        <is>
          <t>亚马逊新闻：签署先进核能项目协议（Energy Northwest、Dominion）</t>
        </is>
      </c>
      <c r="R19" s="14" t="inlineStr">
        <is>
          <t>2024-10-16</t>
        </is>
      </c>
      <c r="S19" s="14" t="inlineStr">
        <is>
          <t>https://www.aboutamazon.com/news/sustainability/amazon-nuclear-small-modular-reactor-net-carbon-zero｜新闻</t>
        </is>
      </c>
      <c r="T19" s="14" t="inlineStr">
        <is>
          <t>2026-10-22</t>
        </is>
      </c>
      <c r="U19" s="14" t="inlineStr">
        <is>
          <t>公司目标</t>
        </is>
      </c>
      <c r="V19" s="14" t="inlineStr">
        <is>
          <t>属亚马逊–X-energy“2039 年前超过 5 GW”目标</t>
        </is>
      </c>
      <c r="W19" s="14" t="inlineStr">
        <is>
          <t>AMZN_NUC</t>
        </is>
      </c>
    </row>
    <row r="20" ht="48" customHeight="1">
      <c r="A20" s="14" t="inlineStr">
        <is>
          <t>PPA-16</t>
        </is>
      </c>
      <c r="B20" s="14" t="inlineStr">
        <is>
          <t>亚马逊</t>
        </is>
      </c>
      <c r="C20" s="14" t="inlineStr">
        <is>
          <t>亚马逊</t>
        </is>
      </c>
      <c r="D20" s="14" t="inlineStr">
        <is>
          <t>Dominion Energy</t>
        </is>
      </c>
      <c r="E20" s="14" t="inlineStr">
        <is>
          <t>North Anna 附近小堆（弗吉尼亚，PJM）</t>
        </is>
      </c>
      <c r="F20" s="14" t="inlineStr">
        <is>
          <t>小型模块堆</t>
        </is>
      </c>
      <c r="G20" s="14" t="inlineStr">
        <is>
          <t>先进堆/小堆</t>
        </is>
      </c>
      <c r="H20" s="14" t="inlineStr">
        <is>
          <t>探索协议</t>
        </is>
      </c>
      <c r="I20" s="38" t="n">
        <v>300</v>
      </c>
      <c r="J20" s="14" t="n"/>
      <c r="K20" s="14" t="n"/>
      <c r="L20" s="14" t="inlineStr">
        <is>
          <t>未披露</t>
        </is>
      </c>
      <c r="M20" s="14" t="inlineStr">
        <is>
          <t>2024-10-16</t>
        </is>
      </c>
      <c r="N20" s="14" t="inlineStr">
        <is>
          <t>否</t>
        </is>
      </c>
      <c r="O20" s="39">
        <f>IF(N20="是",I20*'假设'!$C$11*'假设'!$C$12/1000000,0)</f>
        <v>0</v>
      </c>
      <c r="P20" s="14" t="inlineStr">
        <is>
          <t>“至少 300 MW”</t>
        </is>
      </c>
      <c r="Q20" s="14" t="inlineStr">
        <is>
          <t>亚马逊新闻：签署先进核能项目协议（Energy Northwest、Dominion）</t>
        </is>
      </c>
      <c r="R20" s="14" t="inlineStr">
        <is>
          <t>2024-10-16</t>
        </is>
      </c>
      <c r="S20" s="14" t="inlineStr">
        <is>
          <t>https://www.aboutamazon.com/news/sustainability/amazon-nuclear-small-modular-reactor-net-carbon-zero｜新闻</t>
        </is>
      </c>
      <c r="T20" s="14" t="inlineStr">
        <is>
          <t>2026-10-22</t>
        </is>
      </c>
      <c r="U20" s="14" t="inlineStr">
        <is>
          <t>公司目标</t>
        </is>
      </c>
      <c r="V20" s="14" t="inlineStr"/>
      <c r="W20" s="14" t="inlineStr">
        <is>
          <t>AMZN_NUC</t>
        </is>
      </c>
    </row>
    <row r="21" ht="48" customHeight="1">
      <c r="A21" s="14" t="inlineStr">
        <is>
          <t>PPA-17</t>
        </is>
      </c>
      <c r="B21" s="14" t="inlineStr">
        <is>
          <t>亚马逊</t>
        </is>
      </c>
      <c r="C21" s="14" t="inlineStr">
        <is>
          <t>亚马逊</t>
        </is>
      </c>
      <c r="D21" s="14" t="inlineStr">
        <is>
          <t>X-energy + AEP</t>
        </is>
      </c>
      <c r="E21" s="14" t="inlineStr">
        <is>
          <t>Sullivan 县（印第安纳）</t>
        </is>
      </c>
      <c r="F21" s="14" t="inlineStr">
        <is>
          <t>小型模块堆</t>
        </is>
      </c>
      <c r="G21" s="14" t="inlineStr">
        <is>
          <t>先进堆/小堆</t>
        </is>
      </c>
      <c r="H21" s="14" t="inlineStr">
        <is>
          <t>联合开发协议</t>
        </is>
      </c>
      <c r="I21" s="38" t="n">
        <v>960</v>
      </c>
      <c r="J21" s="14" t="n"/>
      <c r="K21" s="14" t="n"/>
      <c r="L21" s="14" t="inlineStr">
        <is>
          <t>未披露</t>
        </is>
      </c>
      <c r="M21" s="14" t="inlineStr">
        <is>
          <t>2026-10-19</t>
        </is>
      </c>
      <c r="N21" s="14" t="inlineStr">
        <is>
          <t>否</t>
        </is>
      </c>
      <c r="O21" s="39">
        <f>IF(N21="是",I21*'假设'!$C$11*'假设'!$C$12/1000000,0)</f>
        <v>0</v>
      </c>
      <c r="P21" s="14" t="inlineStr">
        <is>
          <t>12 台 Xe-100；亚马逊按里程碑提供开发资金</t>
        </is>
      </c>
      <c r="Q21" s="14" t="inlineStr">
        <is>
          <t>X-energy 新闻：与亚马逊、AEP 在印第安纳推进小堆项目</t>
        </is>
      </c>
      <c r="R21" s="14" t="inlineStr">
        <is>
          <t>2026-10-19</t>
        </is>
      </c>
      <c r="S21" s="14" t="inlineStr">
        <is>
          <t>https://x-energy.com/news/x-energy-amazon-american-electric-power-partner-to-bring-smr-project-to-indiana/｜新闻</t>
        </is>
      </c>
      <c r="T21" s="14" t="inlineStr">
        <is>
          <t>2026-10-22</t>
        </is>
      </c>
      <c r="U21" s="14" t="inlineStr">
        <is>
          <t>公司目标</t>
        </is>
      </c>
      <c r="V21" s="14" t="inlineStr"/>
      <c r="W21" s="14" t="inlineStr">
        <is>
          <t>XE_AEP</t>
        </is>
      </c>
    </row>
    <row r="22" ht="48" customHeight="1">
      <c r="A22" s="14" t="inlineStr">
        <is>
          <t>PPA-18</t>
        </is>
      </c>
      <c r="B22" s="14" t="inlineStr">
        <is>
          <t>甲骨文</t>
        </is>
      </c>
      <c r="C22" s="14" t="inlineStr">
        <is>
          <t>甲骨文</t>
        </is>
      </c>
      <c r="D22" s="14" t="inlineStr">
        <is>
          <t>We Energies（Point Beach 电量）</t>
        </is>
      </c>
      <c r="E22" s="14" t="inlineStr">
        <is>
          <t>Point Beach（威斯康星，MISO）</t>
        </is>
      </c>
      <c r="F22" s="14" t="inlineStr">
        <is>
          <t>现役（认购）</t>
        </is>
      </c>
      <c r="G22" s="14" t="inlineStr">
        <is>
          <t>现役/增容</t>
        </is>
      </c>
      <c r="H22" s="14" t="inlineStr">
        <is>
          <t>待州监管批准</t>
        </is>
      </c>
      <c r="I22" s="14" t="n"/>
      <c r="J22" s="38" t="n">
        <v>0</v>
      </c>
      <c r="K22" s="14" t="n"/>
      <c r="L22" s="14" t="inlineStr">
        <is>
          <t>未披露</t>
        </is>
      </c>
      <c r="M22" s="14" t="inlineStr">
        <is>
          <t>2026-10-02</t>
        </is>
      </c>
      <c r="N22" s="14" t="inlineStr">
        <is>
          <t>否</t>
        </is>
      </c>
      <c r="O22" s="39">
        <f>IF(N22="是",I22*'假设'!$C$11*'假设'!$C$12/1000000,0)</f>
        <v>0</v>
      </c>
      <c r="P22" s="14" t="inlineStr">
        <is>
          <t>认购 We Energies 所购 Point Beach 电量的一部分（份额仅见二手报道：10–20%）</t>
        </is>
      </c>
      <c r="Q22" s="14" t="inlineStr">
        <is>
          <t>We Energies 新闻：与甲骨文的 Point Beach 认购协议</t>
        </is>
      </c>
      <c r="R22" s="14" t="inlineStr">
        <is>
          <t>2026-10-02</t>
        </is>
      </c>
      <c r="S22" s="14" t="inlineStr">
        <is>
          <t>https://news.we-energies.com/we-energies-agreement-with-oracle-expected-to-save-customers-approximately-300-million/｜新闻</t>
        </is>
      </c>
      <c r="T22" s="14" t="inlineStr">
        <is>
          <t>2026-10-22</t>
        </is>
      </c>
      <c r="U22" s="14" t="inlineStr">
        <is>
          <t>披露事实</t>
        </is>
      </c>
      <c r="V22" s="14" t="inlineStr">
        <is>
          <t>MW 未披露，不计入合计</t>
        </is>
      </c>
      <c r="W22" s="14" t="inlineStr">
        <is>
          <t>WE_ORCL</t>
        </is>
      </c>
    </row>
    <row r="23" ht="48" customHeight="1">
      <c r="A23" s="14" t="inlineStr">
        <is>
          <t>PPA-19</t>
        </is>
      </c>
      <c r="B23" s="14" t="inlineStr">
        <is>
          <t>CyrusOne</t>
        </is>
      </c>
      <c r="C23" s="14" t="inlineStr">
        <is>
          <t>其他</t>
        </is>
      </c>
      <c r="D23" s="14" t="inlineStr">
        <is>
          <t>Constellation（Calpine）</t>
        </is>
      </c>
      <c r="E23" s="14" t="inlineStr">
        <is>
          <t>Freestone 与 Thad Hill 燃气电站旁数据中心（得州，ERCOT）</t>
        </is>
      </c>
      <c r="F23" s="14" t="inlineStr">
        <is>
          <t>燃气（共址）</t>
        </is>
      </c>
      <c r="G23" s="14" t="inlineStr">
        <is>
          <t>燃气</t>
        </is>
      </c>
      <c r="H23" s="14" t="inlineStr">
        <is>
          <t>确定 + 独家</t>
        </is>
      </c>
      <c r="I23" s="38" t="n">
        <v>1160</v>
      </c>
      <c r="J23" s="14" t="n"/>
      <c r="K23" s="14" t="n"/>
      <c r="L23" s="14" t="inlineStr">
        <is>
          <t>未披露</t>
        </is>
      </c>
      <c r="M23" s="14" t="inlineStr">
        <is>
          <t>2026-02-09</t>
        </is>
      </c>
      <c r="N23" s="14" t="inlineStr">
        <is>
          <t>否</t>
        </is>
      </c>
      <c r="O23" s="39">
        <f>IF(N23="是",I23*'假设'!$C$11*'假设'!$C$12/1000000,0)</f>
        <v>0</v>
      </c>
      <c r="P23" s="14" t="inlineStr">
        <is>
          <t>Freestone 380 MW + 二期 380 MW（独家）+ Thad Hill 400 MW</t>
        </is>
      </c>
      <c r="Q23" s="14" t="inlineStr">
        <is>
          <t>Constellation 新闻稿：与 CyrusOne 在得州 Freestone 能源中心建数据中心</t>
        </is>
      </c>
      <c r="R23" s="14" t="inlineStr">
        <is>
          <t>2026-02-09</t>
        </is>
      </c>
      <c r="S23" s="14" t="inlineStr">
        <is>
          <t>https://www.constellationenergy.com/news/2026/02/constellation-and-cyrusone-announce-agreement-to-support-new-data-center-facility-at-freestone-energy-center-in-texas.html｜新闻稿；原始材料 10-Q“Freestone 新数据中心设施”</t>
        </is>
      </c>
      <c r="T23" s="14" t="inlineStr">
        <is>
          <t>2026-10-22</t>
        </is>
      </c>
      <c r="U23" s="14" t="inlineStr">
        <is>
          <t>披露事实</t>
        </is>
      </c>
      <c r="V23" s="14" t="inlineStr">
        <is>
          <t>燃气，不是核电</t>
        </is>
      </c>
      <c r="W23" s="14" t="inlineStr">
        <is>
          <t>CEG_CYRUS</t>
        </is>
      </c>
    </row>
    <row r="24" ht="48" customHeight="1">
      <c r="A24" s="14" t="inlineStr">
        <is>
          <t>PPA-20</t>
        </is>
      </c>
      <c r="B24" s="14" t="inlineStr">
        <is>
          <t>沃尔玛</t>
        </is>
      </c>
      <c r="C24" s="14" t="inlineStr">
        <is>
          <t>其他</t>
        </is>
      </c>
      <c r="D24" s="14" t="inlineStr">
        <is>
          <t>Constellation</t>
        </is>
      </c>
      <c r="E24" s="14" t="inlineStr">
        <is>
          <t>Dresden（伊利诺伊，PJM）</t>
        </is>
      </c>
      <c r="F24" s="14" t="inlineStr">
        <is>
          <t>现役 + 增容</t>
        </is>
      </c>
      <c r="G24" s="14" t="inlineStr">
        <is>
          <t>现役/增容</t>
        </is>
      </c>
      <c r="H24" s="14" t="inlineStr">
        <is>
          <t>确定</t>
        </is>
      </c>
      <c r="I24" s="38" t="n">
        <v>176</v>
      </c>
      <c r="J24" s="38" t="n">
        <v>30</v>
      </c>
      <c r="K24" s="38" t="n">
        <v>20</v>
      </c>
      <c r="L24" s="14" t="inlineStr">
        <is>
          <t>2029–2032</t>
        </is>
      </c>
      <c r="M24" s="14" t="inlineStr">
        <is>
          <t>2026-08-06</t>
        </is>
      </c>
      <c r="N24" s="14" t="inlineStr">
        <is>
          <t>否</t>
        </is>
      </c>
      <c r="O24" s="39">
        <f>IF(N24="是",I24*'假设'!$C$11*'假设'!$C$12/1000000,0)</f>
        <v>0</v>
      </c>
      <c r="P24" s="14" t="inlineStr">
        <is>
          <t>属二季度新签 920 MW 核电长约的一部分（非科技公司，作对照）</t>
        </is>
      </c>
      <c r="Q24" s="14" t="inlineStr">
        <is>
          <t>Constellation Energy Corp. 10-Q 季报（截至 2026-06-30 的季度）</t>
        </is>
      </c>
      <c r="R24" s="14" t="inlineStr">
        <is>
          <t>2026-08-06（签署日）</t>
        </is>
      </c>
      <c r="S24" s="14" t="inlineStr">
        <is>
          <t>材料/Constellation_2026Q2季报__ceg-20260630.htm｜原始材料 10-Q“长期核电购电协议”</t>
        </is>
      </c>
      <c r="T24" s="14" t="inlineStr">
        <is>
          <t>原始材料</t>
        </is>
      </c>
      <c r="U24" s="14" t="inlineStr">
        <is>
          <t>披露事实</t>
        </is>
      </c>
      <c r="V24" s="14" t="inlineStr"/>
      <c r="W24" s="14" t="inlineStr">
        <is>
          <t>M3</t>
        </is>
      </c>
    </row>
  </sheetData>
  <autoFilter ref="A4:W24"/>
  <mergeCells count="1">
    <mergeCell ref="A2:W2"/>
  </mergeCells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N3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  <col width="18" customWidth="1" min="4" max="4"/>
    <col width="13" customWidth="1" min="5" max="5"/>
    <col width="12" customWidth="1" min="6" max="6"/>
    <col width="14" customWidth="1" min="7" max="7"/>
    <col width="11" customWidth="1" min="8" max="8"/>
    <col width="44" customWidth="1" min="9" max="9"/>
    <col width="44" customWidth="1" min="10" max="10"/>
    <col width="16" customWidth="1" min="11" max="11"/>
    <col width="52" customWidth="1" min="12" max="12"/>
    <col width="12" customWidth="1" min="13" max="13"/>
    <col width="10" customWidth="1" min="14" max="14"/>
  </cols>
  <sheetData>
    <row r="1">
      <c r="A1" s="8" t="inlineStr">
        <is>
          <t>D7 聚变：行业融资、公司融资、与科技公司的购电/承购协议、时间表</t>
        </is>
      </c>
    </row>
    <row r="2" ht="30" customHeight="1">
      <c r="A2" s="9" t="inlineStr">
        <is>
          <t>蓝底=输入（披露数据）；橙底=输入（假设）；绿底=公式（本表计算）。“出处定位”给出原始材料的文件与章节，或网页链接；“访问日期”为网页查阅日期。</t>
        </is>
      </c>
    </row>
    <row r="4" ht="30" customHeight="1">
      <c r="A4" s="10" t="inlineStr">
        <is>
          <t>编号</t>
        </is>
      </c>
      <c r="B4" s="10" t="inlineStr">
        <is>
          <t>类别</t>
        </is>
      </c>
      <c r="C4" s="10" t="inlineStr">
        <is>
          <t>指标</t>
        </is>
      </c>
      <c r="D4" s="10" t="inlineStr">
        <is>
          <t>主体/地区</t>
        </is>
      </c>
      <c r="E4" s="10" t="inlineStr">
        <is>
          <t>数值</t>
        </is>
      </c>
      <c r="F4" s="10" t="inlineStr">
        <is>
          <t>单位</t>
        </is>
      </c>
      <c r="G4" s="10" t="inlineStr">
        <is>
          <t>期间</t>
        </is>
      </c>
      <c r="H4" s="10" t="inlineStr">
        <is>
          <t>性质</t>
        </is>
      </c>
      <c r="I4" s="10" t="inlineStr">
        <is>
          <t>口径说明</t>
        </is>
      </c>
      <c r="J4" s="10" t="inlineStr">
        <is>
          <t>来源名称</t>
        </is>
      </c>
      <c r="K4" s="10" t="inlineStr">
        <is>
          <t>发布日期</t>
        </is>
      </c>
      <c r="L4" s="10" t="inlineStr">
        <is>
          <t>出处定位（文件章节/表名或网页链接）</t>
        </is>
      </c>
      <c r="M4" s="10" t="inlineStr">
        <is>
          <t>访问日期</t>
        </is>
      </c>
      <c r="N4" s="10" t="inlineStr">
        <is>
          <t>来源编号</t>
        </is>
      </c>
    </row>
    <row r="5">
      <c r="A5" s="14" t="inlineStr">
        <is>
          <t>FU-01</t>
        </is>
      </c>
      <c r="B5" s="14" t="inlineStr">
        <is>
          <t>产业</t>
        </is>
      </c>
      <c r="C5" s="14" t="inlineStr">
        <is>
          <t>聚变企业过去 12 个月融资额</t>
        </is>
      </c>
      <c r="D5" s="14" t="inlineStr">
        <is>
          <t>全球（FIA 调查）</t>
        </is>
      </c>
      <c r="E5" s="34" t="n">
        <v>4.48</v>
      </c>
      <c r="F5" s="14" t="inlineStr">
        <is>
          <t>十亿美元</t>
        </is>
      </c>
      <c r="G5" s="14" t="inlineStr">
        <is>
          <t>截至 2026-07</t>
        </is>
      </c>
      <c r="H5" s="14" t="inlineStr">
        <is>
          <t>披露事实</t>
        </is>
      </c>
      <c r="I5" s="14" t="inlineStr">
        <is>
          <t>56 家企业；同比 +69%，2021 年有调查以来最高</t>
        </is>
      </c>
      <c r="J5" s="14" t="inlineStr">
        <is>
          <t>聚变产业协会（FIA）新闻稿：年度融资创纪录 44.8 亿美元，累计 142.4 亿美元</t>
        </is>
      </c>
      <c r="K5" s="14" t="inlineStr">
        <is>
          <t>2026-07-13</t>
        </is>
      </c>
      <c r="L5" s="14" t="inlineStr">
        <is>
          <t>https://www.fusionindustryassociation.org/fusion-industry-attracts-record-annual-funding-of-4-48bn-raising-total-to-14-24bn/｜新闻稿</t>
        </is>
      </c>
      <c r="M5" s="14" t="inlineStr">
        <is>
          <t>2026-10-22</t>
        </is>
      </c>
      <c r="N5" s="14" t="inlineStr">
        <is>
          <t>FIA26</t>
        </is>
      </c>
    </row>
    <row r="6">
      <c r="A6" s="14" t="inlineStr">
        <is>
          <t>FU-02</t>
        </is>
      </c>
      <c r="B6" s="14" t="inlineStr">
        <is>
          <t>产业</t>
        </is>
      </c>
      <c r="C6" s="14" t="inlineStr">
        <is>
          <t>聚变企业累计融资额</t>
        </is>
      </c>
      <c r="D6" s="14" t="inlineStr">
        <is>
          <t>全球（FIA 调查）</t>
        </is>
      </c>
      <c r="E6" s="35" t="n">
        <v>14.24</v>
      </c>
      <c r="F6" s="14" t="inlineStr">
        <is>
          <t>十亿美元</t>
        </is>
      </c>
      <c r="G6" s="14" t="inlineStr">
        <is>
          <t>截至 2026-07</t>
        </is>
      </c>
      <c r="H6" s="14" t="inlineStr">
        <is>
          <t>披露事实</t>
        </is>
      </c>
      <c r="I6" s="14" t="inlineStr">
        <is>
          <t>自 2021 年调查起累计</t>
        </is>
      </c>
      <c r="J6" s="14" t="inlineStr">
        <is>
          <t>聚变产业协会（FIA）新闻稿：年度融资创纪录 44.8 亿美元，累计 142.4 亿美元</t>
        </is>
      </c>
      <c r="K6" s="14" t="inlineStr">
        <is>
          <t>2026-07-13</t>
        </is>
      </c>
      <c r="L6" s="14" t="inlineStr">
        <is>
          <t>https://www.fusionindustryassociation.org/fusion-industry-attracts-record-annual-funding-of-4-48bn-raising-total-to-14-24bn/｜新闻稿</t>
        </is>
      </c>
      <c r="M6" s="14" t="inlineStr">
        <is>
          <t>2026-10-22</t>
        </is>
      </c>
      <c r="N6" s="14" t="inlineStr">
        <is>
          <t>FIA26</t>
        </is>
      </c>
    </row>
    <row r="7">
      <c r="A7" s="14" t="inlineStr">
        <is>
          <t>FU-03</t>
        </is>
      </c>
      <c r="B7" s="14" t="inlineStr">
        <is>
          <t>产业</t>
        </is>
      </c>
      <c r="C7" s="14" t="inlineStr">
        <is>
          <t>受访聚变企业数量</t>
        </is>
      </c>
      <c r="D7" s="14" t="inlineStr">
        <is>
          <t>全球（FIA 调查）</t>
        </is>
      </c>
      <c r="E7" s="32" t="n">
        <v>56</v>
      </c>
      <c r="F7" s="14" t="inlineStr">
        <is>
          <t>家</t>
        </is>
      </c>
      <c r="G7" s="14" t="inlineStr">
        <is>
          <t>2026-07</t>
        </is>
      </c>
      <c r="H7" s="14" t="inlineStr">
        <is>
          <t>披露事实</t>
        </is>
      </c>
      <c r="I7" s="14" t="inlineStr">
        <is>
          <t>2021 年为 23 家</t>
        </is>
      </c>
      <c r="J7" s="14" t="inlineStr">
        <is>
          <t>聚变产业协会（FIA）新闻稿：年度融资创纪录 44.8 亿美元，累计 142.4 亿美元</t>
        </is>
      </c>
      <c r="K7" s="14" t="inlineStr">
        <is>
          <t>2026-07-13</t>
        </is>
      </c>
      <c r="L7" s="14" t="inlineStr">
        <is>
          <t>https://www.fusionindustryassociation.org/fusion-industry-attracts-record-annual-funding-of-4-48bn-raising-total-to-14-24bn/｜新闻稿</t>
        </is>
      </c>
      <c r="M7" s="14" t="inlineStr">
        <is>
          <t>2026-10-22</t>
        </is>
      </c>
      <c r="N7" s="14" t="inlineStr">
        <is>
          <t>FIA26</t>
        </is>
      </c>
    </row>
    <row r="8">
      <c r="A8" s="14" t="inlineStr">
        <is>
          <t>FU-04</t>
        </is>
      </c>
      <c r="B8" s="14" t="inlineStr">
        <is>
          <t>产业</t>
        </is>
      </c>
      <c r="C8" s="14" t="inlineStr">
        <is>
          <t>预计 2030 年代实现商业供电的企业比例</t>
        </is>
      </c>
      <c r="D8" s="14" t="inlineStr">
        <is>
          <t>全球（FIA 调查）</t>
        </is>
      </c>
      <c r="E8" s="33" t="n">
        <v>0.71</v>
      </c>
      <c r="F8" s="14" t="inlineStr">
        <is>
          <t>%</t>
        </is>
      </c>
      <c r="G8" s="14" t="inlineStr">
        <is>
          <t>2026-07</t>
        </is>
      </c>
      <c r="H8" s="14" t="inlineStr">
        <is>
          <t>披露事实</t>
        </is>
      </c>
      <c r="I8" s="14" t="inlineStr">
        <is>
          <t>企业自我预期，非独立判断</t>
        </is>
      </c>
      <c r="J8" s="14" t="inlineStr">
        <is>
          <t>聚变产业协会（FIA）新闻稿：年度融资创纪录 44.8 亿美元，累计 142.4 亿美元</t>
        </is>
      </c>
      <c r="K8" s="14" t="inlineStr">
        <is>
          <t>2026-07-13</t>
        </is>
      </c>
      <c r="L8" s="14" t="inlineStr">
        <is>
          <t>https://www.fusionindustryassociation.org/fusion-industry-attracts-record-annual-funding-of-4-48bn-raising-total-to-14-24bn/｜新闻稿</t>
        </is>
      </c>
      <c r="M8" s="14" t="inlineStr">
        <is>
          <t>2026-10-22</t>
        </is>
      </c>
      <c r="N8" s="14" t="inlineStr">
        <is>
          <t>FIA26</t>
        </is>
      </c>
    </row>
    <row r="9">
      <c r="A9" s="14" t="inlineStr">
        <is>
          <t>FU-05</t>
        </is>
      </c>
      <c r="B9" s="14" t="inlineStr">
        <is>
          <t>产业</t>
        </is>
      </c>
      <c r="C9" s="14" t="inlineStr">
        <is>
          <t>已签购电/承购或类似承诺的企业数</t>
        </is>
      </c>
      <c r="D9" s="14" t="inlineStr">
        <is>
          <t>全球（FIA 调查）</t>
        </is>
      </c>
      <c r="E9" s="32" t="n">
        <v>5</v>
      </c>
      <c r="F9" s="14" t="inlineStr">
        <is>
          <t>家</t>
        </is>
      </c>
      <c r="G9" s="14" t="inlineStr">
        <is>
          <t>2026-07</t>
        </is>
      </c>
      <c r="H9" s="14" t="inlineStr">
        <is>
          <t>披露事实</t>
        </is>
      </c>
      <c r="I9" s="14" t="inlineStr">
        <is>
          <t>另有 2 家在谈</t>
        </is>
      </c>
      <c r="J9" s="14" t="inlineStr">
        <is>
          <t>聚变产业协会（FIA）新闻稿：年度融资创纪录 44.8 亿美元，累计 142.4 亿美元</t>
        </is>
      </c>
      <c r="K9" s="14" t="inlineStr">
        <is>
          <t>2026-07-13</t>
        </is>
      </c>
      <c r="L9" s="14" t="inlineStr">
        <is>
          <t>https://www.fusionindustryassociation.org/fusion-industry-attracts-record-annual-funding-of-4-48bn-raising-total-to-14-24bn/｜新闻稿</t>
        </is>
      </c>
      <c r="M9" s="14" t="inlineStr">
        <is>
          <t>2026-10-22</t>
        </is>
      </c>
      <c r="N9" s="14" t="inlineStr">
        <is>
          <t>FIA26</t>
        </is>
      </c>
    </row>
    <row r="10">
      <c r="A10" s="14" t="inlineStr">
        <is>
          <t>FU-06</t>
        </is>
      </c>
      <c r="B10" s="14" t="inlineStr">
        <is>
          <t>产业</t>
        </is>
      </c>
      <c r="C10" s="14" t="inlineStr">
        <is>
          <t>聚变企业过去 12 个月融资额</t>
        </is>
      </c>
      <c r="D10" s="14" t="inlineStr">
        <is>
          <t>全球（FIA 调查）</t>
        </is>
      </c>
      <c r="E10" s="34" t="n">
        <v>2.64</v>
      </c>
      <c r="F10" s="14" t="inlineStr">
        <is>
          <t>十亿美元</t>
        </is>
      </c>
      <c r="G10" s="14" t="inlineStr">
        <is>
          <t>截至 2025-07</t>
        </is>
      </c>
      <c r="H10" s="14" t="inlineStr">
        <is>
          <t>披露事实</t>
        </is>
      </c>
      <c r="I10" s="14" t="inlineStr"/>
      <c r="J10" s="14" t="inlineStr">
        <is>
          <t>聚变产业协会（FIA）新闻稿：过去一年聚变产业投资超 25 亿美元</t>
        </is>
      </c>
      <c r="K10" s="14" t="inlineStr">
        <is>
          <t>2025-07-22</t>
        </is>
      </c>
      <c r="L10" s="14" t="inlineStr">
        <is>
          <t>https://www.fusionindustryassociation.org/over-2-5-billion-invested-in-fusion-industry-in-past-year/｜新闻稿</t>
        </is>
      </c>
      <c r="M10" s="14" t="inlineStr">
        <is>
          <t>2026-10-22</t>
        </is>
      </c>
      <c r="N10" s="14" t="inlineStr">
        <is>
          <t>FIA25</t>
        </is>
      </c>
    </row>
    <row r="11">
      <c r="A11" s="14" t="inlineStr">
        <is>
          <t>FU-07</t>
        </is>
      </c>
      <c r="B11" s="14" t="inlineStr">
        <is>
          <t>产业</t>
        </is>
      </c>
      <c r="C11" s="14" t="inlineStr">
        <is>
          <t>聚变企业累计融资额</t>
        </is>
      </c>
      <c r="D11" s="14" t="inlineStr">
        <is>
          <t>全球（FIA 调查）</t>
        </is>
      </c>
      <c r="E11" s="34" t="n">
        <v>9.766</v>
      </c>
      <c r="F11" s="14" t="inlineStr">
        <is>
          <t>十亿美元</t>
        </is>
      </c>
      <c r="G11" s="14" t="inlineStr">
        <is>
          <t>截至 2025-07</t>
        </is>
      </c>
      <c r="H11" s="14" t="inlineStr">
        <is>
          <t>披露事实</t>
        </is>
      </c>
      <c r="I11" s="14" t="inlineStr">
        <is>
          <t>53 家企业</t>
        </is>
      </c>
      <c r="J11" s="14" t="inlineStr">
        <is>
          <t>聚变产业协会（FIA）新闻稿：过去一年聚变产业投资超 25 亿美元</t>
        </is>
      </c>
      <c r="K11" s="14" t="inlineStr">
        <is>
          <t>2025-07-22</t>
        </is>
      </c>
      <c r="L11" s="14" t="inlineStr">
        <is>
          <t>https://www.fusionindustryassociation.org/over-2-5-billion-invested-in-fusion-industry-in-past-year/｜新闻稿</t>
        </is>
      </c>
      <c r="M11" s="14" t="inlineStr">
        <is>
          <t>2026-10-22</t>
        </is>
      </c>
      <c r="N11" s="14" t="inlineStr">
        <is>
          <t>FIA25</t>
        </is>
      </c>
    </row>
    <row r="12">
      <c r="A12" s="14" t="inlineStr">
        <is>
          <t>FU-C01</t>
        </is>
      </c>
      <c r="B12" s="14" t="inlineStr">
        <is>
          <t>公司融资</t>
        </is>
      </c>
      <c r="C12" s="14" t="inlineStr">
        <is>
          <t>Commonwealth Fusion Systems（CFS）累计融资</t>
        </is>
      </c>
      <c r="D12" s="14" t="inlineStr">
        <is>
          <t>CFS（美国，高温超导托卡马克）</t>
        </is>
      </c>
      <c r="E12" s="32" t="n">
        <v>4</v>
      </c>
      <c r="F12" s="14" t="inlineStr">
        <is>
          <t>十亿美元</t>
        </is>
      </c>
      <c r="G12" s="14" t="inlineStr">
        <is>
          <t>2026-07-30</t>
        </is>
      </c>
      <c r="H12" s="14" t="inlineStr">
        <is>
          <t>披露事实</t>
        </is>
      </c>
      <c r="I12" s="14" t="inlineStr">
        <is>
          <t>投资方含 Google、NVIDIA（NVentures）、Eni 等</t>
        </is>
      </c>
      <c r="J12" s="14" t="inlineStr">
        <is>
          <t>CFS 新闻稿：再融资 10 亿美元，累计 40 亿美元</t>
        </is>
      </c>
      <c r="K12" s="14" t="inlineStr">
        <is>
          <t>2026-07-30</t>
        </is>
      </c>
      <c r="L12" s="14" t="inlineStr">
        <is>
          <t>https://cfs.energy/news-and-media/commonwealth-fusion-systems-raises-another-1-billion-bringing-total-capital-raised-to-4-billion/｜新闻稿</t>
        </is>
      </c>
      <c r="M12" s="14" t="inlineStr">
        <is>
          <t>2026-10-22</t>
        </is>
      </c>
      <c r="N12" s="14" t="inlineStr">
        <is>
          <t>CFS_1B</t>
        </is>
      </c>
    </row>
    <row r="13">
      <c r="A13" s="14" t="inlineStr">
        <is>
          <t>FU-C02</t>
        </is>
      </c>
      <c r="B13" s="14" t="inlineStr">
        <is>
          <t>公司融资</t>
        </is>
      </c>
      <c r="C13" s="14" t="inlineStr">
        <is>
          <t>Helion 累计融资</t>
        </is>
      </c>
      <c r="D13" s="14" t="inlineStr">
        <is>
          <t>Helion（美国，脉冲场反位形）</t>
        </is>
      </c>
      <c r="E13" s="34" t="n">
        <v>1.5</v>
      </c>
      <c r="F13" s="14" t="inlineStr">
        <is>
          <t>十亿美元</t>
        </is>
      </c>
      <c r="G13" s="14" t="inlineStr">
        <is>
          <t>2026-06-04</t>
        </is>
      </c>
      <c r="H13" s="14" t="inlineStr">
        <is>
          <t>披露事实</t>
        </is>
      </c>
      <c r="I13" s="14" t="inlineStr">
        <is>
          <t>G 轮首关 4.65 亿美元后累计；9 月最终关账 5 亿美元；投后估值 155 亿美元</t>
        </is>
      </c>
      <c r="J13" s="14" t="inlineStr">
        <is>
          <t>Helion 新闻：完成 4.65 亿美元 G 轮（2026 年 9 月更新：最终 5 亿美元）</t>
        </is>
      </c>
      <c r="K13" s="14" t="inlineStr">
        <is>
          <t>2026-06-04</t>
        </is>
      </c>
      <c r="L13" s="14" t="inlineStr">
        <is>
          <t>https://www.helionenergy.com/newsroom/helion-raises-465-million-series-g-funding-round-to-meet-surging-global-demand-for-power｜新闻稿</t>
        </is>
      </c>
      <c r="M13" s="14" t="inlineStr">
        <is>
          <t>2026-10-22</t>
        </is>
      </c>
      <c r="N13" s="14" t="inlineStr">
        <is>
          <t>HEL_G</t>
        </is>
      </c>
    </row>
    <row r="14">
      <c r="A14" s="14" t="inlineStr">
        <is>
          <t>FU-C03</t>
        </is>
      </c>
      <c r="B14" s="14" t="inlineStr">
        <is>
          <t>公司融资</t>
        </is>
      </c>
      <c r="C14" s="14" t="inlineStr">
        <is>
          <t>TAE Technologies 累计股权融资</t>
        </is>
      </c>
      <c r="D14" s="14" t="inlineStr">
        <is>
          <t>TAE（美国，束流驱动场反位形）</t>
        </is>
      </c>
      <c r="E14" s="34" t="n">
        <v>1.3</v>
      </c>
      <c r="F14" s="14" t="inlineStr">
        <is>
          <t>十亿美元</t>
        </is>
      </c>
      <c r="G14" s="14" t="inlineStr">
        <is>
          <t>2025-06-02</t>
        </is>
      </c>
      <c r="H14" s="14" t="inlineStr">
        <is>
          <t>披露事实</t>
        </is>
      </c>
      <c r="I14" s="14" t="inlineStr">
        <is>
          <t>原文“超过 13 亿美元”；另与 TMTG 合并（估值超 60 亿美元）待完成</t>
        </is>
      </c>
      <c r="J14" s="14" t="inlineStr">
        <is>
          <t>TAE 新闻：完成 1.5 亿美元融资（累计股权融资超 13 亿美元）</t>
        </is>
      </c>
      <c r="K14" s="14" t="inlineStr">
        <is>
          <t>2025-06-02</t>
        </is>
      </c>
      <c r="L14" s="14" t="inlineStr">
        <is>
          <t>https://tae.com/tae-technologies-raises-150-million-in-latest-funding-round/｜新闻稿</t>
        </is>
      </c>
      <c r="M14" s="14" t="inlineStr">
        <is>
          <t>2026-10-22</t>
        </is>
      </c>
      <c r="N14" s="14" t="inlineStr">
        <is>
          <t>TAE_150</t>
        </is>
      </c>
    </row>
    <row r="15">
      <c r="A15" s="14" t="inlineStr">
        <is>
          <t>FU-C04</t>
        </is>
      </c>
      <c r="B15" s="14" t="inlineStr">
        <is>
          <t>公司融资</t>
        </is>
      </c>
      <c r="C15" s="14" t="inlineStr">
        <is>
          <t>Pacific Fusion A 轮承诺</t>
        </is>
      </c>
      <c r="D15" s="14" t="inlineStr">
        <is>
          <t>Pacific Fusion（美国，脉冲功率惯性）</t>
        </is>
      </c>
      <c r="E15" s="34" t="n">
        <v>0.9</v>
      </c>
      <c r="F15" s="14" t="inlineStr">
        <is>
          <t>十亿美元</t>
        </is>
      </c>
      <c r="G15" s="14" t="inlineStr">
        <is>
          <t>2024-10-25</t>
        </is>
      </c>
      <c r="H15" s="14" t="inlineStr">
        <is>
          <t>披露事实</t>
        </is>
      </c>
      <c r="I15" s="14" t="inlineStr">
        <is>
          <t>原文“超过 9 亿美元”，按里程碑释放</t>
        </is>
      </c>
      <c r="J15" s="14" t="inlineStr">
        <is>
          <t>Pacific Fusion 创始人信（A 轮 9 亿美元以上）</t>
        </is>
      </c>
      <c r="K15" s="14" t="inlineStr">
        <is>
          <t>2024-10-25</t>
        </is>
      </c>
      <c r="L15" s="14" t="inlineStr">
        <is>
          <t>https://www.pacificfusion.com/updates/founders-letter｜创始人信</t>
        </is>
      </c>
      <c r="M15" s="14" t="inlineStr">
        <is>
          <t>2026-10-22</t>
        </is>
      </c>
      <c r="N15" s="14" t="inlineStr">
        <is>
          <t>PAC_A</t>
        </is>
      </c>
    </row>
    <row r="16">
      <c r="A16" s="14" t="inlineStr">
        <is>
          <t>FU-C05</t>
        </is>
      </c>
      <c r="B16" s="14" t="inlineStr">
        <is>
          <t>公司融资</t>
        </is>
      </c>
      <c r="C16" s="14" t="inlineStr">
        <is>
          <t>Proxima Fusion 累计融资</t>
        </is>
      </c>
      <c r="D16" s="14" t="inlineStr">
        <is>
          <t>Proxima（德国，仿星器）</t>
        </is>
      </c>
      <c r="E16" s="34" t="n">
        <v>0.74</v>
      </c>
      <c r="F16" s="14" t="inlineStr">
        <is>
          <t>十亿美元</t>
        </is>
      </c>
      <c r="G16" s="14" t="inlineStr">
        <is>
          <t>2026-07-07</t>
        </is>
      </c>
      <c r="H16" s="14" t="inlineStr">
        <is>
          <t>披露事实</t>
        </is>
      </c>
      <c r="I16" s="14" t="inlineStr">
        <is>
          <t>超过 6.5 亿欧元（含 9500 万欧元公共资助），公司给出的美元数</t>
        </is>
      </c>
      <c r="J16" s="14" t="inlineStr">
        <is>
          <t>Proxima Fusion 新闻：融资 4.11 亿欧元</t>
        </is>
      </c>
      <c r="K16" s="14" t="inlineStr">
        <is>
          <t>2026-07-07</t>
        </is>
      </c>
      <c r="L16" s="14" t="inlineStr">
        <is>
          <t>https://www.proximafusion.com/press-news/proxima-fusion-raises-eu411-million-to-build-europes-commercial-fusion-champion｜新闻稿</t>
        </is>
      </c>
      <c r="M16" s="14" t="inlineStr">
        <is>
          <t>2026-10-22</t>
        </is>
      </c>
      <c r="N16" s="14" t="inlineStr">
        <is>
          <t>PROXIMA</t>
        </is>
      </c>
    </row>
    <row r="17">
      <c r="A17" s="14" t="inlineStr">
        <is>
          <t>FU-C06</t>
        </is>
      </c>
      <c r="B17" s="14" t="inlineStr">
        <is>
          <t>公司融资</t>
        </is>
      </c>
      <c r="C17" s="14" t="inlineStr">
        <is>
          <t>Inertia Enterprises A 轮</t>
        </is>
      </c>
      <c r="D17" s="14" t="inlineStr">
        <is>
          <t>Inertia（美国，激光惯性）</t>
        </is>
      </c>
      <c r="E17" s="34" t="n">
        <v>0.45</v>
      </c>
      <c r="F17" s="14" t="inlineStr">
        <is>
          <t>十亿美元</t>
        </is>
      </c>
      <c r="G17" s="14" t="inlineStr">
        <is>
          <t>2026-02</t>
        </is>
      </c>
      <c r="H17" s="14" t="inlineStr">
        <is>
          <t>披露事实</t>
        </is>
      </c>
      <c r="I17" s="14" t="inlineStr">
        <is>
          <t>GV（Alphabet）参投（二手）</t>
        </is>
      </c>
      <c r="J17" s="14" t="inlineStr">
        <is>
          <t>Nuclear Engineering International：Inertia 完成 A 轮</t>
        </is>
      </c>
      <c r="K17" s="14" t="inlineStr">
        <is>
          <t>2026-02-18</t>
        </is>
      </c>
      <c r="L17" s="14" t="inlineStr">
        <is>
          <t>https://www.neimagazine.com/news/inertia-secures-series-a-fusion-funding/｜报道正文</t>
        </is>
      </c>
      <c r="M17" s="14" t="inlineStr">
        <is>
          <t>2026-10-22</t>
        </is>
      </c>
      <c r="N17" s="14" t="inlineStr">
        <is>
          <t>NEI_INERTIA</t>
        </is>
      </c>
    </row>
    <row r="18">
      <c r="A18" s="14" t="inlineStr">
        <is>
          <t>FU-C07</t>
        </is>
      </c>
      <c r="B18" s="14" t="inlineStr">
        <is>
          <t>公司融资</t>
        </is>
      </c>
      <c r="C18" s="14" t="inlineStr">
        <is>
          <t>General Fusion 上市前累计融资</t>
        </is>
      </c>
      <c r="D18" s="14" t="inlineStr">
        <is>
          <t>General Fusion（加拿大，磁化靶）</t>
        </is>
      </c>
      <c r="E18" s="34" t="n">
        <v>0.4</v>
      </c>
      <c r="F18" s="14" t="inlineStr">
        <is>
          <t>十亿美元</t>
        </is>
      </c>
      <c r="G18" s="14" t="inlineStr">
        <is>
          <t>2026-01-22</t>
        </is>
      </c>
      <c r="H18" s="14" t="inlineStr">
        <is>
          <t>披露事实</t>
        </is>
      </c>
      <c r="I18" s="14" t="inlineStr">
        <is>
          <t>原文“超过 4 亿美元”；2026-07 经 SPAC 上市</t>
        </is>
      </c>
      <c r="J18" s="14" t="inlineStr">
        <is>
          <t>General Fusion 新闻：与 Spring Valley III 合并上市</t>
        </is>
      </c>
      <c r="K18" s="14" t="inlineStr">
        <is>
          <t>2026-01-22</t>
        </is>
      </c>
      <c r="L18" s="14" t="inlineStr">
        <is>
          <t>https://generalfusion.com/post/general-fusion-business-combination-announcement/｜新闻稿</t>
        </is>
      </c>
      <c r="M18" s="14" t="inlineStr">
        <is>
          <t>2026-10-22</t>
        </is>
      </c>
      <c r="N18" s="14" t="inlineStr">
        <is>
          <t>GF_SPAC</t>
        </is>
      </c>
    </row>
    <row r="19">
      <c r="A19" s="14" t="inlineStr">
        <is>
          <t>FU-C08</t>
        </is>
      </c>
      <c r="B19" s="14" t="inlineStr">
        <is>
          <t>公司融资</t>
        </is>
      </c>
      <c r="C19" s="14" t="inlineStr">
        <is>
          <t>Tokamak Energy 累计融资</t>
        </is>
      </c>
      <c r="D19" s="14" t="inlineStr">
        <is>
          <t>Tokamak Energy（英国，球形托卡马克）</t>
        </is>
      </c>
      <c r="E19" s="34" t="n">
        <v>0.335</v>
      </c>
      <c r="F19" s="14" t="inlineStr">
        <is>
          <t>十亿美元</t>
        </is>
      </c>
      <c r="G19" s="14" t="inlineStr">
        <is>
          <t>2024-11-20</t>
        </is>
      </c>
      <c r="H19" s="14" t="inlineStr">
        <is>
          <t>披露事实</t>
        </is>
      </c>
      <c r="I19" s="14" t="inlineStr">
        <is>
          <t>私人 2.75 亿 + 政府 0.6 亿美元</t>
        </is>
      </c>
      <c r="J19" s="14" t="inlineStr">
        <is>
          <t>Tokamak Energy 新闻：融资 1.25 亿美元</t>
        </is>
      </c>
      <c r="K19" s="14" t="inlineStr">
        <is>
          <t>2024-11-20</t>
        </is>
      </c>
      <c r="L19" s="14" t="inlineStr">
        <is>
          <t>https://tokamakenergy.com/?p=7447｜新闻稿</t>
        </is>
      </c>
      <c r="M19" s="14" t="inlineStr">
        <is>
          <t>2026-10-22</t>
        </is>
      </c>
      <c r="N19" s="14" t="inlineStr">
        <is>
          <t>TE_125</t>
        </is>
      </c>
    </row>
    <row r="20">
      <c r="A20" s="14" t="inlineStr">
        <is>
          <t>FU-C09</t>
        </is>
      </c>
      <c r="B20" s="14" t="inlineStr">
        <is>
          <t>公司融资</t>
        </is>
      </c>
      <c r="C20" s="14" t="inlineStr">
        <is>
          <t>Zap Energy 累计融资</t>
        </is>
      </c>
      <c r="D20" s="14" t="inlineStr">
        <is>
          <t>Zap（美国，剪切流 Z 箍缩）</t>
        </is>
      </c>
      <c r="E20" s="34" t="n">
        <v>0.33</v>
      </c>
      <c r="F20" s="14" t="inlineStr">
        <is>
          <t>十亿美元</t>
        </is>
      </c>
      <c r="G20" s="14" t="inlineStr">
        <is>
          <t>2024-10-09</t>
        </is>
      </c>
      <c r="H20" s="14" t="inlineStr">
        <is>
          <t>披露事实</t>
        </is>
      </c>
      <c r="I20" s="14" t="inlineStr">
        <is>
          <t>原文“超过 3.3 亿美元”</t>
        </is>
      </c>
      <c r="J20" s="14" t="inlineStr">
        <is>
          <t>Zap Energy 新闻：D 轮 1.3 亿美元</t>
        </is>
      </c>
      <c r="K20" s="14" t="inlineStr">
        <is>
          <t>2024-10-09</t>
        </is>
      </c>
      <c r="L20" s="14" t="inlineStr">
        <is>
          <t>https://legacy.zapenergy.com/news/zap-attracts-130m-as-demo-system-begins-operations｜新闻稿</t>
        </is>
      </c>
      <c r="M20" s="14" t="inlineStr">
        <is>
          <t>2026-10-22</t>
        </is>
      </c>
      <c r="N20" s="14" t="inlineStr">
        <is>
          <t>ZAP_D</t>
        </is>
      </c>
    </row>
    <row r="21">
      <c r="A21" s="14" t="inlineStr">
        <is>
          <t>FU-C10</t>
        </is>
      </c>
      <c r="B21" s="14" t="inlineStr">
        <is>
          <t>公司融资</t>
        </is>
      </c>
      <c r="C21" s="14" t="inlineStr">
        <is>
          <t>Type One Energy B 轮</t>
        </is>
      </c>
      <c r="D21" s="14" t="inlineStr">
        <is>
          <t>Type One（美国，仿星器）</t>
        </is>
      </c>
      <c r="E21" s="34" t="n">
        <v>0.2</v>
      </c>
      <c r="F21" s="14" t="inlineStr">
        <is>
          <t>十亿美元</t>
        </is>
      </c>
      <c r="G21" s="14" t="inlineStr">
        <is>
          <t>2026-10-06</t>
        </is>
      </c>
      <c r="H21" s="14" t="inlineStr">
        <is>
          <t>披露事实</t>
        </is>
      </c>
      <c r="I21" s="14" t="inlineStr">
        <is>
          <t>累计总额未披露；Infinity Two 规划 400 MWe</t>
        </is>
      </c>
      <c r="J21" s="14" t="inlineStr">
        <is>
          <t>Type One Energy 新闻：完成 2 亿美元 B 轮</t>
        </is>
      </c>
      <c r="K21" s="14" t="inlineStr">
        <is>
          <t>2026-10-06</t>
        </is>
      </c>
      <c r="L21" s="14" t="inlineStr">
        <is>
          <t>https://typeoneenergy.com/insights-announcements/type-one-energy-completes-200m-series-b-financing/｜新闻稿</t>
        </is>
      </c>
      <c r="M21" s="14" t="inlineStr">
        <is>
          <t>2026-10-22</t>
        </is>
      </c>
      <c r="N21" s="14" t="inlineStr">
        <is>
          <t>T1_B</t>
        </is>
      </c>
    </row>
    <row r="22">
      <c r="A22" s="14" t="inlineStr">
        <is>
          <t>FU-C11</t>
        </is>
      </c>
      <c r="B22" s="14" t="inlineStr">
        <is>
          <t>公司融资</t>
        </is>
      </c>
      <c r="C22" s="14" t="inlineStr">
        <is>
          <t>中国聚变能源有限公司注册资本</t>
        </is>
      </c>
      <c r="D22" s="14" t="inlineStr">
        <is>
          <t>中国（中核集团控股）</t>
        </is>
      </c>
      <c r="E22" s="32" t="n">
        <v>15</v>
      </c>
      <c r="F22" s="14" t="inlineStr">
        <is>
          <t>十亿元人民币</t>
        </is>
      </c>
      <c r="G22" s="14" t="inlineStr">
        <is>
          <t>2025-07</t>
        </is>
      </c>
      <c r="H22" s="14" t="inlineStr">
        <is>
          <t>披露事实</t>
        </is>
      </c>
      <c r="I22" s="14" t="inlineStr">
        <is>
          <t>国有企业注册资本，非风险投资；二手报道</t>
        </is>
      </c>
      <c r="J22" s="14" t="inlineStr">
        <is>
          <t>上海证券报：中国核电增资中国聚变能源有限公司（注册资本 150 亿元）</t>
        </is>
      </c>
      <c r="K22" s="14" t="inlineStr">
        <is>
          <t>2025-07-23</t>
        </is>
      </c>
      <c r="L22" s="14" t="inlineStr">
        <is>
          <t>https://paper.cnstock.com/html/2025-07/23/content_2097106.htm｜报道正文</t>
        </is>
      </c>
      <c r="M22" s="14" t="inlineStr">
        <is>
          <t>2026-10-22</t>
        </is>
      </c>
      <c r="N22" s="14" t="inlineStr">
        <is>
          <t>CN_CFEC</t>
        </is>
      </c>
    </row>
    <row r="23">
      <c r="A23" s="14" t="inlineStr">
        <is>
          <t>FU-P01</t>
        </is>
      </c>
      <c r="B23" s="14" t="inlineStr">
        <is>
          <t>购电协议</t>
        </is>
      </c>
      <c r="C23" s="14" t="inlineStr">
        <is>
          <t>微软—Helion 购电协议（Orion 电站）</t>
        </is>
      </c>
      <c r="D23" s="14" t="inlineStr">
        <is>
          <t>微软</t>
        </is>
      </c>
      <c r="E23" s="32" t="n">
        <v>50</v>
      </c>
      <c r="F23" s="14" t="inlineStr">
        <is>
          <t>MW</t>
        </is>
      </c>
      <c r="G23" s="14" t="inlineStr">
        <is>
          <t>目标 2028 年</t>
        </is>
      </c>
      <c r="H23" s="14" t="inlineStr">
        <is>
          <t>公司目标</t>
        </is>
      </c>
      <c r="I23" s="14" t="inlineStr">
        <is>
          <t>原文“至少 50 MW”；Constellation 为电力营销方；2023-05-10 签署</t>
        </is>
      </c>
      <c r="J23" s="14" t="inlineStr">
        <is>
          <t>Helion 新闻：与微软签署全球首个聚变购电协议</t>
        </is>
      </c>
      <c r="K23" s="14" t="inlineStr">
        <is>
          <t>2023-05-10</t>
        </is>
      </c>
      <c r="L23" s="14" t="inlineStr">
        <is>
          <t>https://www.helionenergy.com/newsroom/helion-announces-worlds-first-fusion-ppa-with-microsoft｜新闻</t>
        </is>
      </c>
      <c r="M23" s="14" t="inlineStr">
        <is>
          <t>2026-10-22</t>
        </is>
      </c>
      <c r="N23" s="14" t="inlineStr">
        <is>
          <t>HEL_MSFT</t>
        </is>
      </c>
    </row>
    <row r="24">
      <c r="A24" s="14" t="inlineStr">
        <is>
          <t>FU-P02</t>
        </is>
      </c>
      <c r="B24" s="14" t="inlineStr">
        <is>
          <t>购电协议</t>
        </is>
      </c>
      <c r="C24" s="14" t="inlineStr">
        <is>
          <t>Google—CFS 购电协议（ARC 电站）</t>
        </is>
      </c>
      <c r="D24" s="14" t="inlineStr">
        <is>
          <t>Google</t>
        </is>
      </c>
      <c r="E24" s="32" t="n">
        <v>200</v>
      </c>
      <c r="F24" s="14" t="inlineStr">
        <is>
          <t>MW</t>
        </is>
      </c>
      <c r="G24" s="14" t="inlineStr">
        <is>
          <t>2030 年代初</t>
        </is>
      </c>
      <c r="H24" s="14" t="inlineStr">
        <is>
          <t>公司目标</t>
        </is>
      </c>
      <c r="I24" s="14" t="inlineStr">
        <is>
          <t>ARC 净出力 400 MW 的一半；2025-06-30 签署；Google 同时增持股权</t>
        </is>
      </c>
      <c r="J24" s="14" t="inlineStr">
        <is>
          <t>CFS 新闻稿：Google 与 CFS 签署战略合作（200 MW 购电协议）</t>
        </is>
      </c>
      <c r="K24" s="14" t="inlineStr">
        <is>
          <t>2025-06-30</t>
        </is>
      </c>
      <c r="L24" s="14" t="inlineStr">
        <is>
          <t>https://cfs.energy/news-and-media/google-and-commonwealth-fusion-systems-sign-strategic-partnership/｜新闻稿</t>
        </is>
      </c>
      <c r="M24" s="14" t="inlineStr">
        <is>
          <t>2026-10-22</t>
        </is>
      </c>
      <c r="N24" s="14" t="inlineStr">
        <is>
          <t>CFS_GOOG</t>
        </is>
      </c>
    </row>
    <row r="25">
      <c r="A25" s="14" t="inlineStr">
        <is>
          <t>FU-P03</t>
        </is>
      </c>
      <c r="B25" s="14" t="inlineStr">
        <is>
          <t>购电协议</t>
        </is>
      </c>
      <c r="C25" s="14" t="inlineStr">
        <is>
          <t>Eni—CFS 购电协议金额</t>
        </is>
      </c>
      <c r="D25" s="14" t="inlineStr">
        <is>
          <t>Eni（能源公司）</t>
        </is>
      </c>
      <c r="E25" s="32" t="n">
        <v>1</v>
      </c>
      <c r="F25" s="14" t="inlineStr">
        <is>
          <t>十亿美元</t>
        </is>
      </c>
      <c r="G25" s="14" t="inlineStr">
        <is>
          <t>2030 年代初</t>
        </is>
      </c>
      <c r="H25" s="14" t="inlineStr">
        <is>
          <t>披露事实</t>
        </is>
      </c>
      <c r="I25" s="14" t="inlineStr">
        <is>
          <t>原文“超过 10 亿美元”，MW 未披露；与 Google 合计买下 ARC 一半以上电量</t>
        </is>
      </c>
      <c r="J25" s="14" t="inlineStr">
        <is>
          <t>CFS 新闻稿：Eni 与 CFS 签署超 10 亿美元购电协议</t>
        </is>
      </c>
      <c r="K25" s="14" t="inlineStr">
        <is>
          <t>2025-09-22</t>
        </is>
      </c>
      <c r="L25" s="14" t="inlineStr">
        <is>
          <t>https://cfs.energy/news-and-media/eni-and-commonwealth-fusion-systems-sign-1-billion/｜新闻稿</t>
        </is>
      </c>
      <c r="M25" s="14" t="inlineStr">
        <is>
          <t>2026-10-22</t>
        </is>
      </c>
      <c r="N25" s="14" t="inlineStr">
        <is>
          <t>CFS_ENI</t>
        </is>
      </c>
    </row>
    <row r="26">
      <c r="A26" s="14" t="inlineStr">
        <is>
          <t>FU-P04</t>
        </is>
      </c>
      <c r="B26" s="14" t="inlineStr">
        <is>
          <t>购电协议</t>
        </is>
      </c>
      <c r="C26" s="14" t="inlineStr">
        <is>
          <t>Nucor—Helion 合作电站规模（非购电协议）</t>
        </is>
      </c>
      <c r="D26" s="14" t="inlineStr">
        <is>
          <t>Nucor（钢铁）</t>
        </is>
      </c>
      <c r="E26" s="32" t="n">
        <v>500</v>
      </c>
      <c r="F26" s="14" t="inlineStr">
        <is>
          <t>MW</t>
        </is>
      </c>
      <c r="G26" s="14" t="inlineStr">
        <is>
          <t>目标 2030 年</t>
        </is>
      </c>
      <c r="H26" s="14" t="inlineStr">
        <is>
          <t>公司目标</t>
        </is>
      </c>
      <c r="I26" s="14" t="inlineStr">
        <is>
          <t>合作开发 + 3500 万美元股权</t>
        </is>
      </c>
      <c r="J26" s="14" t="inlineStr">
        <is>
          <t>Helion 新闻：与 Nucor 合作部署 500 MW 聚变电站</t>
        </is>
      </c>
      <c r="K26" s="14" t="inlineStr">
        <is>
          <t>2023-09-27</t>
        </is>
      </c>
      <c r="L26" s="14" t="inlineStr">
        <is>
          <t>https://www.helionenergy.com/newsroom/helion-nucor-collaboration-to-deploy-500-mw-fusion-power-plant｜新闻</t>
        </is>
      </c>
      <c r="M26" s="14" t="inlineStr">
        <is>
          <t>2026-10-22</t>
        </is>
      </c>
      <c r="N26" s="14" t="inlineStr">
        <is>
          <t>HEL_NUCOR</t>
        </is>
      </c>
    </row>
    <row r="27">
      <c r="A27" s="14" t="inlineStr">
        <is>
          <t>FU-P05</t>
        </is>
      </c>
      <c r="B27" s="14" t="inlineStr">
        <is>
          <t>购电协议</t>
        </is>
      </c>
      <c r="C27" s="14" t="inlineStr">
        <is>
          <t>TVA—Type One 意向书（Infinity Two）</t>
        </is>
      </c>
      <c r="D27" s="14" t="inlineStr">
        <is>
          <t>TVA（公用事业）</t>
        </is>
      </c>
      <c r="E27" s="32" t="n">
        <v>400</v>
      </c>
      <c r="F27" s="14" t="inlineStr">
        <is>
          <t>MW</t>
        </is>
      </c>
      <c r="G27" s="14" t="inlineStr">
        <is>
          <t>目标 2034 年（二手）</t>
        </is>
      </c>
      <c r="H27" s="14" t="inlineStr">
        <is>
          <t>公司目标</t>
        </is>
      </c>
      <c r="I27" s="14" t="inlineStr">
        <is>
          <t>意向书，非购电协议；2025 年为 350 MWe</t>
        </is>
      </c>
      <c r="J27" s="14" t="inlineStr">
        <is>
          <t>Type One Energy 新闻：与 TVA 加速田纳西聚变商业化（意向书）</t>
        </is>
      </c>
      <c r="K27" s="14" t="inlineStr">
        <is>
          <t>2025-09-19</t>
        </is>
      </c>
      <c r="L27" s="14" t="inlineStr">
        <is>
          <t>https://typeoneenergy.com/insights-announcements/tva-type-one-energy-accelerate-fusion-commercialization-tennessee/｜新闻</t>
        </is>
      </c>
      <c r="M27" s="14" t="inlineStr">
        <is>
          <t>2026-10-22</t>
        </is>
      </c>
      <c r="N27" s="14" t="inlineStr">
        <is>
          <t>T1_TVA</t>
        </is>
      </c>
    </row>
    <row r="28">
      <c r="A28" s="14" t="inlineStr">
        <is>
          <t>FU-T01</t>
        </is>
      </c>
      <c r="B28" s="14" t="inlineStr">
        <is>
          <t>时间表</t>
        </is>
      </c>
      <c r="C28" s="14" t="inlineStr">
        <is>
          <t>Helion Orion 电站向微软供电目标年份</t>
        </is>
      </c>
      <c r="D28" s="14" t="inlineStr">
        <is>
          <t>Helion</t>
        </is>
      </c>
      <c r="E28" s="32" t="n">
        <v>2028</v>
      </c>
      <c r="F28" s="14" t="inlineStr">
        <is>
          <t>年</t>
        </is>
      </c>
      <c r="G28" s="14" t="inlineStr">
        <is>
          <t>2026</t>
        </is>
      </c>
      <c r="H28" s="14" t="inlineStr">
        <is>
          <t>公司目标</t>
        </is>
      </c>
      <c r="I28" s="14" t="inlineStr">
        <is>
          <t>Polaris 2026 年实现可测量氘氚聚变；Orion 2026-06 取得州许可</t>
        </is>
      </c>
      <c r="J28" s="14" t="inlineStr">
        <is>
          <t>Helion 新闻：Orion 电站取得华盛顿州许可</t>
        </is>
      </c>
      <c r="K28" s="14" t="inlineStr">
        <is>
          <t>2026-06-16</t>
        </is>
      </c>
      <c r="L28" s="14" t="inlineStr">
        <is>
          <t>https://www.helionenergy.com/newsroom/helion-clears-key-regulatory-milestone-on-the-path-to-building-and-operating-the-worlds-first-fusion-power-plant｜新闻</t>
        </is>
      </c>
      <c r="M28" s="14" t="inlineStr">
        <is>
          <t>2026-10-22</t>
        </is>
      </c>
      <c r="N28" s="14" t="inlineStr">
        <is>
          <t>HEL_LIC</t>
        </is>
      </c>
    </row>
    <row r="29">
      <c r="A29" s="14" t="inlineStr">
        <is>
          <t>FU-T02</t>
        </is>
      </c>
      <c r="B29" s="14" t="inlineStr">
        <is>
          <t>时间表</t>
        </is>
      </c>
      <c r="C29" s="14" t="inlineStr">
        <is>
          <t>CFS SPARC 预计实现科学盈亏平衡（Q&gt;1）年份</t>
        </is>
      </c>
      <c r="D29" s="14" t="inlineStr">
        <is>
          <t>CFS</t>
        </is>
      </c>
      <c r="E29" s="32" t="n">
        <v>2027</v>
      </c>
      <c r="F29" s="14" t="inlineStr">
        <is>
          <t>年</t>
        </is>
      </c>
      <c r="G29" s="14" t="inlineStr">
        <is>
          <t>2026-07</t>
        </is>
      </c>
      <c r="H29" s="14" t="inlineStr">
        <is>
          <t>公司目标</t>
        </is>
      </c>
      <c r="I29" s="14" t="inlineStr">
        <is>
          <t>SPARC 约 80% 完工（2026-08）；年份为媒体转述</t>
        </is>
      </c>
      <c r="J29" s="14" t="inlineStr">
        <is>
          <t>TechCrunch：CFS 再融资 10 亿美元（含科学盈亏平衡 2027 年的表述）</t>
        </is>
      </c>
      <c r="K29" s="14" t="inlineStr">
        <is>
          <t>2026-07-30</t>
        </is>
      </c>
      <c r="L29" s="14" t="inlineStr">
        <is>
          <t>https://techcrunch.com/2026/07/30/fusion-power-darling-commonwealth-fusion-systems-raises-another-1b/｜报道正文</t>
        </is>
      </c>
      <c r="M29" s="14" t="inlineStr">
        <is>
          <t>2026-10-22</t>
        </is>
      </c>
      <c r="N29" s="14" t="inlineStr">
        <is>
          <t>TC_CFS</t>
        </is>
      </c>
    </row>
    <row r="30">
      <c r="A30" s="14" t="inlineStr">
        <is>
          <t>FU-T03</t>
        </is>
      </c>
      <c r="B30" s="14" t="inlineStr">
        <is>
          <t>时间表</t>
        </is>
      </c>
      <c r="C30" s="14" t="inlineStr">
        <is>
          <t>CFS ARC 电站并网目标（取值为假设）</t>
        </is>
      </c>
      <c r="D30" s="14" t="inlineStr">
        <is>
          <t>CFS</t>
        </is>
      </c>
      <c r="E30" s="40" t="n">
        <v>2032</v>
      </c>
      <c r="F30" s="14" t="inlineStr">
        <is>
          <t>年</t>
        </is>
      </c>
      <c r="G30" s="14" t="inlineStr">
        <is>
          <t>2026-07</t>
        </is>
      </c>
      <c r="H30" s="14" t="inlineStr">
        <is>
          <t>假设</t>
        </is>
      </c>
      <c r="I30" s="14" t="inlineStr">
        <is>
          <t>公司原文“2030 年代初”，表中以 2032 示意，属本研究假设性取值</t>
        </is>
      </c>
      <c r="J30" s="14" t="inlineStr">
        <is>
          <t>CFS 新闻稿：再融资 10 亿美元，累计 40 亿美元</t>
        </is>
      </c>
      <c r="K30" s="14" t="inlineStr">
        <is>
          <t>2026-07-30</t>
        </is>
      </c>
      <c r="L30" s="14" t="inlineStr">
        <is>
          <t>https://cfs.energy/news-and-media/commonwealth-fusion-systems-raises-another-1-billion-bringing-total-capital-raised-to-4-billion/｜新闻稿</t>
        </is>
      </c>
      <c r="M30" s="14" t="inlineStr">
        <is>
          <t>2026-10-22</t>
        </is>
      </c>
      <c r="N30" s="14" t="inlineStr">
        <is>
          <t>CFS_1B</t>
        </is>
      </c>
    </row>
    <row r="31">
      <c r="A31" s="14" t="inlineStr">
        <is>
          <t>FU-T04</t>
        </is>
      </c>
      <c r="B31" s="14" t="inlineStr">
        <is>
          <t>时间表</t>
        </is>
      </c>
      <c r="C31" s="14" t="inlineStr">
        <is>
          <t>ITER 开始研究运行（SRO）</t>
        </is>
      </c>
      <c r="D31" s="14" t="inlineStr">
        <is>
          <t>ITER</t>
        </is>
      </c>
      <c r="E31" s="32" t="n">
        <v>2034</v>
      </c>
      <c r="F31" s="14" t="inlineStr">
        <is>
          <t>年</t>
        </is>
      </c>
      <c r="G31" s="14" t="inlineStr">
        <is>
          <t>2024 新基线</t>
        </is>
      </c>
      <c r="H31" s="14" t="inlineStr">
        <is>
          <t>官方预测</t>
        </is>
      </c>
      <c r="I31" s="14" t="inlineStr">
        <is>
          <t>氘氚运行 2039 年</t>
        </is>
      </c>
      <c r="J31" s="14" t="inlineStr">
        <is>
          <t>ITER 组织官网：ITER 是什么（2024 年新基线进度）</t>
        </is>
      </c>
      <c r="K31" s="14" t="inlineStr">
        <is>
          <t>页面未标日期</t>
        </is>
      </c>
      <c r="L31" s="14" t="inlineStr">
        <is>
          <t>https://www.iter.org/few-lines｜页面正文</t>
        </is>
      </c>
      <c r="M31" s="14" t="inlineStr">
        <is>
          <t>2026-10-22</t>
        </is>
      </c>
      <c r="N31" s="14" t="inlineStr">
        <is>
          <t>ITER_FL</t>
        </is>
      </c>
    </row>
    <row r="32">
      <c r="A32" s="14" t="inlineStr">
        <is>
          <t>FU-T05</t>
        </is>
      </c>
      <c r="B32" s="14" t="inlineStr">
        <is>
          <t>时间表</t>
        </is>
      </c>
      <c r="C32" s="14" t="inlineStr">
        <is>
          <t>ITER 开始氘氚运行</t>
        </is>
      </c>
      <c r="D32" s="14" t="inlineStr">
        <is>
          <t>ITER</t>
        </is>
      </c>
      <c r="E32" s="32" t="n">
        <v>2039</v>
      </c>
      <c r="F32" s="14" t="inlineStr">
        <is>
          <t>年</t>
        </is>
      </c>
      <c r="G32" s="14" t="inlineStr">
        <is>
          <t>2024 新基线</t>
        </is>
      </c>
      <c r="H32" s="14" t="inlineStr">
        <is>
          <t>官方预测</t>
        </is>
      </c>
      <c r="I32" s="14" t="inlineStr">
        <is>
          <t>较 2016 年基线推迟约 4 年</t>
        </is>
      </c>
      <c r="J32" s="14" t="inlineStr">
        <is>
          <t>ITER 组织官网：ITER 是什么（2024 年新基线进度）</t>
        </is>
      </c>
      <c r="K32" s="14" t="inlineStr">
        <is>
          <t>页面未标日期</t>
        </is>
      </c>
      <c r="L32" s="14" t="inlineStr">
        <is>
          <t>https://www.iter.org/few-lines｜页面正文</t>
        </is>
      </c>
      <c r="M32" s="14" t="inlineStr">
        <is>
          <t>2026-10-22</t>
        </is>
      </c>
      <c r="N32" s="14" t="inlineStr">
        <is>
          <t>ITER_FL</t>
        </is>
      </c>
    </row>
    <row r="33">
      <c r="A33" s="14" t="inlineStr">
        <is>
          <t>FU-T06</t>
        </is>
      </c>
      <c r="B33" s="14" t="inlineStr">
        <is>
          <t>时间表</t>
        </is>
      </c>
      <c r="C33" s="14" t="inlineStr">
        <is>
          <t>中国 BEST 装置整体建成目标</t>
        </is>
      </c>
      <c r="D33" s="14" t="inlineStr">
        <is>
          <t>中国（合肥）</t>
        </is>
      </c>
      <c r="E33" s="32" t="n">
        <v>2027</v>
      </c>
      <c r="F33" s="14" t="inlineStr">
        <is>
          <t>年</t>
        </is>
      </c>
      <c r="G33" s="14" t="inlineStr">
        <is>
          <t>2026-10</t>
        </is>
      </c>
      <c r="H33" s="14" t="inlineStr">
        <is>
          <t>官方预测</t>
        </is>
      </c>
      <c r="I33" s="14" t="inlineStr">
        <is>
          <t>“力争 2027 年底完成整体建造，2030 年前后开展氘氚聚变发电演示”</t>
        </is>
      </c>
      <c r="J33" s="14" t="inlineStr">
        <is>
          <t>北京日报（转央视新闻）：紧凑型聚变能实验装置园区交付使用</t>
        </is>
      </c>
      <c r="K33" s="14" t="inlineStr">
        <is>
          <t>2026-10-01</t>
        </is>
      </c>
      <c r="L33" s="14" t="inlineStr">
        <is>
          <t>https://news.bjd.com.cn/2026/10/01/11980320.shtml｜报道正文</t>
        </is>
      </c>
      <c r="M33" s="14" t="inlineStr">
        <is>
          <t>2026-10-22</t>
        </is>
      </c>
      <c r="N33" s="14" t="inlineStr">
        <is>
          <t>CN_BEST</t>
        </is>
      </c>
    </row>
    <row r="34">
      <c r="A34" s="14" t="inlineStr">
        <is>
          <t>FU-T07</t>
        </is>
      </c>
      <c r="B34" s="14" t="inlineStr">
        <is>
          <t>时间表</t>
        </is>
      </c>
      <c r="C34" s="14" t="inlineStr">
        <is>
          <t>英国 STEP 原型电站目标</t>
        </is>
      </c>
      <c r="D34" s="14" t="inlineStr">
        <is>
          <t>英国</t>
        </is>
      </c>
      <c r="E34" s="32" t="n">
        <v>2040</v>
      </c>
      <c r="F34" s="14" t="inlineStr">
        <is>
          <t>年</t>
        </is>
      </c>
      <c r="G34" s="14" t="inlineStr">
        <is>
          <t>2026-10</t>
        </is>
      </c>
      <c r="H34" s="14" t="inlineStr">
        <is>
          <t>官方预测</t>
        </is>
      </c>
      <c r="I34" s="14" t="inlineStr">
        <is>
          <t>五年 25 亿英镑聚变资金</t>
        </is>
      </c>
      <c r="J34" s="14" t="inlineStr">
        <is>
          <t>STEP Fusion：英国聚变电站计划交付进展（五年 25 亿英镑聚变资金，约 13 亿英镑用于 STEP）</t>
        </is>
      </c>
      <c r="K34" s="14" t="inlineStr">
        <is>
          <t>2026-10-13</t>
        </is>
      </c>
      <c r="L34" s="14" t="inlineStr">
        <is>
          <t>https://stepfusion.com/uk-fusion-power-plant-programme-achieves-major-delivery-milestones-while-backing-british-business/｜页面正文</t>
        </is>
      </c>
      <c r="M34" s="14" t="inlineStr">
        <is>
          <t>2026-10-22</t>
        </is>
      </c>
      <c r="N34" s="14" t="inlineStr">
        <is>
          <t>STEP26</t>
        </is>
      </c>
    </row>
    <row r="35">
      <c r="A35" s="14" t="inlineStr">
        <is>
          <t>FU-T08</t>
        </is>
      </c>
      <c r="B35" s="14" t="inlineStr">
        <is>
          <t>时间表</t>
        </is>
      </c>
      <c r="C35" s="14" t="inlineStr">
        <is>
          <t>TAE 首座 50 MWe 电站目标（取值为假设）</t>
        </is>
      </c>
      <c r="D35" s="14" t="inlineStr">
        <is>
          <t>TAE</t>
        </is>
      </c>
      <c r="E35" s="40" t="n">
        <v>2032</v>
      </c>
      <c r="F35" s="14" t="inlineStr">
        <is>
          <t>年</t>
        </is>
      </c>
      <c r="G35" s="14" t="inlineStr">
        <is>
          <t>2026-03</t>
        </is>
      </c>
      <c r="H35" s="14" t="inlineStr">
        <is>
          <t>假设</t>
        </is>
      </c>
      <c r="I35" s="14" t="inlineStr">
        <is>
          <t>公司原文“2030 年代初”，表中以 2032 示意，属本研究假设性取值</t>
        </is>
      </c>
      <c r="J35" s="14" t="inlineStr">
        <is>
          <t>TAE 新闻：首座聚变电站多州选址考察</t>
        </is>
      </c>
      <c r="K35" s="14" t="inlineStr">
        <is>
          <t>2026-03-26</t>
        </is>
      </c>
      <c r="L35" s="14" t="inlineStr">
        <is>
          <t>https://tae.com/tae-technologies-advances-site-evaluation-process-with-multi-state-visits-ahead-of-first-fusion-power-plant/｜新闻</t>
        </is>
      </c>
      <c r="M35" s="14" t="inlineStr">
        <is>
          <t>2026-10-22</t>
        </is>
      </c>
      <c r="N35" s="14" t="inlineStr">
        <is>
          <t>TAE_SITE</t>
        </is>
      </c>
    </row>
    <row r="36">
      <c r="A36" s="14" t="inlineStr">
        <is>
          <t>FU-T09</t>
        </is>
      </c>
      <c r="B36" s="14" t="inlineStr">
        <is>
          <t>时间表</t>
        </is>
      </c>
      <c r="C36" s="14" t="inlineStr">
        <is>
          <t>Type One Infinity Two 商运目标</t>
        </is>
      </c>
      <c r="D36" s="14" t="inlineStr">
        <is>
          <t>Type One</t>
        </is>
      </c>
      <c r="E36" s="32" t="n">
        <v>2034</v>
      </c>
      <c r="F36" s="14" t="inlineStr">
        <is>
          <t>年</t>
        </is>
      </c>
      <c r="G36" s="14" t="inlineStr">
        <is>
          <t>2026</t>
        </is>
      </c>
      <c r="H36" s="14" t="inlineStr">
        <is>
          <t>公司目标</t>
        </is>
      </c>
      <c r="I36" s="14" t="inlineStr">
        <is>
          <t>二手报道</t>
        </is>
      </c>
      <c r="J36" s="14" t="inlineStr">
        <is>
          <t>Type One Energy 新闻：与 TVA 加速田纳西聚变商业化（意向书）</t>
        </is>
      </c>
      <c r="K36" s="14" t="inlineStr">
        <is>
          <t>2025-09-19</t>
        </is>
      </c>
      <c r="L36" s="14" t="inlineStr">
        <is>
          <t>https://typeoneenergy.com/insights-announcements/tva-type-one-energy-accelerate-fusion-commercialization-tennessee/｜新闻</t>
        </is>
      </c>
      <c r="M36" s="14" t="inlineStr">
        <is>
          <t>2026-10-22</t>
        </is>
      </c>
      <c r="N36" s="14" t="inlineStr">
        <is>
          <t>T1_TVA</t>
        </is>
      </c>
    </row>
    <row r="37">
      <c r="A37" s="14" t="inlineStr">
        <is>
          <t>FU-T10</t>
        </is>
      </c>
      <c r="B37" s="14" t="inlineStr">
        <is>
          <t>时间表</t>
        </is>
      </c>
      <c r="C37" s="14" t="inlineStr">
        <is>
          <t>General Fusion 首座电站目标</t>
        </is>
      </c>
      <c r="D37" s="14" t="inlineStr">
        <is>
          <t>General Fusion</t>
        </is>
      </c>
      <c r="E37" s="32" t="n">
        <v>2035</v>
      </c>
      <c r="F37" s="14" t="inlineStr">
        <is>
          <t>年</t>
        </is>
      </c>
      <c r="G37" s="14" t="inlineStr">
        <is>
          <t>2026-08</t>
        </is>
      </c>
      <c r="H37" s="14" t="inlineStr">
        <is>
          <t>公司目标</t>
        </is>
      </c>
      <c r="I37" s="14" t="inlineStr">
        <is>
          <t>原文“约 2035 年”</t>
        </is>
      </c>
      <c r="J37" s="14" t="inlineStr">
        <is>
          <t>General Fusion 新闻：上市后首次业务更新</t>
        </is>
      </c>
      <c r="K37" s="14" t="inlineStr">
        <is>
          <t>2026-08-18</t>
        </is>
      </c>
      <c r="L37" s="14" t="inlineStr">
        <is>
          <t>https://generalfusion.com/post/general-fusion-provides-first-public-company-business-update/｜新闻</t>
        </is>
      </c>
      <c r="M37" s="14" t="inlineStr">
        <is>
          <t>2026-10-22</t>
        </is>
      </c>
      <c r="N37" s="14" t="inlineStr">
        <is>
          <t>GF_UPD</t>
        </is>
      </c>
    </row>
  </sheetData>
  <autoFilter ref="A4:N37"/>
  <mergeCells count="1">
    <mergeCell ref="A2:N2"/>
  </mergeCells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N6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  <col width="18" customWidth="1" min="4" max="4"/>
    <col width="13" customWidth="1" min="5" max="5"/>
    <col width="12" customWidth="1" min="6" max="6"/>
    <col width="14" customWidth="1" min="7" max="7"/>
    <col width="11" customWidth="1" min="8" max="8"/>
    <col width="44" customWidth="1" min="9" max="9"/>
    <col width="44" customWidth="1" min="10" max="10"/>
    <col width="16" customWidth="1" min="11" max="11"/>
    <col width="52" customWidth="1" min="12" max="12"/>
    <col width="12" customWidth="1" min="13" max="13"/>
    <col width="10" customWidth="1" min="14" max="14"/>
  </cols>
  <sheetData>
    <row r="1">
      <c r="A1" s="8" t="inlineStr">
        <is>
          <t>D8 成本与瓶颈：燃机、度电成本、PJM 容量市场、电价、并网、设备、造价、政策</t>
        </is>
      </c>
    </row>
    <row r="2" ht="30" customHeight="1">
      <c r="A2" s="9" t="inlineStr">
        <is>
          <t>蓝底=输入（披露数据）；橙底=输入（假设）；绿底=公式（本表计算）。“出处定位”给出原始材料的文件与章节，或网页链接；“访问日期”为网页查阅日期。</t>
        </is>
      </c>
    </row>
    <row r="4" ht="30" customHeight="1">
      <c r="A4" s="10" t="inlineStr">
        <is>
          <t>编号</t>
        </is>
      </c>
      <c r="B4" s="10" t="inlineStr">
        <is>
          <t>类别</t>
        </is>
      </c>
      <c r="C4" s="10" t="inlineStr">
        <is>
          <t>指标</t>
        </is>
      </c>
      <c r="D4" s="10" t="inlineStr">
        <is>
          <t>主体/地区</t>
        </is>
      </c>
      <c r="E4" s="10" t="inlineStr">
        <is>
          <t>数值</t>
        </is>
      </c>
      <c r="F4" s="10" t="inlineStr">
        <is>
          <t>单位</t>
        </is>
      </c>
      <c r="G4" s="10" t="inlineStr">
        <is>
          <t>期间</t>
        </is>
      </c>
      <c r="H4" s="10" t="inlineStr">
        <is>
          <t>性质</t>
        </is>
      </c>
      <c r="I4" s="10" t="inlineStr">
        <is>
          <t>口径说明</t>
        </is>
      </c>
      <c r="J4" s="10" t="inlineStr">
        <is>
          <t>来源名称</t>
        </is>
      </c>
      <c r="K4" s="10" t="inlineStr">
        <is>
          <t>发布日期</t>
        </is>
      </c>
      <c r="L4" s="10" t="inlineStr">
        <is>
          <t>出处定位（文件章节/表名或网页链接）</t>
        </is>
      </c>
      <c r="M4" s="10" t="inlineStr">
        <is>
          <t>访问日期</t>
        </is>
      </c>
      <c r="N4" s="10" t="inlineStr">
        <is>
          <t>来源编号</t>
        </is>
      </c>
    </row>
    <row r="5">
      <c r="A5" s="14" t="inlineStr">
        <is>
          <t>COST-01</t>
        </is>
      </c>
      <c r="B5" s="14" t="inlineStr">
        <is>
          <t>燃气轮机</t>
        </is>
      </c>
      <c r="C5" s="14" t="inlineStr">
        <is>
          <t>GE Vernova 燃机积压订单 + 产能预留协议</t>
        </is>
      </c>
      <c r="D5" s="14" t="inlineStr">
        <is>
          <t>GE Vernova</t>
        </is>
      </c>
      <c r="E5" s="32" t="n">
        <v>62</v>
      </c>
      <c r="F5" s="14" t="inlineStr">
        <is>
          <t>GW</t>
        </is>
      </c>
      <c r="G5" s="14" t="inlineStr">
        <is>
          <t>2025Q3 末</t>
        </is>
      </c>
      <c r="H5" s="14" t="inlineStr">
        <is>
          <t>披露事实</t>
        </is>
      </c>
      <c r="I5" s="14" t="inlineStr">
        <is>
          <t>预留协议不是确定订单</t>
        </is>
      </c>
      <c r="J5" s="14" t="inlineStr">
        <is>
          <t>GE Vernova 2025 年四季度及全年业绩新闻稿</t>
        </is>
      </c>
      <c r="K5" s="14" t="inlineStr">
        <is>
          <t>2026-01-28</t>
        </is>
      </c>
      <c r="L5" s="14" t="inlineStr">
        <is>
          <t>https://www.gevernova.com/news/articles/ge-vernova-releases-fourth-quarter-full-year-2025-financial｜新闻稿“从 62 GW 增至 83 GW”</t>
        </is>
      </c>
      <c r="M5" s="14" t="inlineStr">
        <is>
          <t>2026-10-22</t>
        </is>
      </c>
      <c r="N5" s="14" t="inlineStr">
        <is>
          <t>GEV4Q25</t>
        </is>
      </c>
    </row>
    <row r="6">
      <c r="A6" s="14" t="inlineStr">
        <is>
          <t>COST-02</t>
        </is>
      </c>
      <c r="B6" s="14" t="inlineStr">
        <is>
          <t>燃气轮机</t>
        </is>
      </c>
      <c r="C6" s="14" t="inlineStr">
        <is>
          <t>GE Vernova 燃机积压订单 + 产能预留协议</t>
        </is>
      </c>
      <c r="D6" s="14" t="inlineStr">
        <is>
          <t>GE Vernova</t>
        </is>
      </c>
      <c r="E6" s="32" t="n">
        <v>83</v>
      </c>
      <c r="F6" s="14" t="inlineStr">
        <is>
          <t>GW</t>
        </is>
      </c>
      <c r="G6" s="14" t="inlineStr">
        <is>
          <t>2025Q4 末</t>
        </is>
      </c>
      <c r="H6" s="14" t="inlineStr">
        <is>
          <t>披露事实</t>
        </is>
      </c>
      <c r="I6" s="14" t="inlineStr">
        <is>
          <t>同上</t>
        </is>
      </c>
      <c r="J6" s="14" t="inlineStr">
        <is>
          <t>GE Vernova 2025 年四季度及全年业绩新闻稿</t>
        </is>
      </c>
      <c r="K6" s="14" t="inlineStr">
        <is>
          <t>2026-01-28</t>
        </is>
      </c>
      <c r="L6" s="14" t="inlineStr">
        <is>
          <t>https://www.gevernova.com/news/articles/ge-vernova-releases-fourth-quarter-full-year-2025-financial｜同上</t>
        </is>
      </c>
      <c r="M6" s="14" t="inlineStr">
        <is>
          <t>2026-10-22</t>
        </is>
      </c>
      <c r="N6" s="14" t="inlineStr">
        <is>
          <t>GEV4Q25</t>
        </is>
      </c>
    </row>
    <row r="7">
      <c r="A7" s="14" t="inlineStr">
        <is>
          <t>COST-03</t>
        </is>
      </c>
      <c r="B7" s="14" t="inlineStr">
        <is>
          <t>燃气轮机</t>
        </is>
      </c>
      <c r="C7" s="14" t="inlineStr">
        <is>
          <t>GE Vernova 燃机积压订单 + 产能预留协议</t>
        </is>
      </c>
      <c r="D7" s="14" t="inlineStr">
        <is>
          <t>GE Vernova</t>
        </is>
      </c>
      <c r="E7" s="32" t="n">
        <v>100</v>
      </c>
      <c r="F7" s="14" t="inlineStr">
        <is>
          <t>GW</t>
        </is>
      </c>
      <c r="G7" s="14" t="inlineStr">
        <is>
          <t>2026Q1 末</t>
        </is>
      </c>
      <c r="H7" s="14" t="inlineStr">
        <is>
          <t>披露事实</t>
        </is>
      </c>
      <c r="I7" s="14" t="inlineStr">
        <is>
          <t>同上</t>
        </is>
      </c>
      <c r="J7" s="14" t="inlineStr">
        <is>
          <t>GE Vernova 2026 年一季度业绩新闻稿（8-K 附件）</t>
        </is>
      </c>
      <c r="K7" s="14" t="inlineStr">
        <is>
          <t>2026-04-22</t>
        </is>
      </c>
      <c r="L7" s="14" t="inlineStr">
        <is>
          <t>https://www.sec.gov/Archives/edgar/data/0001996810/000199681026000063/gevpressrelease1q26.htm｜新闻稿</t>
        </is>
      </c>
      <c r="M7" s="14" t="inlineStr">
        <is>
          <t>2026-10-22</t>
        </is>
      </c>
      <c r="N7" s="14" t="inlineStr">
        <is>
          <t>GEV1Q26</t>
        </is>
      </c>
    </row>
    <row r="8">
      <c r="A8" s="14" t="inlineStr">
        <is>
          <t>COST-04</t>
        </is>
      </c>
      <c r="B8" s="14" t="inlineStr">
        <is>
          <t>燃气轮机</t>
        </is>
      </c>
      <c r="C8" s="14" t="inlineStr">
        <is>
          <t>GE Vernova 燃机积压订单 + 产能预留协议</t>
        </is>
      </c>
      <c r="D8" s="14" t="inlineStr">
        <is>
          <t>GE Vernova</t>
        </is>
      </c>
      <c r="E8" s="32" t="n">
        <v>116</v>
      </c>
      <c r="F8" s="14" t="inlineStr">
        <is>
          <t>GW</t>
        </is>
      </c>
      <c r="G8" s="14" t="inlineStr">
        <is>
          <t>2026Q2 末</t>
        </is>
      </c>
      <c r="H8" s="14" t="inlineStr">
        <is>
          <t>披露事实</t>
        </is>
      </c>
      <c r="I8" s="14" t="inlineStr">
        <is>
          <t>同上</t>
        </is>
      </c>
      <c r="J8" s="14" t="inlineStr">
        <is>
          <t>GE Vernova 2026 年二季度业绩新闻稿（8-K 附件）</t>
        </is>
      </c>
      <c r="K8" s="14" t="inlineStr">
        <is>
          <t>2026-07-22</t>
        </is>
      </c>
      <c r="L8" s="14" t="inlineStr">
        <is>
          <t>https://www.sec.gov/Archives/edgar/data/0001996810/000199681026000147/gevpressrelease2q26.htm｜新闻稿“从 100 GW 增至 116 GW”</t>
        </is>
      </c>
      <c r="M8" s="14" t="inlineStr">
        <is>
          <t>2026-10-22</t>
        </is>
      </c>
      <c r="N8" s="14" t="inlineStr">
        <is>
          <t>GEV2Q26</t>
        </is>
      </c>
    </row>
    <row r="9">
      <c r="A9" s="14" t="inlineStr">
        <is>
          <t>COST-05</t>
        </is>
      </c>
      <c r="B9" s="14" t="inlineStr">
        <is>
          <t>燃气轮机</t>
        </is>
      </c>
      <c r="C9" s="14" t="inlineStr">
        <is>
          <t>GE Vernova 2026 年底在手目标</t>
        </is>
      </c>
      <c r="D9" s="14" t="inlineStr">
        <is>
          <t>GE Vernova</t>
        </is>
      </c>
      <c r="E9" s="32" t="n">
        <v>125</v>
      </c>
      <c r="F9" s="14" t="inlineStr">
        <is>
          <t>GW</t>
        </is>
      </c>
      <c r="G9" s="14" t="inlineStr">
        <is>
          <t>2026 年底</t>
        </is>
      </c>
      <c r="H9" s="14" t="inlineStr">
        <is>
          <t>公司指引</t>
        </is>
      </c>
      <c r="I9" s="14" t="inlineStr">
        <is>
          <t>“至少 125 GW”</t>
        </is>
      </c>
      <c r="J9" s="14" t="inlineStr">
        <is>
          <t>GE Vernova 2026 年二季度业绩新闻稿（8-K 附件）</t>
        </is>
      </c>
      <c r="K9" s="14" t="inlineStr">
        <is>
          <t>2026-07-22</t>
        </is>
      </c>
      <c r="L9" s="14" t="inlineStr">
        <is>
          <t>https://www.sec.gov/Archives/edgar/data/0001996810/000199681026000147/gevpressrelease2q26.htm｜新闻稿</t>
        </is>
      </c>
      <c r="M9" s="14" t="inlineStr">
        <is>
          <t>2026-10-22</t>
        </is>
      </c>
      <c r="N9" s="14" t="inlineStr">
        <is>
          <t>GEV2Q26</t>
        </is>
      </c>
    </row>
    <row r="10">
      <c r="A10" s="14" t="inlineStr">
        <is>
          <t>COST-06</t>
        </is>
      </c>
      <c r="B10" s="14" t="inlineStr">
        <is>
          <t>燃气轮机</t>
        </is>
      </c>
      <c r="C10" s="14" t="inlineStr">
        <is>
          <t>GE Vernova 燃机年产能</t>
        </is>
      </c>
      <c r="D10" s="14" t="inlineStr">
        <is>
          <t>GE Vernova</t>
        </is>
      </c>
      <c r="E10" s="32" t="n">
        <v>20</v>
      </c>
      <c r="F10" s="14" t="inlineStr">
        <is>
          <t>GW/年</t>
        </is>
      </c>
      <c r="G10" s="14" t="inlineStr">
        <is>
          <t>2026</t>
        </is>
      </c>
      <c r="H10" s="14" t="inlineStr">
        <is>
          <t>公司指引</t>
        </is>
      </c>
      <c r="I10" s="14" t="inlineStr">
        <is>
          <t>2028 年 24 GW，2030 年 30 GW</t>
        </is>
      </c>
      <c r="J10" s="14" t="inlineStr">
        <is>
          <t>GE Vernova 2026 年二季度业绩新闻稿（8-K 附件）</t>
        </is>
      </c>
      <c r="K10" s="14" t="inlineStr">
        <is>
          <t>2026-07-22</t>
        </is>
      </c>
      <c r="L10" s="14" t="inlineStr">
        <is>
          <t>https://www.sec.gov/Archives/edgar/data/0001996810/000199681026000147/gevpressrelease2q26.htm｜新闻稿</t>
        </is>
      </c>
      <c r="M10" s="14" t="inlineStr">
        <is>
          <t>2026-10-22</t>
        </is>
      </c>
      <c r="N10" s="14" t="inlineStr">
        <is>
          <t>GEV2Q26</t>
        </is>
      </c>
    </row>
    <row r="11">
      <c r="A11" s="14" t="inlineStr">
        <is>
          <t>COST-07</t>
        </is>
      </c>
      <c r="B11" s="14" t="inlineStr">
        <is>
          <t>燃气轮机</t>
        </is>
      </c>
      <c r="C11" s="14" t="inlineStr">
        <is>
          <t>GE Vernova 燃机年产能目标</t>
        </is>
      </c>
      <c r="D11" s="14" t="inlineStr">
        <is>
          <t>GE Vernova</t>
        </is>
      </c>
      <c r="E11" s="32" t="n">
        <v>30</v>
      </c>
      <c r="F11" s="14" t="inlineStr">
        <is>
          <t>GW/年</t>
        </is>
      </c>
      <c r="G11" s="14" t="inlineStr">
        <is>
          <t>2030</t>
        </is>
      </c>
      <c r="H11" s="14" t="inlineStr">
        <is>
          <t>公司指引</t>
        </is>
      </c>
      <c r="I11" s="14" t="inlineStr"/>
      <c r="J11" s="14" t="inlineStr">
        <is>
          <t>GE Vernova 2026 年二季度业绩新闻稿（8-K 附件）</t>
        </is>
      </c>
      <c r="K11" s="14" t="inlineStr">
        <is>
          <t>2026-07-22</t>
        </is>
      </c>
      <c r="L11" s="14" t="inlineStr">
        <is>
          <t>https://www.sec.gov/Archives/edgar/data/0001996810/000199681026000147/gevpressrelease2q26.htm｜新闻稿</t>
        </is>
      </c>
      <c r="M11" s="14" t="inlineStr">
        <is>
          <t>2026-10-22</t>
        </is>
      </c>
      <c r="N11" s="14" t="inlineStr">
        <is>
          <t>GEV2Q26</t>
        </is>
      </c>
    </row>
    <row r="12">
      <c r="A12" s="14" t="inlineStr">
        <is>
          <t>COST-08</t>
        </is>
      </c>
      <c r="B12" s="14" t="inlineStr">
        <is>
          <t>燃气轮机</t>
        </is>
      </c>
      <c r="C12" s="14" t="inlineStr">
        <is>
          <t>西门子能源燃机积压订单</t>
        </is>
      </c>
      <c r="D12" s="14" t="inlineStr">
        <is>
          <t>西门子能源</t>
        </is>
      </c>
      <c r="E12" s="32" t="n">
        <v>69</v>
      </c>
      <c r="F12" s="14" t="inlineStr">
        <is>
          <t>GW</t>
        </is>
      </c>
      <c r="G12" s="14" t="inlineStr">
        <is>
          <t>2026Q2（FY26 Q3）</t>
        </is>
      </c>
      <c r="H12" s="14" t="inlineStr">
        <is>
          <t>第三方估计</t>
        </is>
      </c>
      <c r="I12" s="14" t="inlineStr">
        <is>
          <t>交期 3 年以上（媒体转述）</t>
        </is>
      </c>
      <c r="J12" s="14" t="inlineStr">
        <is>
          <t>Utility Dive：西门子能源燃机积压订单接近 70 GW</t>
        </is>
      </c>
      <c r="K12" s="14" t="inlineStr">
        <is>
          <t>2026-08-10</t>
        </is>
      </c>
      <c r="L12" s="14" t="inlineStr">
        <is>
          <t>https://www.utilitydive.com/news/siemens-gas-turbine-backlog-nears-70-gw-as-company-expands-manufacturing/827390/｜报道正文</t>
        </is>
      </c>
      <c r="M12" s="14" t="inlineStr">
        <is>
          <t>2026-10-22</t>
        </is>
      </c>
      <c r="N12" s="14" t="inlineStr">
        <is>
          <t>SIE_UD</t>
        </is>
      </c>
    </row>
    <row r="13">
      <c r="A13" s="14" t="inlineStr">
        <is>
          <t>COST-09</t>
        </is>
      </c>
      <c r="B13" s="14" t="inlineStr">
        <is>
          <t>燃气轮机</t>
        </is>
      </c>
      <c r="C13" s="14" t="inlineStr">
        <is>
          <t>三菱重工大型燃机积压订单</t>
        </is>
      </c>
      <c r="D13" s="14" t="inlineStr">
        <is>
          <t>三菱重工</t>
        </is>
      </c>
      <c r="E13" s="32" t="n">
        <v>35</v>
      </c>
      <c r="F13" s="14" t="inlineStr">
        <is>
          <t>GW</t>
        </is>
      </c>
      <c r="G13" s="14" t="inlineStr">
        <is>
          <t>2026Q2</t>
        </is>
      </c>
      <c r="H13" s="14" t="inlineStr">
        <is>
          <t>第三方估计</t>
        </is>
      </c>
      <c r="I13" s="14" t="inlineStr">
        <is>
          <t>新订单交付期 2028–2030 年（媒体转述）</t>
        </is>
      </c>
      <c r="J13" s="14" t="inlineStr">
        <is>
          <t>Utility Dive：三菱重工燃机积压订单报道</t>
        </is>
      </c>
      <c r="K13" s="14" t="inlineStr">
        <is>
          <t>2026-08-13</t>
        </is>
      </c>
      <c r="L13" s="14" t="inlineStr">
        <is>
          <t>https://www.utilitydive.com/news/mitsubishi-gas-turbine-backlog-earnings/827761/｜报道正文</t>
        </is>
      </c>
      <c r="M13" s="14" t="inlineStr">
        <is>
          <t>2026-10-22</t>
        </is>
      </c>
      <c r="N13" s="14" t="inlineStr">
        <is>
          <t>MHI_UD</t>
        </is>
      </c>
    </row>
    <row r="14">
      <c r="A14" s="14" t="inlineStr">
        <is>
          <t>COST-10</t>
        </is>
      </c>
      <c r="B14" s="14" t="inlineStr">
        <is>
          <t>燃气轮机</t>
        </is>
      </c>
      <c r="C14" s="14" t="inlineStr">
        <is>
          <t>燃气轮机设备价格（2027 年底预测）</t>
        </is>
      </c>
      <c r="D14" s="14" t="inlineStr">
        <is>
          <t>美国市场</t>
        </is>
      </c>
      <c r="E14" s="32" t="n">
        <v>600</v>
      </c>
      <c r="F14" s="14" t="inlineStr">
        <is>
          <t>美元/kW</t>
        </is>
      </c>
      <c r="G14" s="14" t="inlineStr">
        <is>
          <t>2027E</t>
        </is>
      </c>
      <c r="H14" s="14" t="inlineStr">
        <is>
          <t>第三方估计</t>
        </is>
      </c>
      <c r="I14" s="14" t="inlineStr">
        <is>
          <t>较 2019 年 +195%；仅设备</t>
        </is>
      </c>
      <c r="J14" s="14" t="inlineStr">
        <is>
          <t>Wood Mackenzie 新闻稿：燃气轮机价格较 2019 年上涨 195%</t>
        </is>
      </c>
      <c r="K14" s="14" t="inlineStr">
        <is>
          <t>2026-04-01</t>
        </is>
      </c>
      <c r="L14" s="14" t="inlineStr">
        <is>
          <t>https://www.woodmac.com/press-releases/gas-turbine-prices-soar-195-as-market-faces-supply-demand-crisis/｜新闻稿</t>
        </is>
      </c>
      <c r="M14" s="14" t="inlineStr">
        <is>
          <t>2026-10-22</t>
        </is>
      </c>
      <c r="N14" s="14" t="inlineStr">
        <is>
          <t>WM_GT</t>
        </is>
      </c>
    </row>
    <row r="15">
      <c r="A15" s="14" t="inlineStr">
        <is>
          <t>COST-11</t>
        </is>
      </c>
      <c r="B15" s="14" t="inlineStr">
        <is>
          <t>燃气电站造价</t>
        </is>
      </c>
      <c r="C15" s="14" t="inlineStr">
        <is>
          <t>联合循环电站造价（2022 年完工项目）</t>
        </is>
      </c>
      <c r="D15" s="14" t="inlineStr">
        <is>
          <t>NextEra</t>
        </is>
      </c>
      <c r="E15" s="32" t="n">
        <v>785</v>
      </c>
      <c r="F15" s="14" t="inlineStr">
        <is>
          <t>美元/kW</t>
        </is>
      </c>
      <c r="G15" s="14" t="inlineStr">
        <is>
          <t>2022</t>
        </is>
      </c>
      <c r="H15" s="14" t="inlineStr">
        <is>
          <t>第三方估计</t>
        </is>
      </c>
      <c r="I15" s="14" t="inlineStr">
        <is>
          <t>CEO 公开发言</t>
        </is>
      </c>
      <c r="J15" s="14" t="inlineStr">
        <is>
          <t>Power Engineering：NextEra CEO 谈燃气电站造价（CERAWeek 发言）</t>
        </is>
      </c>
      <c r="K15" s="14" t="inlineStr">
        <is>
          <t>2025-03-10</t>
        </is>
      </c>
      <c r="L15" s="14" t="inlineStr">
        <is>
          <t>https://www.power-eng.com/renewables/nextera-ceo-warns-against-scorning-renewable-generation-amidst-long-lead-times-for-gas-and-nuclear-development/｜报道正文</t>
        </is>
      </c>
      <c r="M15" s="14" t="inlineStr">
        <is>
          <t>2026-10-22</t>
        </is>
      </c>
      <c r="N15" s="14" t="inlineStr">
        <is>
          <t>NEE_CEO</t>
        </is>
      </c>
    </row>
    <row r="16">
      <c r="A16" s="14" t="inlineStr">
        <is>
          <t>COST-12</t>
        </is>
      </c>
      <c r="B16" s="14" t="inlineStr">
        <is>
          <t>燃气电站造价</t>
        </is>
      </c>
      <c r="C16" s="14" t="inlineStr">
        <is>
          <t>联合循环电站造价（2025 年新建）</t>
        </is>
      </c>
      <c r="D16" s="14" t="inlineStr">
        <is>
          <t>NextEra</t>
        </is>
      </c>
      <c r="E16" s="32" t="n">
        <v>2400</v>
      </c>
      <c r="F16" s="14" t="inlineStr">
        <is>
          <t>美元/kW</t>
        </is>
      </c>
      <c r="G16" s="14" t="inlineStr">
        <is>
          <t>2025</t>
        </is>
      </c>
      <c r="H16" s="14" t="inlineStr">
        <is>
          <t>第三方估计</t>
        </is>
      </c>
      <c r="I16" s="14" t="inlineStr">
        <is>
          <t>CEO 公开发言，“三倍多”</t>
        </is>
      </c>
      <c r="J16" s="14" t="inlineStr">
        <is>
          <t>Power Engineering：NextEra CEO 谈燃气电站造价（CERAWeek 发言）</t>
        </is>
      </c>
      <c r="K16" s="14" t="inlineStr">
        <is>
          <t>2025-03-10</t>
        </is>
      </c>
      <c r="L16" s="14" t="inlineStr">
        <is>
          <t>https://www.power-eng.com/renewables/nextera-ceo-warns-against-scorning-renewable-generation-amidst-long-lead-times-for-gas-and-nuclear-development/｜报道正文</t>
        </is>
      </c>
      <c r="M16" s="14" t="inlineStr">
        <is>
          <t>2026-10-22</t>
        </is>
      </c>
      <c r="N16" s="14" t="inlineStr">
        <is>
          <t>NEE_CEO</t>
        </is>
      </c>
    </row>
    <row r="17">
      <c r="A17" s="14" t="inlineStr">
        <is>
          <t>COST-13</t>
        </is>
      </c>
      <c r="B17" s="14" t="inlineStr">
        <is>
          <t>燃气电站造价</t>
        </is>
      </c>
      <c r="C17" s="14" t="inlineStr">
        <is>
          <t>美国联合循环隔夜造价</t>
        </is>
      </c>
      <c r="D17" s="14" t="inlineStr">
        <is>
          <t>BloombergNEF</t>
        </is>
      </c>
      <c r="E17" s="32" t="n">
        <v>2157</v>
      </c>
      <c r="F17" s="14" t="inlineStr">
        <is>
          <t>美元/kW</t>
        </is>
      </c>
      <c r="G17" s="14" t="inlineStr">
        <is>
          <t>2025</t>
        </is>
      </c>
      <c r="H17" s="14" t="inlineStr">
        <is>
          <t>第三方估计</t>
        </is>
      </c>
      <c r="I17" s="14" t="inlineStr">
        <is>
          <t>2023 年低于 1500，+66%</t>
        </is>
      </c>
      <c r="J17" s="14" t="inlineStr">
        <is>
          <t>Hoodline 转述 BloombergNEF：美国燃气联合循环造价上涨 66%</t>
        </is>
      </c>
      <c r="K17" s="14" t="inlineStr">
        <is>
          <t>2026-04-23</t>
        </is>
      </c>
      <c r="L17" s="14" t="inlineStr">
        <is>
          <t>https://hoodline.com/2026/04/sticker-shock-as-u-s-gas-plant-costs-soar-66-percent/｜报道正文</t>
        </is>
      </c>
      <c r="M17" s="14" t="inlineStr">
        <is>
          <t>2026-10-22</t>
        </is>
      </c>
      <c r="N17" s="14" t="inlineStr">
        <is>
          <t>BNEF_CC</t>
        </is>
      </c>
    </row>
    <row r="18">
      <c r="A18" s="14" t="inlineStr">
        <is>
          <t>COST-20</t>
        </is>
      </c>
      <c r="B18" s="14" t="inlineStr">
        <is>
          <t>度电成本</t>
        </is>
      </c>
      <c r="C18" s="14" t="inlineStr">
        <is>
          <t>燃气联合循环 LCOE 下限</t>
        </is>
      </c>
      <c r="D18" s="14" t="inlineStr">
        <is>
          <t>美国</t>
        </is>
      </c>
      <c r="E18" s="32" t="n">
        <v>51</v>
      </c>
      <c r="F18" s="14" t="inlineStr">
        <is>
          <t>美元/MWh</t>
        </is>
      </c>
      <c r="G18" s="14" t="inlineStr">
        <is>
          <t>2026 版</t>
        </is>
      </c>
      <c r="H18" s="14" t="inlineStr">
        <is>
          <t>第三方估计</t>
        </is>
      </c>
      <c r="I18" s="14" t="inlineStr">
        <is>
          <t>不含补贴；2025 版 48</t>
        </is>
      </c>
      <c r="J18" s="14" t="inlineStr">
        <is>
          <t>Lazard《平准化度电成本+》2026 年版（经 Utility Dive、pv magazine 报道）</t>
        </is>
      </c>
      <c r="K18" s="14" t="inlineStr">
        <is>
          <t>2026-07-13</t>
        </is>
      </c>
      <c r="L18" s="14" t="inlineStr">
        <is>
          <t>https://lazard.com/news-announcements/lazard-releases-2026-levelized-cost-of-energyplus-report-pr/｜Utility Dive 2026-07-16 报道</t>
        </is>
      </c>
      <c r="M18" s="14" t="inlineStr">
        <is>
          <t>2026-10-22</t>
        </is>
      </c>
      <c r="N18" s="14" t="inlineStr">
        <is>
          <t>LAZ26</t>
        </is>
      </c>
    </row>
    <row r="19">
      <c r="A19" s="14" t="inlineStr">
        <is>
          <t>COST-21</t>
        </is>
      </c>
      <c r="B19" s="14" t="inlineStr">
        <is>
          <t>度电成本</t>
        </is>
      </c>
      <c r="C19" s="14" t="inlineStr">
        <is>
          <t>燃气联合循环 LCOE 上限</t>
        </is>
      </c>
      <c r="D19" s="14" t="inlineStr">
        <is>
          <t>美国</t>
        </is>
      </c>
      <c r="E19" s="32" t="n">
        <v>129</v>
      </c>
      <c r="F19" s="14" t="inlineStr">
        <is>
          <t>美元/MWh</t>
        </is>
      </c>
      <c r="G19" s="14" t="inlineStr">
        <is>
          <t>2026 版</t>
        </is>
      </c>
      <c r="H19" s="14" t="inlineStr">
        <is>
          <t>第三方估计</t>
        </is>
      </c>
      <c r="I19" s="14" t="inlineStr">
        <is>
          <t>15 年来最高；2025 版 109</t>
        </is>
      </c>
      <c r="J19" s="14" t="inlineStr">
        <is>
          <t>Lazard《平准化度电成本+》2026 年版（经 Utility Dive、pv magazine 报道）</t>
        </is>
      </c>
      <c r="K19" s="14" t="inlineStr">
        <is>
          <t>2026-07-13</t>
        </is>
      </c>
      <c r="L19" s="14" t="inlineStr">
        <is>
          <t>https://lazard.com/news-announcements/lazard-releases-2026-levelized-cost-of-energyplus-report-pr/｜同上</t>
        </is>
      </c>
      <c r="M19" s="14" t="inlineStr">
        <is>
          <t>2026-10-22</t>
        </is>
      </c>
      <c r="N19" s="14" t="inlineStr">
        <is>
          <t>LAZ26</t>
        </is>
      </c>
    </row>
    <row r="20">
      <c r="A20" s="14" t="inlineStr">
        <is>
          <t>COST-22</t>
        </is>
      </c>
      <c r="B20" s="14" t="inlineStr">
        <is>
          <t>度电成本</t>
        </is>
      </c>
      <c r="C20" s="14" t="inlineStr">
        <is>
          <t>燃气调峰 LCOE 下限</t>
        </is>
      </c>
      <c r="D20" s="14" t="inlineStr">
        <is>
          <t>美国</t>
        </is>
      </c>
      <c r="E20" s="32" t="n">
        <v>144</v>
      </c>
      <c r="F20" s="14" t="inlineStr">
        <is>
          <t>美元/MWh</t>
        </is>
      </c>
      <c r="G20" s="14" t="inlineStr">
        <is>
          <t>2026 版</t>
        </is>
      </c>
      <c r="H20" s="14" t="inlineStr">
        <is>
          <t>第三方估计</t>
        </is>
      </c>
      <c r="I20" s="14" t="inlineStr">
        <is>
          <t>2025 版 149</t>
        </is>
      </c>
      <c r="J20" s="14" t="inlineStr">
        <is>
          <t>Lazard《平准化度电成本+》2026 年版（经 Utility Dive、pv magazine 报道）</t>
        </is>
      </c>
      <c r="K20" s="14" t="inlineStr">
        <is>
          <t>2026-07-13</t>
        </is>
      </c>
      <c r="L20" s="14" t="inlineStr">
        <is>
          <t>https://lazard.com/news-announcements/lazard-releases-2026-levelized-cost-of-energyplus-report-pr/｜同上</t>
        </is>
      </c>
      <c r="M20" s="14" t="inlineStr">
        <is>
          <t>2026-10-22</t>
        </is>
      </c>
      <c r="N20" s="14" t="inlineStr">
        <is>
          <t>LAZ26</t>
        </is>
      </c>
    </row>
    <row r="21">
      <c r="A21" s="14" t="inlineStr">
        <is>
          <t>COST-23</t>
        </is>
      </c>
      <c r="B21" s="14" t="inlineStr">
        <is>
          <t>度电成本</t>
        </is>
      </c>
      <c r="C21" s="14" t="inlineStr">
        <is>
          <t>燃气调峰 LCOE 上限</t>
        </is>
      </c>
      <c r="D21" s="14" t="inlineStr">
        <is>
          <t>美国</t>
        </is>
      </c>
      <c r="E21" s="32" t="n">
        <v>276</v>
      </c>
      <c r="F21" s="14" t="inlineStr">
        <is>
          <t>美元/MWh</t>
        </is>
      </c>
      <c r="G21" s="14" t="inlineStr">
        <is>
          <t>2026 版</t>
        </is>
      </c>
      <c r="H21" s="14" t="inlineStr">
        <is>
          <t>第三方估计</t>
        </is>
      </c>
      <c r="I21" s="14" t="inlineStr">
        <is>
          <t>2025 版 251</t>
        </is>
      </c>
      <c r="J21" s="14" t="inlineStr">
        <is>
          <t>Lazard《平准化度电成本+》2026 年版（经 Utility Dive、pv magazine 报道）</t>
        </is>
      </c>
      <c r="K21" s="14" t="inlineStr">
        <is>
          <t>2026-07-13</t>
        </is>
      </c>
      <c r="L21" s="14" t="inlineStr">
        <is>
          <t>https://lazard.com/news-announcements/lazard-releases-2026-levelized-cost-of-energyplus-report-pr/｜同上</t>
        </is>
      </c>
      <c r="M21" s="14" t="inlineStr">
        <is>
          <t>2026-10-22</t>
        </is>
      </c>
      <c r="N21" s="14" t="inlineStr">
        <is>
          <t>LAZ26</t>
        </is>
      </c>
    </row>
    <row r="22">
      <c r="A22" s="14" t="inlineStr">
        <is>
          <t>COST-24</t>
        </is>
      </c>
      <c r="B22" s="14" t="inlineStr">
        <is>
          <t>度电成本</t>
        </is>
      </c>
      <c r="C22" s="14" t="inlineStr">
        <is>
          <t>新建核电 LCOE 下限</t>
        </is>
      </c>
      <c r="D22" s="14" t="inlineStr">
        <is>
          <t>美国</t>
        </is>
      </c>
      <c r="E22" s="32" t="n">
        <v>175</v>
      </c>
      <c r="F22" s="14" t="inlineStr">
        <is>
          <t>美元/MWh</t>
        </is>
      </c>
      <c r="G22" s="14" t="inlineStr">
        <is>
          <t>2026 版</t>
        </is>
      </c>
      <c r="H22" s="14" t="inlineStr">
        <is>
          <t>第三方估计</t>
        </is>
      </c>
      <c r="I22" s="14" t="inlineStr">
        <is>
          <t>2025 版 141</t>
        </is>
      </c>
      <c r="J22" s="14" t="inlineStr">
        <is>
          <t>Lazard《平准化度电成本+》2026 年版（经 Utility Dive、pv magazine 报道）</t>
        </is>
      </c>
      <c r="K22" s="14" t="inlineStr">
        <is>
          <t>2026-07-13</t>
        </is>
      </c>
      <c r="L22" s="14" t="inlineStr">
        <is>
          <t>https://lazard.com/news-announcements/lazard-releases-2026-levelized-cost-of-energyplus-report-pr/｜同上</t>
        </is>
      </c>
      <c r="M22" s="14" t="inlineStr">
        <is>
          <t>2026-10-22</t>
        </is>
      </c>
      <c r="N22" s="14" t="inlineStr">
        <is>
          <t>LAZ26</t>
        </is>
      </c>
    </row>
    <row r="23">
      <c r="A23" s="14" t="inlineStr">
        <is>
          <t>COST-25</t>
        </is>
      </c>
      <c r="B23" s="14" t="inlineStr">
        <is>
          <t>度电成本</t>
        </is>
      </c>
      <c r="C23" s="14" t="inlineStr">
        <is>
          <t>新建核电 LCOE 上限</t>
        </is>
      </c>
      <c r="D23" s="14" t="inlineStr">
        <is>
          <t>美国</t>
        </is>
      </c>
      <c r="E23" s="32" t="n">
        <v>255</v>
      </c>
      <c r="F23" s="14" t="inlineStr">
        <is>
          <t>美元/MWh</t>
        </is>
      </c>
      <c r="G23" s="14" t="inlineStr">
        <is>
          <t>2026 版</t>
        </is>
      </c>
      <c r="H23" s="14" t="inlineStr">
        <is>
          <t>第三方估计</t>
        </is>
      </c>
      <c r="I23" s="14" t="inlineStr">
        <is>
          <t>2025 版 220</t>
        </is>
      </c>
      <c r="J23" s="14" t="inlineStr">
        <is>
          <t>Lazard《平准化度电成本+》2026 年版（经 Utility Dive、pv magazine 报道）</t>
        </is>
      </c>
      <c r="K23" s="14" t="inlineStr">
        <is>
          <t>2026-07-13</t>
        </is>
      </c>
      <c r="L23" s="14" t="inlineStr">
        <is>
          <t>https://lazard.com/news-announcements/lazard-releases-2026-levelized-cost-of-energyplus-report-pr/｜同上</t>
        </is>
      </c>
      <c r="M23" s="14" t="inlineStr">
        <is>
          <t>2026-10-22</t>
        </is>
      </c>
      <c r="N23" s="14" t="inlineStr">
        <is>
          <t>LAZ26</t>
        </is>
      </c>
    </row>
    <row r="24">
      <c r="A24" s="14" t="inlineStr">
        <is>
          <t>COST-26</t>
        </is>
      </c>
      <c r="B24" s="14" t="inlineStr">
        <is>
          <t>度电成本</t>
        </is>
      </c>
      <c r="C24" s="14" t="inlineStr">
        <is>
          <t>公用事业级光伏 LCOE 下限</t>
        </is>
      </c>
      <c r="D24" s="14" t="inlineStr">
        <is>
          <t>美国</t>
        </is>
      </c>
      <c r="E24" s="32" t="n">
        <v>40</v>
      </c>
      <c r="F24" s="14" t="inlineStr">
        <is>
          <t>美元/MWh</t>
        </is>
      </c>
      <c r="G24" s="14" t="inlineStr">
        <is>
          <t>2026 版</t>
        </is>
      </c>
      <c r="H24" s="14" t="inlineStr">
        <is>
          <t>第三方估计</t>
        </is>
      </c>
      <c r="I24" s="14" t="inlineStr">
        <is>
          <t>2025 版 38</t>
        </is>
      </c>
      <c r="J24" s="14" t="inlineStr">
        <is>
          <t>Lazard《平准化度电成本+》2026 年版（经 Utility Dive、pv magazine 报道）</t>
        </is>
      </c>
      <c r="K24" s="14" t="inlineStr">
        <is>
          <t>2026-07-13</t>
        </is>
      </c>
      <c r="L24" s="14" t="inlineStr">
        <is>
          <t>https://lazard.com/news-announcements/lazard-releases-2026-levelized-cost-of-energyplus-report-pr/｜pv magazine 2026-07-13 报道</t>
        </is>
      </c>
      <c r="M24" s="14" t="inlineStr">
        <is>
          <t>2026-10-22</t>
        </is>
      </c>
      <c r="N24" s="14" t="inlineStr">
        <is>
          <t>LAZ26</t>
        </is>
      </c>
    </row>
    <row r="25">
      <c r="A25" s="14" t="inlineStr">
        <is>
          <t>COST-27</t>
        </is>
      </c>
      <c r="B25" s="14" t="inlineStr">
        <is>
          <t>度电成本</t>
        </is>
      </c>
      <c r="C25" s="14" t="inlineStr">
        <is>
          <t>公用事业级光伏 LCOE 上限</t>
        </is>
      </c>
      <c r="D25" s="14" t="inlineStr">
        <is>
          <t>美国</t>
        </is>
      </c>
      <c r="E25" s="32" t="n">
        <v>98</v>
      </c>
      <c r="F25" s="14" t="inlineStr">
        <is>
          <t>美元/MWh</t>
        </is>
      </c>
      <c r="G25" s="14" t="inlineStr">
        <is>
          <t>2026 版</t>
        </is>
      </c>
      <c r="H25" s="14" t="inlineStr">
        <is>
          <t>第三方估计</t>
        </is>
      </c>
      <c r="I25" s="14" t="inlineStr">
        <is>
          <t>2025 版 78</t>
        </is>
      </c>
      <c r="J25" s="14" t="inlineStr">
        <is>
          <t>Lazard《平准化度电成本+》2026 年版（经 Utility Dive、pv magazine 报道）</t>
        </is>
      </c>
      <c r="K25" s="14" t="inlineStr">
        <is>
          <t>2026-07-13</t>
        </is>
      </c>
      <c r="L25" s="14" t="inlineStr">
        <is>
          <t>https://lazard.com/news-announcements/lazard-releases-2026-levelized-cost-of-energyplus-report-pr/｜同上</t>
        </is>
      </c>
      <c r="M25" s="14" t="inlineStr">
        <is>
          <t>2026-10-22</t>
        </is>
      </c>
      <c r="N25" s="14" t="inlineStr">
        <is>
          <t>LAZ26</t>
        </is>
      </c>
    </row>
    <row r="26">
      <c r="A26" s="14" t="inlineStr">
        <is>
          <t>COST-28</t>
        </is>
      </c>
      <c r="B26" s="14" t="inlineStr">
        <is>
          <t>度电成本</t>
        </is>
      </c>
      <c r="C26" s="14" t="inlineStr">
        <is>
          <t>陆上风电 LCOE 下限</t>
        </is>
      </c>
      <c r="D26" s="14" t="inlineStr">
        <is>
          <t>美国</t>
        </is>
      </c>
      <c r="E26" s="32" t="n">
        <v>37</v>
      </c>
      <c r="F26" s="14" t="inlineStr">
        <is>
          <t>美元/MWh</t>
        </is>
      </c>
      <c r="G26" s="14" t="inlineStr">
        <is>
          <t>2026 版</t>
        </is>
      </c>
      <c r="H26" s="14" t="inlineStr">
        <is>
          <t>第三方估计</t>
        </is>
      </c>
      <c r="I26" s="14" t="inlineStr">
        <is>
          <t>2025 版 37</t>
        </is>
      </c>
      <c r="J26" s="14" t="inlineStr">
        <is>
          <t>Lazard《平准化度电成本+》2026 年版（经 Utility Dive、pv magazine 报道）</t>
        </is>
      </c>
      <c r="K26" s="14" t="inlineStr">
        <is>
          <t>2026-07-13</t>
        </is>
      </c>
      <c r="L26" s="14" t="inlineStr">
        <is>
          <t>https://lazard.com/news-announcements/lazard-releases-2026-levelized-cost-of-energyplus-report-pr/｜Utility Dive 报道</t>
        </is>
      </c>
      <c r="M26" s="14" t="inlineStr">
        <is>
          <t>2026-10-22</t>
        </is>
      </c>
      <c r="N26" s="14" t="inlineStr">
        <is>
          <t>LAZ26</t>
        </is>
      </c>
    </row>
    <row r="27">
      <c r="A27" s="14" t="inlineStr">
        <is>
          <t>COST-29</t>
        </is>
      </c>
      <c r="B27" s="14" t="inlineStr">
        <is>
          <t>度电成本</t>
        </is>
      </c>
      <c r="C27" s="14" t="inlineStr">
        <is>
          <t>陆上风电 LCOE 上限</t>
        </is>
      </c>
      <c r="D27" s="14" t="inlineStr">
        <is>
          <t>美国</t>
        </is>
      </c>
      <c r="E27" s="32" t="n">
        <v>99</v>
      </c>
      <c r="F27" s="14" t="inlineStr">
        <is>
          <t>美元/MWh</t>
        </is>
      </c>
      <c r="G27" s="14" t="inlineStr">
        <is>
          <t>2026 版</t>
        </is>
      </c>
      <c r="H27" s="14" t="inlineStr">
        <is>
          <t>第三方估计</t>
        </is>
      </c>
      <c r="I27" s="14" t="inlineStr">
        <is>
          <t>2025 版 86</t>
        </is>
      </c>
      <c r="J27" s="14" t="inlineStr">
        <is>
          <t>Lazard《平准化度电成本+》2026 年版（经 Utility Dive、pv magazine 报道）</t>
        </is>
      </c>
      <c r="K27" s="14" t="inlineStr">
        <is>
          <t>2026-07-13</t>
        </is>
      </c>
      <c r="L27" s="14" t="inlineStr">
        <is>
          <t>https://lazard.com/news-announcements/lazard-releases-2026-levelized-cost-of-energyplus-report-pr/｜同上</t>
        </is>
      </c>
      <c r="M27" s="14" t="inlineStr">
        <is>
          <t>2026-10-22</t>
        </is>
      </c>
      <c r="N27" s="14" t="inlineStr">
        <is>
          <t>LAZ26</t>
        </is>
      </c>
    </row>
    <row r="28">
      <c r="A28" s="14" t="inlineStr">
        <is>
          <t>COST-30</t>
        </is>
      </c>
      <c r="B28" s="14" t="inlineStr">
        <is>
          <t>度电成本</t>
        </is>
      </c>
      <c r="C28" s="14" t="inlineStr">
        <is>
          <t>光伏 + 储能 LCOE 下限</t>
        </is>
      </c>
      <c r="D28" s="14" t="inlineStr">
        <is>
          <t>美国</t>
        </is>
      </c>
      <c r="E28" s="32" t="n">
        <v>61</v>
      </c>
      <c r="F28" s="14" t="inlineStr">
        <is>
          <t>美元/MWh</t>
        </is>
      </c>
      <c r="G28" s="14" t="inlineStr">
        <is>
          <t>2026 版</t>
        </is>
      </c>
      <c r="H28" s="14" t="inlineStr">
        <is>
          <t>第三方估计</t>
        </is>
      </c>
      <c r="I28" s="14" t="inlineStr">
        <is>
          <t>2025 版 50</t>
        </is>
      </c>
      <c r="J28" s="14" t="inlineStr">
        <is>
          <t>Lazard《平准化度电成本+》2026 年版（经 Utility Dive、pv magazine 报道）</t>
        </is>
      </c>
      <c r="K28" s="14" t="inlineStr">
        <is>
          <t>2026-07-13</t>
        </is>
      </c>
      <c r="L28" s="14" t="inlineStr">
        <is>
          <t>https://lazard.com/news-announcements/lazard-releases-2026-levelized-cost-of-energyplus-report-pr/｜pv magazine 报道</t>
        </is>
      </c>
      <c r="M28" s="14" t="inlineStr">
        <is>
          <t>2026-10-22</t>
        </is>
      </c>
      <c r="N28" s="14" t="inlineStr">
        <is>
          <t>LAZ26</t>
        </is>
      </c>
    </row>
    <row r="29">
      <c r="A29" s="14" t="inlineStr">
        <is>
          <t>COST-31</t>
        </is>
      </c>
      <c r="B29" s="14" t="inlineStr">
        <is>
          <t>度电成本</t>
        </is>
      </c>
      <c r="C29" s="14" t="inlineStr">
        <is>
          <t>光伏 + 储能 LCOE 上限</t>
        </is>
      </c>
      <c r="D29" s="14" t="inlineStr">
        <is>
          <t>美国</t>
        </is>
      </c>
      <c r="E29" s="32" t="n">
        <v>156</v>
      </c>
      <c r="F29" s="14" t="inlineStr">
        <is>
          <t>美元/MWh</t>
        </is>
      </c>
      <c r="G29" s="14" t="inlineStr">
        <is>
          <t>2026 版</t>
        </is>
      </c>
      <c r="H29" s="14" t="inlineStr">
        <is>
          <t>第三方估计</t>
        </is>
      </c>
      <c r="I29" s="14" t="inlineStr">
        <is>
          <t>2025 版 131</t>
        </is>
      </c>
      <c r="J29" s="14" t="inlineStr">
        <is>
          <t>Lazard《平准化度电成本+》2026 年版（经 Utility Dive、pv magazine 报道）</t>
        </is>
      </c>
      <c r="K29" s="14" t="inlineStr">
        <is>
          <t>2026-07-13</t>
        </is>
      </c>
      <c r="L29" s="14" t="inlineStr">
        <is>
          <t>https://lazard.com/news-announcements/lazard-releases-2026-levelized-cost-of-energyplus-report-pr/｜同上</t>
        </is>
      </c>
      <c r="M29" s="14" t="inlineStr">
        <is>
          <t>2026-10-22</t>
        </is>
      </c>
      <c r="N29" s="14" t="inlineStr">
        <is>
          <t>LAZ26</t>
        </is>
      </c>
    </row>
    <row r="30">
      <c r="A30" s="14" t="inlineStr">
        <is>
          <t>COST-32</t>
        </is>
      </c>
      <c r="B30" s="14" t="inlineStr">
        <is>
          <t>度电成本</t>
        </is>
      </c>
      <c r="C30" s="14" t="inlineStr">
        <is>
          <t>燃气联合循环 LCOE 下限</t>
        </is>
      </c>
      <c r="D30" s="14" t="inlineStr">
        <is>
          <t>美国</t>
        </is>
      </c>
      <c r="E30" s="32" t="n">
        <v>48</v>
      </c>
      <c r="F30" s="14" t="inlineStr">
        <is>
          <t>美元/MWh</t>
        </is>
      </c>
      <c r="G30" s="14" t="inlineStr">
        <is>
          <t>2025 版</t>
        </is>
      </c>
      <c r="H30" s="14" t="inlineStr">
        <is>
          <t>第三方估计</t>
        </is>
      </c>
      <c r="I30" s="14" t="inlineStr"/>
      <c r="J30" s="14" t="inlineStr">
        <is>
          <t>Lazard《平准化度电成本+》2025 年版（经 pv magazine、Mercom 报道）</t>
        </is>
      </c>
      <c r="K30" s="14" t="inlineStr">
        <is>
          <t>2025-06-16</t>
        </is>
      </c>
      <c r="L30" s="14" t="inlineStr">
        <is>
          <t>https://www.lazard.com/news-announcements/lazard-releases-2025-levelized-cost-of-energyplus-report-pr/｜pv magazine 2025-06-17、Mercom 报道</t>
        </is>
      </c>
      <c r="M30" s="14" t="inlineStr">
        <is>
          <t>2026-10-22</t>
        </is>
      </c>
      <c r="N30" s="14" t="inlineStr">
        <is>
          <t>LAZ25</t>
        </is>
      </c>
    </row>
    <row r="31">
      <c r="A31" s="14" t="inlineStr">
        <is>
          <t>COST-33</t>
        </is>
      </c>
      <c r="B31" s="14" t="inlineStr">
        <is>
          <t>度电成本</t>
        </is>
      </c>
      <c r="C31" s="14" t="inlineStr">
        <is>
          <t>燃气联合循环 LCOE 上限</t>
        </is>
      </c>
      <c r="D31" s="14" t="inlineStr">
        <is>
          <t>美国</t>
        </is>
      </c>
      <c r="E31" s="32" t="n">
        <v>109</v>
      </c>
      <c r="F31" s="14" t="inlineStr">
        <is>
          <t>美元/MWh</t>
        </is>
      </c>
      <c r="G31" s="14" t="inlineStr">
        <is>
          <t>2025 版</t>
        </is>
      </c>
      <c r="H31" s="14" t="inlineStr">
        <is>
          <t>第三方估计</t>
        </is>
      </c>
      <c r="I31" s="14" t="inlineStr"/>
      <c r="J31" s="14" t="inlineStr">
        <is>
          <t>Lazard《平准化度电成本+》2025 年版（经 pv magazine、Mercom 报道）</t>
        </is>
      </c>
      <c r="K31" s="14" t="inlineStr">
        <is>
          <t>2025-06-16</t>
        </is>
      </c>
      <c r="L31" s="14" t="inlineStr">
        <is>
          <t>https://www.lazard.com/news-announcements/lazard-releases-2025-levelized-cost-of-energyplus-report-pr/｜同上</t>
        </is>
      </c>
      <c r="M31" s="14" t="inlineStr">
        <is>
          <t>2026-10-22</t>
        </is>
      </c>
      <c r="N31" s="14" t="inlineStr">
        <is>
          <t>LAZ25</t>
        </is>
      </c>
    </row>
    <row r="32">
      <c r="A32" s="14" t="inlineStr">
        <is>
          <t>COST-34</t>
        </is>
      </c>
      <c r="B32" s="14" t="inlineStr">
        <is>
          <t>度电成本</t>
        </is>
      </c>
      <c r="C32" s="14" t="inlineStr">
        <is>
          <t>新建核电 LCOE 下限</t>
        </is>
      </c>
      <c r="D32" s="14" t="inlineStr">
        <is>
          <t>美国</t>
        </is>
      </c>
      <c r="E32" s="32" t="n">
        <v>141</v>
      </c>
      <c r="F32" s="14" t="inlineStr">
        <is>
          <t>美元/MWh</t>
        </is>
      </c>
      <c r="G32" s="14" t="inlineStr">
        <is>
          <t>2025 版</t>
        </is>
      </c>
      <c r="H32" s="14" t="inlineStr">
        <is>
          <t>第三方估计</t>
        </is>
      </c>
      <c r="I32" s="14" t="inlineStr"/>
      <c r="J32" s="14" t="inlineStr">
        <is>
          <t>Lazard《平准化度电成本+》2025 年版（经 pv magazine、Mercom 报道）</t>
        </is>
      </c>
      <c r="K32" s="14" t="inlineStr">
        <is>
          <t>2025-06-16</t>
        </is>
      </c>
      <c r="L32" s="14" t="inlineStr">
        <is>
          <t>https://www.lazard.com/news-announcements/lazard-releases-2025-levelized-cost-of-energyplus-report-pr/｜同上</t>
        </is>
      </c>
      <c r="M32" s="14" t="inlineStr">
        <is>
          <t>2026-10-22</t>
        </is>
      </c>
      <c r="N32" s="14" t="inlineStr">
        <is>
          <t>LAZ25</t>
        </is>
      </c>
    </row>
    <row r="33">
      <c r="A33" s="14" t="inlineStr">
        <is>
          <t>COST-35</t>
        </is>
      </c>
      <c r="B33" s="14" t="inlineStr">
        <is>
          <t>度电成本</t>
        </is>
      </c>
      <c r="C33" s="14" t="inlineStr">
        <is>
          <t>新建核电 LCOE 上限</t>
        </is>
      </c>
      <c r="D33" s="14" t="inlineStr">
        <is>
          <t>美国</t>
        </is>
      </c>
      <c r="E33" s="32" t="n">
        <v>220</v>
      </c>
      <c r="F33" s="14" t="inlineStr">
        <is>
          <t>美元/MWh</t>
        </is>
      </c>
      <c r="G33" s="14" t="inlineStr">
        <is>
          <t>2025 版</t>
        </is>
      </c>
      <c r="H33" s="14" t="inlineStr">
        <is>
          <t>第三方估计</t>
        </is>
      </c>
      <c r="I33" s="14" t="inlineStr"/>
      <c r="J33" s="14" t="inlineStr">
        <is>
          <t>Lazard《平准化度电成本+》2025 年版（经 pv magazine、Mercom 报道）</t>
        </is>
      </c>
      <c r="K33" s="14" t="inlineStr">
        <is>
          <t>2025-06-16</t>
        </is>
      </c>
      <c r="L33" s="14" t="inlineStr">
        <is>
          <t>https://www.lazard.com/news-announcements/lazard-releases-2025-levelized-cost-of-energyplus-report-pr/｜同上</t>
        </is>
      </c>
      <c r="M33" s="14" t="inlineStr">
        <is>
          <t>2026-10-22</t>
        </is>
      </c>
      <c r="N33" s="14" t="inlineStr">
        <is>
          <t>LAZ25</t>
        </is>
      </c>
    </row>
    <row r="34">
      <c r="A34" s="14" t="inlineStr">
        <is>
          <t>COST-40</t>
        </is>
      </c>
      <c r="B34" s="14" t="inlineStr">
        <is>
          <t>容量市场</t>
        </is>
      </c>
      <c r="C34" s="14" t="inlineStr">
        <is>
          <t>PJM 容量拍卖全网出清价（2024/25 交付年）</t>
        </is>
      </c>
      <c r="D34" s="14" t="inlineStr">
        <is>
          <t>PJM</t>
        </is>
      </c>
      <c r="E34" s="35" t="n">
        <v>28.92</v>
      </c>
      <c r="F34" s="14" t="inlineStr">
        <is>
          <t>美元/MW·天</t>
        </is>
      </c>
      <c r="G34" s="14" t="inlineStr">
        <is>
          <t>2024/25</t>
        </is>
      </c>
      <c r="H34" s="14" t="inlineStr">
        <is>
          <t>披露事实</t>
        </is>
      </c>
      <c r="I34" s="14" t="inlineStr">
        <is>
          <t>基准对照</t>
        </is>
      </c>
      <c r="J34" s="14" t="inlineStr">
        <is>
          <t>PJM Inside Lines：2025/26 容量拍卖结果</t>
        </is>
      </c>
      <c r="K34" s="14" t="inlineStr">
        <is>
          <t>2024-07-30</t>
        </is>
      </c>
      <c r="L34" s="14" t="inlineStr">
        <is>
          <t>https://insidelines.pjm.com/pjm-capacity-auction-procures-sufficient-resources-to-meet-rto-reliability-requirement/｜公告正文</t>
        </is>
      </c>
      <c r="M34" s="14" t="inlineStr">
        <is>
          <t>2026-10-22</t>
        </is>
      </c>
      <c r="N34" s="14" t="inlineStr">
        <is>
          <t>PJM2526</t>
        </is>
      </c>
    </row>
    <row r="35">
      <c r="A35" s="14" t="inlineStr">
        <is>
          <t>COST-41</t>
        </is>
      </c>
      <c r="B35" s="14" t="inlineStr">
        <is>
          <t>容量市场</t>
        </is>
      </c>
      <c r="C35" s="14" t="inlineStr">
        <is>
          <t>PJM 容量拍卖全网出清价（2025/26 交付年）</t>
        </is>
      </c>
      <c r="D35" s="14" t="inlineStr">
        <is>
          <t>PJM</t>
        </is>
      </c>
      <c r="E35" s="35" t="n">
        <v>269.92</v>
      </c>
      <c r="F35" s="14" t="inlineStr">
        <is>
          <t>美元/MW·天</t>
        </is>
      </c>
      <c r="G35" s="14" t="inlineStr">
        <is>
          <t>2025/26</t>
        </is>
      </c>
      <c r="H35" s="14" t="inlineStr">
        <is>
          <t>披露事实</t>
        </is>
      </c>
      <c r="I35" s="14" t="inlineStr">
        <is>
          <t>拍卖于 2024-07-30</t>
        </is>
      </c>
      <c r="J35" s="14" t="inlineStr">
        <is>
          <t>PJM Inside Lines：2025/26 容量拍卖结果</t>
        </is>
      </c>
      <c r="K35" s="14" t="inlineStr">
        <is>
          <t>2024-07-30</t>
        </is>
      </c>
      <c r="L35" s="14" t="inlineStr">
        <is>
          <t>https://insidelines.pjm.com/pjm-capacity-auction-procures-sufficient-resources-to-meet-rto-reliability-requirement/｜公告正文</t>
        </is>
      </c>
      <c r="M35" s="14" t="inlineStr">
        <is>
          <t>2026-10-22</t>
        </is>
      </c>
      <c r="N35" s="14" t="inlineStr">
        <is>
          <t>PJM2526</t>
        </is>
      </c>
    </row>
    <row r="36">
      <c r="A36" s="14" t="inlineStr">
        <is>
          <t>COST-42</t>
        </is>
      </c>
      <c r="B36" s="14" t="inlineStr">
        <is>
          <t>容量市场</t>
        </is>
      </c>
      <c r="C36" s="14" t="inlineStr">
        <is>
          <t>PJM 容量拍卖全网出清价（2026/27 交付年）</t>
        </is>
      </c>
      <c r="D36" s="14" t="inlineStr">
        <is>
          <t>PJM</t>
        </is>
      </c>
      <c r="E36" s="35" t="n">
        <v>329.17</v>
      </c>
      <c r="F36" s="14" t="inlineStr">
        <is>
          <t>美元/MW·天</t>
        </is>
      </c>
      <c r="G36" s="14" t="inlineStr">
        <is>
          <t>2026/27</t>
        </is>
      </c>
      <c r="H36" s="14" t="inlineStr">
        <is>
          <t>披露事实</t>
        </is>
      </c>
      <c r="I36" s="14" t="inlineStr">
        <is>
          <t>触及 FERC 批准的价格上限</t>
        </is>
      </c>
      <c r="J36" s="14" t="inlineStr">
        <is>
          <t>PJM Inside Lines：2026/27 容量拍卖结果</t>
        </is>
      </c>
      <c r="K36" s="14" t="inlineStr">
        <is>
          <t>2025-07-22</t>
        </is>
      </c>
      <c r="L36" s="14" t="inlineStr">
        <is>
          <t>https://insidelines.pjm.com/pjm-auction-procures-134311-mw-of-generation-resources-supply-responds-to-price-signal/｜公告正文</t>
        </is>
      </c>
      <c r="M36" s="14" t="inlineStr">
        <is>
          <t>2026-10-22</t>
        </is>
      </c>
      <c r="N36" s="14" t="inlineStr">
        <is>
          <t>PJM2627</t>
        </is>
      </c>
    </row>
    <row r="37">
      <c r="A37" s="14" t="inlineStr">
        <is>
          <t>COST-43</t>
        </is>
      </c>
      <c r="B37" s="14" t="inlineStr">
        <is>
          <t>容量市场</t>
        </is>
      </c>
      <c r="C37" s="14" t="inlineStr">
        <is>
          <t>PJM 容量拍卖全网出清价（2027/28 交付年）</t>
        </is>
      </c>
      <c r="D37" s="14" t="inlineStr">
        <is>
          <t>PJM</t>
        </is>
      </c>
      <c r="E37" s="35" t="n">
        <v>333.44</v>
      </c>
      <c r="F37" s="14" t="inlineStr">
        <is>
          <t>美元/MW·天</t>
        </is>
      </c>
      <c r="G37" s="14" t="inlineStr">
        <is>
          <t>2027/28</t>
        </is>
      </c>
      <c r="H37" s="14" t="inlineStr">
        <is>
          <t>披露事实</t>
        </is>
      </c>
      <c r="I37" s="14" t="inlineStr">
        <is>
          <t>触及上限；较可靠性要求短缺约 6623 MW</t>
        </is>
      </c>
      <c r="J37" s="14" t="inlineStr">
        <is>
          <t>PJM Inside Lines：2027/28 容量拍卖结果</t>
        </is>
      </c>
      <c r="K37" s="14" t="inlineStr">
        <is>
          <t>2025-12-17</t>
        </is>
      </c>
      <c r="L37" s="14" t="inlineStr">
        <is>
          <t>https://insidelines.pjm.com/?p=209684｜公告正文</t>
        </is>
      </c>
      <c r="M37" s="14" t="inlineStr">
        <is>
          <t>2026-10-22</t>
        </is>
      </c>
      <c r="N37" s="14" t="inlineStr">
        <is>
          <t>PJM2728</t>
        </is>
      </c>
    </row>
    <row r="38">
      <c r="A38" s="14" t="inlineStr">
        <is>
          <t>COST-44</t>
        </is>
      </c>
      <c r="B38" s="14" t="inlineStr">
        <is>
          <t>容量市场</t>
        </is>
      </c>
      <c r="C38" s="14" t="inlineStr">
        <is>
          <t>PJM 容量拍卖全网出清价（2028/29 交付年）</t>
        </is>
      </c>
      <c r="D38" s="14" t="inlineStr">
        <is>
          <t>PJM</t>
        </is>
      </c>
      <c r="E38" s="36">
        <f>'D5_Constellation'!$E$40</f>
        <v>325</v>
      </c>
      <c r="F38" s="14" t="inlineStr">
        <is>
          <t>美元/MW·天</t>
        </is>
      </c>
      <c r="G38" s="14" t="inlineStr">
        <is>
          <t>2028/29</t>
        </is>
      </c>
      <c r="H38" s="14" t="inlineStr">
        <is>
          <t>披露事实</t>
        </is>
      </c>
      <c r="I38" s="14" t="inlineStr">
        <is>
          <t>触及上限；与原始材料 Constellation 二季报一致（引用该行）</t>
        </is>
      </c>
      <c r="J38" s="14" t="inlineStr">
        <is>
          <t>Constellation Energy Corp. 10-Q 季报（截至 2026-06-30 的季度）</t>
        </is>
      </c>
      <c r="K38" s="14" t="inlineStr">
        <is>
          <t>2026-08-06（签署日）</t>
        </is>
      </c>
      <c r="L38" s="14" t="inlineStr">
        <is>
          <t>材料/Constellation_2026Q2季报__ceg-20260630.htm｜见 D5 CEG-36；另见 APPA 2026-07-14</t>
        </is>
      </c>
      <c r="M38" s="14" t="inlineStr">
        <is>
          <t>原始材料</t>
        </is>
      </c>
      <c r="N38" s="14" t="inlineStr">
        <is>
          <t>M3</t>
        </is>
      </c>
    </row>
    <row r="39">
      <c r="A39" s="14" t="inlineStr">
        <is>
          <t>COST-58</t>
        </is>
      </c>
      <c r="B39" s="14" t="inlineStr">
        <is>
          <t>容量市场</t>
        </is>
      </c>
      <c r="C39" s="14" t="inlineStr">
        <is>
          <t>PJM 2027/28 拍卖出清容量较可靠性要求的缺口</t>
        </is>
      </c>
      <c r="D39" s="14" t="inlineStr">
        <is>
          <t>PJM</t>
        </is>
      </c>
      <c r="E39" s="32" t="n">
        <v>6623</v>
      </c>
      <c r="F39" s="14" t="inlineStr">
        <is>
          <t>MW</t>
        </is>
      </c>
      <c r="G39" s="14" t="inlineStr">
        <is>
          <t>2027/28</t>
        </is>
      </c>
      <c r="H39" s="14" t="inlineStr">
        <is>
          <t>披露事实</t>
        </is>
      </c>
      <c r="I39" s="14" t="inlineStr">
        <is>
          <t>首次全网低于可靠性要求</t>
        </is>
      </c>
      <c r="J39" s="14" t="inlineStr">
        <is>
          <t>PJM Inside Lines：2027/28 容量拍卖结果</t>
        </is>
      </c>
      <c r="K39" s="14" t="inlineStr">
        <is>
          <t>2025-12-17</t>
        </is>
      </c>
      <c r="L39" s="14" t="inlineStr">
        <is>
          <t>https://insidelines.pjm.com/?p=209684｜公告正文</t>
        </is>
      </c>
      <c r="M39" s="14" t="inlineStr">
        <is>
          <t>2026-10-22</t>
        </is>
      </c>
      <c r="N39" s="14" t="inlineStr">
        <is>
          <t>PJM2728</t>
        </is>
      </c>
    </row>
    <row r="40">
      <c r="A40" s="14" t="inlineStr">
        <is>
          <t>COST-59</t>
        </is>
      </c>
      <c r="B40" s="14" t="inlineStr">
        <is>
          <t>容量市场</t>
        </is>
      </c>
      <c r="C40" s="14" t="inlineStr">
        <is>
          <t>PJM 2028/29 拍卖出清容量较可靠性要求的缺口</t>
        </is>
      </c>
      <c r="D40" s="14" t="inlineStr">
        <is>
          <t>PJM</t>
        </is>
      </c>
      <c r="E40" s="32" t="n">
        <v>6831</v>
      </c>
      <c r="F40" s="14" t="inlineStr">
        <is>
          <t>MW</t>
        </is>
      </c>
      <c r="G40" s="14" t="inlineStr">
        <is>
          <t>2028/29</t>
        </is>
      </c>
      <c r="H40" s="14" t="inlineStr">
        <is>
          <t>披露事实</t>
        </is>
      </c>
      <c r="I40" s="14" t="inlineStr">
        <is>
          <t>连续第二期短缺（APPA 引述 PJM 公告）</t>
        </is>
      </c>
      <c r="J40" s="14" t="inlineStr">
        <is>
          <t>美国公共电力协会（APPA）：PJM 2028/29 容量拍卖结果报道（引用 PJM 公告）</t>
        </is>
      </c>
      <c r="K40" s="14" t="inlineStr">
        <is>
          <t>2026-07-14</t>
        </is>
      </c>
      <c r="L40" s="14" t="inlineStr">
        <is>
          <t>https://www.publicpower.org/periodical/article/pjm-capacity-auction-procures-138318-mw-generation-resources-capacity-price-comes-cap-325｜报道正文</t>
        </is>
      </c>
      <c r="M40" s="14" t="inlineStr">
        <is>
          <t>2026-10-22</t>
        </is>
      </c>
      <c r="N40" s="14" t="inlineStr">
        <is>
          <t>APPA2829</t>
        </is>
      </c>
    </row>
    <row r="41">
      <c r="A41" s="14" t="inlineStr">
        <is>
          <t>COST-45</t>
        </is>
      </c>
      <c r="B41" s="14" t="inlineStr">
        <is>
          <t>容量市场</t>
        </is>
      </c>
      <c r="C41" s="14" t="inlineStr">
        <is>
          <t>PJM 2027/28 预测峰荷增量</t>
        </is>
      </c>
      <c r="D41" s="14" t="inlineStr">
        <is>
          <t>PJM</t>
        </is>
      </c>
      <c r="E41" s="32" t="n">
        <v>5250</v>
      </c>
      <c r="F41" s="14" t="inlineStr">
        <is>
          <t>MW</t>
        </is>
      </c>
      <c r="G41" s="14" t="inlineStr">
        <is>
          <t>2027/28</t>
        </is>
      </c>
      <c r="H41" s="14" t="inlineStr">
        <is>
          <t>披露事实</t>
        </is>
      </c>
      <c r="I41" s="14" t="inlineStr">
        <is>
          <t>其中约 5100 MW 来自数据中心</t>
        </is>
      </c>
      <c r="J41" s="14" t="inlineStr">
        <is>
          <t>PJM Inside Lines：2027/28 容量拍卖结果</t>
        </is>
      </c>
      <c r="K41" s="14" t="inlineStr">
        <is>
          <t>2025-12-17</t>
        </is>
      </c>
      <c r="L41" s="14" t="inlineStr">
        <is>
          <t>https://insidelines.pjm.com/?p=209684｜公告正文</t>
        </is>
      </c>
      <c r="M41" s="14" t="inlineStr">
        <is>
          <t>2026-10-22</t>
        </is>
      </c>
      <c r="N41" s="14" t="inlineStr">
        <is>
          <t>PJM2728</t>
        </is>
      </c>
    </row>
    <row r="42">
      <c r="A42" s="14" t="inlineStr">
        <is>
          <t>COST-46</t>
        </is>
      </c>
      <c r="B42" s="14" t="inlineStr">
        <is>
          <t>容量市场</t>
        </is>
      </c>
      <c r="C42" s="14" t="inlineStr">
        <is>
          <t>其中数据中心贡献</t>
        </is>
      </c>
      <c r="D42" s="14" t="inlineStr">
        <is>
          <t>PJM</t>
        </is>
      </c>
      <c r="E42" s="32" t="n">
        <v>5100</v>
      </c>
      <c r="F42" s="14" t="inlineStr">
        <is>
          <t>MW</t>
        </is>
      </c>
      <c r="G42" s="14" t="inlineStr">
        <is>
          <t>2027/28</t>
        </is>
      </c>
      <c r="H42" s="14" t="inlineStr">
        <is>
          <t>披露事实</t>
        </is>
      </c>
      <c r="I42" s="14" t="inlineStr"/>
      <c r="J42" s="14" t="inlineStr">
        <is>
          <t>PJM Inside Lines：2027/28 容量拍卖结果</t>
        </is>
      </c>
      <c r="K42" s="14" t="inlineStr">
        <is>
          <t>2025-12-17</t>
        </is>
      </c>
      <c r="L42" s="14" t="inlineStr">
        <is>
          <t>https://insidelines.pjm.com/?p=209684｜公告正文</t>
        </is>
      </c>
      <c r="M42" s="14" t="inlineStr">
        <is>
          <t>2026-10-22</t>
        </is>
      </c>
      <c r="N42" s="14" t="inlineStr">
        <is>
          <t>PJM2728</t>
        </is>
      </c>
    </row>
    <row r="43">
      <c r="A43" s="14" t="inlineStr">
        <is>
          <t>COST-47</t>
        </is>
      </c>
      <c r="B43" s="14" t="inlineStr">
        <is>
          <t>容量市场</t>
        </is>
      </c>
      <c r="C43" s="14" t="inlineStr">
        <is>
          <t>最近四次容量拍卖中数据中心负荷推高的容量费用</t>
        </is>
      </c>
      <c r="D43" s="14" t="inlineStr">
        <is>
          <t>PJM</t>
        </is>
      </c>
      <c r="E43" s="35" t="n">
        <v>29.4</v>
      </c>
      <c r="F43" s="14" t="inlineStr">
        <is>
          <t>十亿美元</t>
        </is>
      </c>
      <c r="G43" s="14" t="inlineStr">
        <is>
          <t>2025/26–2028/29</t>
        </is>
      </c>
      <c r="H43" s="14" t="inlineStr">
        <is>
          <t>第三方估计</t>
        </is>
      </c>
      <c r="I43" s="14" t="inlineStr">
        <is>
          <t>PJM 独立市场监察员反事实测算；约占四次拍卖总成本 636 亿美元的 46%</t>
        </is>
      </c>
      <c r="J43" s="14" t="inlineStr">
        <is>
          <t>Utility Dive：PJM 市场监察员报告数据中心负荷占批发成本 9%（引用 IMM 2026 年二季度市场报告）</t>
        </is>
      </c>
      <c r="K43" s="14" t="inlineStr">
        <is>
          <t>2026-08-27</t>
        </is>
      </c>
      <c r="L43" s="14" t="inlineStr">
        <is>
          <t>https://www.utilitydive.com/news/data-center-load-pjm-wholesale-market/828917/｜报道正文</t>
        </is>
      </c>
      <c r="M43" s="14" t="inlineStr">
        <is>
          <t>2026-10-22</t>
        </is>
      </c>
      <c r="N43" s="14" t="inlineStr">
        <is>
          <t>IMM26</t>
        </is>
      </c>
    </row>
    <row r="44">
      <c r="A44" s="14" t="inlineStr">
        <is>
          <t>COST-48</t>
        </is>
      </c>
      <c r="B44" s="14" t="inlineStr">
        <is>
          <t>容量市场</t>
        </is>
      </c>
      <c r="C44" s="14" t="inlineStr">
        <is>
          <t>四次容量拍卖总成本（2025/26–2028/29）</t>
        </is>
      </c>
      <c r="D44" s="14" t="inlineStr">
        <is>
          <t>PJM</t>
        </is>
      </c>
      <c r="E44" s="35" t="n">
        <v>63.6</v>
      </c>
      <c r="F44" s="14" t="inlineStr">
        <is>
          <t>十亿美元</t>
        </is>
      </c>
      <c r="G44" s="14" t="inlineStr">
        <is>
          <t>2025/26–2028/29</t>
        </is>
      </c>
      <c r="H44" s="14" t="inlineStr">
        <is>
          <t>第三方估计</t>
        </is>
      </c>
      <c r="I44" s="14" t="inlineStr">
        <is>
          <t>147+161+164+164 亿美元，单次总额来自媒体与 APPA 报道</t>
        </is>
      </c>
      <c r="J44" s="14" t="inlineStr">
        <is>
          <t>俄亥俄首府日报（经 Yahoo 转载）：容量拍卖总成本报道</t>
        </is>
      </c>
      <c r="K44" s="14" t="inlineStr">
        <is>
          <t>2025-07-24</t>
        </is>
      </c>
      <c r="L44" s="14" t="inlineStr">
        <is>
          <t>https://www.yahoo.com/news/articles/energy-bills-likely-tick-again-084017412.html｜报道正文；APPA 2026-07-14</t>
        </is>
      </c>
      <c r="M44" s="14" t="inlineStr">
        <is>
          <t>2026-10-22</t>
        </is>
      </c>
      <c r="N44" s="14" t="inlineStr">
        <is>
          <t>PJMCOST</t>
        </is>
      </c>
    </row>
    <row r="45">
      <c r="A45" s="14" t="inlineStr">
        <is>
          <t>COST-50</t>
        </is>
      </c>
      <c r="B45" s="14" t="inlineStr">
        <is>
          <t>电价</t>
        </is>
      </c>
      <c r="C45" s="14" t="inlineStr">
        <is>
          <t>美国平均零售电价（全部门）</t>
        </is>
      </c>
      <c r="D45" s="14" t="inlineStr">
        <is>
          <t>美国</t>
        </is>
      </c>
      <c r="E45" s="35" t="n">
        <v>12.94</v>
      </c>
      <c r="F45" s="14" t="inlineStr">
        <is>
          <t>美分/kWh</t>
        </is>
      </c>
      <c r="G45" s="14" t="inlineStr">
        <is>
          <t>2024</t>
        </is>
      </c>
      <c r="H45" s="14" t="inlineStr">
        <is>
          <t>披露事实</t>
        </is>
      </c>
      <c r="I45" s="14" t="inlineStr">
        <is>
          <t>名义价格</t>
        </is>
      </c>
      <c r="J45" s="14" t="inlineStr">
        <is>
          <t>EIA《电力月报》表 5.3 终端用户平均电价</t>
        </is>
      </c>
      <c r="K45" s="14" t="inlineStr">
        <is>
          <t>2026-09-24</t>
        </is>
      </c>
      <c r="L45" s="14" t="inlineStr">
        <is>
          <t>https://www.eia.gov/electricity/monthly/epm_table_grapher.php?t=epmt_5_3｜表 5.3</t>
        </is>
      </c>
      <c r="M45" s="14" t="inlineStr">
        <is>
          <t>2026-10-22</t>
        </is>
      </c>
      <c r="N45" s="14" t="inlineStr">
        <is>
          <t>EIA_EPM53</t>
        </is>
      </c>
    </row>
    <row r="46">
      <c r="A46" s="14" t="inlineStr">
        <is>
          <t>COST-51</t>
        </is>
      </c>
      <c r="B46" s="14" t="inlineStr">
        <is>
          <t>电价</t>
        </is>
      </c>
      <c r="C46" s="14" t="inlineStr">
        <is>
          <t>美国平均零售电价（全部门）</t>
        </is>
      </c>
      <c r="D46" s="14" t="inlineStr">
        <is>
          <t>美国</t>
        </is>
      </c>
      <c r="E46" s="35" t="n">
        <v>13.63</v>
      </c>
      <c r="F46" s="14" t="inlineStr">
        <is>
          <t>美分/kWh</t>
        </is>
      </c>
      <c r="G46" s="14" t="inlineStr">
        <is>
          <t>2025</t>
        </is>
      </c>
      <c r="H46" s="14" t="inlineStr">
        <is>
          <t>披露事实</t>
        </is>
      </c>
      <c r="I46" s="14" t="inlineStr"/>
      <c r="J46" s="14" t="inlineStr">
        <is>
          <t>EIA《电力月报》表 5.3 终端用户平均电价</t>
        </is>
      </c>
      <c r="K46" s="14" t="inlineStr">
        <is>
          <t>2026-09-24</t>
        </is>
      </c>
      <c r="L46" s="14" t="inlineStr">
        <is>
          <t>https://www.eia.gov/electricity/monthly/epm_table_grapher.php?t=epmt_5_3｜表 5.3</t>
        </is>
      </c>
      <c r="M46" s="14" t="inlineStr">
        <is>
          <t>2026-10-22</t>
        </is>
      </c>
      <c r="N46" s="14" t="inlineStr">
        <is>
          <t>EIA_EPM53</t>
        </is>
      </c>
    </row>
    <row r="47">
      <c r="A47" s="14" t="inlineStr">
        <is>
          <t>COST-52</t>
        </is>
      </c>
      <c r="B47" s="14" t="inlineStr">
        <is>
          <t>电价</t>
        </is>
      </c>
      <c r="C47" s="14" t="inlineStr">
        <is>
          <t>美国平均零售电价（全部门，1–7 月）</t>
        </is>
      </c>
      <c r="D47" s="14" t="inlineStr">
        <is>
          <t>美国</t>
        </is>
      </c>
      <c r="E47" s="35" t="n">
        <v>14.29</v>
      </c>
      <c r="F47" s="14" t="inlineStr">
        <is>
          <t>美分/kWh</t>
        </is>
      </c>
      <c r="G47" s="14" t="inlineStr">
        <is>
          <t>2026 年 1–7 月</t>
        </is>
      </c>
      <c r="H47" s="14" t="inlineStr">
        <is>
          <t>披露事实</t>
        </is>
      </c>
      <c r="I47" s="14" t="inlineStr">
        <is>
          <t>上年同期 13.46</t>
        </is>
      </c>
      <c r="J47" s="14" t="inlineStr">
        <is>
          <t>EIA《电力月报》表 5.3 终端用户平均电价</t>
        </is>
      </c>
      <c r="K47" s="14" t="inlineStr">
        <is>
          <t>2026-09-24</t>
        </is>
      </c>
      <c r="L47" s="14" t="inlineStr">
        <is>
          <t>https://www.eia.gov/electricity/monthly/epm_table_grapher.php?t=epmt_5_3｜表 5.3</t>
        </is>
      </c>
      <c r="M47" s="14" t="inlineStr">
        <is>
          <t>2026-10-22</t>
        </is>
      </c>
      <c r="N47" s="14" t="inlineStr">
        <is>
          <t>EIA_EPM53</t>
        </is>
      </c>
    </row>
    <row r="48">
      <c r="A48" s="14" t="inlineStr">
        <is>
          <t>COST-53</t>
        </is>
      </c>
      <c r="B48" s="14" t="inlineStr">
        <is>
          <t>电价</t>
        </is>
      </c>
      <c r="C48" s="14" t="inlineStr">
        <is>
          <t>美国居民电价</t>
        </is>
      </c>
      <c r="D48" s="14" t="inlineStr">
        <is>
          <t>美国</t>
        </is>
      </c>
      <c r="E48" s="35" t="n">
        <v>16.48</v>
      </c>
      <c r="F48" s="14" t="inlineStr">
        <is>
          <t>美分/kWh</t>
        </is>
      </c>
      <c r="G48" s="14" t="inlineStr">
        <is>
          <t>2024</t>
        </is>
      </c>
      <c r="H48" s="14" t="inlineStr">
        <is>
          <t>披露事实</t>
        </is>
      </c>
      <c r="I48" s="14" t="inlineStr"/>
      <c r="J48" s="14" t="inlineStr">
        <is>
          <t>EIA《电力月报》表 5.3 终端用户平均电价</t>
        </is>
      </c>
      <c r="K48" s="14" t="inlineStr">
        <is>
          <t>2026-09-24</t>
        </is>
      </c>
      <c r="L48" s="14" t="inlineStr">
        <is>
          <t>https://www.eia.gov/electricity/monthly/epm_table_grapher.php?t=epmt_5_3｜表 5.3</t>
        </is>
      </c>
      <c r="M48" s="14" t="inlineStr">
        <is>
          <t>2026-10-22</t>
        </is>
      </c>
      <c r="N48" s="14" t="inlineStr">
        <is>
          <t>EIA_EPM53</t>
        </is>
      </c>
    </row>
    <row r="49">
      <c r="A49" s="14" t="inlineStr">
        <is>
          <t>COST-54</t>
        </is>
      </c>
      <c r="B49" s="14" t="inlineStr">
        <is>
          <t>电价</t>
        </is>
      </c>
      <c r="C49" s="14" t="inlineStr">
        <is>
          <t>美国居民电价</t>
        </is>
      </c>
      <c r="D49" s="14" t="inlineStr">
        <is>
          <t>美国</t>
        </is>
      </c>
      <c r="E49" s="35" t="n">
        <v>17.3</v>
      </c>
      <c r="F49" s="14" t="inlineStr">
        <is>
          <t>美分/kWh</t>
        </is>
      </c>
      <c r="G49" s="14" t="inlineStr">
        <is>
          <t>2025</t>
        </is>
      </c>
      <c r="H49" s="14" t="inlineStr">
        <is>
          <t>披露事实</t>
        </is>
      </c>
      <c r="I49" s="14" t="inlineStr"/>
      <c r="J49" s="14" t="inlineStr">
        <is>
          <t>EIA《电力月报》表 5.3 终端用户平均电价</t>
        </is>
      </c>
      <c r="K49" s="14" t="inlineStr">
        <is>
          <t>2026-09-24</t>
        </is>
      </c>
      <c r="L49" s="14" t="inlineStr">
        <is>
          <t>https://www.eia.gov/electricity/monthly/epm_table_grapher.php?t=epmt_5_3｜表 5.3</t>
        </is>
      </c>
      <c r="M49" s="14" t="inlineStr">
        <is>
          <t>2026-10-22</t>
        </is>
      </c>
      <c r="N49" s="14" t="inlineStr">
        <is>
          <t>EIA_EPM53</t>
        </is>
      </c>
    </row>
    <row r="50">
      <c r="A50" s="14" t="inlineStr">
        <is>
          <t>COST-55</t>
        </is>
      </c>
      <c r="B50" s="14" t="inlineStr">
        <is>
          <t>电价</t>
        </is>
      </c>
      <c r="C50" s="14" t="inlineStr">
        <is>
          <t>美国居民电价（预测）</t>
        </is>
      </c>
      <c r="D50" s="14" t="inlineStr">
        <is>
          <t>美国</t>
        </is>
      </c>
      <c r="E50" s="35" t="n">
        <v>18.2</v>
      </c>
      <c r="F50" s="14" t="inlineStr">
        <is>
          <t>美分/kWh</t>
        </is>
      </c>
      <c r="G50" s="14" t="inlineStr">
        <is>
          <t>2026E</t>
        </is>
      </c>
      <c r="H50" s="14" t="inlineStr">
        <is>
          <t>官方预测</t>
        </is>
      </c>
      <c r="I50" s="14" t="inlineStr">
        <is>
          <t>2027 年预测 18.7</t>
        </is>
      </c>
      <c r="J50" s="14" t="inlineStr">
        <is>
          <t>EIA《短期能源展望》2026 年 10 月版（电力、煤炭与可再生能源）</t>
        </is>
      </c>
      <c r="K50" s="14" t="inlineStr">
        <is>
          <t>2026-10-06</t>
        </is>
      </c>
      <c r="L50" s="14" t="inlineStr">
        <is>
          <t>https://www.eia.gov/outlooks/steo/report/elec_coal_renew.php｜表“居民电价”</t>
        </is>
      </c>
      <c r="M50" s="14" t="inlineStr">
        <is>
          <t>2026-10-22</t>
        </is>
      </c>
      <c r="N50" s="14" t="inlineStr">
        <is>
          <t>EIA_STEO</t>
        </is>
      </c>
    </row>
    <row r="51">
      <c r="A51" s="14" t="inlineStr">
        <is>
          <t>COST-60</t>
        </is>
      </c>
      <c r="B51" s="14" t="inlineStr">
        <is>
          <t>并网</t>
        </is>
      </c>
      <c r="C51" s="14" t="inlineStr">
        <is>
          <t>美国并网排队容量：发电</t>
        </is>
      </c>
      <c r="D51" s="14" t="inlineStr">
        <is>
          <t>美国</t>
        </is>
      </c>
      <c r="E51" s="32" t="n">
        <v>1312</v>
      </c>
      <c r="F51" s="14" t="inlineStr">
        <is>
          <t>GW</t>
        </is>
      </c>
      <c r="G51" s="14" t="inlineStr">
        <is>
          <t>2025 年底</t>
        </is>
      </c>
      <c r="H51" s="14" t="inlineStr">
        <is>
          <t>披露事实</t>
        </is>
      </c>
      <c r="I51" s="14" t="inlineStr">
        <is>
          <t>另有储能约 749 GW</t>
        </is>
      </c>
      <c r="J51" s="14" t="inlineStr">
        <is>
          <t>LBNL《排队：2026 年版》Queued Up: 2026 Edition（截至 2025 年底的并网排队）</t>
        </is>
      </c>
      <c r="K51" s="14" t="inlineStr">
        <is>
          <t>2026-05</t>
        </is>
      </c>
      <c r="L51" s="14" t="inlineStr">
        <is>
          <t>https://eta-publications.lbl.gov/publications/queued-2026-edition-characteristics｜摘要</t>
        </is>
      </c>
      <c r="M51" s="14" t="inlineStr">
        <is>
          <t>2026-10-22</t>
        </is>
      </c>
      <c r="N51" s="14" t="inlineStr">
        <is>
          <t>LBNL_Q26</t>
        </is>
      </c>
    </row>
    <row r="52">
      <c r="A52" s="14" t="inlineStr">
        <is>
          <t>COST-61</t>
        </is>
      </c>
      <c r="B52" s="14" t="inlineStr">
        <is>
          <t>并网</t>
        </is>
      </c>
      <c r="C52" s="14" t="inlineStr">
        <is>
          <t>美国并网排队容量：储能</t>
        </is>
      </c>
      <c r="D52" s="14" t="inlineStr">
        <is>
          <t>美国</t>
        </is>
      </c>
      <c r="E52" s="32" t="n">
        <v>749</v>
      </c>
      <c r="F52" s="14" t="inlineStr">
        <is>
          <t>GW</t>
        </is>
      </c>
      <c r="G52" s="14" t="inlineStr">
        <is>
          <t>2025 年底</t>
        </is>
      </c>
      <c r="H52" s="14" t="inlineStr">
        <is>
          <t>披露事实</t>
        </is>
      </c>
      <c r="I52" s="14" t="inlineStr"/>
      <c r="J52" s="14" t="inlineStr">
        <is>
          <t>LBNL《排队：2026 年版》Queued Up: 2026 Edition（截至 2025 年底的并网排队）</t>
        </is>
      </c>
      <c r="K52" s="14" t="inlineStr">
        <is>
          <t>2026-05</t>
        </is>
      </c>
      <c r="L52" s="14" t="inlineStr">
        <is>
          <t>https://eta-publications.lbl.gov/publications/queued-2026-edition-characteristics｜摘要</t>
        </is>
      </c>
      <c r="M52" s="14" t="inlineStr">
        <is>
          <t>2026-10-22</t>
        </is>
      </c>
      <c r="N52" s="14" t="inlineStr">
        <is>
          <t>LBNL_Q26</t>
        </is>
      </c>
    </row>
    <row r="53">
      <c r="A53" s="14" t="inlineStr">
        <is>
          <t>COST-62</t>
        </is>
      </c>
      <c r="B53" s="14" t="inlineStr">
        <is>
          <t>并网</t>
        </is>
      </c>
      <c r="C53" s="14" t="inlineStr">
        <is>
          <t>其中燃气</t>
        </is>
      </c>
      <c r="D53" s="14" t="inlineStr">
        <is>
          <t>美国</t>
        </is>
      </c>
      <c r="E53" s="32" t="n">
        <v>253</v>
      </c>
      <c r="F53" s="14" t="inlineStr">
        <is>
          <t>GW</t>
        </is>
      </c>
      <c r="G53" s="14" t="inlineStr">
        <is>
          <t>2025 年底</t>
        </is>
      </c>
      <c r="H53" s="14" t="inlineStr">
        <is>
          <t>披露事实</t>
        </is>
      </c>
      <c r="I53" s="14" t="inlineStr">
        <is>
          <t>同比 +86%</t>
        </is>
      </c>
      <c r="J53" s="14" t="inlineStr">
        <is>
          <t>LBNL《排队：2026 年版》Queued Up: 2026 Edition（截至 2025 年底的并网排队）</t>
        </is>
      </c>
      <c r="K53" s="14" t="inlineStr">
        <is>
          <t>2026-05</t>
        </is>
      </c>
      <c r="L53" s="14" t="inlineStr">
        <is>
          <t>https://eta-publications.lbl.gov/publications/queued-2026-edition-characteristics｜摘要</t>
        </is>
      </c>
      <c r="M53" s="14" t="inlineStr">
        <is>
          <t>2026-10-22</t>
        </is>
      </c>
      <c r="N53" s="14" t="inlineStr">
        <is>
          <t>LBNL_Q26</t>
        </is>
      </c>
    </row>
    <row r="54">
      <c r="A54" s="14" t="inlineStr">
        <is>
          <t>COST-63</t>
        </is>
      </c>
      <c r="B54" s="14" t="inlineStr">
        <is>
          <t>并网</t>
        </is>
      </c>
      <c r="C54" s="14" t="inlineStr">
        <is>
          <t>从申请到投运的中位时长</t>
        </is>
      </c>
      <c r="D54" s="14" t="inlineStr">
        <is>
          <t>美国</t>
        </is>
      </c>
      <c r="E54" s="32" t="n">
        <v>5</v>
      </c>
      <c r="F54" s="14" t="inlineStr">
        <is>
          <t>年</t>
        </is>
      </c>
      <c r="G54" s="14" t="inlineStr">
        <is>
          <t>2025 年投运项目</t>
        </is>
      </c>
      <c r="H54" s="14" t="inlineStr">
        <is>
          <t>披露事实</t>
        </is>
      </c>
      <c r="I54" s="14" t="inlineStr">
        <is>
          <t>原文“超过 5 年”</t>
        </is>
      </c>
      <c r="J54" s="14" t="inlineStr">
        <is>
          <t>LBNL《排队：2026 年版》Queued Up: 2026 Edition（截至 2025 年底的并网排队）</t>
        </is>
      </c>
      <c r="K54" s="14" t="inlineStr">
        <is>
          <t>2026-05</t>
        </is>
      </c>
      <c r="L54" s="14" t="inlineStr">
        <is>
          <t>https://eta-publications.lbl.gov/publications/queued-2026-edition-characteristics｜摘要</t>
        </is>
      </c>
      <c r="M54" s="14" t="inlineStr">
        <is>
          <t>2026-10-22</t>
        </is>
      </c>
      <c r="N54" s="14" t="inlineStr">
        <is>
          <t>LBNL_Q26</t>
        </is>
      </c>
    </row>
    <row r="55">
      <c r="A55" s="14" t="inlineStr">
        <is>
          <t>COST-64</t>
        </is>
      </c>
      <c r="B55" s="14" t="inlineStr">
        <is>
          <t>并网</t>
        </is>
      </c>
      <c r="C55" s="14" t="inlineStr">
        <is>
          <t>2000–2020 年申请容量中已投运比例</t>
        </is>
      </c>
      <c r="D55" s="14" t="inlineStr">
        <is>
          <t>美国</t>
        </is>
      </c>
      <c r="E55" s="33" t="n">
        <v>0.13</v>
      </c>
      <c r="F55" s="14" t="inlineStr">
        <is>
          <t>%</t>
        </is>
      </c>
      <c r="G55" s="14" t="inlineStr">
        <is>
          <t>截至 2025 年底</t>
        </is>
      </c>
      <c r="H55" s="14" t="inlineStr">
        <is>
          <t>披露事实</t>
        </is>
      </c>
      <c r="I55" s="14" t="inlineStr">
        <is>
          <t>75% 已撤回</t>
        </is>
      </c>
      <c r="J55" s="14" t="inlineStr">
        <is>
          <t>LBNL《排队：2026 年版》Queued Up: 2026 Edition（截至 2025 年底的并网排队）</t>
        </is>
      </c>
      <c r="K55" s="14" t="inlineStr">
        <is>
          <t>2026-05</t>
        </is>
      </c>
      <c r="L55" s="14" t="inlineStr">
        <is>
          <t>https://eta-publications.lbl.gov/publications/queued-2026-edition-characteristics｜摘要</t>
        </is>
      </c>
      <c r="M55" s="14" t="inlineStr">
        <is>
          <t>2026-10-22</t>
        </is>
      </c>
      <c r="N55" s="14" t="inlineStr">
        <is>
          <t>LBNL_Q26</t>
        </is>
      </c>
    </row>
    <row r="56">
      <c r="A56" s="14" t="inlineStr">
        <is>
          <t>COST-65</t>
        </is>
      </c>
      <c r="B56" s="14" t="inlineStr">
        <is>
          <t>并网</t>
        </is>
      </c>
      <c r="C56" s="14" t="inlineStr">
        <is>
          <t>主要数据中心市场的平均并网等待时间</t>
        </is>
      </c>
      <c r="D56" s="14" t="inlineStr">
        <is>
          <t>主要市场</t>
        </is>
      </c>
      <c r="E56" s="32" t="n">
        <v>4</v>
      </c>
      <c r="F56" s="14" t="inlineStr">
        <is>
          <t>年</t>
        </is>
      </c>
      <c r="G56" s="14" t="inlineStr">
        <is>
          <t>2026</t>
        </is>
      </c>
      <c r="H56" s="14" t="inlineStr">
        <is>
          <t>第三方估计</t>
        </is>
      </c>
      <c r="I56" s="14" t="inlineStr">
        <is>
          <t>原文“超过四年”</t>
        </is>
      </c>
      <c r="J56" s="14" t="inlineStr">
        <is>
          <t>JLL《2026 全球数据中心展望》</t>
        </is>
      </c>
      <c r="K56" s="14" t="inlineStr">
        <is>
          <t>2026-01-05</t>
        </is>
      </c>
      <c r="L56" s="14" t="inlineStr">
        <is>
          <t>https://www.jll.com/en-us/insights/market-outlook/data-center-outlook｜报告正文</t>
        </is>
      </c>
      <c r="M56" s="14" t="inlineStr">
        <is>
          <t>2026-10-22</t>
        </is>
      </c>
      <c r="N56" s="14" t="inlineStr">
        <is>
          <t>JLL26</t>
        </is>
      </c>
    </row>
    <row r="57">
      <c r="A57" s="14" t="inlineStr">
        <is>
          <t>COST-66</t>
        </is>
      </c>
      <c r="B57" s="14" t="inlineStr">
        <is>
          <t>设备</t>
        </is>
      </c>
      <c r="C57" s="14" t="inlineStr">
        <is>
          <t>电力变压器交货期</t>
        </is>
      </c>
      <c r="D57" s="14" t="inlineStr">
        <is>
          <t>美国</t>
        </is>
      </c>
      <c r="E57" s="32" t="n">
        <v>128</v>
      </c>
      <c r="F57" s="14" t="inlineStr">
        <is>
          <t>周</t>
        </is>
      </c>
      <c r="G57" s="14" t="inlineStr">
        <is>
          <t>2025Q2</t>
        </is>
      </c>
      <c r="H57" s="14" t="inlineStr">
        <is>
          <t>第三方估计</t>
        </is>
      </c>
      <c r="I57" s="14" t="inlineStr">
        <is>
          <t>发电机升压变压器 144 周</t>
        </is>
      </c>
      <c r="J57" s="14" t="inlineStr">
        <is>
          <t>POWER 杂志：2026 年的变压器（引用 Wood Mackenzie 交期与价格数据）</t>
        </is>
      </c>
      <c r="K57" s="14" t="inlineStr">
        <is>
          <t>2026-01</t>
        </is>
      </c>
      <c r="L57" s="14" t="inlineStr">
        <is>
          <t>https://www.powermag.com/transformers-in-2026-shortage-scramble-or-self-inflicted-crisis/｜引用 Wood Mackenzie</t>
        </is>
      </c>
      <c r="M57" s="14" t="inlineStr">
        <is>
          <t>2026-10-22</t>
        </is>
      </c>
      <c r="N57" s="14" t="inlineStr">
        <is>
          <t>POWER_TX</t>
        </is>
      </c>
    </row>
    <row r="58">
      <c r="A58" s="14" t="inlineStr">
        <is>
          <t>COST-67</t>
        </is>
      </c>
      <c r="B58" s="14" t="inlineStr">
        <is>
          <t>设备</t>
        </is>
      </c>
      <c r="C58" s="14" t="inlineStr">
        <is>
          <t>电力变压器价格较 2019 年涨幅</t>
        </is>
      </c>
      <c r="D58" s="14" t="inlineStr">
        <is>
          <t>美国</t>
        </is>
      </c>
      <c r="E58" s="33" t="n">
        <v>0.77</v>
      </c>
      <c r="F58" s="14" t="inlineStr">
        <is>
          <t>%</t>
        </is>
      </c>
      <c r="G58" s="14" t="inlineStr">
        <is>
          <t>2019–2025</t>
        </is>
      </c>
      <c r="H58" s="14" t="inlineStr">
        <is>
          <t>第三方估计</t>
        </is>
      </c>
      <c r="I58" s="14" t="inlineStr"/>
      <c r="J58" s="14" t="inlineStr">
        <is>
          <t>POWER 杂志：2026 年的变压器（引用 Wood Mackenzie 交期与价格数据）</t>
        </is>
      </c>
      <c r="K58" s="14" t="inlineStr">
        <is>
          <t>2026-01</t>
        </is>
      </c>
      <c r="L58" s="14" t="inlineStr">
        <is>
          <t>https://www.powermag.com/transformers-in-2026-shortage-scramble-or-self-inflicted-crisis/｜引用 Wood Mackenzie</t>
        </is>
      </c>
      <c r="M58" s="14" t="inlineStr">
        <is>
          <t>2026-10-22</t>
        </is>
      </c>
      <c r="N58" s="14" t="inlineStr">
        <is>
          <t>POWER_TX</t>
        </is>
      </c>
    </row>
    <row r="59">
      <c r="A59" s="14" t="inlineStr">
        <is>
          <t>COST-68</t>
        </is>
      </c>
      <c r="B59" s="14" t="inlineStr">
        <is>
          <t>设备</t>
        </is>
      </c>
      <c r="C59" s="14" t="inlineStr">
        <is>
          <t>电力变压器供应缺口</t>
        </is>
      </c>
      <c r="D59" s="14" t="inlineStr">
        <is>
          <t>美国</t>
        </is>
      </c>
      <c r="E59" s="33" t="n">
        <v>0.3</v>
      </c>
      <c r="F59" s="14" t="inlineStr">
        <is>
          <t>%</t>
        </is>
      </c>
      <c r="G59" s="14" t="inlineStr">
        <is>
          <t>2025</t>
        </is>
      </c>
      <c r="H59" s="14" t="inlineStr">
        <is>
          <t>第三方估计</t>
        </is>
      </c>
      <c r="I59" s="14" t="inlineStr">
        <is>
          <t>2026 年缺口约 15%</t>
        </is>
      </c>
      <c r="J59" s="14" t="inlineStr">
        <is>
          <t>Wood Mackenzie 新闻稿：2025 年电力变压器供应缺口 30%</t>
        </is>
      </c>
      <c r="K59" s="14" t="inlineStr">
        <is>
          <t>2025-08-14</t>
        </is>
      </c>
      <c r="L59" s="14" t="inlineStr">
        <is>
          <t>https://www.woodmac.com/press-releases/power-transformers-and-distribution-transformers-will-face-supply-deficits-of-30-and-10-in-2025/｜新闻稿标题</t>
        </is>
      </c>
      <c r="M59" s="14" t="inlineStr">
        <is>
          <t>2026-10-22</t>
        </is>
      </c>
      <c r="N59" s="14" t="inlineStr">
        <is>
          <t>WM_TX</t>
        </is>
      </c>
    </row>
    <row r="60">
      <c r="A60" s="14" t="inlineStr">
        <is>
          <t>COST-69</t>
        </is>
      </c>
      <c r="B60" s="14" t="inlineStr">
        <is>
          <t>可靠性</t>
        </is>
      </c>
      <c r="C60" s="14" t="inlineStr">
        <is>
          <t>北美 10 年夏季峰荷增量预测</t>
        </is>
      </c>
      <c r="D60" s="14" t="inlineStr">
        <is>
          <t>北美</t>
        </is>
      </c>
      <c r="E60" s="32" t="n">
        <v>224</v>
      </c>
      <c r="F60" s="14" t="inlineStr">
        <is>
          <t>GW</t>
        </is>
      </c>
      <c r="G60" s="14" t="inlineStr">
        <is>
          <t>2026–2035</t>
        </is>
      </c>
      <c r="H60" s="14" t="inlineStr">
        <is>
          <t>官方预测</t>
        </is>
      </c>
      <c r="I60" s="14" t="inlineStr">
        <is>
          <t>上一版为 132 GW；23 个评估区中 13 个风险偏高</t>
        </is>
      </c>
      <c r="J60" s="14" t="inlineStr">
        <is>
          <t>NERC 2025 长期可靠性评估（LTRA），经 POWER 杂志报道</t>
        </is>
      </c>
      <c r="K60" s="14" t="inlineStr">
        <is>
          <t>2026-01-29</t>
        </is>
      </c>
      <c r="L60" s="14" t="inlineStr">
        <is>
          <t>https://www.powermag.com/nerc-warns-long-term-grid-reliability-risks-mounting-from-surging-demand-lagging-resources/｜报道正文</t>
        </is>
      </c>
      <c r="M60" s="14" t="inlineStr">
        <is>
          <t>2026-10-22</t>
        </is>
      </c>
      <c r="N60" s="14" t="inlineStr">
        <is>
          <t>NERC25</t>
        </is>
      </c>
    </row>
    <row r="61">
      <c r="A61" s="14" t="inlineStr">
        <is>
          <t>COST-70</t>
        </is>
      </c>
      <c r="B61" s="14" t="inlineStr">
        <is>
          <t>数据中心造价</t>
        </is>
      </c>
      <c r="C61" s="14" t="inlineStr">
        <is>
          <t>美国新建数据中心平均开发成本</t>
        </is>
      </c>
      <c r="D61" s="14" t="inlineStr">
        <is>
          <t>美国</t>
        </is>
      </c>
      <c r="E61" s="35" t="n">
        <v>17.6</v>
      </c>
      <c r="F61" s="14" t="inlineStr">
        <is>
          <t>百万美元/MW</t>
        </is>
      </c>
      <c r="G61" s="14" t="inlineStr">
        <is>
          <t>2026 版</t>
        </is>
      </c>
      <c r="H61" s="14" t="inlineStr">
        <is>
          <t>第三方估计</t>
        </is>
      </c>
      <c r="I61" s="14" t="inlineStr">
        <is>
          <t>最新一代设施；较上版 +21%；不含 IT 设备</t>
        </is>
      </c>
      <c r="J61" s="14" t="inlineStr">
        <is>
          <t>Cushman &amp; Wakefield《2026 美国数据中心开发成本指南》</t>
        </is>
      </c>
      <c r="K61" s="14" t="inlineStr">
        <is>
          <t>2026（年度版）</t>
        </is>
      </c>
      <c r="L61" s="14" t="inlineStr">
        <is>
          <t>https://www.cushmanwakefield.com/en/united-states/insights/data-center-development-cost-guide｜报告正文</t>
        </is>
      </c>
      <c r="M61" s="14" t="inlineStr">
        <is>
          <t>2026-10-22</t>
        </is>
      </c>
      <c r="N61" s="14" t="inlineStr">
        <is>
          <t>CW26</t>
        </is>
      </c>
    </row>
    <row r="62">
      <c r="A62" s="14" t="inlineStr">
        <is>
          <t>COST-71</t>
        </is>
      </c>
      <c r="B62" s="14" t="inlineStr">
        <is>
          <t>数据中心造价</t>
        </is>
      </c>
      <c r="C62" s="14" t="inlineStr">
        <is>
          <t>全球数据中心土建与机电成本</t>
        </is>
      </c>
      <c r="D62" s="14" t="inlineStr">
        <is>
          <t>全球</t>
        </is>
      </c>
      <c r="E62" s="35" t="n">
        <v>11.3</v>
      </c>
      <c r="F62" s="14" t="inlineStr">
        <is>
          <t>百万美元/MW</t>
        </is>
      </c>
      <c r="G62" s="14" t="inlineStr">
        <is>
          <t>2026E</t>
        </is>
      </c>
      <c r="H62" s="14" t="inlineStr">
        <is>
          <t>第三方估计</t>
        </is>
      </c>
      <c r="I62" s="14" t="inlineStr">
        <is>
          <t>仅主体与机电；AI 装修最高可达 2500 万美元/MW</t>
        </is>
      </c>
      <c r="J62" s="14" t="inlineStr">
        <is>
          <t>JLL《2026 全球数据中心展望》</t>
        </is>
      </c>
      <c r="K62" s="14" t="inlineStr">
        <is>
          <t>2026-01-05</t>
        </is>
      </c>
      <c r="L62" s="14" t="inlineStr">
        <is>
          <t>https://www.jll.com/en-us/insights/market-outlook/data-center-outlook｜报告正文</t>
        </is>
      </c>
      <c r="M62" s="14" t="inlineStr">
        <is>
          <t>2026-10-22</t>
        </is>
      </c>
      <c r="N62" s="14" t="inlineStr">
        <is>
          <t>JLL26</t>
        </is>
      </c>
    </row>
    <row r="63">
      <c r="A63" s="14" t="inlineStr">
        <is>
          <t>COST-72</t>
        </is>
      </c>
      <c r="B63" s="14" t="inlineStr">
        <is>
          <t>功率密度</t>
        </is>
      </c>
      <c r="C63" s="14" t="inlineStr">
        <is>
          <t>NVIDIA 计划支持的单机柜 IT 功率</t>
        </is>
      </c>
      <c r="D63" s="14" t="inlineStr">
        <is>
          <t>NVIDIA</t>
        </is>
      </c>
      <c r="E63" s="32" t="n">
        <v>1</v>
      </c>
      <c r="F63" s="14" t="inlineStr">
        <is>
          <t>MW/机柜</t>
        </is>
      </c>
      <c r="G63" s="14" t="inlineStr">
        <is>
          <t>2027 起</t>
        </is>
      </c>
      <c r="H63" s="14" t="inlineStr">
        <is>
          <t>公司指引</t>
        </is>
      </c>
      <c r="I63" s="14" t="inlineStr">
        <is>
          <t>800 V 直流供电架构</t>
        </is>
      </c>
      <c r="J63" s="14" t="inlineStr">
        <is>
          <t>NVIDIA 技术博客：800 V 高压直流架构将为下一代 AI 工厂供电</t>
        </is>
      </c>
      <c r="K63" s="14" t="inlineStr">
        <is>
          <t>2025-05-20</t>
        </is>
      </c>
      <c r="L63" s="14" t="inlineStr">
        <is>
          <t>https://developer.nvidia.com/blog/nvidia-800-v-hvdc-architecture-will-power-the-next-generation-of-ai-factories/｜博客正文</t>
        </is>
      </c>
      <c r="M63" s="14" t="inlineStr">
        <is>
          <t>2026-10-22</t>
        </is>
      </c>
      <c r="N63" s="14" t="inlineStr">
        <is>
          <t>NV800</t>
        </is>
      </c>
    </row>
    <row r="64">
      <c r="A64" s="14" t="inlineStr">
        <is>
          <t>COST-80</t>
        </is>
      </c>
      <c r="B64" s="14" t="inlineStr">
        <is>
          <t>核电成本</t>
        </is>
      </c>
      <c r="C64" s="14" t="inlineStr">
        <is>
          <t>Vogtle 3、4 号机组总成本</t>
        </is>
      </c>
      <c r="D64" s="14" t="inlineStr">
        <is>
          <t>美国佐治亚州</t>
        </is>
      </c>
      <c r="E64" s="35" t="n">
        <v>36.8</v>
      </c>
      <c r="F64" s="14" t="inlineStr">
        <is>
          <t>十亿美元</t>
        </is>
      </c>
      <c r="G64" s="14" t="inlineStr">
        <is>
          <t>2024 完工</t>
        </is>
      </c>
      <c r="H64" s="14" t="inlineStr">
        <is>
          <t>第三方估计</t>
        </is>
      </c>
      <c r="I64" s="14" t="inlineStr">
        <is>
          <t>最初预算约 140 亿美元（二手汇编）</t>
        </is>
      </c>
      <c r="J64" s="14" t="inlineStr">
        <is>
          <t>维基百科：Vogtle 核电站（引用 2024-05-29 媒体报道）</t>
        </is>
      </c>
      <c r="K64" s="14" t="inlineStr">
        <is>
          <t>2024-05-29（被引报道）</t>
        </is>
      </c>
      <c r="L64" s="14" t="inlineStr">
        <is>
          <t>https://en.wikipedia.org/wiki/Vogtle_Electric_Generating_Plant｜词条正文</t>
        </is>
      </c>
      <c r="M64" s="14" t="inlineStr">
        <is>
          <t>2026-10-22</t>
        </is>
      </c>
      <c r="N64" s="14" t="inlineStr">
        <is>
          <t>WIKI_VOG</t>
        </is>
      </c>
    </row>
    <row r="65">
      <c r="A65" s="14" t="inlineStr">
        <is>
          <t>COST-81</t>
        </is>
      </c>
      <c r="B65" s="14" t="inlineStr">
        <is>
          <t>核电成本</t>
        </is>
      </c>
      <c r="C65" s="14" t="inlineStr">
        <is>
          <t>Palisades 核电站重启贷款（美国能源部）</t>
        </is>
      </c>
      <c r="D65" s="14" t="inlineStr">
        <is>
          <t>Holtec</t>
        </is>
      </c>
      <c r="E65" s="34" t="n">
        <v>1.52</v>
      </c>
      <c r="F65" s="14" t="inlineStr">
        <is>
          <t>十亿美元</t>
        </is>
      </c>
      <c r="G65" s="14" t="inlineStr">
        <is>
          <t>2024-09</t>
        </is>
      </c>
      <c r="H65" s="14" t="inlineStr">
        <is>
          <t>披露事实</t>
        </is>
      </c>
      <c r="I65" s="14" t="inlineStr">
        <is>
          <t>约 800 MW；2026-08-30 装料事故后暂停（二手）</t>
        </is>
      </c>
      <c r="J65" s="14" t="inlineStr">
        <is>
          <t>美国能源部贷款办公室项目页：Holtec Palisades</t>
        </is>
      </c>
      <c r="K65" s="14" t="inlineStr">
        <is>
          <t>项目页（未标日期）</t>
        </is>
      </c>
      <c r="L65" s="14" t="inlineStr">
        <is>
          <t>https://www.energy.gov/lpo/holtec-palisades｜项目页</t>
        </is>
      </c>
      <c r="M65" s="14" t="inlineStr">
        <is>
          <t>2026-10-22</t>
        </is>
      </c>
      <c r="N65" s="14" t="inlineStr">
        <is>
          <t>DOE_PAL</t>
        </is>
      </c>
    </row>
    <row r="66">
      <c r="A66" s="14" t="inlineStr">
        <is>
          <t>COST-82</t>
        </is>
      </c>
      <c r="B66" s="14" t="inlineStr">
        <is>
          <t>核电成本</t>
        </is>
      </c>
      <c r="C66" s="14" t="inlineStr">
        <is>
          <t>Crane 重启投资（公司估算）</t>
        </is>
      </c>
      <c r="D66" s="14" t="inlineStr">
        <is>
          <t>Constellation</t>
        </is>
      </c>
      <c r="E66" s="34" t="n">
        <v>1.6</v>
      </c>
      <c r="F66" s="14" t="inlineStr">
        <is>
          <t>十亿美元</t>
        </is>
      </c>
      <c r="G66" s="14" t="inlineStr">
        <is>
          <t>2024-09</t>
        </is>
      </c>
      <c r="H66" s="14" t="inlineStr">
        <is>
          <t>第三方估计</t>
        </is>
      </c>
      <c r="I66" s="14" t="inlineStr">
        <is>
          <t>二手汇编，引用 BBC</t>
        </is>
      </c>
      <c r="J66" s="14" t="inlineStr">
        <is>
          <t>维基百科：三哩岛核电站（引用 BBC 2024-09-20 报道）</t>
        </is>
      </c>
      <c r="K66" s="14" t="inlineStr">
        <is>
          <t>2024-09-20（被引报道）</t>
        </is>
      </c>
      <c r="L66" s="14" t="inlineStr">
        <is>
          <t>https://en.wikipedia.org/wiki/Three_Mile_Island_Nuclear_Generating_Station｜词条正文</t>
        </is>
      </c>
      <c r="M66" s="14" t="inlineStr">
        <is>
          <t>2026-10-22</t>
        </is>
      </c>
      <c r="N66" s="14" t="inlineStr">
        <is>
          <t>WIKI_TMI</t>
        </is>
      </c>
    </row>
    <row r="67">
      <c r="A67" s="14" t="inlineStr">
        <is>
          <t>COST-90</t>
        </is>
      </c>
      <c r="B67" s="14" t="inlineStr">
        <is>
          <t>政策</t>
        </is>
      </c>
      <c r="C67" s="14" t="inlineStr">
        <is>
          <t>FERC 拟议“大负荷”门槛</t>
        </is>
      </c>
      <c r="D67" s="14" t="inlineStr">
        <is>
          <t>美国</t>
        </is>
      </c>
      <c r="E67" s="32" t="n">
        <v>50</v>
      </c>
      <c r="F67" s="14" t="inlineStr">
        <is>
          <t>MW</t>
        </is>
      </c>
      <c r="G67" s="14" t="inlineStr">
        <is>
          <t>2026-06-18</t>
        </is>
      </c>
      <c r="H67" s="14" t="inlineStr">
        <is>
          <t>披露事实</t>
        </is>
      </c>
      <c r="I67" s="14" t="inlineStr">
        <is>
          <t>单一场址峰荷 ≥50 MW、接入电压 ≥69 kV；向六大运营商发说明理由令</t>
        </is>
      </c>
      <c r="J67" s="14" t="inlineStr">
        <is>
          <t>Orrick 律所：FERC 向六大区域电网运营商发出大负荷并网“说明理由令”</t>
        </is>
      </c>
      <c r="K67" s="14" t="inlineStr">
        <is>
          <t>2026-07-06</t>
        </is>
      </c>
      <c r="L67" s="14" t="inlineStr">
        <is>
          <t>https://www.orrick.com/en/Insights/2026/07/FERC-Show-Cause-Orders-Signal-Broad-Reform-to-Large-Load-Interconnection-Policies｜律所解读</t>
        </is>
      </c>
      <c r="M67" s="14" t="inlineStr">
        <is>
          <t>2026-10-22</t>
        </is>
      </c>
      <c r="N67" s="14" t="inlineStr">
        <is>
          <t>FERC_SC</t>
        </is>
      </c>
    </row>
    <row r="68">
      <c r="A68" s="14" t="inlineStr">
        <is>
          <t>COST-91</t>
        </is>
      </c>
      <c r="B68" s="14" t="inlineStr">
        <is>
          <t>政策</t>
        </is>
      </c>
      <c r="C68" s="14" t="inlineStr">
        <is>
          <t>得州 SB 6 大负荷门槛</t>
        </is>
      </c>
      <c r="D68" s="14" t="inlineStr">
        <is>
          <t>得州</t>
        </is>
      </c>
      <c r="E68" s="32" t="n">
        <v>75</v>
      </c>
      <c r="F68" s="14" t="inlineStr">
        <is>
          <t>MW</t>
        </is>
      </c>
      <c r="G68" s="14" t="inlineStr">
        <is>
          <t>2025-06-20</t>
        </is>
      </c>
      <c r="H68" s="14" t="inlineStr">
        <is>
          <t>披露事实</t>
        </is>
      </c>
      <c r="I68" s="14" t="inlineStr">
        <is>
          <t>紧急情况下可削减 2025 年后接入的大负荷</t>
        </is>
      </c>
      <c r="J68" s="14" t="inlineStr">
        <is>
          <t>得克萨斯州议会 SB 6 法案记录</t>
        </is>
      </c>
      <c r="K68" s="14" t="inlineStr">
        <is>
          <t>2025-06-20（签署）</t>
        </is>
      </c>
      <c r="L68" s="14" t="inlineStr">
        <is>
          <t>https://capitol.texas.gov/BillLookup/History.aspx?LegSess=89R&amp;Bill=SB6｜法案记录</t>
        </is>
      </c>
      <c r="M68" s="14" t="inlineStr">
        <is>
          <t>2026-10-22</t>
        </is>
      </c>
      <c r="N68" s="14" t="inlineStr">
        <is>
          <t>TXSB6</t>
        </is>
      </c>
    </row>
    <row r="69">
      <c r="A69" s="14" t="inlineStr">
        <is>
          <t>COST-92</t>
        </is>
      </c>
      <c r="B69" s="14" t="inlineStr">
        <is>
          <t>政策</t>
        </is>
      </c>
      <c r="C69" s="14" t="inlineStr">
        <is>
          <t>AEP Ohio 数据中心电价最低计费比例</t>
        </is>
      </c>
      <c r="D69" s="14" t="inlineStr">
        <is>
          <t>俄亥俄州</t>
        </is>
      </c>
      <c r="E69" s="33" t="n">
        <v>0.85</v>
      </c>
      <c r="F69" s="14" t="inlineStr">
        <is>
          <t>%</t>
        </is>
      </c>
      <c r="G69" s="14" t="inlineStr">
        <is>
          <t>2025-07-09</t>
        </is>
      </c>
      <c r="H69" s="14" t="inlineStr">
        <is>
          <t>披露事实</t>
        </is>
      </c>
      <c r="I69" s="14" t="inlineStr">
        <is>
          <t>&gt;25 MW 新数据中心；最长 12 年</t>
        </is>
      </c>
      <c r="J69" s="14" t="inlineStr">
        <is>
          <t>POWER 杂志：俄亥俄监管机构批准 AEP Ohio 数据中心电价</t>
        </is>
      </c>
      <c r="K69" s="14" t="inlineStr">
        <is>
          <t>2025-07-09</t>
        </is>
      </c>
      <c r="L69" s="14" t="inlineStr">
        <is>
          <t>https://www.powermag.com/regulator-approves-aep-ohios-landmark-data-center-tariff/｜报道正文</t>
        </is>
      </c>
      <c r="M69" s="14" t="inlineStr">
        <is>
          <t>2026-10-22</t>
        </is>
      </c>
      <c r="N69" s="14" t="inlineStr">
        <is>
          <t>AEPOH</t>
        </is>
      </c>
    </row>
  </sheetData>
  <autoFilter ref="A4:N69"/>
  <mergeCells count="1">
    <mergeCell ref="A2:N2"/>
  </mergeCells>
  <pageMargins left="0.75" right="0.75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N4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  <col width="18" customWidth="1" min="4" max="4"/>
    <col width="13" customWidth="1" min="5" max="5"/>
    <col width="12" customWidth="1" min="6" max="6"/>
    <col width="14" customWidth="1" min="7" max="7"/>
    <col width="11" customWidth="1" min="8" max="8"/>
    <col width="44" customWidth="1" min="9" max="9"/>
    <col width="44" customWidth="1" min="10" max="10"/>
    <col width="16" customWidth="1" min="11" max="11"/>
    <col width="52" customWidth="1" min="12" max="12"/>
    <col width="12" customWidth="1" min="13" max="13"/>
    <col width="10" customWidth="1" min="14" max="14"/>
  </cols>
  <sheetData>
    <row r="1">
      <c r="A1" s="8" t="inlineStr">
        <is>
          <t>D9 托卡马克部件参数（ITER 官网；用于网页第一部分的部件卡片）</t>
        </is>
      </c>
    </row>
    <row r="2" ht="30" customHeight="1">
      <c r="A2" s="9" t="inlineStr">
        <is>
          <t>蓝底=输入（披露数据）；橙底=输入（假设）；绿底=公式（本表计算）。“出处定位”给出原始材料的文件与章节，或网页链接；“访问日期”为网页查阅日期。</t>
        </is>
      </c>
    </row>
    <row r="4" ht="30" customHeight="1">
      <c r="A4" s="10" t="inlineStr">
        <is>
          <t>编号</t>
        </is>
      </c>
      <c r="B4" s="10" t="inlineStr">
        <is>
          <t>类别</t>
        </is>
      </c>
      <c r="C4" s="10" t="inlineStr">
        <is>
          <t>指标</t>
        </is>
      </c>
      <c r="D4" s="10" t="inlineStr">
        <is>
          <t>主体/地区</t>
        </is>
      </c>
      <c r="E4" s="10" t="inlineStr">
        <is>
          <t>数值</t>
        </is>
      </c>
      <c r="F4" s="10" t="inlineStr">
        <is>
          <t>单位</t>
        </is>
      </c>
      <c r="G4" s="10" t="inlineStr">
        <is>
          <t>期间</t>
        </is>
      </c>
      <c r="H4" s="10" t="inlineStr">
        <is>
          <t>性质</t>
        </is>
      </c>
      <c r="I4" s="10" t="inlineStr">
        <is>
          <t>口径说明</t>
        </is>
      </c>
      <c r="J4" s="10" t="inlineStr">
        <is>
          <t>来源名称</t>
        </is>
      </c>
      <c r="K4" s="10" t="inlineStr">
        <is>
          <t>发布日期</t>
        </is>
      </c>
      <c r="L4" s="10" t="inlineStr">
        <is>
          <t>出处定位（文件章节/表名或网页链接）</t>
        </is>
      </c>
      <c r="M4" s="10" t="inlineStr">
        <is>
          <t>访问日期</t>
        </is>
      </c>
      <c r="N4" s="10" t="inlineStr">
        <is>
          <t>来源编号</t>
        </is>
      </c>
    </row>
    <row r="5">
      <c r="A5" s="14" t="inlineStr">
        <is>
          <t>TK-01</t>
        </is>
      </c>
      <c r="B5" s="14" t="inlineStr">
        <is>
          <t>overview</t>
        </is>
      </c>
      <c r="C5" s="14" t="inlineStr">
        <is>
          <t>等离子体温度</t>
        </is>
      </c>
      <c r="D5" s="14" t="inlineStr">
        <is>
          <t>ITER</t>
        </is>
      </c>
      <c r="E5" s="32" t="n">
        <v>150</v>
      </c>
      <c r="F5" s="14" t="inlineStr">
        <is>
          <t>百万摄氏度</t>
        </is>
      </c>
      <c r="G5" s="14" t="inlineStr">
        <is>
          <t>设计值</t>
        </is>
      </c>
      <c r="H5" s="14" t="inlineStr">
        <is>
          <t>官方预测</t>
        </is>
      </c>
      <c r="I5" s="14" t="inlineStr">
        <is>
          <t>设计目标</t>
        </is>
      </c>
      <c r="J5" s="14" t="inlineStr">
        <is>
          <t>ITER 组织官网：事实与数据</t>
        </is>
      </c>
      <c r="K5" s="14" t="inlineStr">
        <is>
          <t>页面未标日期</t>
        </is>
      </c>
      <c r="L5" s="14" t="inlineStr">
        <is>
          <t>https://www.iter.org/facts-figures｜“温度将达到 1.5 亿摄氏度”</t>
        </is>
      </c>
      <c r="M5" s="14" t="inlineStr">
        <is>
          <t>2026-10-22</t>
        </is>
      </c>
      <c r="N5" s="14" t="inlineStr">
        <is>
          <t>ITER_FF</t>
        </is>
      </c>
    </row>
    <row r="6">
      <c r="A6" s="14" t="inlineStr">
        <is>
          <t>TK-02</t>
        </is>
      </c>
      <c r="B6" s="14" t="inlineStr">
        <is>
          <t>overview</t>
        </is>
      </c>
      <c r="C6" s="14" t="inlineStr">
        <is>
          <t>聚变功率（Q≥10 目标）</t>
        </is>
      </c>
      <c r="D6" s="14" t="inlineStr">
        <is>
          <t>ITER</t>
        </is>
      </c>
      <c r="E6" s="32" t="n">
        <v>500</v>
      </c>
      <c r="F6" s="14" t="inlineStr">
        <is>
          <t>MW</t>
        </is>
      </c>
      <c r="G6" s="14" t="inlineStr">
        <is>
          <t>设计目标</t>
        </is>
      </c>
      <c r="H6" s="14" t="inlineStr">
        <is>
          <t>官方预测</t>
        </is>
      </c>
      <c r="I6" s="14" t="inlineStr">
        <is>
          <t>注入 50 MW 加热功率，持续 400–600 秒</t>
        </is>
      </c>
      <c r="J6" s="14" t="inlineStr">
        <is>
          <t>ITER 组织官网：事实与数据</t>
        </is>
      </c>
      <c r="K6" s="14" t="inlineStr">
        <is>
          <t>页面未标日期</t>
        </is>
      </c>
      <c r="L6" s="14" t="inlineStr">
        <is>
          <t>https://www.iter.org/facts-figures｜页面正文</t>
        </is>
      </c>
      <c r="M6" s="14" t="inlineStr">
        <is>
          <t>2026-10-22</t>
        </is>
      </c>
      <c r="N6" s="14" t="inlineStr">
        <is>
          <t>ITER_FF</t>
        </is>
      </c>
    </row>
    <row r="7">
      <c r="A7" s="14" t="inlineStr">
        <is>
          <t>TK-03</t>
        </is>
      </c>
      <c r="B7" s="14" t="inlineStr">
        <is>
          <t>overview</t>
        </is>
      </c>
      <c r="C7" s="14" t="inlineStr">
        <is>
          <t>加热功率</t>
        </is>
      </c>
      <c r="D7" s="14" t="inlineStr">
        <is>
          <t>ITER</t>
        </is>
      </c>
      <c r="E7" s="32" t="n">
        <v>50</v>
      </c>
      <c r="F7" s="14" t="inlineStr">
        <is>
          <t>MW</t>
        </is>
      </c>
      <c r="G7" s="14" t="inlineStr">
        <is>
          <t>设计目标</t>
        </is>
      </c>
      <c r="H7" s="14" t="inlineStr">
        <is>
          <t>官方预测</t>
        </is>
      </c>
      <c r="I7" s="14" t="inlineStr"/>
      <c r="J7" s="14" t="inlineStr">
        <is>
          <t>ITER 组织官网：事实与数据</t>
        </is>
      </c>
      <c r="K7" s="14" t="inlineStr">
        <is>
          <t>页面未标日期</t>
        </is>
      </c>
      <c r="L7" s="14" t="inlineStr">
        <is>
          <t>https://www.iter.org/facts-figures｜页面正文</t>
        </is>
      </c>
      <c r="M7" s="14" t="inlineStr">
        <is>
          <t>2026-10-22</t>
        </is>
      </c>
      <c r="N7" s="14" t="inlineStr">
        <is>
          <t>ITER_FF</t>
        </is>
      </c>
    </row>
    <row r="8">
      <c r="A8" s="14" t="inlineStr">
        <is>
          <t>TK-04</t>
        </is>
      </c>
      <c r="B8" s="14" t="inlineStr">
        <is>
          <t>overview</t>
        </is>
      </c>
      <c r="C8" s="14" t="inlineStr">
        <is>
          <t>整机重量</t>
        </is>
      </c>
      <c r="D8" s="14" t="inlineStr">
        <is>
          <t>ITER</t>
        </is>
      </c>
      <c r="E8" s="32" t="n">
        <v>23000</v>
      </c>
      <c r="F8" s="14" t="inlineStr">
        <is>
          <t>吨</t>
        </is>
      </c>
      <c r="G8" s="14" t="inlineStr">
        <is>
          <t>设计值</t>
        </is>
      </c>
      <c r="H8" s="14" t="inlineStr">
        <is>
          <t>官方预测</t>
        </is>
      </c>
      <c r="I8" s="14" t="inlineStr"/>
      <c r="J8" s="14" t="inlineStr">
        <is>
          <t>ITER 组织官网：事实与数据</t>
        </is>
      </c>
      <c r="K8" s="14" t="inlineStr">
        <is>
          <t>页面未标日期</t>
        </is>
      </c>
      <c r="L8" s="14" t="inlineStr">
        <is>
          <t>https://www.iter.org/facts-figures｜页面正文</t>
        </is>
      </c>
      <c r="M8" s="14" t="inlineStr">
        <is>
          <t>2026-10-22</t>
        </is>
      </c>
      <c r="N8" s="14" t="inlineStr">
        <is>
          <t>ITER_FF</t>
        </is>
      </c>
    </row>
    <row r="9">
      <c r="A9" s="14" t="inlineStr">
        <is>
          <t>TK-10</t>
        </is>
      </c>
      <c r="B9" s="14" t="inlineStr">
        <is>
          <t>cryostat</t>
        </is>
      </c>
      <c r="C9" s="14" t="inlineStr">
        <is>
          <t>宽度与高度</t>
        </is>
      </c>
      <c r="D9" s="14" t="inlineStr">
        <is>
          <t>ITER</t>
        </is>
      </c>
      <c r="E9" s="32" t="n">
        <v>30</v>
      </c>
      <c r="F9" s="14" t="inlineStr">
        <is>
          <t>米（约）</t>
        </is>
      </c>
      <c r="G9" s="14" t="inlineStr">
        <is>
          <t>设计值</t>
        </is>
      </c>
      <c r="H9" s="14" t="inlineStr">
        <is>
          <t>披露事实</t>
        </is>
      </c>
      <c r="I9" s="14" t="inlineStr">
        <is>
          <t>原文“近 30 米宽、近 30 米高”，内径 28 米</t>
        </is>
      </c>
      <c r="J9" s="14" t="inlineStr">
        <is>
          <t>ITER 组织官网：杜瓦（低温恒温器）</t>
        </is>
      </c>
      <c r="K9" s="14" t="inlineStr">
        <is>
          <t>页面未标日期</t>
        </is>
      </c>
      <c r="L9" s="14" t="inlineStr">
        <is>
          <t>https://www.iter.org/machine/cryostat｜页面正文</t>
        </is>
      </c>
      <c r="M9" s="14" t="inlineStr">
        <is>
          <t>2026-10-22</t>
        </is>
      </c>
      <c r="N9" s="14" t="inlineStr">
        <is>
          <t>ITER_CRY</t>
        </is>
      </c>
    </row>
    <row r="10">
      <c r="A10" s="14" t="inlineStr">
        <is>
          <t>TK-11</t>
        </is>
      </c>
      <c r="B10" s="14" t="inlineStr">
        <is>
          <t>cryostat</t>
        </is>
      </c>
      <c r="C10" s="14" t="inlineStr">
        <is>
          <t>重量</t>
        </is>
      </c>
      <c r="D10" s="14" t="inlineStr">
        <is>
          <t>ITER</t>
        </is>
      </c>
      <c r="E10" s="32" t="n">
        <v>3850</v>
      </c>
      <c r="F10" s="14" t="inlineStr">
        <is>
          <t>吨</t>
        </is>
      </c>
      <c r="G10" s="14" t="inlineStr">
        <is>
          <t>设计值</t>
        </is>
      </c>
      <c r="H10" s="14" t="inlineStr">
        <is>
          <t>披露事实</t>
        </is>
      </c>
      <c r="I10" s="14" t="inlineStr">
        <is>
          <t>底座 1250 吨</t>
        </is>
      </c>
      <c r="J10" s="14" t="inlineStr">
        <is>
          <t>ITER 组织官网：杜瓦（低温恒温器）</t>
        </is>
      </c>
      <c r="K10" s="14" t="inlineStr">
        <is>
          <t>页面未标日期</t>
        </is>
      </c>
      <c r="L10" s="14" t="inlineStr">
        <is>
          <t>https://www.iter.org/machine/cryostat｜页面正文</t>
        </is>
      </c>
      <c r="M10" s="14" t="inlineStr">
        <is>
          <t>2026-10-22</t>
        </is>
      </c>
      <c r="N10" s="14" t="inlineStr">
        <is>
          <t>ITER_CRY</t>
        </is>
      </c>
    </row>
    <row r="11">
      <c r="A11" s="14" t="inlineStr">
        <is>
          <t>TK-12</t>
        </is>
      </c>
      <c r="B11" s="14" t="inlineStr">
        <is>
          <t>cryostat</t>
        </is>
      </c>
      <c r="C11" s="14" t="inlineStr">
        <is>
          <t>容积</t>
        </is>
      </c>
      <c r="D11" s="14" t="inlineStr">
        <is>
          <t>ITER</t>
        </is>
      </c>
      <c r="E11" s="32" t="n">
        <v>16000</v>
      </c>
      <c r="F11" s="14" t="inlineStr">
        <is>
          <t>立方米</t>
        </is>
      </c>
      <c r="G11" s="14" t="inlineStr">
        <is>
          <t>设计值</t>
        </is>
      </c>
      <c r="H11" s="14" t="inlineStr">
        <is>
          <t>披露事实</t>
        </is>
      </c>
      <c r="I11" s="14" t="inlineStr"/>
      <c r="J11" s="14" t="inlineStr">
        <is>
          <t>ITER 组织官网：杜瓦（低温恒温器）</t>
        </is>
      </c>
      <c r="K11" s="14" t="inlineStr">
        <is>
          <t>页面未标日期</t>
        </is>
      </c>
      <c r="L11" s="14" t="inlineStr">
        <is>
          <t>https://www.iter.org/machine/cryostat｜页面正文</t>
        </is>
      </c>
      <c r="M11" s="14" t="inlineStr">
        <is>
          <t>2026-10-22</t>
        </is>
      </c>
      <c r="N11" s="14" t="inlineStr">
        <is>
          <t>ITER_CRY</t>
        </is>
      </c>
    </row>
    <row r="12">
      <c r="A12" s="14" t="inlineStr">
        <is>
          <t>TK-20</t>
        </is>
      </c>
      <c r="B12" s="14" t="inlineStr">
        <is>
          <t>tf</t>
        </is>
      </c>
      <c r="C12" s="14" t="inlineStr">
        <is>
          <t>线圈数量</t>
        </is>
      </c>
      <c r="D12" s="14" t="inlineStr">
        <is>
          <t>ITER</t>
        </is>
      </c>
      <c r="E12" s="32" t="n">
        <v>18</v>
      </c>
      <c r="F12" s="14" t="inlineStr">
        <is>
          <t>个</t>
        </is>
      </c>
      <c r="G12" s="14" t="inlineStr">
        <is>
          <t>设计值</t>
        </is>
      </c>
      <c r="H12" s="14" t="inlineStr">
        <is>
          <t>披露事实</t>
        </is>
      </c>
      <c r="I12" s="14" t="inlineStr">
        <is>
          <t>D 形</t>
        </is>
      </c>
      <c r="J12" s="14" t="inlineStr">
        <is>
          <t>ITER 组织官网：磁体</t>
        </is>
      </c>
      <c r="K12" s="14" t="inlineStr">
        <is>
          <t>页面未标日期</t>
        </is>
      </c>
      <c r="L12" s="14" t="inlineStr">
        <is>
          <t>https://www.iter.org/machine/magnets｜页面正文</t>
        </is>
      </c>
      <c r="M12" s="14" t="inlineStr">
        <is>
          <t>2026-10-22</t>
        </is>
      </c>
      <c r="N12" s="14" t="inlineStr">
        <is>
          <t>ITER_MAG</t>
        </is>
      </c>
    </row>
    <row r="13">
      <c r="A13" s="14" t="inlineStr">
        <is>
          <t>TK-21</t>
        </is>
      </c>
      <c r="B13" s="14" t="inlineStr">
        <is>
          <t>tf</t>
        </is>
      </c>
      <c r="C13" s="14" t="inlineStr">
        <is>
          <t>最大磁场</t>
        </is>
      </c>
      <c r="D13" s="14" t="inlineStr">
        <is>
          <t>ITER</t>
        </is>
      </c>
      <c r="E13" s="35" t="n">
        <v>11.8</v>
      </c>
      <c r="F13" s="14" t="inlineStr">
        <is>
          <t>特斯拉</t>
        </is>
      </c>
      <c r="G13" s="14" t="inlineStr">
        <is>
          <t>设计值</t>
        </is>
      </c>
      <c r="H13" s="14" t="inlineStr">
        <is>
          <t>披露事实</t>
        </is>
      </c>
      <c r="I13" s="14" t="inlineStr">
        <is>
          <t>线圈处峰值场</t>
        </is>
      </c>
      <c r="J13" s="14" t="inlineStr">
        <is>
          <t>ITER 组织官网：磁体</t>
        </is>
      </c>
      <c r="K13" s="14" t="inlineStr">
        <is>
          <t>页面未标日期</t>
        </is>
      </c>
      <c r="L13" s="14" t="inlineStr">
        <is>
          <t>https://www.iter.org/machine/magnets｜页面正文</t>
        </is>
      </c>
      <c r="M13" s="14" t="inlineStr">
        <is>
          <t>2026-10-22</t>
        </is>
      </c>
      <c r="N13" s="14" t="inlineStr">
        <is>
          <t>ITER_MAG</t>
        </is>
      </c>
    </row>
    <row r="14">
      <c r="A14" s="14" t="inlineStr">
        <is>
          <t>TK-22</t>
        </is>
      </c>
      <c r="B14" s="14" t="inlineStr">
        <is>
          <t>tf</t>
        </is>
      </c>
      <c r="C14" s="14" t="inlineStr">
        <is>
          <t>单个重量</t>
        </is>
      </c>
      <c r="D14" s="14" t="inlineStr">
        <is>
          <t>ITER</t>
        </is>
      </c>
      <c r="E14" s="32" t="n">
        <v>330</v>
      </c>
      <c r="F14" s="14" t="inlineStr">
        <is>
          <t>吨</t>
        </is>
      </c>
      <c r="G14" s="14" t="inlineStr">
        <is>
          <t>设计值</t>
        </is>
      </c>
      <c r="H14" s="14" t="inlineStr">
        <is>
          <t>披露事实</t>
        </is>
      </c>
      <c r="I14" s="14" t="inlineStr">
        <is>
          <t>“事实与数据”页写约 310 吨</t>
        </is>
      </c>
      <c r="J14" s="14" t="inlineStr">
        <is>
          <t>ITER 组织官网：磁体</t>
        </is>
      </c>
      <c r="K14" s="14" t="inlineStr">
        <is>
          <t>页面未标日期</t>
        </is>
      </c>
      <c r="L14" s="14" t="inlineStr">
        <is>
          <t>https://www.iter.org/machine/magnets｜页面正文</t>
        </is>
      </c>
      <c r="M14" s="14" t="inlineStr">
        <is>
          <t>2026-10-22</t>
        </is>
      </c>
      <c r="N14" s="14" t="inlineStr">
        <is>
          <t>ITER_MAG</t>
        </is>
      </c>
    </row>
    <row r="15">
      <c r="A15" s="14" t="inlineStr">
        <is>
          <t>TK-30</t>
        </is>
      </c>
      <c r="B15" s="14" t="inlineStr">
        <is>
          <t>pf</t>
        </is>
      </c>
      <c r="C15" s="14" t="inlineStr">
        <is>
          <t>线圈数量</t>
        </is>
      </c>
      <c r="D15" s="14" t="inlineStr">
        <is>
          <t>ITER</t>
        </is>
      </c>
      <c r="E15" s="32" t="n">
        <v>6</v>
      </c>
      <c r="F15" s="14" t="inlineStr">
        <is>
          <t>个</t>
        </is>
      </c>
      <c r="G15" s="14" t="inlineStr">
        <is>
          <t>设计值</t>
        </is>
      </c>
      <c r="H15" s="14" t="inlineStr">
        <is>
          <t>披露事实</t>
        </is>
      </c>
      <c r="I15" s="14" t="inlineStr">
        <is>
          <t>环形</t>
        </is>
      </c>
      <c r="J15" s="14" t="inlineStr">
        <is>
          <t>ITER 组织官网：磁体</t>
        </is>
      </c>
      <c r="K15" s="14" t="inlineStr">
        <is>
          <t>页面未标日期</t>
        </is>
      </c>
      <c r="L15" s="14" t="inlineStr">
        <is>
          <t>https://www.iter.org/machine/magnets｜页面正文</t>
        </is>
      </c>
      <c r="M15" s="14" t="inlineStr">
        <is>
          <t>2026-10-22</t>
        </is>
      </c>
      <c r="N15" s="14" t="inlineStr">
        <is>
          <t>ITER_MAG</t>
        </is>
      </c>
    </row>
    <row r="16">
      <c r="A16" s="14" t="inlineStr">
        <is>
          <t>TK-31</t>
        </is>
      </c>
      <c r="B16" s="14" t="inlineStr">
        <is>
          <t>pf</t>
        </is>
      </c>
      <c r="C16" s="14" t="inlineStr">
        <is>
          <t>最大直径</t>
        </is>
      </c>
      <c r="D16" s="14" t="inlineStr">
        <is>
          <t>ITER</t>
        </is>
      </c>
      <c r="E16" s="32" t="n">
        <v>24</v>
      </c>
      <c r="F16" s="14" t="inlineStr">
        <is>
          <t>米</t>
        </is>
      </c>
      <c r="G16" s="14" t="inlineStr">
        <is>
          <t>设计值</t>
        </is>
      </c>
      <c r="H16" s="14" t="inlineStr">
        <is>
          <t>披露事实</t>
        </is>
      </c>
      <c r="I16" s="14" t="inlineStr">
        <is>
          <t>最重 400 吨</t>
        </is>
      </c>
      <c r="J16" s="14" t="inlineStr">
        <is>
          <t>ITER 组织官网：磁体</t>
        </is>
      </c>
      <c r="K16" s="14" t="inlineStr">
        <is>
          <t>页面未标日期</t>
        </is>
      </c>
      <c r="L16" s="14" t="inlineStr">
        <is>
          <t>https://www.iter.org/machine/magnets｜页面正文</t>
        </is>
      </c>
      <c r="M16" s="14" t="inlineStr">
        <is>
          <t>2026-10-22</t>
        </is>
      </c>
      <c r="N16" s="14" t="inlineStr">
        <is>
          <t>ITER_MAG</t>
        </is>
      </c>
    </row>
    <row r="17">
      <c r="A17" s="14" t="inlineStr">
        <is>
          <t>TK-32</t>
        </is>
      </c>
      <c r="B17" s="14" t="inlineStr">
        <is>
          <t>pf</t>
        </is>
      </c>
      <c r="C17" s="14" t="inlineStr">
        <is>
          <t>最大磁场</t>
        </is>
      </c>
      <c r="D17" s="14" t="inlineStr">
        <is>
          <t>ITER</t>
        </is>
      </c>
      <c r="E17" s="32" t="n">
        <v>6</v>
      </c>
      <c r="F17" s="14" t="inlineStr">
        <is>
          <t>特斯拉</t>
        </is>
      </c>
      <c r="G17" s="14" t="inlineStr">
        <is>
          <t>设计值</t>
        </is>
      </c>
      <c r="H17" s="14" t="inlineStr">
        <is>
          <t>披露事实</t>
        </is>
      </c>
      <c r="I17" s="14" t="inlineStr"/>
      <c r="J17" s="14" t="inlineStr">
        <is>
          <t>ITER 组织官网：磁体</t>
        </is>
      </c>
      <c r="K17" s="14" t="inlineStr">
        <is>
          <t>页面未标日期</t>
        </is>
      </c>
      <c r="L17" s="14" t="inlineStr">
        <is>
          <t>https://www.iter.org/machine/magnets｜页面正文</t>
        </is>
      </c>
      <c r="M17" s="14" t="inlineStr">
        <is>
          <t>2026-10-22</t>
        </is>
      </c>
      <c r="N17" s="14" t="inlineStr">
        <is>
          <t>ITER_MAG</t>
        </is>
      </c>
    </row>
    <row r="18">
      <c r="A18" s="14" t="inlineStr">
        <is>
          <t>TK-40</t>
        </is>
      </c>
      <c r="B18" s="14" t="inlineStr">
        <is>
          <t>cs</t>
        </is>
      </c>
      <c r="C18" s="14" t="inlineStr">
        <is>
          <t>模块数量</t>
        </is>
      </c>
      <c r="D18" s="14" t="inlineStr">
        <is>
          <t>ITER</t>
        </is>
      </c>
      <c r="E18" s="32" t="n">
        <v>6</v>
      </c>
      <c r="F18" s="14" t="inlineStr">
        <is>
          <t>个</t>
        </is>
      </c>
      <c r="G18" s="14" t="inlineStr">
        <is>
          <t>设计值</t>
        </is>
      </c>
      <c r="H18" s="14" t="inlineStr">
        <is>
          <t>披露事实</t>
        </is>
      </c>
      <c r="I18" s="14" t="inlineStr">
        <is>
          <t>铌三锡超导</t>
        </is>
      </c>
      <c r="J18" s="14" t="inlineStr">
        <is>
          <t>ITER 组织官网：磁体</t>
        </is>
      </c>
      <c r="K18" s="14" t="inlineStr">
        <is>
          <t>页面未标日期</t>
        </is>
      </c>
      <c r="L18" s="14" t="inlineStr">
        <is>
          <t>https://www.iter.org/machine/magnets｜页面正文</t>
        </is>
      </c>
      <c r="M18" s="14" t="inlineStr">
        <is>
          <t>2026-10-22</t>
        </is>
      </c>
      <c r="N18" s="14" t="inlineStr">
        <is>
          <t>ITER_MAG</t>
        </is>
      </c>
    </row>
    <row r="19">
      <c r="A19" s="14" t="inlineStr">
        <is>
          <t>TK-41</t>
        </is>
      </c>
      <c r="B19" s="14" t="inlineStr">
        <is>
          <t>cs</t>
        </is>
      </c>
      <c r="C19" s="14" t="inlineStr">
        <is>
          <t>最大磁场</t>
        </is>
      </c>
      <c r="D19" s="14" t="inlineStr">
        <is>
          <t>ITER</t>
        </is>
      </c>
      <c r="E19" s="32" t="n">
        <v>13</v>
      </c>
      <c r="F19" s="14" t="inlineStr">
        <is>
          <t>特斯拉</t>
        </is>
      </c>
      <c r="G19" s="14" t="inlineStr">
        <is>
          <t>设计值</t>
        </is>
      </c>
      <c r="H19" s="14" t="inlineStr">
        <is>
          <t>披露事实</t>
        </is>
      </c>
      <c r="I19" s="14" t="inlineStr"/>
      <c r="J19" s="14" t="inlineStr">
        <is>
          <t>ITER 组织官网：磁体</t>
        </is>
      </c>
      <c r="K19" s="14" t="inlineStr">
        <is>
          <t>页面未标日期</t>
        </is>
      </c>
      <c r="L19" s="14" t="inlineStr">
        <is>
          <t>https://www.iter.org/machine/magnets｜页面正文</t>
        </is>
      </c>
      <c r="M19" s="14" t="inlineStr">
        <is>
          <t>2026-10-22</t>
        </is>
      </c>
      <c r="N19" s="14" t="inlineStr">
        <is>
          <t>ITER_MAG</t>
        </is>
      </c>
    </row>
    <row r="20">
      <c r="A20" s="14" t="inlineStr">
        <is>
          <t>TK-42</t>
        </is>
      </c>
      <c r="B20" s="14" t="inlineStr">
        <is>
          <t>cs</t>
        </is>
      </c>
      <c r="C20" s="14" t="inlineStr">
        <is>
          <t>驱动的等离子体电流</t>
        </is>
      </c>
      <c r="D20" s="14" t="inlineStr">
        <is>
          <t>ITER</t>
        </is>
      </c>
      <c r="E20" s="32" t="n">
        <v>15</v>
      </c>
      <c r="F20" s="14" t="inlineStr">
        <is>
          <t>兆安</t>
        </is>
      </c>
      <c r="G20" s="14" t="inlineStr">
        <is>
          <t>设计值</t>
        </is>
      </c>
      <c r="H20" s="14" t="inlineStr">
        <is>
          <t>披露事实</t>
        </is>
      </c>
      <c r="I20" s="14" t="inlineStr">
        <is>
          <t>持续 300–500 秒</t>
        </is>
      </c>
      <c r="J20" s="14" t="inlineStr">
        <is>
          <t>ITER 组织官网：磁体</t>
        </is>
      </c>
      <c r="K20" s="14" t="inlineStr">
        <is>
          <t>页面未标日期</t>
        </is>
      </c>
      <c r="L20" s="14" t="inlineStr">
        <is>
          <t>https://www.iter.org/machine/magnets｜页面正文</t>
        </is>
      </c>
      <c r="M20" s="14" t="inlineStr">
        <is>
          <t>2026-10-22</t>
        </is>
      </c>
      <c r="N20" s="14" t="inlineStr">
        <is>
          <t>ITER_MAG</t>
        </is>
      </c>
    </row>
    <row r="21">
      <c r="A21" s="14" t="inlineStr">
        <is>
          <t>TK-50</t>
        </is>
      </c>
      <c r="B21" s="14" t="inlineStr">
        <is>
          <t>vv</t>
        </is>
      </c>
      <c r="C21" s="14" t="inlineStr">
        <is>
          <t>外径</t>
        </is>
      </c>
      <c r="D21" s="14" t="inlineStr">
        <is>
          <t>ITER</t>
        </is>
      </c>
      <c r="E21" s="35" t="n">
        <v>19.4</v>
      </c>
      <c r="F21" s="14" t="inlineStr">
        <is>
          <t>米</t>
        </is>
      </c>
      <c r="G21" s="14" t="inlineStr">
        <is>
          <t>设计值</t>
        </is>
      </c>
      <c r="H21" s="14" t="inlineStr">
        <is>
          <t>披露事实</t>
        </is>
      </c>
      <c r="I21" s="14" t="inlineStr"/>
      <c r="J21" s="14" t="inlineStr">
        <is>
          <t>ITER 组织官网：真空室</t>
        </is>
      </c>
      <c r="K21" s="14" t="inlineStr">
        <is>
          <t>页面未标日期</t>
        </is>
      </c>
      <c r="L21" s="14" t="inlineStr">
        <is>
          <t>https://www.iter.org/machine/vacuum-vessel｜页面正文</t>
        </is>
      </c>
      <c r="M21" s="14" t="inlineStr">
        <is>
          <t>2026-10-22</t>
        </is>
      </c>
      <c r="N21" s="14" t="inlineStr">
        <is>
          <t>ITER_VV</t>
        </is>
      </c>
    </row>
    <row r="22">
      <c r="A22" s="14" t="inlineStr">
        <is>
          <t>TK-51</t>
        </is>
      </c>
      <c r="B22" s="14" t="inlineStr">
        <is>
          <t>vv</t>
        </is>
      </c>
      <c r="C22" s="14" t="inlineStr">
        <is>
          <t>高度</t>
        </is>
      </c>
      <c r="D22" s="14" t="inlineStr">
        <is>
          <t>ITER</t>
        </is>
      </c>
      <c r="E22" s="35" t="n">
        <v>11.4</v>
      </c>
      <c r="F22" s="14" t="inlineStr">
        <is>
          <t>米</t>
        </is>
      </c>
      <c r="G22" s="14" t="inlineStr">
        <is>
          <t>设计值</t>
        </is>
      </c>
      <c r="H22" s="14" t="inlineStr">
        <is>
          <t>披露事实</t>
        </is>
      </c>
      <c r="I22" s="14" t="inlineStr"/>
      <c r="J22" s="14" t="inlineStr">
        <is>
          <t>ITER 组织官网：真空室</t>
        </is>
      </c>
      <c r="K22" s="14" t="inlineStr">
        <is>
          <t>页面未标日期</t>
        </is>
      </c>
      <c r="L22" s="14" t="inlineStr">
        <is>
          <t>https://www.iter.org/machine/vacuum-vessel｜页面正文</t>
        </is>
      </c>
      <c r="M22" s="14" t="inlineStr">
        <is>
          <t>2026-10-22</t>
        </is>
      </c>
      <c r="N22" s="14" t="inlineStr">
        <is>
          <t>ITER_VV</t>
        </is>
      </c>
    </row>
    <row r="23">
      <c r="A23" s="14" t="inlineStr">
        <is>
          <t>TK-52</t>
        </is>
      </c>
      <c r="B23" s="14" t="inlineStr">
        <is>
          <t>vv</t>
        </is>
      </c>
      <c r="C23" s="14" t="inlineStr">
        <is>
          <t>重量（空载）</t>
        </is>
      </c>
      <c r="D23" s="14" t="inlineStr">
        <is>
          <t>ITER</t>
        </is>
      </c>
      <c r="E23" s="32" t="n">
        <v>5200</v>
      </c>
      <c r="F23" s="14" t="inlineStr">
        <is>
          <t>吨</t>
        </is>
      </c>
      <c r="G23" s="14" t="inlineStr">
        <is>
          <t>设计值</t>
        </is>
      </c>
      <c r="H23" s="14" t="inlineStr">
        <is>
          <t>披露事实</t>
        </is>
      </c>
      <c r="I23" s="14" t="inlineStr">
        <is>
          <t>装上包层与偏滤器后 8500 吨</t>
        </is>
      </c>
      <c r="J23" s="14" t="inlineStr">
        <is>
          <t>ITER 组织官网：真空室</t>
        </is>
      </c>
      <c r="K23" s="14" t="inlineStr">
        <is>
          <t>页面未标日期</t>
        </is>
      </c>
      <c r="L23" s="14" t="inlineStr">
        <is>
          <t>https://www.iter.org/machine/vacuum-vessel｜页面正文</t>
        </is>
      </c>
      <c r="M23" s="14" t="inlineStr">
        <is>
          <t>2026-10-22</t>
        </is>
      </c>
      <c r="N23" s="14" t="inlineStr">
        <is>
          <t>ITER_VV</t>
        </is>
      </c>
    </row>
    <row r="24">
      <c r="A24" s="14" t="inlineStr">
        <is>
          <t>TK-53</t>
        </is>
      </c>
      <c r="B24" s="14" t="inlineStr">
        <is>
          <t>vv</t>
        </is>
      </c>
      <c r="C24" s="14" t="inlineStr">
        <is>
          <t>扇区数</t>
        </is>
      </c>
      <c r="D24" s="14" t="inlineStr">
        <is>
          <t>ITER</t>
        </is>
      </c>
      <c r="E24" s="32" t="n">
        <v>9</v>
      </c>
      <c r="F24" s="14" t="inlineStr">
        <is>
          <t>个</t>
        </is>
      </c>
      <c r="G24" s="14" t="inlineStr">
        <is>
          <t>2026-10</t>
        </is>
      </c>
      <c r="H24" s="14" t="inlineStr">
        <is>
          <t>披露事实</t>
        </is>
      </c>
      <c r="I24" s="14" t="inlineStr">
        <is>
          <t>9 个扇区已全部运抵现场</t>
        </is>
      </c>
      <c r="J24" s="14" t="inlineStr">
        <is>
          <t>ITER Newsline：最后一个真空室扇区运抵，所有主要磁体部件到场</t>
        </is>
      </c>
      <c r="K24" s="14" t="inlineStr">
        <is>
          <t>2026-10-05</t>
        </is>
      </c>
      <c r="L24" s="14" t="inlineStr">
        <is>
          <t>https://www.iter.org/node/20687/remarkable-chapter-draws-close｜新闻</t>
        </is>
      </c>
      <c r="M24" s="14" t="inlineStr">
        <is>
          <t>2026-10-22</t>
        </is>
      </c>
      <c r="N24" s="14" t="inlineStr">
        <is>
          <t>ITER_NL</t>
        </is>
      </c>
    </row>
    <row r="25">
      <c r="A25" s="14" t="inlineStr">
        <is>
          <t>TK-60</t>
        </is>
      </c>
      <c r="B25" s="14" t="inlineStr">
        <is>
          <t>blanket</t>
        </is>
      </c>
      <c r="C25" s="14" t="inlineStr">
        <is>
          <t>模块数量</t>
        </is>
      </c>
      <c r="D25" s="14" t="inlineStr">
        <is>
          <t>ITER</t>
        </is>
      </c>
      <c r="E25" s="32" t="n">
        <v>440</v>
      </c>
      <c r="F25" s="14" t="inlineStr">
        <is>
          <t>块</t>
        </is>
      </c>
      <c r="G25" s="14" t="inlineStr">
        <is>
          <t>设计值</t>
        </is>
      </c>
      <c r="H25" s="14" t="inlineStr">
        <is>
          <t>披露事实</t>
        </is>
      </c>
      <c r="I25" s="14" t="inlineStr">
        <is>
          <t>每块约 1×1.5 米、最重 4.6 吨</t>
        </is>
      </c>
      <c r="J25" s="14" t="inlineStr">
        <is>
          <t>ITER 组织官网：包层</t>
        </is>
      </c>
      <c r="K25" s="14" t="inlineStr">
        <is>
          <t>页面未标日期</t>
        </is>
      </c>
      <c r="L25" s="14" t="inlineStr">
        <is>
          <t>https://www.iter.org/machine/blanket｜页面正文</t>
        </is>
      </c>
      <c r="M25" s="14" t="inlineStr">
        <is>
          <t>2026-10-22</t>
        </is>
      </c>
      <c r="N25" s="14" t="inlineStr">
        <is>
          <t>ITER_BL</t>
        </is>
      </c>
    </row>
    <row r="26">
      <c r="A26" s="14" t="inlineStr">
        <is>
          <t>TK-61</t>
        </is>
      </c>
      <c r="B26" s="14" t="inlineStr">
        <is>
          <t>blanket</t>
        </is>
      </c>
      <c r="C26" s="14" t="inlineStr">
        <is>
          <t>可带走热功率</t>
        </is>
      </c>
      <c r="D26" s="14" t="inlineStr">
        <is>
          <t>ITER</t>
        </is>
      </c>
      <c r="E26" s="32" t="n">
        <v>736</v>
      </c>
      <c r="F26" s="14" t="inlineStr">
        <is>
          <t>MW</t>
        </is>
      </c>
      <c r="G26" s="14" t="inlineStr">
        <is>
          <t>设计值</t>
        </is>
      </c>
      <c r="H26" s="14" t="inlineStr">
        <is>
          <t>披露事实</t>
        </is>
      </c>
      <c r="I26" s="14" t="inlineStr"/>
      <c r="J26" s="14" t="inlineStr">
        <is>
          <t>ITER 组织官网：包层</t>
        </is>
      </c>
      <c r="K26" s="14" t="inlineStr">
        <is>
          <t>页面未标日期</t>
        </is>
      </c>
      <c r="L26" s="14" t="inlineStr">
        <is>
          <t>https://www.iter.org/machine/blanket｜页面正文</t>
        </is>
      </c>
      <c r="M26" s="14" t="inlineStr">
        <is>
          <t>2026-10-22</t>
        </is>
      </c>
      <c r="N26" s="14" t="inlineStr">
        <is>
          <t>ITER_BL</t>
        </is>
      </c>
    </row>
    <row r="27">
      <c r="A27" s="14" t="inlineStr">
        <is>
          <t>TK-62</t>
        </is>
      </c>
      <c r="B27" s="14" t="inlineStr">
        <is>
          <t>blanket</t>
        </is>
      </c>
      <c r="C27" s="14" t="inlineStr">
        <is>
          <t>覆盖面积</t>
        </is>
      </c>
      <c r="D27" s="14" t="inlineStr">
        <is>
          <t>ITER</t>
        </is>
      </c>
      <c r="E27" s="32" t="n">
        <v>600</v>
      </c>
      <c r="F27" s="14" t="inlineStr">
        <is>
          <t>平方米</t>
        </is>
      </c>
      <c r="G27" s="14" t="inlineStr">
        <is>
          <t>设计值</t>
        </is>
      </c>
      <c r="H27" s="14" t="inlineStr">
        <is>
          <t>披露事实</t>
        </is>
      </c>
      <c r="I27" s="14" t="inlineStr"/>
      <c r="J27" s="14" t="inlineStr">
        <is>
          <t>ITER 组织官网：包层</t>
        </is>
      </c>
      <c r="K27" s="14" t="inlineStr">
        <is>
          <t>页面未标日期</t>
        </is>
      </c>
      <c r="L27" s="14" t="inlineStr">
        <is>
          <t>https://www.iter.org/machine/blanket｜页面正文</t>
        </is>
      </c>
      <c r="M27" s="14" t="inlineStr">
        <is>
          <t>2026-10-22</t>
        </is>
      </c>
      <c r="N27" s="14" t="inlineStr">
        <is>
          <t>ITER_BL</t>
        </is>
      </c>
    </row>
    <row r="28">
      <c r="A28" s="14" t="inlineStr">
        <is>
          <t>TK-70</t>
        </is>
      </c>
      <c r="B28" s="14" t="inlineStr">
        <is>
          <t>divertor</t>
        </is>
      </c>
      <c r="C28" s="14" t="inlineStr">
        <is>
          <t>盒式模块数量</t>
        </is>
      </c>
      <c r="D28" s="14" t="inlineStr">
        <is>
          <t>ITER</t>
        </is>
      </c>
      <c r="E28" s="32" t="n">
        <v>54</v>
      </c>
      <c r="F28" s="14" t="inlineStr">
        <is>
          <t>个</t>
        </is>
      </c>
      <c r="G28" s="14" t="inlineStr">
        <is>
          <t>设计值</t>
        </is>
      </c>
      <c r="H28" s="14" t="inlineStr">
        <is>
          <t>披露事实</t>
        </is>
      </c>
      <c r="I28" s="14" t="inlineStr">
        <is>
          <t>每个约 10 吨，钨铠甲</t>
        </is>
      </c>
      <c r="J28" s="14" t="inlineStr">
        <is>
          <t>ITER 组织官网：偏滤器</t>
        </is>
      </c>
      <c r="K28" s="14" t="inlineStr">
        <is>
          <t>页面未标日期</t>
        </is>
      </c>
      <c r="L28" s="14" t="inlineStr">
        <is>
          <t>https://www.iter.org/machine/divertor｜页面正文</t>
        </is>
      </c>
      <c r="M28" s="14" t="inlineStr">
        <is>
          <t>2026-10-22</t>
        </is>
      </c>
      <c r="N28" s="14" t="inlineStr">
        <is>
          <t>ITER_DIV</t>
        </is>
      </c>
    </row>
    <row r="29">
      <c r="A29" s="14" t="inlineStr">
        <is>
          <t>TK-71</t>
        </is>
      </c>
      <c r="B29" s="14" t="inlineStr">
        <is>
          <t>divertor</t>
        </is>
      </c>
      <c r="C29" s="14" t="inlineStr">
        <is>
          <t>稳态热流</t>
        </is>
      </c>
      <c r="D29" s="14" t="inlineStr">
        <is>
          <t>ITER</t>
        </is>
      </c>
      <c r="E29" s="32" t="n">
        <v>10</v>
      </c>
      <c r="F29" s="14" t="inlineStr">
        <is>
          <t>MW/平方米</t>
        </is>
      </c>
      <c r="G29" s="14" t="inlineStr">
        <is>
          <t>设计值</t>
        </is>
      </c>
      <c r="H29" s="14" t="inlineStr">
        <is>
          <t>披露事实</t>
        </is>
      </c>
      <c r="I29" s="14" t="inlineStr">
        <is>
          <t>慢瞬态 20 MW/平方米</t>
        </is>
      </c>
      <c r="J29" s="14" t="inlineStr">
        <is>
          <t>ITER 组织官网：偏滤器</t>
        </is>
      </c>
      <c r="K29" s="14" t="inlineStr">
        <is>
          <t>页面未标日期</t>
        </is>
      </c>
      <c r="L29" s="14" t="inlineStr">
        <is>
          <t>https://www.iter.org/machine/divertor｜页面正文</t>
        </is>
      </c>
      <c r="M29" s="14" t="inlineStr">
        <is>
          <t>2026-10-22</t>
        </is>
      </c>
      <c r="N29" s="14" t="inlineStr">
        <is>
          <t>ITER_DIV</t>
        </is>
      </c>
    </row>
    <row r="30">
      <c r="A30" s="14" t="inlineStr">
        <is>
          <t>TK-80</t>
        </is>
      </c>
      <c r="B30" s="14" t="inlineStr">
        <is>
          <t>plasma</t>
        </is>
      </c>
      <c r="C30" s="14" t="inlineStr">
        <is>
          <t>等离子体体积</t>
        </is>
      </c>
      <c r="D30" s="14" t="inlineStr">
        <is>
          <t>ITER</t>
        </is>
      </c>
      <c r="E30" s="32" t="n">
        <v>830</v>
      </c>
      <c r="F30" s="14" t="inlineStr">
        <is>
          <t>立方米</t>
        </is>
      </c>
      <c r="G30" s="14" t="inlineStr">
        <is>
          <t>设计值</t>
        </is>
      </c>
      <c r="H30" s="14" t="inlineStr">
        <is>
          <t>披露事实</t>
        </is>
      </c>
      <c r="I30" s="14" t="inlineStr">
        <is>
          <t>真空室页面写 840</t>
        </is>
      </c>
      <c r="J30" s="14" t="inlineStr">
        <is>
          <t>ITER 组织官网：事实与数据</t>
        </is>
      </c>
      <c r="K30" s="14" t="inlineStr">
        <is>
          <t>页面未标日期</t>
        </is>
      </c>
      <c r="L30" s="14" t="inlineStr">
        <is>
          <t>https://www.iter.org/facts-figures｜页面正文</t>
        </is>
      </c>
      <c r="M30" s="14" t="inlineStr">
        <is>
          <t>2026-10-22</t>
        </is>
      </c>
      <c r="N30" s="14" t="inlineStr">
        <is>
          <t>ITER_FF</t>
        </is>
      </c>
    </row>
    <row r="31">
      <c r="A31" s="14" t="inlineStr">
        <is>
          <t>TK-81</t>
        </is>
      </c>
      <c r="B31" s="14" t="inlineStr">
        <is>
          <t>plasma</t>
        </is>
      </c>
      <c r="C31" s="14" t="inlineStr">
        <is>
          <t>中性束加热（两台合计）</t>
        </is>
      </c>
      <c r="D31" s="14" t="inlineStr">
        <is>
          <t>ITER</t>
        </is>
      </c>
      <c r="E31" s="32" t="n">
        <v>33</v>
      </c>
      <c r="F31" s="14" t="inlineStr">
        <is>
          <t>MW</t>
        </is>
      </c>
      <c r="G31" s="14" t="inlineStr">
        <is>
          <t>设计值</t>
        </is>
      </c>
      <c r="H31" s="14" t="inlineStr">
        <is>
          <t>披露事实</t>
        </is>
      </c>
      <c r="I31" s="14" t="inlineStr">
        <is>
          <t>每台 16.5 MW</t>
        </is>
      </c>
      <c r="J31" s="14" t="inlineStr">
        <is>
          <t>ITER 组织官网：外部加热系统</t>
        </is>
      </c>
      <c r="K31" s="14" t="inlineStr">
        <is>
          <t>页面未标日期</t>
        </is>
      </c>
      <c r="L31" s="14" t="inlineStr">
        <is>
          <t>https://www.iter.org/machine/supporting-systems/external-heating-systems｜页面正文</t>
        </is>
      </c>
      <c r="M31" s="14" t="inlineStr">
        <is>
          <t>2026-10-22</t>
        </is>
      </c>
      <c r="N31" s="14" t="inlineStr">
        <is>
          <t>ITER_HEAT</t>
        </is>
      </c>
    </row>
    <row r="32">
      <c r="A32" s="14" t="inlineStr">
        <is>
          <t>TK-90</t>
        </is>
      </c>
      <c r="B32" s="14" t="inlineStr">
        <is>
          <t>final</t>
        </is>
      </c>
      <c r="C32" s="14" t="inlineStr">
        <is>
          <t>SPARC 轴上磁场（CFS，高温超导）</t>
        </is>
      </c>
      <c r="D32" s="14" t="inlineStr">
        <is>
          <t>CFS SPARC</t>
        </is>
      </c>
      <c r="E32" s="35" t="n">
        <v>12.2</v>
      </c>
      <c r="F32" s="14" t="inlineStr">
        <is>
          <t>特斯拉</t>
        </is>
      </c>
      <c r="G32" s="14" t="inlineStr">
        <is>
          <t>设计值</t>
        </is>
      </c>
      <c r="H32" s="14" t="inlineStr">
        <is>
          <t>披露事实</t>
        </is>
      </c>
      <c r="I32" s="14" t="inlineStr">
        <is>
          <t>与 ITER 线圈峰值场口径不同</t>
        </is>
      </c>
      <c r="J32" s="14" t="inlineStr">
        <is>
          <t>Journal of Plasma Physics：Overview of the SPARC tokamak（Creely 等）</t>
        </is>
      </c>
      <c r="K32" s="14" t="inlineStr">
        <is>
          <t>2020-09-29</t>
        </is>
      </c>
      <c r="L32" s="14" t="inlineStr">
        <is>
          <t>https://doi.org/10.1017/S0022377820001257｜论文摘要</t>
        </is>
      </c>
      <c r="M32" s="14" t="inlineStr">
        <is>
          <t>2026-10-22</t>
        </is>
      </c>
      <c r="N32" s="14" t="inlineStr">
        <is>
          <t>SPARC20</t>
        </is>
      </c>
    </row>
    <row r="33">
      <c r="A33" s="14" t="inlineStr">
        <is>
          <t>TK-91</t>
        </is>
      </c>
      <c r="B33" s="14" t="inlineStr">
        <is>
          <t>final</t>
        </is>
      </c>
      <c r="C33" s="14" t="inlineStr">
        <is>
          <t>ARC 电站净发电功率（CFS）</t>
        </is>
      </c>
      <c r="D33" s="14" t="inlineStr">
        <is>
          <t>CFS ARC</t>
        </is>
      </c>
      <c r="E33" s="32" t="n">
        <v>400</v>
      </c>
      <c r="F33" s="14" t="inlineStr">
        <is>
          <t>MW</t>
        </is>
      </c>
      <c r="G33" s="14" t="inlineStr">
        <is>
          <t>目标</t>
        </is>
      </c>
      <c r="H33" s="14" t="inlineStr">
        <is>
          <t>公司目标</t>
        </is>
      </c>
      <c r="I33" s="14" t="inlineStr">
        <is>
          <t>弗吉尼亚 Chesterfield 县，2030 年代初</t>
        </is>
      </c>
      <c r="J33" s="14" t="inlineStr">
        <is>
          <t>CFS 博客：SPARC 进展与美国能源部里程碑批准</t>
        </is>
      </c>
      <c r="K33" s="14" t="inlineStr">
        <is>
          <t>2026-08-05</t>
        </is>
      </c>
      <c r="L33" s="14" t="inlineStr">
        <is>
          <t>https://blog.cfs.energy/sparc-progress-doe-milestone-approvals-reflect-cfs-power-plant-maturity/｜博客正文</t>
        </is>
      </c>
      <c r="M33" s="14" t="inlineStr">
        <is>
          <t>2026-10-22</t>
        </is>
      </c>
      <c r="N33" s="14" t="inlineStr">
        <is>
          <t>CFS_BLOG</t>
        </is>
      </c>
    </row>
    <row r="36">
      <c r="A36" s="41" t="inlineStr">
        <is>
          <t>部件说明（网页第一部分卡片文字；数值见上表）</t>
        </is>
      </c>
    </row>
    <row r="37" ht="30" customHeight="1">
      <c r="A37" s="10" t="inlineStr">
        <is>
          <t>部件键</t>
        </is>
      </c>
      <c r="B37" s="10" t="inlineStr">
        <is>
          <t>部件</t>
        </is>
      </c>
      <c r="C37" s="10" t="inlineStr">
        <is>
          <t>英文</t>
        </is>
      </c>
      <c r="D37" s="10" t="inlineStr">
        <is>
          <t>颜色（十六进制）</t>
        </is>
      </c>
      <c r="E37" s="10" t="inlineStr">
        <is>
          <t>作用（网页卡片文字）</t>
        </is>
      </c>
    </row>
    <row r="38" ht="44" customHeight="1">
      <c r="A38" s="14" t="inlineStr">
        <is>
          <t>overview</t>
        </is>
      </c>
      <c r="B38" s="14" t="inlineStr">
        <is>
          <t>托卡马克</t>
        </is>
      </c>
      <c r="C38" s="14" t="inlineStr">
        <is>
          <t>Tokamak</t>
        </is>
      </c>
      <c r="D38" s="14" t="inlineStr">
        <is>
          <t>6B4DFF</t>
        </is>
      </c>
      <c r="E38" s="14" t="inlineStr">
        <is>
          <t>托卡马克用强磁场把上亿度的氘氚等离子体“悬”在一个环形真空容器里，让原子核聚变放出能量。ITER 是目前在建规模最大的托卡马克，下面按从外到内的顺序逐层拆开。</t>
        </is>
      </c>
      <c r="F38" s="42" t="n"/>
      <c r="G38" s="42" t="n"/>
      <c r="H38" s="42" t="n"/>
      <c r="I38" s="42" t="n"/>
      <c r="J38" s="42" t="n"/>
      <c r="K38" s="42" t="n"/>
      <c r="L38" s="43" t="n"/>
    </row>
    <row r="39" ht="44" customHeight="1">
      <c r="A39" s="14" t="inlineStr">
        <is>
          <t>cryostat</t>
        </is>
      </c>
      <c r="B39" s="14" t="inlineStr">
        <is>
          <t>杜瓦（低温恒温器）</t>
        </is>
      </c>
      <c r="C39" s="14" t="inlineStr">
        <is>
          <t>Cryostat</t>
        </is>
      </c>
      <c r="D39" s="14" t="inlineStr">
        <is>
          <t>8EA3BD</t>
        </is>
      </c>
      <c r="E39" s="14" t="inlineStr">
        <is>
          <t>最外层的不锈钢大罐，把整台装置包在真空里，给零下 269 摄氏度的超导磁体做“保温瓶”，挡住外界的热量。</t>
        </is>
      </c>
      <c r="F39" s="42" t="n"/>
      <c r="G39" s="42" t="n"/>
      <c r="H39" s="42" t="n"/>
      <c r="I39" s="42" t="n"/>
      <c r="J39" s="42" t="n"/>
      <c r="K39" s="42" t="n"/>
      <c r="L39" s="43" t="n"/>
    </row>
    <row r="40" ht="44" customHeight="1">
      <c r="A40" s="14" t="inlineStr">
        <is>
          <t>tf</t>
        </is>
      </c>
      <c r="B40" s="14" t="inlineStr">
        <is>
          <t>环向场线圈</t>
        </is>
      </c>
      <c r="C40" s="14" t="inlineStr">
        <is>
          <t>Toroidal field coils</t>
        </is>
      </c>
      <c r="D40" s="14" t="inlineStr">
        <is>
          <t>2F62E0</t>
        </is>
      </c>
      <c r="E40" s="14" t="inlineStr">
        <is>
          <t>18 个 D 形超导线圈围成一圈，产生沿环方向的强磁场，是把等离子体约束住、不碰到器壁的主力。</t>
        </is>
      </c>
      <c r="F40" s="42" t="n"/>
      <c r="G40" s="42" t="n"/>
      <c r="H40" s="42" t="n"/>
      <c r="I40" s="42" t="n"/>
      <c r="J40" s="42" t="n"/>
      <c r="K40" s="42" t="n"/>
      <c r="L40" s="43" t="n"/>
    </row>
    <row r="41" ht="44" customHeight="1">
      <c r="A41" s="14" t="inlineStr">
        <is>
          <t>pf</t>
        </is>
      </c>
      <c r="B41" s="14" t="inlineStr">
        <is>
          <t>极向场线圈</t>
        </is>
      </c>
      <c r="C41" s="14" t="inlineStr">
        <is>
          <t>Poloidal field coils</t>
        </is>
      </c>
      <c r="D41" s="14" t="inlineStr">
        <is>
          <t>E07A3C</t>
        </is>
      </c>
      <c r="E41" s="14" t="inlineStr">
        <is>
          <t>6 个水平大环套在外侧，像“缰绳”一样控制等离子体的形状和上下位置，让它保持 D 形截面。</t>
        </is>
      </c>
      <c r="F41" s="42" t="n"/>
      <c r="G41" s="42" t="n"/>
      <c r="H41" s="42" t="n"/>
      <c r="I41" s="42" t="n"/>
      <c r="J41" s="42" t="n"/>
      <c r="K41" s="42" t="n"/>
      <c r="L41" s="43" t="n"/>
    </row>
    <row r="42" ht="44" customHeight="1">
      <c r="A42" s="14" t="inlineStr">
        <is>
          <t>cs</t>
        </is>
      </c>
      <c r="B42" s="14" t="inlineStr">
        <is>
          <t>中心螺线管</t>
        </is>
      </c>
      <c r="C42" s="14" t="inlineStr">
        <is>
          <t>Central solenoid</t>
        </is>
      </c>
      <c r="D42" s="14" t="inlineStr">
        <is>
          <t>D9A52F</t>
        </is>
      </c>
      <c r="E42" s="14" t="inlineStr">
        <is>
          <t>立在中心孔里的 6 段超导线圈，相当于一个大变压器的初级线圈，在等离子体里感应出强大电流并维持数分钟。</t>
        </is>
      </c>
      <c r="F42" s="42" t="n"/>
      <c r="G42" s="42" t="n"/>
      <c r="H42" s="42" t="n"/>
      <c r="I42" s="42" t="n"/>
      <c r="J42" s="42" t="n"/>
      <c r="K42" s="42" t="n"/>
      <c r="L42" s="43" t="n"/>
    </row>
    <row r="43" ht="44" customHeight="1">
      <c r="A43" s="14" t="inlineStr">
        <is>
          <t>vv</t>
        </is>
      </c>
      <c r="B43" s="14" t="inlineStr">
        <is>
          <t>真空室</t>
        </is>
      </c>
      <c r="C43" s="14" t="inlineStr">
        <is>
          <t>Vacuum vessel</t>
        </is>
      </c>
      <c r="D43" s="14" t="inlineStr">
        <is>
          <t>8E9BAD</t>
        </is>
      </c>
      <c r="E43" s="14" t="inlineStr">
        <is>
          <t>双层钢壁的密封环形容器，里面抽成高真空、装着等离子体，是阻挡放射性物质的第一道屏障；壁间填满屏蔽块和冷却水。</t>
        </is>
      </c>
      <c r="F43" s="42" t="n"/>
      <c r="G43" s="42" t="n"/>
      <c r="H43" s="42" t="n"/>
      <c r="I43" s="42" t="n"/>
      <c r="J43" s="42" t="n"/>
      <c r="K43" s="42" t="n"/>
      <c r="L43" s="43" t="n"/>
    </row>
    <row r="44" ht="44" customHeight="1">
      <c r="A44" s="14" t="inlineStr">
        <is>
          <t>blanket</t>
        </is>
      </c>
      <c r="B44" s="14" t="inlineStr">
        <is>
          <t>包层</t>
        </is>
      </c>
      <c r="C44" s="14" t="inlineStr">
        <is>
          <t>Blanket</t>
        </is>
      </c>
      <c r="D44" s="14" t="inlineStr">
        <is>
          <t>C19A5B</t>
        </is>
      </c>
      <c r="E44" s="14" t="inlineStr">
        <is>
          <t>贴满真空室内壁的数百块模块，直面等离子体，吸收中子和热量、保护后面的钢壁和磁体；未来电站要靠它用锂“增殖”氚燃料。</t>
        </is>
      </c>
      <c r="F44" s="42" t="n"/>
      <c r="G44" s="42" t="n"/>
      <c r="H44" s="42" t="n"/>
      <c r="I44" s="42" t="n"/>
      <c r="J44" s="42" t="n"/>
      <c r="K44" s="42" t="n"/>
      <c r="L44" s="43" t="n"/>
    </row>
    <row r="45" ht="44" customHeight="1">
      <c r="A45" s="14" t="inlineStr">
        <is>
          <t>divertor</t>
        </is>
      </c>
      <c r="B45" s="14" t="inlineStr">
        <is>
          <t>偏滤器</t>
        </is>
      </c>
      <c r="C45" s="14" t="inlineStr">
        <is>
          <t>Divertor</t>
        </is>
      </c>
      <c r="D45" s="14" t="inlineStr">
        <is>
          <t>4A515C</t>
        </is>
      </c>
      <c r="E45" s="14" t="inlineStr">
        <is>
          <t>装在真空室底部的“排气口”，承受最集中的热流，把聚变产生的氦“灰”和杂质导出，防止污染等离子体。</t>
        </is>
      </c>
      <c r="F45" s="42" t="n"/>
      <c r="G45" s="42" t="n"/>
      <c r="H45" s="42" t="n"/>
      <c r="I45" s="42" t="n"/>
      <c r="J45" s="42" t="n"/>
      <c r="K45" s="42" t="n"/>
      <c r="L45" s="43" t="n"/>
    </row>
    <row r="46" ht="44" customHeight="1">
      <c r="A46" s="14" t="inlineStr">
        <is>
          <t>plasma</t>
        </is>
      </c>
      <c r="B46" s="14" t="inlineStr">
        <is>
          <t>等离子体</t>
        </is>
      </c>
      <c r="C46" s="14" t="inlineStr">
        <is>
          <t>Plasma</t>
        </is>
      </c>
      <c r="D46" s="14" t="inlineStr">
        <is>
          <t>E04FC0</t>
        </is>
      </c>
      <c r="E46" s="14" t="inlineStr">
        <is>
          <t>氘和氚被加热到约 1.5 亿摄氏度后形成的发光等离子体，被磁力线约束成环形；聚变产生的高能中子把能量带给包层，最终转换成电。</t>
        </is>
      </c>
      <c r="F46" s="42" t="n"/>
      <c r="G46" s="42" t="n"/>
      <c r="H46" s="42" t="n"/>
      <c r="I46" s="42" t="n"/>
      <c r="J46" s="42" t="n"/>
      <c r="K46" s="42" t="n"/>
      <c r="L46" s="43" t="n"/>
    </row>
    <row r="47" ht="44" customHeight="1">
      <c r="A47" s="14" t="inlineStr">
        <is>
          <t>final</t>
        </is>
      </c>
      <c r="B47" s="14" t="inlineStr">
        <is>
          <t>重新组装</t>
        </is>
      </c>
      <c r="C47" s="14" t="inlineStr">
        <is>
          <t>Assembled</t>
        </is>
      </c>
      <c r="D47" s="14" t="inlineStr">
        <is>
          <t>6B4DFF</t>
        </is>
      </c>
      <c r="E47" s="14" t="inlineStr">
        <is>
          <t>各层重新合拢。即便进度最快的私营聚变公司，向客户供电的目标最早也要到 2028 年，大规模商业发电要到 2030 年代；在此之前，数据中心的电主要来自现有电网。</t>
        </is>
      </c>
      <c r="F47" s="42" t="n"/>
      <c r="G47" s="42" t="n"/>
      <c r="H47" s="42" t="n"/>
      <c r="I47" s="42" t="n"/>
      <c r="J47" s="42" t="n"/>
      <c r="K47" s="42" t="n"/>
      <c r="L47" s="43" t="n"/>
    </row>
  </sheetData>
  <autoFilter ref="A4:N33"/>
  <mergeCells count="11">
    <mergeCell ref="E40:L40"/>
    <mergeCell ref="E43:L43"/>
    <mergeCell ref="E44:L44"/>
    <mergeCell ref="E41:L41"/>
    <mergeCell ref="A2:N2"/>
    <mergeCell ref="E38:L38"/>
    <mergeCell ref="E46:L46"/>
    <mergeCell ref="E42:L42"/>
    <mergeCell ref="E45:L45"/>
    <mergeCell ref="E39:L39"/>
    <mergeCell ref="E47:L47"/>
  </mergeCells>
  <pageMargins left="0.75" right="0.75" top="1" bottom="1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G15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0" customWidth="1" min="2" max="2"/>
    <col width="26" customWidth="1" min="3" max="3"/>
    <col width="20" customWidth="1" min="4" max="4"/>
    <col width="80" customWidth="1" min="5" max="5"/>
    <col width="12" customWidth="1" min="6" max="6"/>
    <col width="18" customWidth="1" min="7" max="7"/>
  </cols>
  <sheetData>
    <row r="1">
      <c r="A1" s="8" t="inlineStr">
        <is>
          <t>来源清单（来源编号 → 名称、发布者、发布日期、链接/文件、访问日期）</t>
        </is>
      </c>
    </row>
    <row r="2" ht="30" customHeight="1">
      <c r="A2" s="9" t="inlineStr">
        <is>
          <t>原始材料（M1–M3）以 材料/ 目录中的文件为准；网页来源均于 2026-10-22 访问。“类型”标出一手披露、官方机构、第三方研究或二手转述。</t>
        </is>
      </c>
    </row>
    <row r="4" ht="30" customHeight="1">
      <c r="A4" s="10" t="inlineStr">
        <is>
          <t>来源编号</t>
        </is>
      </c>
      <c r="B4" s="10" t="inlineStr">
        <is>
          <t>来源名称</t>
        </is>
      </c>
      <c r="C4" s="10" t="inlineStr">
        <is>
          <t>发布者</t>
        </is>
      </c>
      <c r="D4" s="10" t="inlineStr">
        <is>
          <t>发布日期</t>
        </is>
      </c>
      <c r="E4" s="10" t="inlineStr">
        <is>
          <t>链接或文件</t>
        </is>
      </c>
      <c r="F4" s="10" t="inlineStr">
        <is>
          <t>访问日期</t>
        </is>
      </c>
      <c r="G4" s="10" t="inlineStr">
        <is>
          <t>类型</t>
        </is>
      </c>
    </row>
    <row r="5">
      <c r="A5" s="14" t="inlineStr">
        <is>
          <t>M1</t>
        </is>
      </c>
      <c r="B5" s="14" t="inlineStr">
        <is>
          <t>Meta Platforms, Inc. 10-Q 季报（截至 2026-09-30 的季度）</t>
        </is>
      </c>
      <c r="C5" s="14" t="inlineStr">
        <is>
          <t>Meta Platforms / 美国证交会</t>
        </is>
      </c>
      <c r="D5" s="14" t="inlineStr">
        <is>
          <t>2026-10-21（签署日）</t>
        </is>
      </c>
      <c r="E5" s="14" t="inlineStr">
        <is>
          <t>材料/Meta_2026Q3季报__meta-20260930.htm</t>
        </is>
      </c>
      <c r="F5" s="14" t="inlineStr">
        <is>
          <t>原始材料</t>
        </is>
      </c>
      <c r="G5" s="14" t="inlineStr">
        <is>
          <t>原始材料</t>
        </is>
      </c>
    </row>
    <row r="6">
      <c r="A6" s="14" t="inlineStr">
        <is>
          <t>M2</t>
        </is>
      </c>
      <c r="B6" s="14" t="inlineStr">
        <is>
          <t>Constellation Energy Corp. 10-K 年报（2025 财年）</t>
        </is>
      </c>
      <c r="C6" s="14" t="inlineStr">
        <is>
          <t>Constellation Energy / 美国证交会</t>
        </is>
      </c>
      <c r="D6" s="14" t="inlineStr">
        <is>
          <t>2026-02-24（签署日）</t>
        </is>
      </c>
      <c r="E6" s="14" t="inlineStr">
        <is>
          <t>材料/Constellation_2025年报__ceg-20251231.htm</t>
        </is>
      </c>
      <c r="F6" s="14" t="inlineStr">
        <is>
          <t>原始材料</t>
        </is>
      </c>
      <c r="G6" s="14" t="inlineStr">
        <is>
          <t>原始材料</t>
        </is>
      </c>
    </row>
    <row r="7">
      <c r="A7" s="14" t="inlineStr">
        <is>
          <t>M3</t>
        </is>
      </c>
      <c r="B7" s="14" t="inlineStr">
        <is>
          <t>Constellation Energy Corp. 10-Q 季报（截至 2026-06-30 的季度）</t>
        </is>
      </c>
      <c r="C7" s="14" t="inlineStr">
        <is>
          <t>Constellation Energy / 美国证交会</t>
        </is>
      </c>
      <c r="D7" s="14" t="inlineStr">
        <is>
          <t>2026-08-06（签署日）</t>
        </is>
      </c>
      <c r="E7" s="14" t="inlineStr">
        <is>
          <t>材料/Constellation_2026Q2季报__ceg-20260630.htm</t>
        </is>
      </c>
      <c r="F7" s="14" t="inlineStr">
        <is>
          <t>原始材料</t>
        </is>
      </c>
      <c r="G7" s="14" t="inlineStr">
        <is>
          <t>原始材料</t>
        </is>
      </c>
    </row>
    <row r="8">
      <c r="A8" s="14" t="inlineStr">
        <is>
          <t>IEA25</t>
        </is>
      </c>
      <c r="B8" s="14" t="inlineStr">
        <is>
          <t>IEA《能源与人工智能》Energy and AI（世界能源展望特别报告）</t>
        </is>
      </c>
      <c r="C8" s="14" t="inlineStr">
        <is>
          <t>国际能源署 IEA</t>
        </is>
      </c>
      <c r="D8" s="14" t="inlineStr">
        <is>
          <t>2025-04（PDF 元数据 2025-04-11）</t>
        </is>
      </c>
      <c r="E8" s="14" t="inlineStr">
        <is>
          <t>https://iea.blob.core.windows.net/assets/b3a8b37f-32d1-4873-9eca-31cec5895264/EnergyandAI.pdf</t>
        </is>
      </c>
      <c r="F8" s="14" t="inlineStr">
        <is>
          <t>2026-10-22</t>
        </is>
      </c>
      <c r="G8" s="14" t="inlineStr">
        <is>
          <t>官方机构</t>
        </is>
      </c>
    </row>
    <row r="9">
      <c r="A9" s="14" t="inlineStr">
        <is>
          <t>IEA26</t>
        </is>
      </c>
      <c r="B9" s="14" t="inlineStr">
        <is>
          <t>IEA《能源与人工智能关键问题》Key Questions on Energy and AI（2026 年更新版）</t>
        </is>
      </c>
      <c r="C9" s="14" t="inlineStr">
        <is>
          <t>国际能源署 IEA</t>
        </is>
      </c>
      <c r="D9" s="14" t="inlineStr">
        <is>
          <t>2026-04-16</t>
        </is>
      </c>
      <c r="E9" s="14" t="inlineStr">
        <is>
          <t>https://iea.blob.core.windows.net/assets/3179f7f8-01f6-4dd6-bffa-c9f7b73f1dc9/KeyQuestionsonEnergyandAI.pdf</t>
        </is>
      </c>
      <c r="F9" s="14" t="inlineStr">
        <is>
          <t>2026-10-22</t>
        </is>
      </c>
      <c r="G9" s="14" t="inlineStr">
        <is>
          <t>官方机构</t>
        </is>
      </c>
    </row>
    <row r="10">
      <c r="A10" s="14" t="inlineStr">
        <is>
          <t>IEAE26</t>
        </is>
      </c>
      <c r="B10" s="14" t="inlineStr">
        <is>
          <t>IEA《电力 2026》Electricity 2026 – Analysis and forecast to 2030</t>
        </is>
      </c>
      <c r="C10" s="14" t="inlineStr">
        <is>
          <t>国际能源署 IEA</t>
        </is>
      </c>
      <c r="D10" s="14" t="inlineStr">
        <is>
          <t>2026-02</t>
        </is>
      </c>
      <c r="E10" s="14" t="inlineStr">
        <is>
          <t>https://iea.blob.core.windows.net/assets/b73798cb-e452-42b9-9d8a-07542de7a041/Electricity_2026.pdf</t>
        </is>
      </c>
      <c r="F10" s="14" t="inlineStr">
        <is>
          <t>2026-10-22</t>
        </is>
      </c>
      <c r="G10" s="14" t="inlineStr">
        <is>
          <t>官方机构</t>
        </is>
      </c>
    </row>
    <row r="11">
      <c r="A11" s="14" t="inlineStr">
        <is>
          <t>IEAGER26</t>
        </is>
      </c>
      <c r="B11" s="14" t="inlineStr">
        <is>
          <t>IEA《全球能源回顾 2026》Global Energy Review 2026</t>
        </is>
      </c>
      <c r="C11" s="14" t="inlineStr">
        <is>
          <t>国际能源署 IEA</t>
        </is>
      </c>
      <c r="D11" s="14" t="inlineStr">
        <is>
          <t>2026-04</t>
        </is>
      </c>
      <c r="E11" s="14" t="inlineStr">
        <is>
          <t>https://iea.blob.core.windows.net/assets/df903e1c-49c6-4757-8cbf-6fbcfe7611a0/GlobalEnergyReview2026.pdf</t>
        </is>
      </c>
      <c r="F11" s="14" t="inlineStr">
        <is>
          <t>2026-10-22</t>
        </is>
      </c>
      <c r="G11" s="14" t="inlineStr">
        <is>
          <t>官方机构</t>
        </is>
      </c>
    </row>
    <row r="12">
      <c r="A12" s="14" t="inlineStr">
        <is>
          <t>DOE24</t>
        </is>
      </c>
      <c r="B12" s="14" t="inlineStr">
        <is>
          <t>美国能源部新闻稿：DOE Releases New Report Evaluating Increase in Electricity Demand from Data Centers（LBNL 2024 美国数据中心能耗报告）</t>
        </is>
      </c>
      <c r="C12" s="14" t="inlineStr">
        <is>
          <t>美国能源部 / 劳伦斯伯克利国家实验室</t>
        </is>
      </c>
      <c r="D12" s="14" t="inlineStr">
        <is>
          <t>2024-12-20</t>
        </is>
      </c>
      <c r="E12" s="14" t="inlineStr">
        <is>
          <t>https://www.energy.gov/articles/doe-releases-new-report-evaluating-increase-electricity-demand-data-centers</t>
        </is>
      </c>
      <c r="F12" s="14" t="inlineStr">
        <is>
          <t>2026-10-22</t>
        </is>
      </c>
      <c r="G12" s="14" t="inlineStr">
        <is>
          <t>官方机构</t>
        </is>
      </c>
    </row>
    <row r="13">
      <c r="A13" s="14" t="inlineStr">
        <is>
          <t>EIA_EPM51</t>
        </is>
      </c>
      <c r="B13" s="14" t="inlineStr">
        <is>
          <t>EIA《电力月报》表 5.1 终端用户售电量</t>
        </is>
      </c>
      <c r="C13" s="14" t="inlineStr">
        <is>
          <t>美国能源信息署 EIA</t>
        </is>
      </c>
      <c r="D13" s="14" t="inlineStr">
        <is>
          <t>2026-09-24</t>
        </is>
      </c>
      <c r="E13" s="14" t="inlineStr">
        <is>
          <t>https://www.eia.gov/electricity/monthly/epm_table_grapher.php?t=epmt_5_01</t>
        </is>
      </c>
      <c r="F13" s="14" t="inlineStr">
        <is>
          <t>2026-10-22</t>
        </is>
      </c>
      <c r="G13" s="14" t="inlineStr">
        <is>
          <t>官方机构</t>
        </is>
      </c>
    </row>
    <row r="14">
      <c r="A14" s="14" t="inlineStr">
        <is>
          <t>EIA_EPM53</t>
        </is>
      </c>
      <c r="B14" s="14" t="inlineStr">
        <is>
          <t>EIA《电力月报》表 5.3 终端用户平均电价</t>
        </is>
      </c>
      <c r="C14" s="14" t="inlineStr">
        <is>
          <t>美国能源信息署 EIA</t>
        </is>
      </c>
      <c r="D14" s="14" t="inlineStr">
        <is>
          <t>2026-09-24</t>
        </is>
      </c>
      <c r="E14" s="14" t="inlineStr">
        <is>
          <t>https://www.eia.gov/electricity/monthly/epm_table_grapher.php?t=epmt_5_3</t>
        </is>
      </c>
      <c r="F14" s="14" t="inlineStr">
        <is>
          <t>2026-10-22</t>
        </is>
      </c>
      <c r="G14" s="14" t="inlineStr">
        <is>
          <t>官方机构</t>
        </is>
      </c>
    </row>
    <row r="15">
      <c r="A15" s="14" t="inlineStr">
        <is>
          <t>EIA_STEO</t>
        </is>
      </c>
      <c r="B15" s="14" t="inlineStr">
        <is>
          <t>EIA《短期能源展望》2026 年 10 月版（电力、煤炭与可再生能源）</t>
        </is>
      </c>
      <c r="C15" s="14" t="inlineStr">
        <is>
          <t>美国能源信息署 EIA</t>
        </is>
      </c>
      <c r="D15" s="14" t="inlineStr">
        <is>
          <t>2026-10-06</t>
        </is>
      </c>
      <c r="E15" s="14" t="inlineStr">
        <is>
          <t>https://www.eia.gov/outlooks/steo/report/elec_coal_renew.php</t>
        </is>
      </c>
      <c r="F15" s="14" t="inlineStr">
        <is>
          <t>2026-10-22</t>
        </is>
      </c>
      <c r="G15" s="14" t="inlineStr">
        <is>
          <t>官方机构</t>
        </is>
      </c>
    </row>
    <row r="16">
      <c r="A16" s="14" t="inlineStr">
        <is>
          <t>LBNL_Q26</t>
        </is>
      </c>
      <c r="B16" s="14" t="inlineStr">
        <is>
          <t>LBNL《排队：2026 年版》Queued Up: 2026 Edition（截至 2025 年底的并网排队）</t>
        </is>
      </c>
      <c r="C16" s="14" t="inlineStr">
        <is>
          <t>劳伦斯伯克利国家实验室</t>
        </is>
      </c>
      <c r="D16" s="14" t="inlineStr">
        <is>
          <t>2026-05</t>
        </is>
      </c>
      <c r="E16" s="14" t="inlineStr">
        <is>
          <t>https://eta-publications.lbl.gov/publications/queued-2026-edition-characteristics</t>
        </is>
      </c>
      <c r="F16" s="14" t="inlineStr">
        <is>
          <t>2026-10-22</t>
        </is>
      </c>
      <c r="G16" s="14" t="inlineStr">
        <is>
          <t>官方机构</t>
        </is>
      </c>
    </row>
    <row r="17">
      <c r="A17" s="14" t="inlineStr">
        <is>
          <t>NERC25</t>
        </is>
      </c>
      <c r="B17" s="14" t="inlineStr">
        <is>
          <t>NERC 2025 长期可靠性评估（LTRA），经 POWER 杂志报道</t>
        </is>
      </c>
      <c r="C17" s="14" t="inlineStr">
        <is>
          <t>北美电力可靠性公司 / POWER</t>
        </is>
      </c>
      <c r="D17" s="14" t="inlineStr">
        <is>
          <t>2026-01-29</t>
        </is>
      </c>
      <c r="E17" s="14" t="inlineStr">
        <is>
          <t>https://www.powermag.com/nerc-warns-long-term-grid-reliability-risks-mounting-from-surging-demand-lagging-resources/</t>
        </is>
      </c>
      <c r="F17" s="14" t="inlineStr">
        <is>
          <t>2026-10-22</t>
        </is>
      </c>
      <c r="G17" s="14" t="inlineStr">
        <is>
          <t>官方机构（二手转述）</t>
        </is>
      </c>
    </row>
    <row r="18">
      <c r="A18" s="14" t="inlineStr">
        <is>
          <t>DOE_PAL</t>
        </is>
      </c>
      <c r="B18" s="14" t="inlineStr">
        <is>
          <t>美国能源部贷款办公室项目页：Holtec Palisades</t>
        </is>
      </c>
      <c r="C18" s="14" t="inlineStr">
        <is>
          <t>美国能源部</t>
        </is>
      </c>
      <c r="D18" s="14" t="inlineStr">
        <is>
          <t>项目页（未标日期）</t>
        </is>
      </c>
      <c r="E18" s="14" t="inlineStr">
        <is>
          <t>https://www.energy.gov/lpo/holtec-palisades</t>
        </is>
      </c>
      <c r="F18" s="14" t="inlineStr">
        <is>
          <t>2026-10-22</t>
        </is>
      </c>
      <c r="G18" s="14" t="inlineStr">
        <is>
          <t>官方机构</t>
        </is>
      </c>
    </row>
    <row r="19">
      <c r="A19" s="14" t="inlineStr">
        <is>
          <t>PJM2526</t>
        </is>
      </c>
      <c r="B19" s="14" t="inlineStr">
        <is>
          <t>PJM Inside Lines：2025/26 容量拍卖结果</t>
        </is>
      </c>
      <c r="C19" s="14" t="inlineStr">
        <is>
          <t>PJM</t>
        </is>
      </c>
      <c r="D19" s="14" t="inlineStr">
        <is>
          <t>2024-07-30</t>
        </is>
      </c>
      <c r="E19" s="14" t="inlineStr">
        <is>
          <t>https://insidelines.pjm.com/pjm-capacity-auction-procures-sufficient-resources-to-meet-rto-reliability-requirement/</t>
        </is>
      </c>
      <c r="F19" s="14" t="inlineStr">
        <is>
          <t>2026-10-22</t>
        </is>
      </c>
      <c r="G19" s="14" t="inlineStr">
        <is>
          <t>电力市场运营方</t>
        </is>
      </c>
    </row>
    <row r="20">
      <c r="A20" s="14" t="inlineStr">
        <is>
          <t>PJM2627</t>
        </is>
      </c>
      <c r="B20" s="14" t="inlineStr">
        <is>
          <t>PJM Inside Lines：2026/27 容量拍卖结果</t>
        </is>
      </c>
      <c r="C20" s="14" t="inlineStr">
        <is>
          <t>PJM</t>
        </is>
      </c>
      <c r="D20" s="14" t="inlineStr">
        <is>
          <t>2025-07-22</t>
        </is>
      </c>
      <c r="E20" s="14" t="inlineStr">
        <is>
          <t>https://insidelines.pjm.com/pjm-auction-procures-134311-mw-of-generation-resources-supply-responds-to-price-signal/</t>
        </is>
      </c>
      <c r="F20" s="14" t="inlineStr">
        <is>
          <t>2026-10-22</t>
        </is>
      </c>
      <c r="G20" s="14" t="inlineStr">
        <is>
          <t>电力市场运营方</t>
        </is>
      </c>
    </row>
    <row r="21">
      <c r="A21" s="14" t="inlineStr">
        <is>
          <t>PJM2728</t>
        </is>
      </c>
      <c r="B21" s="14" t="inlineStr">
        <is>
          <t>PJM Inside Lines：2027/28 容量拍卖结果</t>
        </is>
      </c>
      <c r="C21" s="14" t="inlineStr">
        <is>
          <t>PJM</t>
        </is>
      </c>
      <c r="D21" s="14" t="inlineStr">
        <is>
          <t>2025-12-17</t>
        </is>
      </c>
      <c r="E21" s="14" t="inlineStr">
        <is>
          <t>https://insidelines.pjm.com/?p=209684</t>
        </is>
      </c>
      <c r="F21" s="14" t="inlineStr">
        <is>
          <t>2026-10-22</t>
        </is>
      </c>
      <c r="G21" s="14" t="inlineStr">
        <is>
          <t>电力市场运营方</t>
        </is>
      </c>
    </row>
    <row r="22">
      <c r="A22" s="14" t="inlineStr">
        <is>
          <t>APPA2829</t>
        </is>
      </c>
      <c r="B22" s="14" t="inlineStr">
        <is>
          <t>美国公共电力协会（APPA）：PJM 2028/29 容量拍卖结果报道（引用 PJM 公告）</t>
        </is>
      </c>
      <c r="C22" s="14" t="inlineStr">
        <is>
          <t>APPA</t>
        </is>
      </c>
      <c r="D22" s="14" t="inlineStr">
        <is>
          <t>2026-07-14</t>
        </is>
      </c>
      <c r="E22" s="14" t="inlineStr">
        <is>
          <t>https://www.publicpower.org/periodical/article/pjm-capacity-auction-procures-138318-mw-generation-resources-capacity-price-comes-cap-325</t>
        </is>
      </c>
      <c r="F22" s="14" t="inlineStr">
        <is>
          <t>2026-10-22</t>
        </is>
      </c>
      <c r="G22" s="14" t="inlineStr">
        <is>
          <t>行业协会（二手转述）</t>
        </is>
      </c>
    </row>
    <row r="23">
      <c r="A23" s="14" t="inlineStr">
        <is>
          <t>PJMCOST</t>
        </is>
      </c>
      <c r="B23" s="14" t="inlineStr">
        <is>
          <t>俄亥俄首府日报（经 Yahoo 转载）：容量拍卖总成本报道</t>
        </is>
      </c>
      <c r="C23" s="14" t="inlineStr">
        <is>
          <t>Ohio Capital Journal</t>
        </is>
      </c>
      <c r="D23" s="14" t="inlineStr">
        <is>
          <t>2025-07-24</t>
        </is>
      </c>
      <c r="E23" s="14" t="inlineStr">
        <is>
          <t>https://www.yahoo.com/news/articles/energy-bills-likely-tick-again-084017412.html</t>
        </is>
      </c>
      <c r="F23" s="14" t="inlineStr">
        <is>
          <t>2026-10-22</t>
        </is>
      </c>
      <c r="G23" s="14" t="inlineStr">
        <is>
          <t>媒体（二手）</t>
        </is>
      </c>
    </row>
    <row r="24">
      <c r="A24" s="14" t="inlineStr">
        <is>
          <t>IMM26</t>
        </is>
      </c>
      <c r="B24" s="14" t="inlineStr">
        <is>
          <t>Utility Dive：PJM 市场监察员报告数据中心负荷占批发成本 9%（引用 IMM 2026 年二季度市场报告）</t>
        </is>
      </c>
      <c r="C24" s="14" t="inlineStr">
        <is>
          <t>Utility Dive / Monitoring Analytics</t>
        </is>
      </c>
      <c r="D24" s="14" t="inlineStr">
        <is>
          <t>2026-08-27</t>
        </is>
      </c>
      <c r="E24" s="14" t="inlineStr">
        <is>
          <t>https://www.utilitydive.com/news/data-center-load-pjm-wholesale-market/828917/</t>
        </is>
      </c>
      <c r="F24" s="14" t="inlineStr">
        <is>
          <t>2026-10-22</t>
        </is>
      </c>
      <c r="G24" s="14" t="inlineStr">
        <is>
          <t>媒体（二手）</t>
        </is>
      </c>
    </row>
    <row r="25">
      <c r="A25" s="14" t="inlineStr">
        <is>
          <t>FERC_SC</t>
        </is>
      </c>
      <c r="B25" s="14" t="inlineStr">
        <is>
          <t>Orrick 律所：FERC 向六大区域电网运营商发出大负荷并网“说明理由令”</t>
        </is>
      </c>
      <c r="C25" s="14" t="inlineStr">
        <is>
          <t>Orrick</t>
        </is>
      </c>
      <c r="D25" s="14" t="inlineStr">
        <is>
          <t>2026-07-06</t>
        </is>
      </c>
      <c r="E25" s="14" t="inlineStr">
        <is>
          <t>https://www.orrick.com/en/Insights/2026/07/FERC-Show-Cause-Orders-Signal-Broad-Reform-to-Large-Load-Interconnection-Policies</t>
        </is>
      </c>
      <c r="F25" s="14" t="inlineStr">
        <is>
          <t>2026-10-22</t>
        </is>
      </c>
      <c r="G25" s="14" t="inlineStr">
        <is>
          <t>律所（二手）</t>
        </is>
      </c>
    </row>
    <row r="26">
      <c r="A26" s="14" t="inlineStr">
        <is>
          <t>TXSB6</t>
        </is>
      </c>
      <c r="B26" s="14" t="inlineStr">
        <is>
          <t>得克萨斯州议会 SB 6 法案记录</t>
        </is>
      </c>
      <c r="C26" s="14" t="inlineStr">
        <is>
          <t>得州议会</t>
        </is>
      </c>
      <c r="D26" s="14" t="inlineStr">
        <is>
          <t>2025-06-20（签署）</t>
        </is>
      </c>
      <c r="E26" s="14" t="inlineStr">
        <is>
          <t>https://capitol.texas.gov/BillLookup/History.aspx?LegSess=89R&amp;Bill=SB6</t>
        </is>
      </c>
      <c r="F26" s="14" t="inlineStr">
        <is>
          <t>2026-10-22</t>
        </is>
      </c>
      <c r="G26" s="14" t="inlineStr">
        <is>
          <t>官方机构</t>
        </is>
      </c>
    </row>
    <row r="27">
      <c r="A27" s="14" t="inlineStr">
        <is>
          <t>AEPOH</t>
        </is>
      </c>
      <c r="B27" s="14" t="inlineStr">
        <is>
          <t>POWER 杂志：俄亥俄监管机构批准 AEP Ohio 数据中心电价</t>
        </is>
      </c>
      <c r="C27" s="14" t="inlineStr">
        <is>
          <t>POWER</t>
        </is>
      </c>
      <c r="D27" s="14" t="inlineStr">
        <is>
          <t>2025-07-09</t>
        </is>
      </c>
      <c r="E27" s="14" t="inlineStr">
        <is>
          <t>https://www.powermag.com/regulator-approves-aep-ohios-landmark-data-center-tariff/</t>
        </is>
      </c>
      <c r="F27" s="14" t="inlineStr">
        <is>
          <t>2026-10-22</t>
        </is>
      </c>
      <c r="G27" s="14" t="inlineStr">
        <is>
          <t>媒体（二手）</t>
        </is>
      </c>
    </row>
    <row r="28">
      <c r="A28" s="14" t="inlineStr">
        <is>
          <t>GEV2Q26</t>
        </is>
      </c>
      <c r="B28" s="14" t="inlineStr">
        <is>
          <t>GE Vernova 2026 年二季度业绩新闻稿（8-K 附件）</t>
        </is>
      </c>
      <c r="C28" s="14" t="inlineStr">
        <is>
          <t>GE Vernova</t>
        </is>
      </c>
      <c r="D28" s="14" t="inlineStr">
        <is>
          <t>2026-07-22</t>
        </is>
      </c>
      <c r="E28" s="14" t="inlineStr">
        <is>
          <t>https://www.sec.gov/Archives/edgar/data/0001996810/000199681026000147/gevpressrelease2q26.htm</t>
        </is>
      </c>
      <c r="F28" s="14" t="inlineStr">
        <is>
          <t>2026-10-22</t>
        </is>
      </c>
      <c r="G28" s="14" t="inlineStr">
        <is>
          <t>公司披露</t>
        </is>
      </c>
    </row>
    <row r="29">
      <c r="A29" s="14" t="inlineStr">
        <is>
          <t>GEV1Q26</t>
        </is>
      </c>
      <c r="B29" s="14" t="inlineStr">
        <is>
          <t>GE Vernova 2026 年一季度业绩新闻稿（8-K 附件）</t>
        </is>
      </c>
      <c r="C29" s="14" t="inlineStr">
        <is>
          <t>GE Vernova</t>
        </is>
      </c>
      <c r="D29" s="14" t="inlineStr">
        <is>
          <t>2026-04-22</t>
        </is>
      </c>
      <c r="E29" s="14" t="inlineStr">
        <is>
          <t>https://www.sec.gov/Archives/edgar/data/0001996810/000199681026000063/gevpressrelease1q26.htm</t>
        </is>
      </c>
      <c r="F29" s="14" t="inlineStr">
        <is>
          <t>2026-10-22</t>
        </is>
      </c>
      <c r="G29" s="14" t="inlineStr">
        <is>
          <t>公司披露</t>
        </is>
      </c>
    </row>
    <row r="30">
      <c r="A30" s="14" t="inlineStr">
        <is>
          <t>GEV4Q25</t>
        </is>
      </c>
      <c r="B30" s="14" t="inlineStr">
        <is>
          <t>GE Vernova 2025 年四季度及全年业绩新闻稿</t>
        </is>
      </c>
      <c r="C30" s="14" t="inlineStr">
        <is>
          <t>GE Vernova</t>
        </is>
      </c>
      <c r="D30" s="14" t="inlineStr">
        <is>
          <t>2026-01-28</t>
        </is>
      </c>
      <c r="E30" s="14" t="inlineStr">
        <is>
          <t>https://www.gevernova.com/news/articles/ge-vernova-releases-fourth-quarter-full-year-2025-financial</t>
        </is>
      </c>
      <c r="F30" s="14" t="inlineStr">
        <is>
          <t>2026-10-22</t>
        </is>
      </c>
      <c r="G30" s="14" t="inlineStr">
        <is>
          <t>公司披露</t>
        </is>
      </c>
    </row>
    <row r="31">
      <c r="A31" s="14" t="inlineStr">
        <is>
          <t>SIE_UD</t>
        </is>
      </c>
      <c r="B31" s="14" t="inlineStr">
        <is>
          <t>Utility Dive：西门子能源燃机积压订单接近 70 GW</t>
        </is>
      </c>
      <c r="C31" s="14" t="inlineStr">
        <is>
          <t>Utility Dive</t>
        </is>
      </c>
      <c r="D31" s="14" t="inlineStr">
        <is>
          <t>2026-08-10</t>
        </is>
      </c>
      <c r="E31" s="14" t="inlineStr">
        <is>
          <t>https://www.utilitydive.com/news/siemens-gas-turbine-backlog-nears-70-gw-as-company-expands-manufacturing/827390/</t>
        </is>
      </c>
      <c r="F31" s="14" t="inlineStr">
        <is>
          <t>2026-10-22</t>
        </is>
      </c>
      <c r="G31" s="14" t="inlineStr">
        <is>
          <t>媒体（二手）</t>
        </is>
      </c>
    </row>
    <row r="32">
      <c r="A32" s="14" t="inlineStr">
        <is>
          <t>MHI_UD</t>
        </is>
      </c>
      <c r="B32" s="14" t="inlineStr">
        <is>
          <t>Utility Dive：三菱重工燃机积压订单报道</t>
        </is>
      </c>
      <c r="C32" s="14" t="inlineStr">
        <is>
          <t>Utility Dive</t>
        </is>
      </c>
      <c r="D32" s="14" t="inlineStr">
        <is>
          <t>2026-08-13</t>
        </is>
      </c>
      <c r="E32" s="14" t="inlineStr">
        <is>
          <t>https://www.utilitydive.com/news/mitsubishi-gas-turbine-backlog-earnings/827761/</t>
        </is>
      </c>
      <c r="F32" s="14" t="inlineStr">
        <is>
          <t>2026-10-22</t>
        </is>
      </c>
      <c r="G32" s="14" t="inlineStr">
        <is>
          <t>媒体（二手）</t>
        </is>
      </c>
    </row>
    <row r="33">
      <c r="A33" s="14" t="inlineStr">
        <is>
          <t>WM_GT</t>
        </is>
      </c>
      <c r="B33" s="14" t="inlineStr">
        <is>
          <t>Wood Mackenzie 新闻稿：燃气轮机价格较 2019 年上涨 195%</t>
        </is>
      </c>
      <c r="C33" s="14" t="inlineStr">
        <is>
          <t>Wood Mackenzie</t>
        </is>
      </c>
      <c r="D33" s="14" t="inlineStr">
        <is>
          <t>2026-04-01</t>
        </is>
      </c>
      <c r="E33" s="14" t="inlineStr">
        <is>
          <t>https://www.woodmac.com/press-releases/gas-turbine-prices-soar-195-as-market-faces-supply-demand-crisis/</t>
        </is>
      </c>
      <c r="F33" s="14" t="inlineStr">
        <is>
          <t>2026-10-22</t>
        </is>
      </c>
      <c r="G33" s="14" t="inlineStr">
        <is>
          <t>第三方研究</t>
        </is>
      </c>
    </row>
    <row r="34">
      <c r="A34" s="14" t="inlineStr">
        <is>
          <t>NEE_CEO</t>
        </is>
      </c>
      <c r="B34" s="14" t="inlineStr">
        <is>
          <t>Power Engineering：NextEra CEO 谈燃气电站造价（CERAWeek 发言）</t>
        </is>
      </c>
      <c r="C34" s="14" t="inlineStr">
        <is>
          <t>Power Engineering</t>
        </is>
      </c>
      <c r="D34" s="14" t="inlineStr">
        <is>
          <t>2025-03-10</t>
        </is>
      </c>
      <c r="E34" s="14" t="inlineStr">
        <is>
          <t>https://www.power-eng.com/renewables/nextera-ceo-warns-against-scorning-renewable-generation-amidst-long-lead-times-for-gas-and-nuclear-development/</t>
        </is>
      </c>
      <c r="F34" s="14" t="inlineStr">
        <is>
          <t>2026-10-22</t>
        </is>
      </c>
      <c r="G34" s="14" t="inlineStr">
        <is>
          <t>媒体（二手）</t>
        </is>
      </c>
    </row>
    <row r="35">
      <c r="A35" s="14" t="inlineStr">
        <is>
          <t>BNEF_CC</t>
        </is>
      </c>
      <c r="B35" s="14" t="inlineStr">
        <is>
          <t>Hoodline 转述 BloombergNEF：美国燃气联合循环造价上涨 66%</t>
        </is>
      </c>
      <c r="C35" s="14" t="inlineStr">
        <is>
          <t>Hoodline / BloombergNEF</t>
        </is>
      </c>
      <c r="D35" s="14" t="inlineStr">
        <is>
          <t>2026-04-23</t>
        </is>
      </c>
      <c r="E35" s="14" t="inlineStr">
        <is>
          <t>https://hoodline.com/2026/04/sticker-shock-as-u-s-gas-plant-costs-soar-66-percent/</t>
        </is>
      </c>
      <c r="F35" s="14" t="inlineStr">
        <is>
          <t>2026-10-22</t>
        </is>
      </c>
      <c r="G35" s="14" t="inlineStr">
        <is>
          <t>媒体（二手）</t>
        </is>
      </c>
    </row>
    <row r="36">
      <c r="A36" s="14" t="inlineStr">
        <is>
          <t>LAZ25</t>
        </is>
      </c>
      <c r="B36" s="14" t="inlineStr">
        <is>
          <t>Lazard《平准化度电成本+》2025 年版（经 pv magazine、Mercom 报道）</t>
        </is>
      </c>
      <c r="C36" s="14" t="inlineStr">
        <is>
          <t>Lazard</t>
        </is>
      </c>
      <c r="D36" s="14" t="inlineStr">
        <is>
          <t>2025-06-16</t>
        </is>
      </c>
      <c r="E36" s="14" t="inlineStr">
        <is>
          <t>https://www.lazard.com/news-announcements/lazard-releases-2025-levelized-cost-of-energyplus-report-pr/</t>
        </is>
      </c>
      <c r="F36" s="14" t="inlineStr">
        <is>
          <t>2026-10-22</t>
        </is>
      </c>
      <c r="G36" s="14" t="inlineStr">
        <is>
          <t>第三方研究（数值来自二手报道）</t>
        </is>
      </c>
    </row>
    <row r="37">
      <c r="A37" s="14" t="inlineStr">
        <is>
          <t>LAZ26</t>
        </is>
      </c>
      <c r="B37" s="14" t="inlineStr">
        <is>
          <t>Lazard《平准化度电成本+》2026 年版（经 Utility Dive、pv magazine 报道）</t>
        </is>
      </c>
      <c r="C37" s="14" t="inlineStr">
        <is>
          <t>Lazard</t>
        </is>
      </c>
      <c r="D37" s="14" t="inlineStr">
        <is>
          <t>2026-07-13</t>
        </is>
      </c>
      <c r="E37" s="14" t="inlineStr">
        <is>
          <t>https://lazard.com/news-announcements/lazard-releases-2026-levelized-cost-of-energyplus-report-pr/</t>
        </is>
      </c>
      <c r="F37" s="14" t="inlineStr">
        <is>
          <t>2026-10-22</t>
        </is>
      </c>
      <c r="G37" s="14" t="inlineStr">
        <is>
          <t>第三方研究（数值来自二手报道）</t>
        </is>
      </c>
    </row>
    <row r="38">
      <c r="A38" s="14" t="inlineStr">
        <is>
          <t>WM_TX</t>
        </is>
      </c>
      <c r="B38" s="14" t="inlineStr">
        <is>
          <t>Wood Mackenzie 新闻稿：2025 年电力变压器供应缺口 30%</t>
        </is>
      </c>
      <c r="C38" s="14" t="inlineStr">
        <is>
          <t>Wood Mackenzie</t>
        </is>
      </c>
      <c r="D38" s="14" t="inlineStr">
        <is>
          <t>2025-08-14</t>
        </is>
      </c>
      <c r="E38" s="14" t="inlineStr">
        <is>
          <t>https://www.woodmac.com/press-releases/power-transformers-and-distribution-transformers-will-face-supply-deficits-of-30-and-10-in-2025/</t>
        </is>
      </c>
      <c r="F38" s="14" t="inlineStr">
        <is>
          <t>2026-10-22</t>
        </is>
      </c>
      <c r="G38" s="14" t="inlineStr">
        <is>
          <t>第三方研究</t>
        </is>
      </c>
    </row>
    <row r="39">
      <c r="A39" s="14" t="inlineStr">
        <is>
          <t>POWER_TX</t>
        </is>
      </c>
      <c r="B39" s="14" t="inlineStr">
        <is>
          <t>POWER 杂志：2026 年的变压器（引用 Wood Mackenzie 交期与价格数据）</t>
        </is>
      </c>
      <c r="C39" s="14" t="inlineStr">
        <is>
          <t>POWER</t>
        </is>
      </c>
      <c r="D39" s="14" t="inlineStr">
        <is>
          <t>2026-01</t>
        </is>
      </c>
      <c r="E39" s="14" t="inlineStr">
        <is>
          <t>https://www.powermag.com/transformers-in-2026-shortage-scramble-or-self-inflicted-crisis/</t>
        </is>
      </c>
      <c r="F39" s="14" t="inlineStr">
        <is>
          <t>2026-10-22</t>
        </is>
      </c>
      <c r="G39" s="14" t="inlineStr">
        <is>
          <t>媒体（二手）</t>
        </is>
      </c>
    </row>
    <row r="40">
      <c r="A40" s="14" t="inlineStr">
        <is>
          <t>JLL26</t>
        </is>
      </c>
      <c r="B40" s="14" t="inlineStr">
        <is>
          <t>JLL《2026 全球数据中心展望》</t>
        </is>
      </c>
      <c r="C40" s="14" t="inlineStr">
        <is>
          <t>JLL</t>
        </is>
      </c>
      <c r="D40" s="14" t="inlineStr">
        <is>
          <t>2026-01-05</t>
        </is>
      </c>
      <c r="E40" s="14" t="inlineStr">
        <is>
          <t>https://www.jll.com/en-us/insights/market-outlook/data-center-outlook</t>
        </is>
      </c>
      <c r="F40" s="14" t="inlineStr">
        <is>
          <t>2026-10-22</t>
        </is>
      </c>
      <c r="G40" s="14" t="inlineStr">
        <is>
          <t>第三方研究</t>
        </is>
      </c>
    </row>
    <row r="41">
      <c r="A41" s="14" t="inlineStr">
        <is>
          <t>CW26</t>
        </is>
      </c>
      <c r="B41" s="14" t="inlineStr">
        <is>
          <t>Cushman &amp; Wakefield《2026 美国数据中心开发成本指南》</t>
        </is>
      </c>
      <c r="C41" s="14" t="inlineStr">
        <is>
          <t>Cushman &amp; Wakefield</t>
        </is>
      </c>
      <c r="D41" s="14" t="inlineStr">
        <is>
          <t>2026（年度版）</t>
        </is>
      </c>
      <c r="E41" s="14" t="inlineStr">
        <is>
          <t>https://www.cushmanwakefield.com/en/united-states/insights/data-center-development-cost-guide</t>
        </is>
      </c>
      <c r="F41" s="14" t="inlineStr">
        <is>
          <t>2026-10-22</t>
        </is>
      </c>
      <c r="G41" s="14" t="inlineStr">
        <is>
          <t>第三方研究</t>
        </is>
      </c>
    </row>
    <row r="42">
      <c r="A42" s="14" t="inlineStr">
        <is>
          <t>NV800</t>
        </is>
      </c>
      <c r="B42" s="14" t="inlineStr">
        <is>
          <t>NVIDIA 技术博客：800 V 高压直流架构将为下一代 AI 工厂供电</t>
        </is>
      </c>
      <c r="C42" s="14" t="inlineStr">
        <is>
          <t>NVIDIA</t>
        </is>
      </c>
      <c r="D42" s="14" t="inlineStr">
        <is>
          <t>2025-05-20</t>
        </is>
      </c>
      <c r="E42" s="14" t="inlineStr">
        <is>
          <t>https://developer.nvidia.com/blog/nvidia-800-v-hvdc-architecture-will-power-the-next-generation-of-ai-factories/</t>
        </is>
      </c>
      <c r="F42" s="14" t="inlineStr">
        <is>
          <t>2026-10-22</t>
        </is>
      </c>
      <c r="G42" s="14" t="inlineStr">
        <is>
          <t>公司披露</t>
        </is>
      </c>
    </row>
    <row r="43">
      <c r="A43" s="14" t="inlineStr">
        <is>
          <t>WIKI_VOG</t>
        </is>
      </c>
      <c r="B43" s="14" t="inlineStr">
        <is>
          <t>维基百科：Vogtle 核电站（引用 2024-05-29 媒体报道）</t>
        </is>
      </c>
      <c r="C43" s="14" t="inlineStr">
        <is>
          <t>Wikipedia</t>
        </is>
      </c>
      <c r="D43" s="14" t="inlineStr">
        <is>
          <t>2024-05-29（被引报道）</t>
        </is>
      </c>
      <c r="E43" s="14" t="inlineStr">
        <is>
          <t>https://en.wikipedia.org/wiki/Vogtle_Electric_Generating_Plant</t>
        </is>
      </c>
      <c r="F43" s="14" t="inlineStr">
        <is>
          <t>2026-10-22</t>
        </is>
      </c>
      <c r="G43" s="14" t="inlineStr">
        <is>
          <t>二手汇编</t>
        </is>
      </c>
    </row>
    <row r="44">
      <c r="A44" s="14" t="inlineStr">
        <is>
          <t>WIKI_TMI</t>
        </is>
      </c>
      <c r="B44" s="14" t="inlineStr">
        <is>
          <t>维基百科：三哩岛核电站（引用 BBC 2024-09-20 报道）</t>
        </is>
      </c>
      <c r="C44" s="14" t="inlineStr">
        <is>
          <t>Wikipedia</t>
        </is>
      </c>
      <c r="D44" s="14" t="inlineStr">
        <is>
          <t>2024-09-20（被引报道）</t>
        </is>
      </c>
      <c r="E44" s="14" t="inlineStr">
        <is>
          <t>https://en.wikipedia.org/wiki/Three_Mile_Island_Nuclear_Generating_Station</t>
        </is>
      </c>
      <c r="F44" s="14" t="inlineStr">
        <is>
          <t>2026-10-22</t>
        </is>
      </c>
      <c r="G44" s="14" t="inlineStr">
        <is>
          <t>二手汇编</t>
        </is>
      </c>
    </row>
    <row r="45">
      <c r="A45" s="14" t="inlineStr">
        <is>
          <t>OWID26</t>
        </is>
      </c>
      <c r="B45" s="14" t="inlineStr">
        <is>
          <t>Our World in Data：数据中心和人工智能用多少电（图表数据来源 IEA 2026）</t>
        </is>
      </c>
      <c r="C45" s="14" t="inlineStr">
        <is>
          <t>Our World in Data</t>
        </is>
      </c>
      <c r="D45" s="14" t="inlineStr">
        <is>
          <t>2026-07-20</t>
        </is>
      </c>
      <c r="E45" s="14" t="inlineStr">
        <is>
          <t>https://ourworldindata.org/how-much-energy-do-data-centers-and-artificial-intelligence-use</t>
        </is>
      </c>
      <c r="F45" s="14" t="inlineStr">
        <is>
          <t>2026-10-22</t>
        </is>
      </c>
      <c r="G45" s="14" t="inlineStr">
        <is>
          <t>二手汇编</t>
        </is>
      </c>
    </row>
    <row r="46">
      <c r="A46" s="14" t="inlineStr">
        <is>
          <t>CALC</t>
        </is>
      </c>
      <c r="B46" s="14" t="inlineStr">
        <is>
          <t>本表计算（公式见单元格）</t>
        </is>
      </c>
      <c r="C46" s="14" t="inlineStr">
        <is>
          <t>本研究</t>
        </is>
      </c>
      <c r="D46" s="14" t="inlineStr">
        <is>
          <t>2026-10-22</t>
        </is>
      </c>
      <c r="E46" s="14" t="inlineStr">
        <is>
          <t>数据表.xlsx 内公式</t>
        </is>
      </c>
      <c r="F46" s="14" t="inlineStr">
        <is>
          <t>—</t>
        </is>
      </c>
      <c r="G46" s="14" t="inlineStr">
        <is>
          <t>计算</t>
        </is>
      </c>
    </row>
    <row r="47">
      <c r="A47" s="14" t="inlineStr">
        <is>
          <t>ASSUME</t>
        </is>
      </c>
      <c r="B47" s="14" t="inlineStr">
        <is>
          <t>本研究假设（见“假设”工作表）</t>
        </is>
      </c>
      <c r="C47" s="14" t="inlineStr">
        <is>
          <t>本研究</t>
        </is>
      </c>
      <c r="D47" s="14" t="inlineStr">
        <is>
          <t>2026-10-22</t>
        </is>
      </c>
      <c r="E47" s="14" t="inlineStr">
        <is>
          <t>数据表.xlsx / 假设</t>
        </is>
      </c>
      <c r="F47" s="14" t="inlineStr">
        <is>
          <t>—</t>
        </is>
      </c>
      <c r="G47" s="14" t="inlineStr">
        <is>
          <t>假设</t>
        </is>
      </c>
    </row>
    <row r="48">
      <c r="A48" s="14" t="inlineStr">
        <is>
          <t>MSFT24Q3</t>
        </is>
      </c>
      <c r="B48" s="14" t="inlineStr">
        <is>
          <t>微软 FY24 Q3 业绩电话会（投资者关系页）</t>
        </is>
      </c>
      <c r="C48" s="14" t="inlineStr">
        <is>
          <t>Microsoft</t>
        </is>
      </c>
      <c r="D48" s="14" t="inlineStr">
        <is>
          <t>2024-04-25</t>
        </is>
      </c>
      <c r="E48" s="14" t="inlineStr">
        <is>
          <t>https://www.microsoft.com/en-us/investor/events/fy-2024/earnings-fy-2024-q3</t>
        </is>
      </c>
      <c r="F48" s="14" t="inlineStr">
        <is>
          <t>2026-10-22</t>
        </is>
      </c>
      <c r="G48" s="14" t="inlineStr">
        <is>
          <t>公司披露</t>
        </is>
      </c>
    </row>
    <row r="49">
      <c r="A49" s="14" t="inlineStr">
        <is>
          <t>MSFT24Q4</t>
        </is>
      </c>
      <c r="B49" s="14" t="inlineStr">
        <is>
          <t>微软 FY24 Q4 业绩电话会</t>
        </is>
      </c>
      <c r="C49" s="14" t="inlineStr">
        <is>
          <t>Microsoft</t>
        </is>
      </c>
      <c r="D49" s="14" t="inlineStr">
        <is>
          <t>2024-07-30</t>
        </is>
      </c>
      <c r="E49" s="14" t="inlineStr">
        <is>
          <t>https://www.microsoft.com/en-us/investor/events/fy-2024/earnings-fy-2024-q4</t>
        </is>
      </c>
      <c r="F49" s="14" t="inlineStr">
        <is>
          <t>2026-10-22</t>
        </is>
      </c>
      <c r="G49" s="14" t="inlineStr">
        <is>
          <t>公司披露</t>
        </is>
      </c>
    </row>
    <row r="50">
      <c r="A50" s="14" t="inlineStr">
        <is>
          <t>MSFT25Q1</t>
        </is>
      </c>
      <c r="B50" s="14" t="inlineStr">
        <is>
          <t>微软 FY25 Q1 业绩电话会</t>
        </is>
      </c>
      <c r="C50" s="14" t="inlineStr">
        <is>
          <t>Microsoft</t>
        </is>
      </c>
      <c r="D50" s="14" t="inlineStr">
        <is>
          <t>2024-10-30</t>
        </is>
      </c>
      <c r="E50" s="14" t="inlineStr">
        <is>
          <t>https://www.microsoft.com/en-us/investor/events/fy-2025/earnings-fy-2025-q1</t>
        </is>
      </c>
      <c r="F50" s="14" t="inlineStr">
        <is>
          <t>2026-10-22</t>
        </is>
      </c>
      <c r="G50" s="14" t="inlineStr">
        <is>
          <t>公司披露</t>
        </is>
      </c>
    </row>
    <row r="51">
      <c r="A51" s="14" t="inlineStr">
        <is>
          <t>MSFT25Q2</t>
        </is>
      </c>
      <c r="B51" s="14" t="inlineStr">
        <is>
          <t>微软 FY25 Q2 业绩电话会</t>
        </is>
      </c>
      <c r="C51" s="14" t="inlineStr">
        <is>
          <t>Microsoft</t>
        </is>
      </c>
      <c r="D51" s="14" t="inlineStr">
        <is>
          <t>2025-01-29</t>
        </is>
      </c>
      <c r="E51" s="14" t="inlineStr">
        <is>
          <t>https://www.microsoft.com/en-us/investor/events/fy-2025/earnings-fy-2025-q2</t>
        </is>
      </c>
      <c r="F51" s="14" t="inlineStr">
        <is>
          <t>2026-10-22</t>
        </is>
      </c>
      <c r="G51" s="14" t="inlineStr">
        <is>
          <t>公司披露</t>
        </is>
      </c>
    </row>
    <row r="52">
      <c r="A52" s="14" t="inlineStr">
        <is>
          <t>MSFT25Q3</t>
        </is>
      </c>
      <c r="B52" s="14" t="inlineStr">
        <is>
          <t>微软 FY25 Q3 业绩电话会</t>
        </is>
      </c>
      <c r="C52" s="14" t="inlineStr">
        <is>
          <t>Microsoft</t>
        </is>
      </c>
      <c r="D52" s="14" t="inlineStr">
        <is>
          <t>2025-04-30</t>
        </is>
      </c>
      <c r="E52" s="14" t="inlineStr">
        <is>
          <t>https://www.microsoft.com/en-us/investor/events/fy-2025/earnings-fy-2025-q3</t>
        </is>
      </c>
      <c r="F52" s="14" t="inlineStr">
        <is>
          <t>2026-10-22</t>
        </is>
      </c>
      <c r="G52" s="14" t="inlineStr">
        <is>
          <t>公司披露</t>
        </is>
      </c>
    </row>
    <row r="53">
      <c r="A53" s="14" t="inlineStr">
        <is>
          <t>MSFT25Q4</t>
        </is>
      </c>
      <c r="B53" s="14" t="inlineStr">
        <is>
          <t>微软 FY25 Q4 业绩电话会</t>
        </is>
      </c>
      <c r="C53" s="14" t="inlineStr">
        <is>
          <t>Microsoft</t>
        </is>
      </c>
      <c r="D53" s="14" t="inlineStr">
        <is>
          <t>2025-07-30</t>
        </is>
      </c>
      <c r="E53" s="14" t="inlineStr">
        <is>
          <t>https://www.microsoft.com/en-us/investor/events/fy-2025/earnings-fy-2025-q4</t>
        </is>
      </c>
      <c r="F53" s="14" t="inlineStr">
        <is>
          <t>2026-10-22</t>
        </is>
      </c>
      <c r="G53" s="14" t="inlineStr">
        <is>
          <t>公司披露</t>
        </is>
      </c>
    </row>
    <row r="54">
      <c r="A54" s="14" t="inlineStr">
        <is>
          <t>MSFT26Q1</t>
        </is>
      </c>
      <c r="B54" s="14" t="inlineStr">
        <is>
          <t>微软 FY26 Q1 业绩电话会</t>
        </is>
      </c>
      <c r="C54" s="14" t="inlineStr">
        <is>
          <t>Microsoft</t>
        </is>
      </c>
      <c r="D54" s="14" t="inlineStr">
        <is>
          <t>2025-10-29</t>
        </is>
      </c>
      <c r="E54" s="14" t="inlineStr">
        <is>
          <t>https://www.microsoft.com/en-us/investor/events/fy-2026/earnings-fy-2026-q1</t>
        </is>
      </c>
      <c r="F54" s="14" t="inlineStr">
        <is>
          <t>2026-10-22</t>
        </is>
      </c>
      <c r="G54" s="14" t="inlineStr">
        <is>
          <t>公司披露</t>
        </is>
      </c>
    </row>
    <row r="55">
      <c r="A55" s="14" t="inlineStr">
        <is>
          <t>MSFT26Q2</t>
        </is>
      </c>
      <c r="B55" s="14" t="inlineStr">
        <is>
          <t>微软 FY26 Q2 业绩电话会</t>
        </is>
      </c>
      <c r="C55" s="14" t="inlineStr">
        <is>
          <t>Microsoft</t>
        </is>
      </c>
      <c r="D55" s="14" t="inlineStr">
        <is>
          <t>2026-01-28</t>
        </is>
      </c>
      <c r="E55" s="14" t="inlineStr">
        <is>
          <t>https://www.microsoft.com/en-us/investor/events/fy-2026/earnings-fy-2026-q2</t>
        </is>
      </c>
      <c r="F55" s="14" t="inlineStr">
        <is>
          <t>2026-10-22</t>
        </is>
      </c>
      <c r="G55" s="14" t="inlineStr">
        <is>
          <t>公司披露</t>
        </is>
      </c>
    </row>
    <row r="56">
      <c r="A56" s="14" t="inlineStr">
        <is>
          <t>MSFT26Q3</t>
        </is>
      </c>
      <c r="B56" s="14" t="inlineStr">
        <is>
          <t>微软 FY26 Q3 业绩电话会</t>
        </is>
      </c>
      <c r="C56" s="14" t="inlineStr">
        <is>
          <t>Microsoft</t>
        </is>
      </c>
      <c r="D56" s="14" t="inlineStr">
        <is>
          <t>2026-04-29</t>
        </is>
      </c>
      <c r="E56" s="14" t="inlineStr">
        <is>
          <t>https://www.microsoft.com/en-us/investor/events/fy-2026/earnings-fy-2026-q3</t>
        </is>
      </c>
      <c r="F56" s="14" t="inlineStr">
        <is>
          <t>2026-10-22</t>
        </is>
      </c>
      <c r="G56" s="14" t="inlineStr">
        <is>
          <t>公司披露</t>
        </is>
      </c>
    </row>
    <row r="57">
      <c r="A57" s="14" t="inlineStr">
        <is>
          <t>MSFT26Q4</t>
        </is>
      </c>
      <c r="B57" s="14" t="inlineStr">
        <is>
          <t>微软 FY26 Q4 业绩电话会</t>
        </is>
      </c>
      <c r="C57" s="14" t="inlineStr">
        <is>
          <t>Microsoft</t>
        </is>
      </c>
      <c r="D57" s="14" t="inlineStr">
        <is>
          <t>2026-07-29</t>
        </is>
      </c>
      <c r="E57" s="14" t="inlineStr">
        <is>
          <t>https://www.microsoft.com/en-us/investor/events/fy-2026/earnings-fy-2026-q4</t>
        </is>
      </c>
      <c r="F57" s="14" t="inlineStr">
        <is>
          <t>2026-10-22</t>
        </is>
      </c>
      <c r="G57" s="14" t="inlineStr">
        <is>
          <t>公司披露</t>
        </is>
      </c>
    </row>
    <row r="58">
      <c r="A58" s="14" t="inlineStr">
        <is>
          <t>GOOG25Q4</t>
        </is>
      </c>
      <c r="B58" s="14" t="inlineStr">
        <is>
          <t>Alphabet 2025 年四季度及全年业绩（8-K 附件 99.1）</t>
        </is>
      </c>
      <c r="C58" s="14" t="inlineStr">
        <is>
          <t>Alphabet</t>
        </is>
      </c>
      <c r="D58" s="14" t="inlineStr">
        <is>
          <t>2026-02-04</t>
        </is>
      </c>
      <c r="E58" s="14" t="inlineStr">
        <is>
          <t>https://www.sec.gov/Archives/edgar/data/1652044/000165204426000012/googexhibit991q42025.htm</t>
        </is>
      </c>
      <c r="F58" s="14" t="inlineStr">
        <is>
          <t>2026-10-22</t>
        </is>
      </c>
      <c r="G58" s="14" t="inlineStr">
        <is>
          <t>公司披露</t>
        </is>
      </c>
    </row>
    <row r="59">
      <c r="A59" s="14" t="inlineStr">
        <is>
          <t>GOOG26Q1</t>
        </is>
      </c>
      <c r="B59" s="14" t="inlineStr">
        <is>
          <t>Alphabet 2026 年一季度业绩（8-K 附件 99.1）</t>
        </is>
      </c>
      <c r="C59" s="14" t="inlineStr">
        <is>
          <t>Alphabet</t>
        </is>
      </c>
      <c r="D59" s="14" t="inlineStr">
        <is>
          <t>2026-04-29</t>
        </is>
      </c>
      <c r="E59" s="14" t="inlineStr">
        <is>
          <t>https://www.sec.gov/Archives/edgar/data/0001652044/000165204426000043/googexhibit991q12026.htm</t>
        </is>
      </c>
      <c r="F59" s="14" t="inlineStr">
        <is>
          <t>2026-10-22</t>
        </is>
      </c>
      <c r="G59" s="14" t="inlineStr">
        <is>
          <t>公司披露</t>
        </is>
      </c>
    </row>
    <row r="60">
      <c r="A60" s="14" t="inlineStr">
        <is>
          <t>GOOG26Q2</t>
        </is>
      </c>
      <c r="B60" s="14" t="inlineStr">
        <is>
          <t>Alphabet 2026 年二季度业绩（8-K 附件 99.1）及业绩电话会</t>
        </is>
      </c>
      <c r="C60" s="14" t="inlineStr">
        <is>
          <t>Alphabet</t>
        </is>
      </c>
      <c r="D60" s="14" t="inlineStr">
        <is>
          <t>2026-07-22</t>
        </is>
      </c>
      <c r="E60" s="14" t="inlineStr">
        <is>
          <t>https://www.sec.gov/Archives/edgar/data/0001652044/000165204426000066/googexhibit991q22026.htm</t>
        </is>
      </c>
      <c r="F60" s="14" t="inlineStr">
        <is>
          <t>2026-10-22</t>
        </is>
      </c>
      <c r="G60" s="14" t="inlineStr">
        <is>
          <t>公司披露</t>
        </is>
      </c>
    </row>
    <row r="61">
      <c r="A61" s="14" t="inlineStr">
        <is>
          <t>AMZN25Q4</t>
        </is>
      </c>
      <c r="B61" s="14" t="inlineStr">
        <is>
          <t>亚马逊 2025 年四季度业绩（8-K 附件 99.1）</t>
        </is>
      </c>
      <c r="C61" s="14" t="inlineStr">
        <is>
          <t>Amazon</t>
        </is>
      </c>
      <c r="D61" s="14" t="inlineStr">
        <is>
          <t>2026-02-05</t>
        </is>
      </c>
      <c r="E61" s="14" t="inlineStr">
        <is>
          <t>https://www.sec.gov/Archives/edgar/data/1018724/000101872426000002/amzn-20251231xex991.htm</t>
        </is>
      </c>
      <c r="F61" s="14" t="inlineStr">
        <is>
          <t>2026-10-22</t>
        </is>
      </c>
      <c r="G61" s="14" t="inlineStr">
        <is>
          <t>公司披露</t>
        </is>
      </c>
    </row>
    <row r="62">
      <c r="A62" s="14" t="inlineStr">
        <is>
          <t>AMZN26Q1</t>
        </is>
      </c>
      <c r="B62" s="14" t="inlineStr">
        <is>
          <t>亚马逊 2026 年一季度业绩（8-K 附件 99.1）</t>
        </is>
      </c>
      <c r="C62" s="14" t="inlineStr">
        <is>
          <t>Amazon</t>
        </is>
      </c>
      <c r="D62" s="14" t="inlineStr">
        <is>
          <t>2026-04-29</t>
        </is>
      </c>
      <c r="E62" s="14" t="inlineStr">
        <is>
          <t>https://www.sec.gov/Archives/edgar/data/0001018724/000101872426000012/amzn-20260331xex991.htm</t>
        </is>
      </c>
      <c r="F62" s="14" t="inlineStr">
        <is>
          <t>2026-10-22</t>
        </is>
      </c>
      <c r="G62" s="14" t="inlineStr">
        <is>
          <t>公司披露</t>
        </is>
      </c>
    </row>
    <row r="63">
      <c r="A63" s="14" t="inlineStr">
        <is>
          <t>AMZN26Q2</t>
        </is>
      </c>
      <c r="B63" s="14" t="inlineStr">
        <is>
          <t>亚马逊 2026 年二季度业绩（8-K 附件 99.1）</t>
        </is>
      </c>
      <c r="C63" s="14" t="inlineStr">
        <is>
          <t>Amazon</t>
        </is>
      </c>
      <c r="D63" s="14" t="inlineStr">
        <is>
          <t>2026-07-30</t>
        </is>
      </c>
      <c r="E63" s="14" t="inlineStr">
        <is>
          <t>https://www.sec.gov/Archives/edgar/data/0001018724/000101872426000024/amzn-20260630xex991.htm</t>
        </is>
      </c>
      <c r="F63" s="14" t="inlineStr">
        <is>
          <t>2026-10-22</t>
        </is>
      </c>
      <c r="G63" s="14" t="inlineStr">
        <is>
          <t>公司披露</t>
        </is>
      </c>
    </row>
    <row r="64">
      <c r="A64" s="14" t="inlineStr">
        <is>
          <t>AMZN26Q2C</t>
        </is>
      </c>
      <c r="B64" s="14" t="inlineStr">
        <is>
          <t>亚马逊 2026 年二季度业绩电话会文字记录（Motley Fool，经 Webull 转载）</t>
        </is>
      </c>
      <c r="C64" s="14" t="inlineStr">
        <is>
          <t>Motley Fool / Webull</t>
        </is>
      </c>
      <c r="D64" s="14" t="inlineStr">
        <is>
          <t>2026-07-30</t>
        </is>
      </c>
      <c r="E64" s="14" t="inlineStr">
        <is>
          <t>https://www.webull.com/news/15364638750483456</t>
        </is>
      </c>
      <c r="F64" s="14" t="inlineStr">
        <is>
          <t>2026-10-22</t>
        </is>
      </c>
      <c r="G64" s="14" t="inlineStr">
        <is>
          <t>媒体（二手）</t>
        </is>
      </c>
    </row>
    <row r="65">
      <c r="A65" s="14" t="inlineStr">
        <is>
          <t>META25Q4</t>
        </is>
      </c>
      <c r="B65" s="14" t="inlineStr">
        <is>
          <t>Meta 2025 年四季度及全年业绩新闻稿</t>
        </is>
      </c>
      <c r="C65" s="14" t="inlineStr">
        <is>
          <t>Meta</t>
        </is>
      </c>
      <c r="D65" s="14" t="inlineStr">
        <is>
          <t>2026-01-28</t>
        </is>
      </c>
      <c r="E65" s="14" t="inlineStr">
        <is>
          <t>https://investor.atmeta.com/investor-news/press-release-details/2026/Meta-Reports-Fourth-Quarter-and-Full-Year-2025-Results/default.aspx</t>
        </is>
      </c>
      <c r="F65" s="14" t="inlineStr">
        <is>
          <t>2026-10-22</t>
        </is>
      </c>
      <c r="G65" s="14" t="inlineStr">
        <is>
          <t>公司披露</t>
        </is>
      </c>
    </row>
    <row r="66">
      <c r="A66" s="14" t="inlineStr">
        <is>
          <t>META26Q1</t>
        </is>
      </c>
      <c r="B66" s="14" t="inlineStr">
        <is>
          <t>Meta 2026 年一季度业绩新闻稿</t>
        </is>
      </c>
      <c r="C66" s="14" t="inlineStr">
        <is>
          <t>Meta</t>
        </is>
      </c>
      <c r="D66" s="14" t="inlineStr">
        <is>
          <t>2026-04-29</t>
        </is>
      </c>
      <c r="E66" s="14" t="inlineStr">
        <is>
          <t>https://investor.atmeta.com/investor-news/press-release-details/2026/Meta-Reports-First-Quarter-2026-Results/default.aspx</t>
        </is>
      </c>
      <c r="F66" s="14" t="inlineStr">
        <is>
          <t>2026-10-22</t>
        </is>
      </c>
      <c r="G66" s="14" t="inlineStr">
        <is>
          <t>公司披露</t>
        </is>
      </c>
    </row>
    <row r="67">
      <c r="A67" s="14" t="inlineStr">
        <is>
          <t>META26Q2</t>
        </is>
      </c>
      <c r="B67" s="14" t="inlineStr">
        <is>
          <t>Meta 2026 年二季度业绩新闻稿</t>
        </is>
      </c>
      <c r="C67" s="14" t="inlineStr">
        <is>
          <t>Meta</t>
        </is>
      </c>
      <c r="D67" s="14" t="inlineStr">
        <is>
          <t>2026-07-29</t>
        </is>
      </c>
      <c r="E67" s="14" t="inlineStr">
        <is>
          <t>https://investor.atmeta.com/investor-news/press-release-details/2026/Meta-Reports-Second-Quarter-2026-Results/default.aspx</t>
        </is>
      </c>
      <c r="F67" s="14" t="inlineStr">
        <is>
          <t>2026-10-22</t>
        </is>
      </c>
      <c r="G67" s="14" t="inlineStr">
        <is>
          <t>公司披露</t>
        </is>
      </c>
    </row>
    <row r="68">
      <c r="A68" s="14" t="inlineStr">
        <is>
          <t>META26Q3</t>
        </is>
      </c>
      <c r="B68" s="14" t="inlineStr">
        <is>
          <t>Meta 2026 年三季度业绩新闻稿</t>
        </is>
      </c>
      <c r="C68" s="14" t="inlineStr">
        <is>
          <t>Meta</t>
        </is>
      </c>
      <c r="D68" s="14" t="inlineStr">
        <is>
          <t>2026-10-21</t>
        </is>
      </c>
      <c r="E68" s="14" t="inlineStr">
        <is>
          <t>https://investor.atmeta.com/investor-news/press-release-details/2026/Meta-Reports-Third-Quarter-2026-Results/default.aspx</t>
        </is>
      </c>
      <c r="F68" s="14" t="inlineStr">
        <is>
          <t>2026-10-22</t>
        </is>
      </c>
      <c r="G68" s="14" t="inlineStr">
        <is>
          <t>公司披露</t>
        </is>
      </c>
    </row>
    <row r="69">
      <c r="A69" s="14" t="inlineStr">
        <is>
          <t>ORCL10K26</t>
        </is>
      </c>
      <c r="B69" s="14" t="inlineStr">
        <is>
          <t>甲骨文 FY2026 年报 10-K（现金流量表）</t>
        </is>
      </c>
      <c r="C69" s="14" t="inlineStr">
        <is>
          <t>Oracle</t>
        </is>
      </c>
      <c r="D69" s="14" t="inlineStr">
        <is>
          <t>2026-06-22</t>
        </is>
      </c>
      <c r="E69" s="14" t="inlineStr">
        <is>
          <t>https://www.sec.gov/Archives/edgar/data/1341439/000119312526277521/R8.htm</t>
        </is>
      </c>
      <c r="F69" s="14" t="inlineStr">
        <is>
          <t>2026-10-22</t>
        </is>
      </c>
      <c r="G69" s="14" t="inlineStr">
        <is>
          <t>公司披露</t>
        </is>
      </c>
    </row>
    <row r="70">
      <c r="A70" s="14" t="inlineStr">
        <is>
          <t>ORCL27Q1</t>
        </is>
      </c>
      <c r="B70" s="14" t="inlineStr">
        <is>
          <t>甲骨文 FY27 一季度业绩（8-K 附件 99.1）</t>
        </is>
      </c>
      <c r="C70" s="14" t="inlineStr">
        <is>
          <t>Oracle</t>
        </is>
      </c>
      <c r="D70" s="14" t="inlineStr">
        <is>
          <t>2026-09-10</t>
        </is>
      </c>
      <c r="E70" s="14" t="inlineStr">
        <is>
          <t>https://www.sec.gov/Archives/edgar/data/0001341439/000119312526387905/orcl-ex99_1.htm</t>
        </is>
      </c>
      <c r="F70" s="14" t="inlineStr">
        <is>
          <t>2026-10-22</t>
        </is>
      </c>
      <c r="G70" s="14" t="inlineStr">
        <is>
          <t>公司披露</t>
        </is>
      </c>
    </row>
    <row r="71">
      <c r="A71" s="14" t="inlineStr">
        <is>
          <t>ORCL_G</t>
        </is>
      </c>
      <c r="B71" s="14" t="inlineStr">
        <is>
          <t>The Standard（香港）：甲骨文 AI 支出超预期（FY27 资本开支指引报道）</t>
        </is>
      </c>
      <c r="C71" s="14" t="inlineStr">
        <is>
          <t>The Standard</t>
        </is>
      </c>
      <c r="D71" s="14" t="inlineStr">
        <is>
          <t>2026-06-11</t>
        </is>
      </c>
      <c r="E71" s="14" t="inlineStr">
        <is>
          <t>https://www.thestandard.com.hk/finance/article/334347/Oracles-AI-spending-blows-past-estimates-raising-worries-over-growing-debt</t>
        </is>
      </c>
      <c r="F71" s="14" t="inlineStr">
        <is>
          <t>2026-10-22</t>
        </is>
      </c>
      <c r="G71" s="14" t="inlineStr">
        <is>
          <t>媒体（二手）</t>
        </is>
      </c>
    </row>
    <row r="72">
      <c r="A72" s="14" t="inlineStr">
        <is>
          <t>GOOG_OPS</t>
        </is>
      </c>
      <c r="B72" s="14" t="inlineStr">
        <is>
          <t>Google 可持续发展：运营（清洁能源合同）</t>
        </is>
      </c>
      <c r="C72" s="14" t="inlineStr">
        <is>
          <t>Google</t>
        </is>
      </c>
      <c r="D72" s="14" t="inlineStr">
        <is>
          <t>页面未标日期</t>
        </is>
      </c>
      <c r="E72" s="14" t="inlineStr">
        <is>
          <t>https://sustainability.google/operations/</t>
        </is>
      </c>
      <c r="F72" s="14" t="inlineStr">
        <is>
          <t>2026-10-22</t>
        </is>
      </c>
      <c r="G72" s="14" t="inlineStr">
        <is>
          <t>公司披露</t>
        </is>
      </c>
    </row>
    <row r="73">
      <c r="A73" s="14" t="inlineStr">
        <is>
          <t>WIKI_GDC</t>
        </is>
      </c>
      <c r="B73" s="14" t="inlineStr">
        <is>
          <t>维基百科：Google data centers（引用 Google 2025、2026 环境报告）</t>
        </is>
      </c>
      <c r="C73" s="14" t="inlineStr">
        <is>
          <t>Wikipedia</t>
        </is>
      </c>
      <c r="D73" s="14" t="inlineStr">
        <is>
          <t>2026（页面修订）</t>
        </is>
      </c>
      <c r="E73" s="14" t="inlineStr">
        <is>
          <t>https://en.wikipedia.org/wiki/Google_data_centers</t>
        </is>
      </c>
      <c r="F73" s="14" t="inlineStr">
        <is>
          <t>2026-10-22</t>
        </is>
      </c>
      <c r="G73" s="14" t="inlineStr">
        <is>
          <t>二手汇编</t>
        </is>
      </c>
    </row>
    <row r="74">
      <c r="A74" s="14" t="inlineStr">
        <is>
          <t>AMZN_CFE</t>
        </is>
      </c>
      <c r="B74" s="14" t="inlineStr">
        <is>
          <t>亚马逊可持续发展：无碳能源</t>
        </is>
      </c>
      <c r="C74" s="14" t="inlineStr">
        <is>
          <t>Amazon</t>
        </is>
      </c>
      <c r="D74" s="14" t="inlineStr">
        <is>
          <t>页面未标日期</t>
        </is>
      </c>
      <c r="E74" s="14" t="inlineStr">
        <is>
          <t>https://sustainability.aboutamazon.com/climate-solutions/carbon-free-energy</t>
        </is>
      </c>
      <c r="F74" s="14" t="inlineStr">
        <is>
          <t>2026-10-22</t>
        </is>
      </c>
      <c r="G74" s="14" t="inlineStr">
        <is>
          <t>公司披露</t>
        </is>
      </c>
    </row>
    <row r="75">
      <c r="A75" s="14" t="inlineStr">
        <is>
          <t>META_EN</t>
        </is>
      </c>
      <c r="B75" s="14" t="inlineStr">
        <is>
          <t>Meta 数据中心：能源</t>
        </is>
      </c>
      <c r="C75" s="14" t="inlineStr">
        <is>
          <t>Meta</t>
        </is>
      </c>
      <c r="D75" s="14" t="inlineStr">
        <is>
          <t>页面未标日期</t>
        </is>
      </c>
      <c r="E75" s="14" t="inlineStr">
        <is>
          <t>https://datacenters.atmeta.com/energy/</t>
        </is>
      </c>
      <c r="F75" s="14" t="inlineStr">
        <is>
          <t>2026-10-22</t>
        </is>
      </c>
      <c r="G75" s="14" t="inlineStr">
        <is>
          <t>公司披露</t>
        </is>
      </c>
    </row>
    <row r="76">
      <c r="A76" s="14" t="inlineStr">
        <is>
          <t>META_RP</t>
        </is>
      </c>
      <c r="B76" s="14" t="inlineStr">
        <is>
          <t>Meta 数据中心：Richland Parish（Hyperion）</t>
        </is>
      </c>
      <c r="C76" s="14" t="inlineStr">
        <is>
          <t>Meta</t>
        </is>
      </c>
      <c r="D76" s="14" t="inlineStr">
        <is>
          <t>页面未标日期</t>
        </is>
      </c>
      <c r="E76" s="14" t="inlineStr">
        <is>
          <t>https://datacenters.atmeta.com/richland-parish-data-center/</t>
        </is>
      </c>
      <c r="F76" s="14" t="inlineStr">
        <is>
          <t>2026-10-22</t>
        </is>
      </c>
      <c r="G76" s="14" t="inlineStr">
        <is>
          <t>公司披露</t>
        </is>
      </c>
    </row>
    <row r="77">
      <c r="A77" s="14" t="inlineStr">
        <is>
          <t>NV_OAI</t>
        </is>
      </c>
      <c r="B77" s="14" t="inlineStr">
        <is>
          <t>NVIDIA 新闻稿：OpenAI 与 NVIDIA 宣布部署 10 GW NVIDIA 系统</t>
        </is>
      </c>
      <c r="C77" s="14" t="inlineStr">
        <is>
          <t>NVIDIA</t>
        </is>
      </c>
      <c r="D77" s="14" t="inlineStr">
        <is>
          <t>2025-09-22</t>
        </is>
      </c>
      <c r="E77" s="14" t="inlineStr">
        <is>
          <t>https://nvidianews.nvidia.com/news/openai-and-nvidia-announce-strategic-partnership-to-deploy-10gw-of-nvidia-systems</t>
        </is>
      </c>
      <c r="F77" s="14" t="inlineStr">
        <is>
          <t>2026-10-22</t>
        </is>
      </c>
      <c r="G77" s="14" t="inlineStr">
        <is>
          <t>公司披露</t>
        </is>
      </c>
    </row>
    <row r="78">
      <c r="A78" s="14" t="inlineStr">
        <is>
          <t>EPOCH</t>
        </is>
      </c>
      <c r="B78" s="14" t="inlineStr">
        <is>
          <t>Epoch AI：前沿数据中心数据库与成本方法</t>
        </is>
      </c>
      <c r="C78" s="14" t="inlineStr">
        <is>
          <t>Epoch AI</t>
        </is>
      </c>
      <c r="D78" s="14" t="inlineStr">
        <is>
          <t>2026-10-20（数据库更新）</t>
        </is>
      </c>
      <c r="E78" s="14" t="inlineStr">
        <is>
          <t>https://epoch.ai/data/data-centers</t>
        </is>
      </c>
      <c r="F78" s="14" t="inlineStr">
        <is>
          <t>2026-10-22</t>
        </is>
      </c>
      <c r="G78" s="14" t="inlineStr">
        <is>
          <t>第三方研究</t>
        </is>
      </c>
    </row>
    <row r="79">
      <c r="A79" s="14" t="inlineStr">
        <is>
          <t>WIKI_SG</t>
        </is>
      </c>
      <c r="B79" s="14" t="inlineStr">
        <is>
          <t>维基百科：Stargate LLC（引用 OpenAI 2025-09-23 公告）</t>
        </is>
      </c>
      <c r="C79" s="14" t="inlineStr">
        <is>
          <t>Wikipedia</t>
        </is>
      </c>
      <c r="D79" s="14" t="inlineStr">
        <is>
          <t>2025-09-23（被引公告）</t>
        </is>
      </c>
      <c r="E79" s="14" t="inlineStr">
        <is>
          <t>https://en.wikipedia.org/wiki/Stargate_LLC</t>
        </is>
      </c>
      <c r="F79" s="14" t="inlineStr">
        <is>
          <t>2026-10-22</t>
        </is>
      </c>
      <c r="G79" s="14" t="inlineStr">
        <is>
          <t>二手汇编</t>
        </is>
      </c>
    </row>
    <row r="80">
      <c r="A80" s="14" t="inlineStr">
        <is>
          <t>ENTG25</t>
        </is>
      </c>
      <c r="B80" s="14" t="inlineStr">
        <is>
          <t>Entergy 新闻稿：路易斯安那监管委员会批准为 Meta 数据中心建设的基础设施</t>
        </is>
      </c>
      <c r="C80" s="14" t="inlineStr">
        <is>
          <t>Entergy</t>
        </is>
      </c>
      <c r="D80" s="14" t="inlineStr">
        <is>
          <t>2025-08-20</t>
        </is>
      </c>
      <c r="E80" s="14" t="inlineStr">
        <is>
          <t>https://www.entergy.com/news/entergy-louisiana-receives-lpsc-approval-for-major-infrastructure-investments-to-support-metas-data-center-and-improve-reliability</t>
        </is>
      </c>
      <c r="F80" s="14" t="inlineStr">
        <is>
          <t>2026-10-22</t>
        </is>
      </c>
      <c r="G80" s="14" t="inlineStr">
        <is>
          <t>公司披露</t>
        </is>
      </c>
    </row>
    <row r="81">
      <c r="A81" s="14" t="inlineStr">
        <is>
          <t>ENTG26</t>
        </is>
      </c>
      <c r="B81" s="14" t="inlineStr">
        <is>
          <t>Entergy 新闻稿：与 Meta 签署新协议（Evest 扩建）</t>
        </is>
      </c>
      <c r="C81" s="14" t="inlineStr">
        <is>
          <t>Entergy</t>
        </is>
      </c>
      <c r="D81" s="14" t="inlineStr">
        <is>
          <t>2026-03-27</t>
        </is>
      </c>
      <c r="E81" s="14" t="inlineStr">
        <is>
          <t>https://www.entergy.com/news/entergy-louisiana-announces-a-new-agreement-with-meta-that-will-deliver-an-additional-2b-in-customer-savings</t>
        </is>
      </c>
      <c r="F81" s="14" t="inlineStr">
        <is>
          <t>2026-10-22</t>
        </is>
      </c>
      <c r="G81" s="14" t="inlineStr">
        <is>
          <t>公司披露</t>
        </is>
      </c>
    </row>
    <row r="82">
      <c r="A82" s="14" t="inlineStr">
        <is>
          <t>CLEANVIEW</t>
        </is>
      </c>
      <c r="B82" s="14" t="inlineStr">
        <is>
          <t>Cleanview：绕开电网——数据中心开发商自建电厂报告</t>
        </is>
      </c>
      <c r="C82" s="14" t="inlineStr">
        <is>
          <t>Cleanview</t>
        </is>
      </c>
      <c r="D82" s="14" t="inlineStr">
        <is>
          <t>2026 年中（数据截至 2026-05）</t>
        </is>
      </c>
      <c r="E82" s="14" t="inlineStr">
        <is>
          <t>https://cleanview.co/reports/behind-the-meter-data-centers</t>
        </is>
      </c>
      <c r="F82" s="14" t="inlineStr">
        <is>
          <t>2026-10-22</t>
        </is>
      </c>
      <c r="G82" s="14" t="inlineStr">
        <is>
          <t>第三方研究</t>
        </is>
      </c>
    </row>
    <row r="83">
      <c r="A83" s="14" t="inlineStr">
        <is>
          <t>CEG_CRANE24</t>
        </is>
      </c>
      <c r="B83" s="14" t="inlineStr">
        <is>
          <t>Constellation 新闻稿：启动 Crane 清洁能源中心（与微软签署 20 年协议）</t>
        </is>
      </c>
      <c r="C83" s="14" t="inlineStr">
        <is>
          <t>Constellation</t>
        </is>
      </c>
      <c r="D83" s="14" t="inlineStr">
        <is>
          <t>2024-09-20</t>
        </is>
      </c>
      <c r="E83" s="14" t="inlineStr">
        <is>
          <t>https://www.constellationenergy.com/news/2024/Constellation-to-Launch-Crane-Clean-Energy-Center-Restoring-Jobs-and-Carbon-Free-Power-to-The-Grid.html</t>
        </is>
      </c>
      <c r="F83" s="14" t="inlineStr">
        <is>
          <t>2026-10-22</t>
        </is>
      </c>
      <c r="G83" s="14" t="inlineStr">
        <is>
          <t>公司披露</t>
        </is>
      </c>
    </row>
    <row r="84">
      <c r="A84" s="14" t="inlineStr">
        <is>
          <t>CEG_META</t>
        </is>
      </c>
      <c r="B84" s="14" t="inlineStr">
        <is>
          <t>Constellation 新闻稿：与 Meta 签署 20 年伊利诺伊核电协议</t>
        </is>
      </c>
      <c r="C84" s="14" t="inlineStr">
        <is>
          <t>Constellation</t>
        </is>
      </c>
      <c r="D84" s="14" t="inlineStr">
        <is>
          <t>2025-06-03</t>
        </is>
      </c>
      <c r="E84" s="14" t="inlineStr">
        <is>
          <t>https://www.constellationenergy.com/news/2025/constellation-meta-sign-20-year-deal-for-clean-reliable-nuclear-energy-in-illinois.html</t>
        </is>
      </c>
      <c r="F84" s="14" t="inlineStr">
        <is>
          <t>2026-10-22</t>
        </is>
      </c>
      <c r="G84" s="14" t="inlineStr">
        <is>
          <t>公司披露</t>
        </is>
      </c>
    </row>
    <row r="85">
      <c r="A85" s="14" t="inlineStr">
        <is>
          <t>TALEN25</t>
        </is>
      </c>
      <c r="B85" s="14" t="inlineStr">
        <is>
          <t>Talen Energy 8-K：扩大与亚马逊的核电合作</t>
        </is>
      </c>
      <c r="C85" s="14" t="inlineStr">
        <is>
          <t>Talen Energy</t>
        </is>
      </c>
      <c r="D85" s="14" t="inlineStr">
        <is>
          <t>2025-06-11</t>
        </is>
      </c>
      <c r="E85" s="14" t="inlineStr">
        <is>
          <t>https://www.sec.gov/Archives/edgar/data/1622536/000162828025030559/a20250611pressreleasebusin.htm</t>
        </is>
      </c>
      <c r="F85" s="14" t="inlineStr">
        <is>
          <t>2026-10-22</t>
        </is>
      </c>
      <c r="G85" s="14" t="inlineStr">
        <is>
          <t>公司披露</t>
        </is>
      </c>
    </row>
    <row r="86">
      <c r="A86" s="14" t="inlineStr">
        <is>
          <t>VST_META</t>
        </is>
      </c>
      <c r="B86" s="14" t="inlineStr">
        <is>
          <t>Vistra 8-K：与 Meta 签署核电购电协议</t>
        </is>
      </c>
      <c r="C86" s="14" t="inlineStr">
        <is>
          <t>Vistra</t>
        </is>
      </c>
      <c r="D86" s="14" t="inlineStr">
        <is>
          <t>2026-01-09</t>
        </is>
      </c>
      <c r="E86" s="14" t="inlineStr">
        <is>
          <t>https://www.sec.gov/Archives/edgar/data/1692819/000119312526008508/d20785d8k.htm</t>
        </is>
      </c>
      <c r="F86" s="14" t="inlineStr">
        <is>
          <t>2026-10-22</t>
        </is>
      </c>
      <c r="G86" s="14" t="inlineStr">
        <is>
          <t>公司披露</t>
        </is>
      </c>
    </row>
    <row r="87">
      <c r="A87" s="14" t="inlineStr">
        <is>
          <t>TP_META</t>
        </is>
      </c>
      <c r="B87" s="14" t="inlineStr">
        <is>
          <t>TerraPower 新闻稿：与 Meta 签署 8 座 Natrium 先进核电站协议</t>
        </is>
      </c>
      <c r="C87" s="14" t="inlineStr">
        <is>
          <t>TerraPower</t>
        </is>
      </c>
      <c r="D87" s="14" t="inlineStr">
        <is>
          <t>2026-01-09</t>
        </is>
      </c>
      <c r="E87" s="14" t="inlineStr">
        <is>
          <t>https://www.terrapower.com/terrapower-announces-deal-with-meta</t>
        </is>
      </c>
      <c r="F87" s="14" t="inlineStr">
        <is>
          <t>2026-10-22</t>
        </is>
      </c>
      <c r="G87" s="14" t="inlineStr">
        <is>
          <t>公司披露</t>
        </is>
      </c>
    </row>
    <row r="88">
      <c r="A88" s="14" t="inlineStr">
        <is>
          <t>OKLO_META</t>
        </is>
      </c>
      <c r="B88" s="14" t="inlineStr">
        <is>
          <t>Oklo 与 Meta 宣布支持俄亥俄 1.2 GW 核能开发（Business Wire；页面拒绝访问，据检索摘录与世界核新闻）</t>
        </is>
      </c>
      <c r="C88" s="14" t="inlineStr">
        <is>
          <t>Oklo / World Nuclear News</t>
        </is>
      </c>
      <c r="D88" s="14" t="inlineStr">
        <is>
          <t>2026-01-09</t>
        </is>
      </c>
      <c r="E88" s="14" t="inlineStr">
        <is>
          <t>https://wnn.world-nuclear.org/articles/meta-announces-landmark-agreements-for-new-nuclear</t>
        </is>
      </c>
      <c r="F88" s="14" t="inlineStr">
        <is>
          <t>2026-10-22</t>
        </is>
      </c>
      <c r="G88" s="14" t="inlineStr">
        <is>
          <t>公司披露（二手核对）</t>
        </is>
      </c>
    </row>
    <row r="89">
      <c r="A89" s="14" t="inlineStr">
        <is>
          <t>VST_4Q25</t>
        </is>
      </c>
      <c r="B89" s="14" t="inlineStr">
        <is>
          <t>Vistra 2025 年四季度及全年业绩新闻稿（Comanche Peak 与 AWS 协议）</t>
        </is>
      </c>
      <c r="C89" s="14" t="inlineStr">
        <is>
          <t>Vistra</t>
        </is>
      </c>
      <c r="D89" s="14" t="inlineStr">
        <is>
          <t>2026-02-26</t>
        </is>
      </c>
      <c r="E89" s="14" t="inlineStr">
        <is>
          <t>https://investor.vistracorp.com/2026-02-26-Vistra-Reports-Fourth-Quarter-and-Full-Year-2025-Results</t>
        </is>
      </c>
      <c r="F89" s="14" t="inlineStr">
        <is>
          <t>2026-10-22</t>
        </is>
      </c>
      <c r="G89" s="14" t="inlineStr">
        <is>
          <t>公司披露</t>
        </is>
      </c>
    </row>
    <row r="90">
      <c r="A90" s="14" t="inlineStr">
        <is>
          <t>NEE_GOOG</t>
        </is>
      </c>
      <c r="B90" s="14" t="inlineStr">
        <is>
          <t>NextEra 新闻稿：与 Google 合作重启 Duane Arnold</t>
        </is>
      </c>
      <c r="C90" s="14" t="inlineStr">
        <is>
          <t>NextEra Energy</t>
        </is>
      </c>
      <c r="D90" s="14" t="inlineStr">
        <is>
          <t>2025-10-27</t>
        </is>
      </c>
      <c r="E90" s="14" t="inlineStr">
        <is>
          <t>https://investor.nexteraenergy.com/news-and-events/news-releases/2025/10-27-2025-203948689</t>
        </is>
      </c>
      <c r="F90" s="14" t="inlineStr">
        <is>
          <t>2026-10-22</t>
        </is>
      </c>
      <c r="G90" s="14" t="inlineStr">
        <is>
          <t>公司披露</t>
        </is>
      </c>
    </row>
    <row r="91">
      <c r="A91" s="14" t="inlineStr">
        <is>
          <t>KAIROS24</t>
        </is>
      </c>
      <c r="B91" s="14" t="inlineStr">
        <is>
          <t>Kairos Power 新闻：与 Google 合作部署 500 MW</t>
        </is>
      </c>
      <c r="C91" s="14" t="inlineStr">
        <is>
          <t>Kairos Power</t>
        </is>
      </c>
      <c r="D91" s="14" t="inlineStr">
        <is>
          <t>2024-10-14</t>
        </is>
      </c>
      <c r="E91" s="14" t="inlineStr">
        <is>
          <t>https://kairospower.com/updates/google-and-kairos-power-partner-to-deploy-500-mw-of-clean-electricity-generation</t>
        </is>
      </c>
      <c r="F91" s="14" t="inlineStr">
        <is>
          <t>2026-10-22</t>
        </is>
      </c>
      <c r="G91" s="14" t="inlineStr">
        <is>
          <t>公司披露</t>
        </is>
      </c>
    </row>
    <row r="92">
      <c r="A92" s="14" t="inlineStr">
        <is>
          <t>ELEMENTL</t>
        </is>
      </c>
      <c r="B92" s="14" t="inlineStr">
        <is>
          <t>Google 官方博客：与 Elementl 合作开发三处先进核电场址</t>
        </is>
      </c>
      <c r="C92" s="14" t="inlineStr">
        <is>
          <t>Google</t>
        </is>
      </c>
      <c r="D92" s="14" t="inlineStr">
        <is>
          <t>2025-05-07</t>
        </is>
      </c>
      <c r="E92" s="14" t="inlineStr">
        <is>
          <t>https://blog.google/feed/google-and-elementl-nuclear-energy-site-development/</t>
        </is>
      </c>
      <c r="F92" s="14" t="inlineStr">
        <is>
          <t>2026-10-22</t>
        </is>
      </c>
      <c r="G92" s="14" t="inlineStr">
        <is>
          <t>公司披露</t>
        </is>
      </c>
    </row>
    <row r="93">
      <c r="A93" s="14" t="inlineStr">
        <is>
          <t>AMZN_NUC</t>
        </is>
      </c>
      <c r="B93" s="14" t="inlineStr">
        <is>
          <t>亚马逊新闻：签署先进核能项目协议（Energy Northwest、Dominion）</t>
        </is>
      </c>
      <c r="C93" s="14" t="inlineStr">
        <is>
          <t>Amazon</t>
        </is>
      </c>
      <c r="D93" s="14" t="inlineStr">
        <is>
          <t>2024-10-16</t>
        </is>
      </c>
      <c r="E93" s="14" t="inlineStr">
        <is>
          <t>https://www.aboutamazon.com/news/sustainability/amazon-nuclear-small-modular-reactor-net-carbon-zero</t>
        </is>
      </c>
      <c r="F93" s="14" t="inlineStr">
        <is>
          <t>2026-10-22</t>
        </is>
      </c>
      <c r="G93" s="14" t="inlineStr">
        <is>
          <t>公司披露</t>
        </is>
      </c>
    </row>
    <row r="94">
      <c r="A94" s="14" t="inlineStr">
        <is>
          <t>XE_AEP</t>
        </is>
      </c>
      <c r="B94" s="14" t="inlineStr">
        <is>
          <t>X-energy 新闻：与亚马逊、AEP 在印第安纳推进小堆项目</t>
        </is>
      </c>
      <c r="C94" s="14" t="inlineStr">
        <is>
          <t>X-energy</t>
        </is>
      </c>
      <c r="D94" s="14" t="inlineStr">
        <is>
          <t>2026-10-19</t>
        </is>
      </c>
      <c r="E94" s="14" t="inlineStr">
        <is>
          <t>https://x-energy.com/news/x-energy-amazon-american-electric-power-partner-to-bring-smr-project-to-indiana/</t>
        </is>
      </c>
      <c r="F94" s="14" t="inlineStr">
        <is>
          <t>2026-10-22</t>
        </is>
      </c>
      <c r="G94" s="14" t="inlineStr">
        <is>
          <t>公司披露</t>
        </is>
      </c>
    </row>
    <row r="95">
      <c r="A95" s="14" t="inlineStr">
        <is>
          <t>CEG_AMZN</t>
        </is>
      </c>
      <c r="B95" s="14" t="inlineStr">
        <is>
          <t>Constellation 新闻稿：与亚马逊签署 Calvert Cliffs 20 年购电协议</t>
        </is>
      </c>
      <c r="C95" s="14" t="inlineStr">
        <is>
          <t>Constellation</t>
        </is>
      </c>
      <c r="D95" s="14" t="inlineStr">
        <is>
          <t>2026-09-30</t>
        </is>
      </c>
      <c r="E95" s="14" t="inlineStr">
        <is>
          <t>https://www.constellationenergy.com/news/2026/09/constellation-and-amazon-announce-20-year-power-purchase-agreement-at-calvert-cliffs.html</t>
        </is>
      </c>
      <c r="F95" s="14" t="inlineStr">
        <is>
          <t>2026-10-22</t>
        </is>
      </c>
      <c r="G95" s="14" t="inlineStr">
        <is>
          <t>公司披露</t>
        </is>
      </c>
    </row>
    <row r="96">
      <c r="A96" s="14" t="inlineStr">
        <is>
          <t>CEG_GOOG</t>
        </is>
      </c>
      <c r="B96" s="14" t="inlineStr">
        <is>
          <t>Constellation 新闻稿：Google 与 Constellation 宣布为 PJM 带来 890 MW 新增核电容量</t>
        </is>
      </c>
      <c r="C96" s="14" t="inlineStr">
        <is>
          <t>Constellation</t>
        </is>
      </c>
      <c r="D96" s="14" t="inlineStr">
        <is>
          <t>2026-10-06</t>
        </is>
      </c>
      <c r="E96" s="14" t="inlineStr">
        <is>
          <t>https://www.constellationenergy.com/news/2026/10/google-and-constellation-announce-landmark-agreement-to-bring-890-mw-of-new-nuclear-capacity-to-pjm-grid.html</t>
        </is>
      </c>
      <c r="F96" s="14" t="inlineStr">
        <is>
          <t>2026-10-22</t>
        </is>
      </c>
      <c r="G96" s="14" t="inlineStr">
        <is>
          <t>公司披露</t>
        </is>
      </c>
    </row>
    <row r="97">
      <c r="A97" s="14" t="inlineStr">
        <is>
          <t>GPC_GOOG</t>
        </is>
      </c>
      <c r="B97" s="14" t="inlineStr">
        <is>
          <t>佐治亚电力新闻稿：与 Google 签署核电增容协议</t>
        </is>
      </c>
      <c r="C97" s="14" t="inlineStr">
        <is>
          <t>Georgia Power</t>
        </is>
      </c>
      <c r="D97" s="14" t="inlineStr">
        <is>
          <t>2026-09-21</t>
        </is>
      </c>
      <c r="E97" s="14" t="inlineStr">
        <is>
          <t>https://www.georgiapower.com/news-hub/press-releases/agreement-with-google-provides-$900-million-customer-benefits-advances-nuclear-energy.html</t>
        </is>
      </c>
      <c r="F97" s="14" t="inlineStr">
        <is>
          <t>2026-10-22</t>
        </is>
      </c>
      <c r="G97" s="14" t="inlineStr">
        <is>
          <t>公司披露</t>
        </is>
      </c>
    </row>
    <row r="98">
      <c r="A98" s="14" t="inlineStr">
        <is>
          <t>WE_ORCL</t>
        </is>
      </c>
      <c r="B98" s="14" t="inlineStr">
        <is>
          <t>We Energies 新闻：与甲骨文的 Point Beach 认购协议</t>
        </is>
      </c>
      <c r="C98" s="14" t="inlineStr">
        <is>
          <t>We Energies</t>
        </is>
      </c>
      <c r="D98" s="14" t="inlineStr">
        <is>
          <t>2026-10-02</t>
        </is>
      </c>
      <c r="E98" s="14" t="inlineStr">
        <is>
          <t>https://news.we-energies.com/we-energies-agreement-with-oracle-expected-to-save-customers-approximately-300-million/</t>
        </is>
      </c>
      <c r="F98" s="14" t="inlineStr">
        <is>
          <t>2026-10-22</t>
        </is>
      </c>
      <c r="G98" s="14" t="inlineStr">
        <is>
          <t>公司披露</t>
        </is>
      </c>
    </row>
    <row r="99">
      <c r="A99" s="14" t="inlineStr">
        <is>
          <t>CEG_CYRUS</t>
        </is>
      </c>
      <c r="B99" s="14" t="inlineStr">
        <is>
          <t>Constellation 新闻稿：与 CyrusOne 在得州 Freestone 能源中心建数据中心</t>
        </is>
      </c>
      <c r="C99" s="14" t="inlineStr">
        <is>
          <t>Constellation</t>
        </is>
      </c>
      <c r="D99" s="14" t="inlineStr">
        <is>
          <t>2026-02-09</t>
        </is>
      </c>
      <c r="E99" s="14" t="inlineStr">
        <is>
          <t>https://www.constellationenergy.com/news/2026/02/constellation-and-cyrusone-announce-agreement-to-support-new-data-center-facility-at-freestone-energy-center-in-texas.html</t>
        </is>
      </c>
      <c r="F99" s="14" t="inlineStr">
        <is>
          <t>2026-10-22</t>
        </is>
      </c>
      <c r="G99" s="14" t="inlineStr">
        <is>
          <t>公司披露</t>
        </is>
      </c>
    </row>
    <row r="100">
      <c r="A100" s="14" t="inlineStr">
        <is>
          <t>EIA_EPM11</t>
        </is>
      </c>
      <c r="B100" s="14" t="inlineStr">
        <is>
          <t>EIA《电力月报》表 1.1 分能源净发电量</t>
        </is>
      </c>
      <c r="C100" s="14" t="inlineStr">
        <is>
          <t>美国能源信息署 EIA</t>
        </is>
      </c>
      <c r="D100" s="14" t="inlineStr">
        <is>
          <t>2026-09-24</t>
        </is>
      </c>
      <c r="E100" s="14" t="inlineStr">
        <is>
          <t>https://www.eia.gov/electricity/monthly/epm_table_grapher.php?t=epmt_1_01</t>
        </is>
      </c>
      <c r="F100" s="14" t="inlineStr">
        <is>
          <t>2026-10-22</t>
        </is>
      </c>
      <c r="G100" s="14" t="inlineStr">
        <is>
          <t>官方机构</t>
        </is>
      </c>
    </row>
    <row r="101">
      <c r="A101" s="14" t="inlineStr">
        <is>
          <t>EIA_NUC</t>
        </is>
      </c>
      <c r="B101" s="14" t="inlineStr">
        <is>
          <t>EIA《核能释义：美国核电产业》</t>
        </is>
      </c>
      <c r="C101" s="14" t="inlineStr">
        <is>
          <t>美国能源信息署 EIA</t>
        </is>
      </c>
      <c r="D101" s="14" t="inlineStr">
        <is>
          <t>2026（页面未标更新日）</t>
        </is>
      </c>
      <c r="E101" s="14" t="inlineStr">
        <is>
          <t>https://www.eia.gov/energyexplained/nuclear/us-nuclear-industry.php</t>
        </is>
      </c>
      <c r="F101" s="14" t="inlineStr">
        <is>
          <t>2026-10-22</t>
        </is>
      </c>
      <c r="G101" s="14" t="inlineStr">
        <is>
          <t>官方机构</t>
        </is>
      </c>
    </row>
    <row r="102">
      <c r="A102" s="14" t="inlineStr">
        <is>
          <t>EIA_TIE</t>
        </is>
      </c>
      <c r="B102" s="14" t="inlineStr">
        <is>
          <t>EIA《今日能源》：2026 年美国新增发电装机预计创纪录</t>
        </is>
      </c>
      <c r="C102" s="14" t="inlineStr">
        <is>
          <t>美国能源信息署 EIA</t>
        </is>
      </c>
      <c r="D102" s="14" t="inlineStr">
        <is>
          <t>2026-02-20</t>
        </is>
      </c>
      <c r="E102" s="14" t="inlineStr">
        <is>
          <t>https://www.eia.gov/todayinenergy/detail.php?id=67205</t>
        </is>
      </c>
      <c r="F102" s="14" t="inlineStr">
        <is>
          <t>2026-10-22</t>
        </is>
      </c>
      <c r="G102" s="14" t="inlineStr">
        <is>
          <t>官方机构</t>
        </is>
      </c>
    </row>
    <row r="103">
      <c r="A103" s="14" t="inlineStr">
        <is>
          <t>FIA26</t>
        </is>
      </c>
      <c r="B103" s="14" t="inlineStr">
        <is>
          <t>聚变产业协会（FIA）新闻稿：年度融资创纪录 44.8 亿美元，累计 142.4 亿美元</t>
        </is>
      </c>
      <c r="C103" s="14" t="inlineStr">
        <is>
          <t>Fusion Industry Association</t>
        </is>
      </c>
      <c r="D103" s="14" t="inlineStr">
        <is>
          <t>2026-07-13</t>
        </is>
      </c>
      <c r="E103" s="14" t="inlineStr">
        <is>
          <t>https://www.fusionindustryassociation.org/fusion-industry-attracts-record-annual-funding-of-4-48bn-raising-total-to-14-24bn/</t>
        </is>
      </c>
      <c r="F103" s="14" t="inlineStr">
        <is>
          <t>2026-10-22</t>
        </is>
      </c>
      <c r="G103" s="14" t="inlineStr">
        <is>
          <t>行业协会</t>
        </is>
      </c>
    </row>
    <row r="104">
      <c r="A104" s="14" t="inlineStr">
        <is>
          <t>FIA25</t>
        </is>
      </c>
      <c r="B104" s="14" t="inlineStr">
        <is>
          <t>聚变产业协会（FIA）新闻稿：过去一年聚变产业投资超 25 亿美元</t>
        </is>
      </c>
      <c r="C104" s="14" t="inlineStr">
        <is>
          <t>Fusion Industry Association</t>
        </is>
      </c>
      <c r="D104" s="14" t="inlineStr">
        <is>
          <t>2025-07-22</t>
        </is>
      </c>
      <c r="E104" s="14" t="inlineStr">
        <is>
          <t>https://www.fusionindustryassociation.org/over-2-5-billion-invested-in-fusion-industry-in-past-year/</t>
        </is>
      </c>
      <c r="F104" s="14" t="inlineStr">
        <is>
          <t>2026-10-22</t>
        </is>
      </c>
      <c r="G104" s="14" t="inlineStr">
        <is>
          <t>行业协会</t>
        </is>
      </c>
    </row>
    <row r="105">
      <c r="A105" s="14" t="inlineStr">
        <is>
          <t>CFS_1B</t>
        </is>
      </c>
      <c r="B105" s="14" t="inlineStr">
        <is>
          <t>CFS 新闻稿：再融资 10 亿美元，累计 40 亿美元</t>
        </is>
      </c>
      <c r="C105" s="14" t="inlineStr">
        <is>
          <t>Commonwealth Fusion Systems</t>
        </is>
      </c>
      <c r="D105" s="14" t="inlineStr">
        <is>
          <t>2026-07-30</t>
        </is>
      </c>
      <c r="E105" s="14" t="inlineStr">
        <is>
          <t>https://cfs.energy/news-and-media/commonwealth-fusion-systems-raises-another-1-billion-bringing-total-capital-raised-to-4-billion/</t>
        </is>
      </c>
      <c r="F105" s="14" t="inlineStr">
        <is>
          <t>2026-10-22</t>
        </is>
      </c>
      <c r="G105" s="14" t="inlineStr">
        <is>
          <t>公司披露</t>
        </is>
      </c>
    </row>
    <row r="106">
      <c r="A106" s="14" t="inlineStr">
        <is>
          <t>CFS_GOOG</t>
        </is>
      </c>
      <c r="B106" s="14" t="inlineStr">
        <is>
          <t>CFS 新闻稿：Google 与 CFS 签署战略合作（200 MW 购电协议）</t>
        </is>
      </c>
      <c r="C106" s="14" t="inlineStr">
        <is>
          <t>Commonwealth Fusion Systems</t>
        </is>
      </c>
      <c r="D106" s="14" t="inlineStr">
        <is>
          <t>2025-06-30</t>
        </is>
      </c>
      <c r="E106" s="14" t="inlineStr">
        <is>
          <t>https://cfs.energy/news-and-media/google-and-commonwealth-fusion-systems-sign-strategic-partnership/</t>
        </is>
      </c>
      <c r="F106" s="14" t="inlineStr">
        <is>
          <t>2026-10-22</t>
        </is>
      </c>
      <c r="G106" s="14" t="inlineStr">
        <is>
          <t>公司披露</t>
        </is>
      </c>
    </row>
    <row r="107">
      <c r="A107" s="14" t="inlineStr">
        <is>
          <t>CFS_ENI</t>
        </is>
      </c>
      <c r="B107" s="14" t="inlineStr">
        <is>
          <t>CFS 新闻稿：Eni 与 CFS 签署超 10 亿美元购电协议</t>
        </is>
      </c>
      <c r="C107" s="14" t="inlineStr">
        <is>
          <t>Commonwealth Fusion Systems</t>
        </is>
      </c>
      <c r="D107" s="14" t="inlineStr">
        <is>
          <t>2025-09-22</t>
        </is>
      </c>
      <c r="E107" s="14" t="inlineStr">
        <is>
          <t>https://cfs.energy/news-and-media/eni-and-commonwealth-fusion-systems-sign-1-billion/</t>
        </is>
      </c>
      <c r="F107" s="14" t="inlineStr">
        <is>
          <t>2026-10-22</t>
        </is>
      </c>
      <c r="G107" s="14" t="inlineStr">
        <is>
          <t>公司披露</t>
        </is>
      </c>
    </row>
    <row r="108">
      <c r="A108" s="14" t="inlineStr">
        <is>
          <t>CFS_BLOG</t>
        </is>
      </c>
      <c r="B108" s="14" t="inlineStr">
        <is>
          <t>CFS 博客：SPARC 进展与美国能源部里程碑批准</t>
        </is>
      </c>
      <c r="C108" s="14" t="inlineStr">
        <is>
          <t>Commonwealth Fusion Systems</t>
        </is>
      </c>
      <c r="D108" s="14" t="inlineStr">
        <is>
          <t>2026-08-05</t>
        </is>
      </c>
      <c r="E108" s="14" t="inlineStr">
        <is>
          <t>https://blog.cfs.energy/sparc-progress-doe-milestone-approvals-reflect-cfs-power-plant-maturity/</t>
        </is>
      </c>
      <c r="F108" s="14" t="inlineStr">
        <is>
          <t>2026-10-22</t>
        </is>
      </c>
      <c r="G108" s="14" t="inlineStr">
        <is>
          <t>公司披露</t>
        </is>
      </c>
    </row>
    <row r="109">
      <c r="A109" s="14" t="inlineStr">
        <is>
          <t>TC_CFS</t>
        </is>
      </c>
      <c r="B109" s="14" t="inlineStr">
        <is>
          <t>TechCrunch：CFS 再融资 10 亿美元（含科学盈亏平衡 2027 年的表述）</t>
        </is>
      </c>
      <c r="C109" s="14" t="inlineStr">
        <is>
          <t>TechCrunch</t>
        </is>
      </c>
      <c r="D109" s="14" t="inlineStr">
        <is>
          <t>2026-07-30</t>
        </is>
      </c>
      <c r="E109" s="14" t="inlineStr">
        <is>
          <t>https://techcrunch.com/2026/07/30/fusion-power-darling-commonwealth-fusion-systems-raises-another-1b/</t>
        </is>
      </c>
      <c r="F109" s="14" t="inlineStr">
        <is>
          <t>2026-10-22</t>
        </is>
      </c>
      <c r="G109" s="14" t="inlineStr">
        <is>
          <t>媒体（二手）</t>
        </is>
      </c>
    </row>
    <row r="110">
      <c r="A110" s="14" t="inlineStr">
        <is>
          <t>HEL_MSFT</t>
        </is>
      </c>
      <c r="B110" s="14" t="inlineStr">
        <is>
          <t>Helion 新闻：与微软签署全球首个聚变购电协议</t>
        </is>
      </c>
      <c r="C110" s="14" t="inlineStr">
        <is>
          <t>Helion</t>
        </is>
      </c>
      <c r="D110" s="14" t="inlineStr">
        <is>
          <t>2023-05-10</t>
        </is>
      </c>
      <c r="E110" s="14" t="inlineStr">
        <is>
          <t>https://www.helionenergy.com/newsroom/helion-announces-worlds-first-fusion-ppa-with-microsoft</t>
        </is>
      </c>
      <c r="F110" s="14" t="inlineStr">
        <is>
          <t>2026-10-22</t>
        </is>
      </c>
      <c r="G110" s="14" t="inlineStr">
        <is>
          <t>公司披露</t>
        </is>
      </c>
    </row>
    <row r="111">
      <c r="A111" s="14" t="inlineStr">
        <is>
          <t>HEL_NUCOR</t>
        </is>
      </c>
      <c r="B111" s="14" t="inlineStr">
        <is>
          <t>Helion 新闻：与 Nucor 合作部署 500 MW 聚变电站</t>
        </is>
      </c>
      <c r="C111" s="14" t="inlineStr">
        <is>
          <t>Helion</t>
        </is>
      </c>
      <c r="D111" s="14" t="inlineStr">
        <is>
          <t>2023-09-27</t>
        </is>
      </c>
      <c r="E111" s="14" t="inlineStr">
        <is>
          <t>https://www.helionenergy.com/newsroom/helion-nucor-collaboration-to-deploy-500-mw-fusion-power-plant</t>
        </is>
      </c>
      <c r="F111" s="14" t="inlineStr">
        <is>
          <t>2026-10-22</t>
        </is>
      </c>
      <c r="G111" s="14" t="inlineStr">
        <is>
          <t>公司披露</t>
        </is>
      </c>
    </row>
    <row r="112">
      <c r="A112" s="14" t="inlineStr">
        <is>
          <t>HEL_G</t>
        </is>
      </c>
      <c r="B112" s="14" t="inlineStr">
        <is>
          <t>Helion 新闻：完成 4.65 亿美元 G 轮（2026 年 9 月更新：最终 5 亿美元）</t>
        </is>
      </c>
      <c r="C112" s="14" t="inlineStr">
        <is>
          <t>Helion</t>
        </is>
      </c>
      <c r="D112" s="14" t="inlineStr">
        <is>
          <t>2026-06-04</t>
        </is>
      </c>
      <c r="E112" s="14" t="inlineStr">
        <is>
          <t>https://www.helionenergy.com/newsroom/helion-raises-465-million-series-g-funding-round-to-meet-surging-global-demand-for-power</t>
        </is>
      </c>
      <c r="F112" s="14" t="inlineStr">
        <is>
          <t>2026-10-22</t>
        </is>
      </c>
      <c r="G112" s="14" t="inlineStr">
        <is>
          <t>公司披露</t>
        </is>
      </c>
    </row>
    <row r="113">
      <c r="A113" s="14" t="inlineStr">
        <is>
          <t>HEL_LIC</t>
        </is>
      </c>
      <c r="B113" s="14" t="inlineStr">
        <is>
          <t>Helion 新闻：Orion 电站取得华盛顿州许可</t>
        </is>
      </c>
      <c r="C113" s="14" t="inlineStr">
        <is>
          <t>Helion</t>
        </is>
      </c>
      <c r="D113" s="14" t="inlineStr">
        <is>
          <t>2026-06-16</t>
        </is>
      </c>
      <c r="E113" s="14" t="inlineStr">
        <is>
          <t>https://www.helionenergy.com/newsroom/helion-clears-key-regulatory-milestone-on-the-path-to-building-and-operating-the-worlds-first-fusion-power-plant</t>
        </is>
      </c>
      <c r="F113" s="14" t="inlineStr">
        <is>
          <t>2026-10-22</t>
        </is>
      </c>
      <c r="G113" s="14" t="inlineStr">
        <is>
          <t>公司披露</t>
        </is>
      </c>
    </row>
    <row r="114">
      <c r="A114" s="14" t="inlineStr">
        <is>
          <t>TAE_150</t>
        </is>
      </c>
      <c r="B114" s="14" t="inlineStr">
        <is>
          <t>TAE 新闻：完成 1.5 亿美元融资（累计股权融资超 13 亿美元）</t>
        </is>
      </c>
      <c r="C114" s="14" t="inlineStr">
        <is>
          <t>TAE Technologies</t>
        </is>
      </c>
      <c r="D114" s="14" t="inlineStr">
        <is>
          <t>2025-06-02</t>
        </is>
      </c>
      <c r="E114" s="14" t="inlineStr">
        <is>
          <t>https://tae.com/tae-technologies-raises-150-million-in-latest-funding-round/</t>
        </is>
      </c>
      <c r="F114" s="14" t="inlineStr">
        <is>
          <t>2026-10-22</t>
        </is>
      </c>
      <c r="G114" s="14" t="inlineStr">
        <is>
          <t>公司披露</t>
        </is>
      </c>
    </row>
    <row r="115">
      <c r="A115" s="14" t="inlineStr">
        <is>
          <t>TAE_SITE</t>
        </is>
      </c>
      <c r="B115" s="14" t="inlineStr">
        <is>
          <t>TAE 新闻：首座聚变电站多州选址考察</t>
        </is>
      </c>
      <c r="C115" s="14" t="inlineStr">
        <is>
          <t>TAE Technologies</t>
        </is>
      </c>
      <c r="D115" s="14" t="inlineStr">
        <is>
          <t>2026-03-26</t>
        </is>
      </c>
      <c r="E115" s="14" t="inlineStr">
        <is>
          <t>https://tae.com/tae-technologies-advances-site-evaluation-process-with-multi-state-visits-ahead-of-first-fusion-power-plant/</t>
        </is>
      </c>
      <c r="F115" s="14" t="inlineStr">
        <is>
          <t>2026-10-22</t>
        </is>
      </c>
      <c r="G115" s="14" t="inlineStr">
        <is>
          <t>公司披露</t>
        </is>
      </c>
    </row>
    <row r="116">
      <c r="A116" s="14" t="inlineStr">
        <is>
          <t>PAC_A</t>
        </is>
      </c>
      <c r="B116" s="14" t="inlineStr">
        <is>
          <t>Pacific Fusion 创始人信（A 轮 9 亿美元以上）</t>
        </is>
      </c>
      <c r="C116" s="14" t="inlineStr">
        <is>
          <t>Pacific Fusion</t>
        </is>
      </c>
      <c r="D116" s="14" t="inlineStr">
        <is>
          <t>2024-10-25</t>
        </is>
      </c>
      <c r="E116" s="14" t="inlineStr">
        <is>
          <t>https://www.pacificfusion.com/updates/founders-letter</t>
        </is>
      </c>
      <c r="F116" s="14" t="inlineStr">
        <is>
          <t>2026-10-22</t>
        </is>
      </c>
      <c r="G116" s="14" t="inlineStr">
        <is>
          <t>公司披露</t>
        </is>
      </c>
    </row>
    <row r="117">
      <c r="A117" s="14" t="inlineStr">
        <is>
          <t>GF_SPAC</t>
        </is>
      </c>
      <c r="B117" s="14" t="inlineStr">
        <is>
          <t>General Fusion 新闻：与 Spring Valley III 合并上市</t>
        </is>
      </c>
      <c r="C117" s="14" t="inlineStr">
        <is>
          <t>General Fusion</t>
        </is>
      </c>
      <c r="D117" s="14" t="inlineStr">
        <is>
          <t>2026-01-22</t>
        </is>
      </c>
      <c r="E117" s="14" t="inlineStr">
        <is>
          <t>https://generalfusion.com/post/general-fusion-business-combination-announcement/</t>
        </is>
      </c>
      <c r="F117" s="14" t="inlineStr">
        <is>
          <t>2026-10-22</t>
        </is>
      </c>
      <c r="G117" s="14" t="inlineStr">
        <is>
          <t>公司披露</t>
        </is>
      </c>
    </row>
    <row r="118">
      <c r="A118" s="14" t="inlineStr">
        <is>
          <t>GF_UPD</t>
        </is>
      </c>
      <c r="B118" s="14" t="inlineStr">
        <is>
          <t>General Fusion 新闻：上市后首次业务更新</t>
        </is>
      </c>
      <c r="C118" s="14" t="inlineStr">
        <is>
          <t>General Fusion</t>
        </is>
      </c>
      <c r="D118" s="14" t="inlineStr">
        <is>
          <t>2026-08-18</t>
        </is>
      </c>
      <c r="E118" s="14" t="inlineStr">
        <is>
          <t>https://generalfusion.com/post/general-fusion-provides-first-public-company-business-update/</t>
        </is>
      </c>
      <c r="F118" s="14" t="inlineStr">
        <is>
          <t>2026-10-22</t>
        </is>
      </c>
      <c r="G118" s="14" t="inlineStr">
        <is>
          <t>公司披露</t>
        </is>
      </c>
    </row>
    <row r="119">
      <c r="A119" s="14" t="inlineStr">
        <is>
          <t>TE_125</t>
        </is>
      </c>
      <c r="B119" s="14" t="inlineStr">
        <is>
          <t>Tokamak Energy 新闻：融资 1.25 亿美元</t>
        </is>
      </c>
      <c r="C119" s="14" t="inlineStr">
        <is>
          <t>Tokamak Energy</t>
        </is>
      </c>
      <c r="D119" s="14" t="inlineStr">
        <is>
          <t>2024-11-20</t>
        </is>
      </c>
      <c r="E119" s="14" t="inlineStr">
        <is>
          <t>https://tokamakenergy.com/?p=7447</t>
        </is>
      </c>
      <c r="F119" s="14" t="inlineStr">
        <is>
          <t>2026-10-22</t>
        </is>
      </c>
      <c r="G119" s="14" t="inlineStr">
        <is>
          <t>公司披露</t>
        </is>
      </c>
    </row>
    <row r="120">
      <c r="A120" s="14" t="inlineStr">
        <is>
          <t>ZAP_D</t>
        </is>
      </c>
      <c r="B120" s="14" t="inlineStr">
        <is>
          <t>Zap Energy 新闻：D 轮 1.3 亿美元</t>
        </is>
      </c>
      <c r="C120" s="14" t="inlineStr">
        <is>
          <t>Zap Energy</t>
        </is>
      </c>
      <c r="D120" s="14" t="inlineStr">
        <is>
          <t>2024-10-09</t>
        </is>
      </c>
      <c r="E120" s="14" t="inlineStr">
        <is>
          <t>https://legacy.zapenergy.com/news/zap-attracts-130m-as-demo-system-begins-operations</t>
        </is>
      </c>
      <c r="F120" s="14" t="inlineStr">
        <is>
          <t>2026-10-22</t>
        </is>
      </c>
      <c r="G120" s="14" t="inlineStr">
        <is>
          <t>公司披露</t>
        </is>
      </c>
    </row>
    <row r="121">
      <c r="A121" s="14" t="inlineStr">
        <is>
          <t>T1_B</t>
        </is>
      </c>
      <c r="B121" s="14" t="inlineStr">
        <is>
          <t>Type One Energy 新闻：完成 2 亿美元 B 轮</t>
        </is>
      </c>
      <c r="C121" s="14" t="inlineStr">
        <is>
          <t>Type One Energy</t>
        </is>
      </c>
      <c r="D121" s="14" t="inlineStr">
        <is>
          <t>2026-10-06</t>
        </is>
      </c>
      <c r="E121" s="14" t="inlineStr">
        <is>
          <t>https://typeoneenergy.com/insights-announcements/type-one-energy-completes-200m-series-b-financing/</t>
        </is>
      </c>
      <c r="F121" s="14" t="inlineStr">
        <is>
          <t>2026-10-22</t>
        </is>
      </c>
      <c r="G121" s="14" t="inlineStr">
        <is>
          <t>公司披露</t>
        </is>
      </c>
    </row>
    <row r="122">
      <c r="A122" s="14" t="inlineStr">
        <is>
          <t>T1_TVA</t>
        </is>
      </c>
      <c r="B122" s="14" t="inlineStr">
        <is>
          <t>Type One Energy 新闻：与 TVA 加速田纳西聚变商业化（意向书）</t>
        </is>
      </c>
      <c r="C122" s="14" t="inlineStr">
        <is>
          <t>Type One Energy</t>
        </is>
      </c>
      <c r="D122" s="14" t="inlineStr">
        <is>
          <t>2025-09-19</t>
        </is>
      </c>
      <c r="E122" s="14" t="inlineStr">
        <is>
          <t>https://typeoneenergy.com/insights-announcements/tva-type-one-energy-accelerate-fusion-commercialization-tennessee/</t>
        </is>
      </c>
      <c r="F122" s="14" t="inlineStr">
        <is>
          <t>2026-10-22</t>
        </is>
      </c>
      <c r="G122" s="14" t="inlineStr">
        <is>
          <t>公司披露</t>
        </is>
      </c>
    </row>
    <row r="123">
      <c r="A123" s="14" t="inlineStr">
        <is>
          <t>PROXIMA</t>
        </is>
      </c>
      <c r="B123" s="14" t="inlineStr">
        <is>
          <t>Proxima Fusion 新闻：融资 4.11 亿欧元</t>
        </is>
      </c>
      <c r="C123" s="14" t="inlineStr">
        <is>
          <t>Proxima Fusion</t>
        </is>
      </c>
      <c r="D123" s="14" t="inlineStr">
        <is>
          <t>2026-07-07</t>
        </is>
      </c>
      <c r="E123" s="14" t="inlineStr">
        <is>
          <t>https://www.proximafusion.com/press-news/proxima-fusion-raises-eu411-million-to-build-europes-commercial-fusion-champion</t>
        </is>
      </c>
      <c r="F123" s="14" t="inlineStr">
        <is>
          <t>2026-10-22</t>
        </is>
      </c>
      <c r="G123" s="14" t="inlineStr">
        <is>
          <t>公司披露</t>
        </is>
      </c>
    </row>
    <row r="124">
      <c r="A124" s="14" t="inlineStr">
        <is>
          <t>NEI_INERTIA</t>
        </is>
      </c>
      <c r="B124" s="14" t="inlineStr">
        <is>
          <t>Nuclear Engineering International：Inertia 完成 A 轮</t>
        </is>
      </c>
      <c r="C124" s="14" t="inlineStr">
        <is>
          <t>NEI Magazine</t>
        </is>
      </c>
      <c r="D124" s="14" t="inlineStr">
        <is>
          <t>2026-02-18</t>
        </is>
      </c>
      <c r="E124" s="14" t="inlineStr">
        <is>
          <t>https://www.neimagazine.com/news/inertia-secures-series-a-fusion-funding/</t>
        </is>
      </c>
      <c r="F124" s="14" t="inlineStr">
        <is>
          <t>2026-10-22</t>
        </is>
      </c>
      <c r="G124" s="14" t="inlineStr">
        <is>
          <t>媒体（二手）</t>
        </is>
      </c>
    </row>
    <row r="125">
      <c r="A125" s="14" t="inlineStr">
        <is>
          <t>CN_CFEC</t>
        </is>
      </c>
      <c r="B125" s="14" t="inlineStr">
        <is>
          <t>上海证券报：中国核电增资中国聚变能源有限公司（注册资本 150 亿元）</t>
        </is>
      </c>
      <c r="C125" s="14" t="inlineStr">
        <is>
          <t>上海证券报 / 中国证券网</t>
        </is>
      </c>
      <c r="D125" s="14" t="inlineStr">
        <is>
          <t>2025-07-23</t>
        </is>
      </c>
      <c r="E125" s="14" t="inlineStr">
        <is>
          <t>https://paper.cnstock.com/html/2025-07/23/content_2097106.htm</t>
        </is>
      </c>
      <c r="F125" s="14" t="inlineStr">
        <is>
          <t>2026-10-22</t>
        </is>
      </c>
      <c r="G125" s="14" t="inlineStr">
        <is>
          <t>媒体（二手）</t>
        </is>
      </c>
    </row>
    <row r="126">
      <c r="A126" s="14" t="inlineStr">
        <is>
          <t>CN_BEST</t>
        </is>
      </c>
      <c r="B126" s="14" t="inlineStr">
        <is>
          <t>北京日报（转央视新闻）：紧凑型聚变能实验装置园区交付使用</t>
        </is>
      </c>
      <c r="C126" s="14" t="inlineStr">
        <is>
          <t>北京日报 / 央视新闻</t>
        </is>
      </c>
      <c r="D126" s="14" t="inlineStr">
        <is>
          <t>2026-10-01</t>
        </is>
      </c>
      <c r="E126" s="14" t="inlineStr">
        <is>
          <t>https://news.bjd.com.cn/2026/10/01/11980320.shtml</t>
        </is>
      </c>
      <c r="F126" s="14" t="inlineStr">
        <is>
          <t>2026-10-22</t>
        </is>
      </c>
      <c r="G126" s="14" t="inlineStr">
        <is>
          <t>官方媒体</t>
        </is>
      </c>
    </row>
    <row r="127">
      <c r="A127" s="14" t="inlineStr">
        <is>
          <t>ITER_VV</t>
        </is>
      </c>
      <c r="B127" s="14" t="inlineStr">
        <is>
          <t>ITER 组织官网：真空室</t>
        </is>
      </c>
      <c r="C127" s="14" t="inlineStr">
        <is>
          <t>ITER Organization</t>
        </is>
      </c>
      <c r="D127" s="14" t="inlineStr">
        <is>
          <t>页面未标日期</t>
        </is>
      </c>
      <c r="E127" s="14" t="inlineStr">
        <is>
          <t>https://www.iter.org/machine/vacuum-vessel</t>
        </is>
      </c>
      <c r="F127" s="14" t="inlineStr">
        <is>
          <t>2026-10-22</t>
        </is>
      </c>
      <c r="G127" s="14" t="inlineStr">
        <is>
          <t>官方机构</t>
        </is>
      </c>
    </row>
    <row r="128">
      <c r="A128" s="14" t="inlineStr">
        <is>
          <t>ITER_MAG</t>
        </is>
      </c>
      <c r="B128" s="14" t="inlineStr">
        <is>
          <t>ITER 组织官网：磁体</t>
        </is>
      </c>
      <c r="C128" s="14" t="inlineStr">
        <is>
          <t>ITER Organization</t>
        </is>
      </c>
      <c r="D128" s="14" t="inlineStr">
        <is>
          <t>页面未标日期</t>
        </is>
      </c>
      <c r="E128" s="14" t="inlineStr">
        <is>
          <t>https://www.iter.org/machine/magnets</t>
        </is>
      </c>
      <c r="F128" s="14" t="inlineStr">
        <is>
          <t>2026-10-22</t>
        </is>
      </c>
      <c r="G128" s="14" t="inlineStr">
        <is>
          <t>官方机构</t>
        </is>
      </c>
    </row>
    <row r="129">
      <c r="A129" s="14" t="inlineStr">
        <is>
          <t>ITER_BL</t>
        </is>
      </c>
      <c r="B129" s="14" t="inlineStr">
        <is>
          <t>ITER 组织官网：包层</t>
        </is>
      </c>
      <c r="C129" s="14" t="inlineStr">
        <is>
          <t>ITER Organization</t>
        </is>
      </c>
      <c r="D129" s="14" t="inlineStr">
        <is>
          <t>页面未标日期</t>
        </is>
      </c>
      <c r="E129" s="14" t="inlineStr">
        <is>
          <t>https://www.iter.org/machine/blanket</t>
        </is>
      </c>
      <c r="F129" s="14" t="inlineStr">
        <is>
          <t>2026-10-22</t>
        </is>
      </c>
      <c r="G129" s="14" t="inlineStr">
        <is>
          <t>官方机构</t>
        </is>
      </c>
    </row>
    <row r="130">
      <c r="A130" s="14" t="inlineStr">
        <is>
          <t>ITER_DIV</t>
        </is>
      </c>
      <c r="B130" s="14" t="inlineStr">
        <is>
          <t>ITER 组织官网：偏滤器</t>
        </is>
      </c>
      <c r="C130" s="14" t="inlineStr">
        <is>
          <t>ITER Organization</t>
        </is>
      </c>
      <c r="D130" s="14" t="inlineStr">
        <is>
          <t>页面未标日期</t>
        </is>
      </c>
      <c r="E130" s="14" t="inlineStr">
        <is>
          <t>https://www.iter.org/machine/divertor</t>
        </is>
      </c>
      <c r="F130" s="14" t="inlineStr">
        <is>
          <t>2026-10-22</t>
        </is>
      </c>
      <c r="G130" s="14" t="inlineStr">
        <is>
          <t>官方机构</t>
        </is>
      </c>
    </row>
    <row r="131">
      <c r="A131" s="14" t="inlineStr">
        <is>
          <t>ITER_CRY</t>
        </is>
      </c>
      <c r="B131" s="14" t="inlineStr">
        <is>
          <t>ITER 组织官网：杜瓦（低温恒温器）</t>
        </is>
      </c>
      <c r="C131" s="14" t="inlineStr">
        <is>
          <t>ITER Organization</t>
        </is>
      </c>
      <c r="D131" s="14" t="inlineStr">
        <is>
          <t>页面未标日期</t>
        </is>
      </c>
      <c r="E131" s="14" t="inlineStr">
        <is>
          <t>https://www.iter.org/machine/cryostat</t>
        </is>
      </c>
      <c r="F131" s="14" t="inlineStr">
        <is>
          <t>2026-10-22</t>
        </is>
      </c>
      <c r="G131" s="14" t="inlineStr">
        <is>
          <t>官方机构</t>
        </is>
      </c>
    </row>
    <row r="132">
      <c r="A132" s="14" t="inlineStr">
        <is>
          <t>ITER_HEAT</t>
        </is>
      </c>
      <c r="B132" s="14" t="inlineStr">
        <is>
          <t>ITER 组织官网：外部加热系统</t>
        </is>
      </c>
      <c r="C132" s="14" t="inlineStr">
        <is>
          <t>ITER Organization</t>
        </is>
      </c>
      <c r="D132" s="14" t="inlineStr">
        <is>
          <t>页面未标日期</t>
        </is>
      </c>
      <c r="E132" s="14" t="inlineStr">
        <is>
          <t>https://www.iter.org/machine/supporting-systems/external-heating-systems</t>
        </is>
      </c>
      <c r="F132" s="14" t="inlineStr">
        <is>
          <t>2026-10-22</t>
        </is>
      </c>
      <c r="G132" s="14" t="inlineStr">
        <is>
          <t>官方机构</t>
        </is>
      </c>
    </row>
    <row r="133">
      <c r="A133" s="14" t="inlineStr">
        <is>
          <t>ITER_FF</t>
        </is>
      </c>
      <c r="B133" s="14" t="inlineStr">
        <is>
          <t>ITER 组织官网：事实与数据</t>
        </is>
      </c>
      <c r="C133" s="14" t="inlineStr">
        <is>
          <t>ITER Organization</t>
        </is>
      </c>
      <c r="D133" s="14" t="inlineStr">
        <is>
          <t>页面未标日期</t>
        </is>
      </c>
      <c r="E133" s="14" t="inlineStr">
        <is>
          <t>https://www.iter.org/facts-figures</t>
        </is>
      </c>
      <c r="F133" s="14" t="inlineStr">
        <is>
          <t>2026-10-22</t>
        </is>
      </c>
      <c r="G133" s="14" t="inlineStr">
        <is>
          <t>官方机构</t>
        </is>
      </c>
    </row>
    <row r="134">
      <c r="A134" s="14" t="inlineStr">
        <is>
          <t>ITER_FL</t>
        </is>
      </c>
      <c r="B134" s="14" t="inlineStr">
        <is>
          <t>ITER 组织官网：ITER 是什么（2024 年新基线进度）</t>
        </is>
      </c>
      <c r="C134" s="14" t="inlineStr">
        <is>
          <t>ITER Organization</t>
        </is>
      </c>
      <c r="D134" s="14" t="inlineStr">
        <is>
          <t>页面未标日期</t>
        </is>
      </c>
      <c r="E134" s="14" t="inlineStr">
        <is>
          <t>https://www.iter.org/few-lines</t>
        </is>
      </c>
      <c r="F134" s="14" t="inlineStr">
        <is>
          <t>2026-10-22</t>
        </is>
      </c>
      <c r="G134" s="14" t="inlineStr">
        <is>
          <t>官方机构</t>
        </is>
      </c>
    </row>
    <row r="135">
      <c r="A135" s="14" t="inlineStr">
        <is>
          <t>ITER_NL</t>
        </is>
      </c>
      <c r="B135" s="14" t="inlineStr">
        <is>
          <t>ITER Newsline：最后一个真空室扇区运抵，所有主要磁体部件到场</t>
        </is>
      </c>
      <c r="C135" s="14" t="inlineStr">
        <is>
          <t>ITER Organization</t>
        </is>
      </c>
      <c r="D135" s="14" t="inlineStr">
        <is>
          <t>2026-10-05</t>
        </is>
      </c>
      <c r="E135" s="14" t="inlineStr">
        <is>
          <t>https://www.iter.org/node/20687/remarkable-chapter-draws-close</t>
        </is>
      </c>
      <c r="F135" s="14" t="inlineStr">
        <is>
          <t>2026-10-22</t>
        </is>
      </c>
      <c r="G135" s="14" t="inlineStr">
        <is>
          <t>官方机构</t>
        </is>
      </c>
    </row>
    <row r="136">
      <c r="A136" s="14" t="inlineStr">
        <is>
          <t>SPARC20</t>
        </is>
      </c>
      <c r="B136" s="14" t="inlineStr">
        <is>
          <t>Journal of Plasma Physics：Overview of the SPARC tokamak（Creely 等）</t>
        </is>
      </c>
      <c r="C136" s="14" t="inlineStr">
        <is>
          <t>Cambridge University Press</t>
        </is>
      </c>
      <c r="D136" s="14" t="inlineStr">
        <is>
          <t>2020-09-29</t>
        </is>
      </c>
      <c r="E136" s="14" t="inlineStr">
        <is>
          <t>https://doi.org/10.1017/S0022377820001257</t>
        </is>
      </c>
      <c r="F136" s="14" t="inlineStr">
        <is>
          <t>2026-10-22</t>
        </is>
      </c>
      <c r="G136" s="14" t="inlineStr">
        <is>
          <t>同行评议论文</t>
        </is>
      </c>
    </row>
    <row r="137">
      <c r="A137" s="14" t="inlineStr">
        <is>
          <t>STEP26</t>
        </is>
      </c>
      <c r="B137" s="14" t="inlineStr">
        <is>
          <t>STEP Fusion：英国聚变电站计划交付进展（五年 25 亿英镑聚变资金，约 13 亿英镑用于 STEP）</t>
        </is>
      </c>
      <c r="C137" s="14" t="inlineStr">
        <is>
          <t>UK Fusion Energy</t>
        </is>
      </c>
      <c r="D137" s="14" t="inlineStr">
        <is>
          <t>2026-10-13</t>
        </is>
      </c>
      <c r="E137" s="14" t="inlineStr">
        <is>
          <t>https://stepfusion.com/uk-fusion-power-plant-programme-achieves-major-delivery-milestones-while-backing-british-business/</t>
        </is>
      </c>
      <c r="F137" s="14" t="inlineStr">
        <is>
          <t>2026-10-22</t>
        </is>
      </c>
      <c r="G137" s="14" t="inlineStr">
        <is>
          <t>官方机构</t>
        </is>
      </c>
    </row>
    <row r="138">
      <c r="A138" s="14" t="inlineStr">
        <is>
          <t>PJMLF26</t>
        </is>
      </c>
      <c r="B138" s="14" t="inlineStr">
        <is>
          <t>PJM Inside Lines：2026 年 20 年负荷预测</t>
        </is>
      </c>
      <c r="C138" s="14" t="inlineStr">
        <is>
          <t>PJM</t>
        </is>
      </c>
      <c r="D138" s="14" t="inlineStr">
        <is>
          <t>2026-01-14</t>
        </is>
      </c>
      <c r="E138" s="14" t="inlineStr">
        <is>
          <t>https://insidelines.pjm.com/pjms-updated-20-year-forecast-continues-to-see-significant-long-term-load-growth/</t>
        </is>
      </c>
      <c r="F138" s="14" t="inlineStr">
        <is>
          <t>2026-10-22</t>
        </is>
      </c>
      <c r="G138" s="14" t="inlineStr">
        <is>
          <t>电力市场运营方</t>
        </is>
      </c>
    </row>
    <row r="139">
      <c r="A139" s="14" t="inlineStr">
        <is>
          <t>WM_TX26</t>
        </is>
      </c>
      <c r="B139" s="14" t="inlineStr">
        <is>
          <t>Wood Mackenzie 新闻稿：美国禁止中国大型电力设备将加剧变压器短缺</t>
        </is>
      </c>
      <c r="C139" s="14" t="inlineStr">
        <is>
          <t>Wood Mackenzie</t>
        </is>
      </c>
      <c r="D139" s="14" t="inlineStr">
        <is>
          <t>2026-08-31</t>
        </is>
      </c>
      <c r="E139" s="14" t="inlineStr">
        <is>
          <t>https://www.woodmac.com/press-releases/us-executive-order-banning-chinese-bulk-power-equipment-set-to-worsen-critical-transformer-shortage/</t>
        </is>
      </c>
      <c r="F139" s="14" t="inlineStr">
        <is>
          <t>2026-10-22</t>
        </is>
      </c>
      <c r="G139" s="14" t="inlineStr">
        <is>
          <t>第三方研究</t>
        </is>
      </c>
    </row>
    <row r="140">
      <c r="A140" s="14" t="inlineStr">
        <is>
          <t>NV800b</t>
        </is>
      </c>
      <c r="B140" s="14" t="inlineStr">
        <is>
          <t>NVIDIA 技术博客：构建 800 VDC 生态</t>
        </is>
      </c>
      <c r="C140" s="14" t="inlineStr">
        <is>
          <t>NVIDIA</t>
        </is>
      </c>
      <c r="D140" s="14" t="inlineStr">
        <is>
          <t>2025-10-13</t>
        </is>
      </c>
      <c r="E140" s="14" t="inlineStr">
        <is>
          <t>https://developer.nvidia.com/blog/building-the-800-vdc-ecosystem-for-efficient-scalable-ai-factories/</t>
        </is>
      </c>
      <c r="F140" s="14" t="inlineStr">
        <is>
          <t>2026-10-22</t>
        </is>
      </c>
      <c r="G140" s="14" t="inlineStr">
        <is>
          <t>公司披露</t>
        </is>
      </c>
    </row>
    <row r="141">
      <c r="A141" s="14" t="inlineStr">
        <is>
          <t>WIKI_PAL</t>
        </is>
      </c>
      <c r="B141" s="14" t="inlineStr">
        <is>
          <t>维基百科：Palisades 核电站（引用 Detroit News、WNN 等）</t>
        </is>
      </c>
      <c r="C141" s="14" t="inlineStr">
        <is>
          <t>Wikipedia</t>
        </is>
      </c>
      <c r="D141" s="14" t="inlineStr">
        <is>
          <t>2026-10（页面更新）</t>
        </is>
      </c>
      <c r="E141" s="14" t="inlineStr">
        <is>
          <t>https://en.wikipedia.org/wiki/Palisades_Nuclear_Generating_Station</t>
        </is>
      </c>
      <c r="F141" s="14" t="inlineStr">
        <is>
          <t>2026-10-22</t>
        </is>
      </c>
      <c r="G141" s="14" t="inlineStr">
        <is>
          <t>二手汇编</t>
        </is>
      </c>
    </row>
    <row r="142">
      <c r="A142" s="14" t="inlineStr">
        <is>
          <t>CGEP26</t>
        </is>
      </c>
      <c r="B142" s="14" t="inlineStr">
        <is>
          <t>哥伦比亚大学全球能源政策中心：负荷增长对美国电价影响的文献综述</t>
        </is>
      </c>
      <c r="C142" s="14" t="inlineStr">
        <is>
          <t>Columbia CGEP</t>
        </is>
      </c>
      <c r="D142" s="14" t="inlineStr">
        <is>
          <t>2026-06-23</t>
        </is>
      </c>
      <c r="E142" s="14" t="inlineStr">
        <is>
          <t>https://www.energypolicy.columbia.edu/publications/the-effects-of-load-growth-on-electricity-prices-in-the-united-states-a-literature-review/</t>
        </is>
      </c>
      <c r="F142" s="14" t="inlineStr">
        <is>
          <t>2026-10-22</t>
        </is>
      </c>
      <c r="G142" s="14" t="inlineStr">
        <is>
          <t>第三方研究</t>
        </is>
      </c>
    </row>
    <row r="143">
      <c r="A143" s="14" t="inlineStr">
        <is>
          <t>META_BO</t>
        </is>
      </c>
      <c r="B143" s="14" t="inlineStr">
        <is>
          <t>Meta 新闻稿：与 Blue Owl 管理基金成立合资公司开发 Hyperion 数据中心</t>
        </is>
      </c>
      <c r="C143" s="14" t="inlineStr">
        <is>
          <t>Meta</t>
        </is>
      </c>
      <c r="D143" s="14" t="inlineStr">
        <is>
          <t>2025-10-21</t>
        </is>
      </c>
      <c r="E143" s="14" t="inlineStr">
        <is>
          <t>https://investor.atmeta.com/investor-news/press-release-details/2025/Meta-Announces-Joint-Venture-with-Funds-Managed-by-Blue-Owl-Capital-to-Develop-Hyperion-Data-Center/default.aspx</t>
        </is>
      </c>
      <c r="F143" s="14" t="inlineStr">
        <is>
          <t>2026-10-22</t>
        </is>
      </c>
      <c r="G143" s="14" t="inlineStr">
        <is>
          <t>公司披露</t>
        </is>
      </c>
    </row>
    <row r="144">
      <c r="A144" s="14" t="inlineStr">
        <is>
          <t>MSFT_FW</t>
        </is>
      </c>
      <c r="B144" s="14" t="inlineStr">
        <is>
          <t>微软官方博客：全球最强 AI 数据中心内部（Fairwater 威斯康星）</t>
        </is>
      </c>
      <c r="C144" s="14" t="inlineStr">
        <is>
          <t>Microsoft</t>
        </is>
      </c>
      <c r="D144" s="14" t="inlineStr">
        <is>
          <t>2025-09-18</t>
        </is>
      </c>
      <c r="E144" s="14" t="inlineStr">
        <is>
          <t>https://blogs.microsoft.com/blog/2025/09/18/inside-the-worlds-most-powerful-ai-datacenter/</t>
        </is>
      </c>
      <c r="F144" s="14" t="inlineStr">
        <is>
          <t>2026-10-22</t>
        </is>
      </c>
      <c r="G144" s="14" t="inlineStr">
        <is>
          <t>公司披露</t>
        </is>
      </c>
    </row>
    <row r="145">
      <c r="A145" s="14" t="inlineStr">
        <is>
          <t>POWER_ENT</t>
        </is>
      </c>
      <c r="B145" s="14" t="inlineStr">
        <is>
          <t>POWER 杂志：Entergy Louisiana 拟新建 2.2 GW 燃气机组服务数据中心</t>
        </is>
      </c>
      <c r="C145" s="14" t="inlineStr">
        <is>
          <t>POWER</t>
        </is>
      </c>
      <c r="D145" s="14" t="inlineStr">
        <is>
          <t>2024-11-19</t>
        </is>
      </c>
      <c r="E145" s="14" t="inlineStr">
        <is>
          <t>https://www.powermag.com/entergy-louisiana-eyes-2-2-gw-of-new-gas-fired-generation-to-support-data-center-demand</t>
        </is>
      </c>
      <c r="F145" s="14" t="inlineStr">
        <is>
          <t>2026-10-22</t>
        </is>
      </c>
      <c r="G145" s="14" t="inlineStr">
        <is>
          <t>媒体（二手）</t>
        </is>
      </c>
    </row>
    <row r="146">
      <c r="A146" s="14" t="inlineStr">
        <is>
          <t>CEG_CRANE25</t>
        </is>
      </c>
      <c r="B146" s="14" t="inlineStr">
        <is>
          <t>Constellation 新闻稿：一年之后 Crane 进度提前（重启提前至 2027 年）</t>
        </is>
      </c>
      <c r="C146" s="14" t="inlineStr">
        <is>
          <t>Constellation</t>
        </is>
      </c>
      <c r="D146" s="14" t="inlineStr">
        <is>
          <t>2025-09-23</t>
        </is>
      </c>
      <c r="E146" s="14" t="inlineStr">
        <is>
          <t>https://www.constellationenergy.com/news/2025/09/one-year-later-crane-clean-energy-center-still-in-the-spotlight-and-ahead-of-schedule.html</t>
        </is>
      </c>
      <c r="F146" s="14" t="inlineStr">
        <is>
          <t>2026-10-22</t>
        </is>
      </c>
      <c r="G146" s="14" t="inlineStr">
        <is>
          <t>公司披露</t>
        </is>
      </c>
    </row>
    <row r="147">
      <c r="A147" s="14" t="inlineStr">
        <is>
          <t>CEG_2Q26PR</t>
        </is>
      </c>
      <c r="B147" s="14" t="inlineStr">
        <is>
          <t>Constellation 2026 年二季度业绩新闻稿</t>
        </is>
      </c>
      <c r="C147" s="14" t="inlineStr">
        <is>
          <t>Constellation</t>
        </is>
      </c>
      <c r="D147" s="14" t="inlineStr">
        <is>
          <t>2026-08-06</t>
        </is>
      </c>
      <c r="E147" s="14" t="inlineStr">
        <is>
          <t>https://www.constellationenergy.com/news/2026/08/constellation-reports-second-quarter-2026-results.html</t>
        </is>
      </c>
      <c r="F147" s="14" t="inlineStr">
        <is>
          <t>2026-10-22</t>
        </is>
      </c>
      <c r="G147" s="14" t="inlineStr">
        <is>
          <t>公司披露</t>
        </is>
      </c>
    </row>
    <row r="148">
      <c r="A148" s="14" t="inlineStr">
        <is>
          <t>DOE_CRANE</t>
        </is>
      </c>
      <c r="B148" s="14" t="inlineStr">
        <is>
          <t>美国能源部：完成宾州核电站重启贷款</t>
        </is>
      </c>
      <c r="C148" s="14" t="inlineStr">
        <is>
          <t>美国能源部</t>
        </is>
      </c>
      <c r="D148" s="14" t="inlineStr">
        <is>
          <t>2025-11-18</t>
        </is>
      </c>
      <c r="E148" s="14" t="inlineStr">
        <is>
          <t>https://www.energy.gov/articles/energy-Department-closes-loan-restart-nuclear-power-plant-pennsylvania</t>
        </is>
      </c>
      <c r="F148" s="14" t="inlineStr">
        <is>
          <t>2026-10-22</t>
        </is>
      </c>
      <c r="G148" s="14" t="inlineStr">
        <is>
          <t>官方机构</t>
        </is>
      </c>
    </row>
    <row r="149">
      <c r="A149" s="14" t="inlineStr">
        <is>
          <t>META_NUC</t>
        </is>
      </c>
      <c r="B149" s="14" t="inlineStr">
        <is>
          <t>Meta 新闻：宣布核能项目，最多释放 6.6 GW</t>
        </is>
      </c>
      <c r="C149" s="14" t="inlineStr">
        <is>
          <t>Meta</t>
        </is>
      </c>
      <c r="D149" s="14" t="inlineStr">
        <is>
          <t>2026-01-09</t>
        </is>
      </c>
      <c r="E149" s="14" t="inlineStr">
        <is>
          <t>https://about.fb.com/news/2026/01/meta-nuclear-energy-projects-power-american-ai-leadership/</t>
        </is>
      </c>
      <c r="F149" s="14" t="inlineStr">
        <is>
          <t>2026-10-22</t>
        </is>
      </c>
      <c r="G149" s="14" t="inlineStr">
        <is>
          <t>公司披露</t>
        </is>
      </c>
    </row>
    <row r="150">
      <c r="A150" s="14" t="inlineStr">
        <is>
          <t>DOE_DA</t>
        </is>
      </c>
      <c r="B150" s="14" t="inlineStr">
        <is>
          <t>美国能源部：完成 19 亿美元 Duane Arnold 重启贷款</t>
        </is>
      </c>
      <c r="C150" s="14" t="inlineStr">
        <is>
          <t>美国能源部</t>
        </is>
      </c>
      <c r="D150" s="14" t="inlineStr">
        <is>
          <t>2026-09-08</t>
        </is>
      </c>
      <c r="E150" s="14" t="inlineStr">
        <is>
          <t>https://www.energy.gov/articles/energy-department-closes-19-billion-loan-restart-duane-arnold-nuclear-plant</t>
        </is>
      </c>
      <c r="F150" s="14" t="inlineStr">
        <is>
          <t>2026-10-22</t>
        </is>
      </c>
      <c r="G150" s="14" t="inlineStr">
        <is>
          <t>官方机构</t>
        </is>
      </c>
    </row>
    <row r="151">
      <c r="A151" s="14" t="inlineStr">
        <is>
          <t>XE_AMZN</t>
        </is>
      </c>
      <c r="B151" s="14" t="inlineStr">
        <is>
          <t>X-energy 新闻稿：亚马逊投资 X-energy（2039 年前 5 GW 以上）</t>
        </is>
      </c>
      <c r="C151" s="14" t="inlineStr">
        <is>
          <t>X-energy</t>
        </is>
      </c>
      <c r="D151" s="14" t="inlineStr">
        <is>
          <t>2024-10-16</t>
        </is>
      </c>
      <c r="E151" s="14" t="inlineStr">
        <is>
          <t>https://x-energy.com/media/news-releases/amazon-invests-in-x-energy-to-support-advanced-small-modular-nuclear-reactors-and-expand-carbon-free-power</t>
        </is>
      </c>
      <c r="F151" s="14" t="inlineStr">
        <is>
          <t>2026-10-22</t>
        </is>
      </c>
      <c r="G151" s="14" t="inlineStr">
        <is>
          <t>公司披露</t>
        </is>
      </c>
    </row>
    <row r="152">
      <c r="A152" s="14" t="inlineStr">
        <is>
          <t>DOE_VST</t>
        </is>
      </c>
      <c r="B152" s="14" t="inlineStr">
        <is>
          <t>美国能源部：42 亿美元支持宾州与俄亥俄核电增容（有条件承诺）</t>
        </is>
      </c>
      <c r="C152" s="14" t="inlineStr">
        <is>
          <t>美国能源部</t>
        </is>
      </c>
      <c r="D152" s="14" t="inlineStr">
        <is>
          <t>2026-10-05</t>
        </is>
      </c>
      <c r="E152" s="14" t="inlineStr">
        <is>
          <t>https://www.energy.gov/articles/energy-department-announces-42-billion-investment-boost-nuclear-power-and-help-lower</t>
        </is>
      </c>
      <c r="F152" s="14" t="inlineStr">
        <is>
          <t>2026-10-22</t>
        </is>
      </c>
      <c r="G152" s="14" t="inlineStr">
        <is>
          <t>官方机构</t>
        </is>
      </c>
    </row>
    <row r="153">
      <c r="A153" s="14" t="inlineStr">
        <is>
          <t>TP_NRC</t>
        </is>
      </c>
      <c r="B153" s="14" t="inlineStr">
        <is>
          <t>TerraPower 新闻稿：美国核管会批准 Natrium 建造许可</t>
        </is>
      </c>
      <c r="C153" s="14" t="inlineStr">
        <is>
          <t>TerraPower</t>
        </is>
      </c>
      <c r="D153" s="14" t="inlineStr">
        <is>
          <t>2026-03-04</t>
        </is>
      </c>
      <c r="E153" s="14" t="inlineStr">
        <is>
          <t>https://www.terrapower.com/NRC-Approves-Natrium-Reactor-Construction-Permit</t>
        </is>
      </c>
      <c r="F153" s="14" t="inlineStr">
        <is>
          <t>2026-10-22</t>
        </is>
      </c>
      <c r="G153" s="14" t="inlineStr">
        <is>
          <t>公司披露</t>
        </is>
      </c>
    </row>
    <row r="154">
      <c r="A154" s="14" t="inlineStr">
        <is>
          <t>CFS_B2</t>
        </is>
      </c>
      <c r="B154" s="14" t="inlineStr">
        <is>
          <t>CFS 新闻稿：完成 8.63 亿美元 B2 轮融资</t>
        </is>
      </c>
      <c r="C154" s="14" t="inlineStr">
        <is>
          <t>Commonwealth Fusion Systems</t>
        </is>
      </c>
      <c r="D154" s="14" t="inlineStr">
        <is>
          <t>2025-08-28</t>
        </is>
      </c>
      <c r="E154" s="14" t="inlineStr">
        <is>
          <t>https://cfs.energy/news-and-media/commonwealth-fusion-systems-raises-863-million-series-b2-round-to-accelerate-the-commercialization-of-fusion-energy</t>
        </is>
      </c>
      <c r="F154" s="14" t="inlineStr">
        <is>
          <t>2026-10-22</t>
        </is>
      </c>
      <c r="G154" s="14" t="inlineStr">
        <is>
          <t>公司披露</t>
        </is>
      </c>
    </row>
    <row r="155">
      <c r="A155" s="14" t="inlineStr">
        <is>
          <t>HEL_POL</t>
        </is>
      </c>
      <c r="B155" s="14" t="inlineStr">
        <is>
          <t>Helion 新闻：Polaris 实现可测量的氘氚聚变</t>
        </is>
      </c>
      <c r="C155" s="14" t="inlineStr">
        <is>
          <t>Helion</t>
        </is>
      </c>
      <c r="D155" s="14" t="inlineStr">
        <is>
          <t>2026-02-13</t>
        </is>
      </c>
      <c r="E155" s="14" t="inlineStr">
        <is>
          <t>https://www.helionenergy.com/newsroom/helion-achieves-new-fusion-energy-milestones</t>
        </is>
      </c>
      <c r="F155" s="14" t="inlineStr">
        <is>
          <t>2026-10-22</t>
        </is>
      </c>
      <c r="G155" s="14" t="inlineStr">
        <is>
          <t>公司披露</t>
        </is>
      </c>
    </row>
    <row r="156">
      <c r="A156" s="14" t="inlineStr">
        <is>
          <t>TAE_TMTG</t>
        </is>
      </c>
      <c r="B156" s="14" t="inlineStr">
        <is>
          <t>TMTG 与 TAE 合并公告（8-K 附件 99.1）</t>
        </is>
      </c>
      <c r="C156" s="14" t="inlineStr">
        <is>
          <t>Trump Media &amp; Technology Group / TAE</t>
        </is>
      </c>
      <c r="D156" s="14" t="inlineStr">
        <is>
          <t>2025-12-18</t>
        </is>
      </c>
      <c r="E156" s="14" t="inlineStr">
        <is>
          <t>https://www.sec.gov/Archives/edgar/data/1849635/000114036125045947/ef20061515_ex99-1.htm</t>
        </is>
      </c>
      <c r="F156" s="14" t="inlineStr">
        <is>
          <t>2026-10-22</t>
        </is>
      </c>
      <c r="G156" s="14" t="inlineStr">
        <is>
          <t>公司披露</t>
        </is>
      </c>
    </row>
    <row r="157">
      <c r="A157" s="14" t="inlineStr">
        <is>
          <t>TAE_S4</t>
        </is>
      </c>
      <c r="B157" s="14" t="inlineStr">
        <is>
          <t>TMTG / TAE：提交 S-4 注册声明公告（425 表附件）</t>
        </is>
      </c>
      <c r="C157" s="14" t="inlineStr">
        <is>
          <t>Trump Media &amp; Technology Group / TAE</t>
        </is>
      </c>
      <c r="D157" s="14" t="inlineStr">
        <is>
          <t>2026-09-30</t>
        </is>
      </c>
      <c r="E157" s="14" t="inlineStr">
        <is>
          <t>https://www.sec.gov/Archives/edgar/data/0001849635/000143774926031536/ex_1020866.htm</t>
        </is>
      </c>
      <c r="F157" s="14" t="inlineStr">
        <is>
          <t>2026-10-22</t>
        </is>
      </c>
      <c r="G157" s="14" t="inlineStr">
        <is>
          <t>公司披露</t>
        </is>
      </c>
    </row>
    <row r="158">
      <c r="A158" s="14" t="inlineStr">
        <is>
          <t>PAC_NM</t>
        </is>
      </c>
      <c r="B158" s="14" t="inlineStr">
        <is>
          <t>Pacific Fusion 新闻：新墨西哥 10 亿美元园区开工</t>
        </is>
      </c>
      <c r="C158" s="14" t="inlineStr">
        <is>
          <t>Pacific Fusion</t>
        </is>
      </c>
      <c r="D158" s="14" t="inlineStr">
        <is>
          <t>2026-08-24</t>
        </is>
      </c>
      <c r="E158" s="14" t="inlineStr">
        <is>
          <t>https://www.pacificfusion.com/resources/pacific-fusion-breaks-ground-on-first-of-a-kind-fusion-facility-in-new-mexico</t>
        </is>
      </c>
      <c r="F158" s="14" t="inlineStr">
        <is>
          <t>2026-10-22</t>
        </is>
      </c>
      <c r="G158" s="14" t="inlineStr">
        <is>
          <t>公司披露</t>
        </is>
      </c>
    </row>
    <row r="159">
      <c r="A159" s="14" t="inlineStr">
        <is>
          <t>DOE_FR</t>
        </is>
      </c>
      <c r="B159" s="14" t="inlineStr">
        <is>
          <t>美国能源部：发布最终版聚变科技路线图</t>
        </is>
      </c>
      <c r="C159" s="14" t="inlineStr">
        <is>
          <t>美国能源部</t>
        </is>
      </c>
      <c r="D159" s="14" t="inlineStr">
        <is>
          <t>2026-06-09</t>
        </is>
      </c>
      <c r="E159" s="14" t="inlineStr">
        <is>
          <t>https://www.energy.gov/articles/energy-department-releases-finalized-fusion-science-and-technology-roadmap-accelerate</t>
        </is>
      </c>
      <c r="F159" s="14" t="inlineStr">
        <is>
          <t>2026-10-22</t>
        </is>
      </c>
      <c r="G159" s="14" t="inlineStr">
        <is>
          <t>官方机构</t>
        </is>
      </c>
    </row>
  </sheetData>
  <mergeCells count="1">
    <mergeCell ref="A2:G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2026-10-22T22:06:19Z</dcterms:created>
  <dcterms:modified xmlns:dcterms="http://purl.org/dc/terms/" xmlns:xsi="http://www.w3.org/2001/XMLSchema-instance" xsi:type="dcterms:W3CDTF">2026-10-22T22:06:19Z</dcterms:modified>
</cp:coreProperties>
</file>