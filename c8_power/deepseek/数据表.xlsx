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3.xml" ContentType="application/vnd.ms-office.chart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olors11.xml" ContentType="application/vnd.ms-office.chartcolor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11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封面说明" sheetId="1" state="visible" r:id="rId3"/>
    <sheet name="汇总" sheetId="2" state="visible" r:id="rId4"/>
    <sheet name="图表" sheetId="3" state="visible" r:id="rId5"/>
    <sheet name="假设与情景" sheetId="4" state="visible" r:id="rId6"/>
    <sheet name="需求_全球" sheetId="5" state="visible" r:id="rId7"/>
    <sheet name="需求_区域" sheetId="6" state="visible" r:id="rId8"/>
    <sheet name="科技巨头_CapEx" sheetId="7" state="visible" r:id="rId9"/>
    <sheet name="Meta_财务" sheetId="8" state="visible" r:id="rId10"/>
    <sheet name="核电_PPA" sheetId="9" state="visible" r:id="rId11"/>
    <sheet name="供给结构" sheetId="10" state="visible" r:id="rId12"/>
    <sheet name="成本_LCOE" sheetId="11" state="visible" r:id="rId13"/>
    <sheet name="聚变_公司" sheetId="12" state="visible" r:id="rId14"/>
    <sheet name="瓶颈指标" sheetId="13" state="visible" r:id="rId15"/>
    <sheet name="来源清单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<sst xmlns="http://schemas.openxmlformats.org/spreadsheetml/2006/main" count="1336" uniqueCount="858">
  <si>
    <r>
      <rPr>
        <b val="true"/>
        <sz val="26"/>
        <color rgb="FF1F3864"/>
        <rFont val="微软雅黑"/>
        <family val="0"/>
        <charset val="1"/>
      </rPr>
      <t xml:space="preserve">AI </t>
    </r>
    <r>
      <rPr>
        <b val="true"/>
        <sz val="26"/>
        <color rgb="FF1F3864"/>
        <rFont val="Noto Sans CJK SC"/>
        <family val="2"/>
      </rPr>
      <t xml:space="preserve">的电从哪来 </t>
    </r>
    <r>
      <rPr>
        <b val="true"/>
        <sz val="26"/>
        <color rgb="FF1F3864"/>
        <rFont val="微软雅黑"/>
        <family val="0"/>
        <charset val="1"/>
      </rPr>
      <t xml:space="preserve">· </t>
    </r>
    <r>
      <rPr>
        <b val="true"/>
        <sz val="26"/>
        <color rgb="FF1F3864"/>
        <rFont val="Noto Sans CJK SC"/>
        <family val="2"/>
      </rPr>
      <t xml:space="preserve">数据表</t>
    </r>
  </si>
  <si>
    <t xml:space="preserve">Supporting data workbook for the industry research report | 2026-10-22 | v1.0</t>
  </si>
  <si>
    <t xml:space="preserve">这份工作簿是什么</t>
  </si>
  <si>
    <r>
      <rPr>
        <sz val="10"/>
        <color rgb="FF1F1F1F"/>
        <rFont val="Noto Sans CJK SC"/>
        <family val="2"/>
      </rPr>
      <t xml:space="preserve">本工作簿是《</t>
    </r>
    <r>
      <rPr>
        <sz val="10"/>
        <color rgb="FF1F1F1F"/>
        <rFont val="微软雅黑"/>
        <family val="0"/>
        <charset val="1"/>
      </rPr>
      <t xml:space="preserve">AI </t>
    </r>
    <r>
      <rPr>
        <sz val="10"/>
        <color rgb="FF1F1F1F"/>
        <rFont val="Noto Sans CJK SC"/>
        <family val="2"/>
      </rPr>
      <t xml:space="preserve">的电从哪来》研究报告的数据底稿，覆盖：全球与美国数据中心用电、科技巨头 </t>
    </r>
    <r>
      <rPr>
        <sz val="10"/>
        <color rgb="FF1F1F1F"/>
        <rFont val="微软雅黑"/>
        <family val="0"/>
        <charset val="1"/>
      </rPr>
      <t xml:space="preserve">2026 </t>
    </r>
    <r>
      <rPr>
        <sz val="10"/>
        <color rgb="FF1F1F1F"/>
        <rFont val="Noto Sans CJK SC"/>
        <family val="2"/>
      </rPr>
      <t xml:space="preserve">年资本开支、</t>
    </r>
    <r>
      <rPr>
        <sz val="10"/>
        <color rgb="FF1F1F1F"/>
        <rFont val="微软雅黑"/>
        <family val="0"/>
        <charset val="1"/>
      </rPr>
      <t xml:space="preserve">Meta </t>
    </r>
    <r>
      <rPr>
        <sz val="10"/>
        <color rgb="FF1F1F1F"/>
        <rFont val="Noto Sans CJK SC"/>
        <family val="2"/>
      </rPr>
      <t xml:space="preserve">最新季报、核电长期购电协议、美国数据中心供电结构、</t>
    </r>
    <r>
      <rPr>
        <sz val="10"/>
        <color rgb="FF1F1F1F"/>
        <rFont val="微软雅黑"/>
        <family val="0"/>
        <charset val="1"/>
      </rPr>
      <t xml:space="preserve">LCOE</t>
    </r>
    <r>
      <rPr>
        <sz val="10"/>
        <color rgb="FF1F1F1F"/>
        <rFont val="Noto Sans CJK SC"/>
        <family val="2"/>
      </rPr>
      <t xml:space="preserve">、聚变公司融资与时间表、以及电网</t>
    </r>
    <r>
      <rPr>
        <sz val="10"/>
        <color rgb="FF1F1F1F"/>
        <rFont val="微软雅黑"/>
        <family val="0"/>
        <charset val="1"/>
      </rPr>
      <t xml:space="preserve">/</t>
    </r>
    <r>
      <rPr>
        <sz val="10"/>
        <color rgb="FF1F1F1F"/>
        <rFont val="Noto Sans CJK SC"/>
        <family val="2"/>
      </rPr>
      <t xml:space="preserve">设备</t>
    </r>
    <r>
      <rPr>
        <sz val="10"/>
        <color rgb="FF1F1F1F"/>
        <rFont val="微软雅黑"/>
        <family val="0"/>
        <charset val="1"/>
      </rPr>
      <t xml:space="preserve">/</t>
    </r>
    <r>
      <rPr>
        <sz val="10"/>
        <color rgb="FF1F1F1F"/>
        <rFont val="Noto Sans CJK SC"/>
        <family val="2"/>
      </rPr>
      <t xml:space="preserve">许可瓶颈。
所有明细行都标注了来源编号（</t>
    </r>
    <r>
      <rPr>
        <sz val="10"/>
        <color rgb="FF1F1F1F"/>
        <rFont val="微软雅黑"/>
        <family val="0"/>
        <charset val="1"/>
      </rPr>
      <t xml:space="preserve">S01–S34</t>
    </r>
    <r>
      <rPr>
        <sz val="10"/>
        <color rgb="FF1F1F1F"/>
        <rFont val="Noto Sans CJK SC"/>
        <family val="2"/>
      </rPr>
      <t xml:space="preserve">，见“来源清单”）、发布日期和口径说明。汇总页的每个数字都由公式从明细表计算，不是手工填入。改动“假设与情景”中的黄色输入格，汇总页、图表和网页数据底稿会同步变化。</t>
    </r>
  </si>
  <si>
    <t xml:space="preserve">工作表索引</t>
  </si>
  <si>
    <t xml:space="preserve">工作表</t>
  </si>
  <si>
    <t xml:space="preserve">内容</t>
  </si>
  <si>
    <t xml:space="preserve">汇总</t>
  </si>
  <si>
    <r>
      <rPr>
        <sz val="9.5"/>
        <color rgb="FF000000"/>
        <rFont val="Noto Sans CJK SC"/>
        <family val="2"/>
      </rPr>
      <t xml:space="preserve">核心数字与 </t>
    </r>
    <r>
      <rPr>
        <sz val="9.5"/>
        <color rgb="FF000000"/>
        <rFont val="微软雅黑"/>
        <family val="0"/>
        <charset val="1"/>
      </rPr>
      <t xml:space="preserve">2 </t>
    </r>
    <r>
      <rPr>
        <sz val="9.5"/>
        <color rgb="FF000000"/>
        <rFont val="Noto Sans CJK SC"/>
        <family val="2"/>
      </rPr>
      <t xml:space="preserve">张图表（另见“图表”页）；全部为公式</t>
    </r>
  </si>
  <si>
    <t xml:space="preserve">假设与情景</t>
  </si>
  <si>
    <r>
      <rPr>
        <sz val="9.5"/>
        <color rgb="FF000000"/>
        <rFont val="微软雅黑"/>
        <family val="0"/>
        <charset val="1"/>
      </rPr>
      <t xml:space="preserve">31 </t>
    </r>
    <r>
      <rPr>
        <sz val="9.5"/>
        <color rgb="FF000000"/>
        <rFont val="Noto Sans CJK SC"/>
        <family val="2"/>
      </rPr>
      <t xml:space="preserve">个参数：事实、假设、计算；黄色可改</t>
    </r>
  </si>
  <si>
    <r>
      <rPr>
        <b val="true"/>
        <sz val="9.5"/>
        <color rgb="FF000000"/>
        <rFont val="Noto Sans CJK SC"/>
        <family val="2"/>
      </rPr>
      <t xml:space="preserve">需求</t>
    </r>
    <r>
      <rPr>
        <b val="true"/>
        <sz val="9.5"/>
        <color rgb="FF000000"/>
        <rFont val="微软雅黑"/>
        <family val="0"/>
        <charset val="1"/>
      </rPr>
      <t xml:space="preserve">_</t>
    </r>
    <r>
      <rPr>
        <b val="true"/>
        <sz val="9.5"/>
        <color rgb="FF000000"/>
        <rFont val="Noto Sans CJK SC"/>
        <family val="2"/>
      </rPr>
      <t xml:space="preserve">全球</t>
    </r>
  </si>
  <si>
    <r>
      <rPr>
        <sz val="9.5"/>
        <color rgb="FF000000"/>
        <rFont val="微软雅黑"/>
        <family val="0"/>
        <charset val="1"/>
      </rPr>
      <t xml:space="preserve">2024 / 2030 / 2035 </t>
    </r>
    <r>
      <rPr>
        <sz val="9.5"/>
        <color rgb="FF000000"/>
        <rFont val="Noto Sans CJK SC"/>
        <family val="2"/>
      </rPr>
      <t xml:space="preserve">全球数据中心用电</t>
    </r>
  </si>
  <si>
    <r>
      <rPr>
        <b val="true"/>
        <sz val="9.5"/>
        <color rgb="FF000000"/>
        <rFont val="Noto Sans CJK SC"/>
        <family val="2"/>
      </rPr>
      <t xml:space="preserve">需求</t>
    </r>
    <r>
      <rPr>
        <b val="true"/>
        <sz val="9.5"/>
        <color rgb="FF000000"/>
        <rFont val="微软雅黑"/>
        <family val="0"/>
        <charset val="1"/>
      </rPr>
      <t xml:space="preserve">_</t>
    </r>
    <r>
      <rPr>
        <b val="true"/>
        <sz val="9.5"/>
        <color rgb="FF000000"/>
        <rFont val="Noto Sans CJK SC"/>
        <family val="2"/>
      </rPr>
      <t xml:space="preserve">区域</t>
    </r>
  </si>
  <si>
    <t xml:space="preserve">美国、中国、欧洲、其他地区拆分</t>
  </si>
  <si>
    <r>
      <rPr>
        <b val="true"/>
        <sz val="9.5"/>
        <color rgb="FF000000"/>
        <rFont val="Noto Sans CJK SC"/>
        <family val="2"/>
      </rPr>
      <t xml:space="preserve">科技巨头</t>
    </r>
    <r>
      <rPr>
        <b val="true"/>
        <sz val="9.5"/>
        <color rgb="FF000000"/>
        <rFont val="微软雅黑"/>
        <family val="0"/>
        <charset val="1"/>
      </rPr>
      <t xml:space="preserve">_CapEx</t>
    </r>
  </si>
  <si>
    <r>
      <rPr>
        <sz val="9.5"/>
        <color rgb="FF000000"/>
        <rFont val="Noto Sans CJK SC"/>
        <family val="2"/>
      </rPr>
      <t xml:space="preserve">五家公司 </t>
    </r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年资本开支指引</t>
    </r>
  </si>
  <si>
    <r>
      <rPr>
        <b val="true"/>
        <sz val="9.5"/>
        <color rgb="FF000000"/>
        <rFont val="微软雅黑"/>
        <family val="0"/>
        <charset val="1"/>
      </rPr>
      <t xml:space="preserve">Meta_</t>
    </r>
    <r>
      <rPr>
        <b val="true"/>
        <sz val="9.5"/>
        <color rgb="FF000000"/>
        <rFont val="Noto Sans CJK SC"/>
        <family val="2"/>
      </rPr>
      <t xml:space="preserve">财务</t>
    </r>
  </si>
  <si>
    <r>
      <rPr>
        <sz val="9.5"/>
        <color rgb="FF000000"/>
        <rFont val="微软雅黑"/>
        <family val="0"/>
        <charset val="1"/>
      </rPr>
      <t xml:space="preserve">2026Q3 </t>
    </r>
    <r>
      <rPr>
        <sz val="9.5"/>
        <color rgb="FF000000"/>
        <rFont val="Noto Sans CJK SC"/>
        <family val="2"/>
      </rPr>
      <t xml:space="preserve">收入、资本开支、承诺、合资企业</t>
    </r>
  </si>
  <si>
    <r>
      <rPr>
        <b val="true"/>
        <sz val="9.5"/>
        <color rgb="FF000000"/>
        <rFont val="Noto Sans CJK SC"/>
        <family val="2"/>
      </rPr>
      <t xml:space="preserve">核电</t>
    </r>
    <r>
      <rPr>
        <b val="true"/>
        <sz val="9.5"/>
        <color rgb="FF000000"/>
        <rFont val="微软雅黑"/>
        <family val="0"/>
        <charset val="1"/>
      </rPr>
      <t xml:space="preserve">_PPA</t>
    </r>
  </si>
  <si>
    <r>
      <rPr>
        <sz val="9.5"/>
        <color rgb="FF000000"/>
        <rFont val="微软雅黑"/>
        <family val="0"/>
        <charset val="1"/>
      </rPr>
      <t xml:space="preserve">10 </t>
    </r>
    <r>
      <rPr>
        <sz val="9.5"/>
        <color rgb="FF000000"/>
        <rFont val="Noto Sans CJK SC"/>
        <family val="2"/>
      </rPr>
      <t xml:space="preserve">笔长期核电</t>
    </r>
    <r>
      <rPr>
        <sz val="9.5"/>
        <color rgb="FF000000"/>
        <rFont val="微软雅黑"/>
        <family val="0"/>
        <charset val="1"/>
      </rPr>
      <t xml:space="preserve">/</t>
    </r>
    <r>
      <rPr>
        <sz val="9.5"/>
        <color rgb="FF000000"/>
        <rFont val="Noto Sans CJK SC"/>
        <family val="2"/>
      </rPr>
      <t xml:space="preserve">聚变购电协议 </t>
    </r>
    <r>
      <rPr>
        <sz val="9.5"/>
        <color rgb="FF000000"/>
        <rFont val="微软雅黑"/>
        <family val="0"/>
        <charset val="1"/>
      </rPr>
      <t xml:space="preserve">+ Meta </t>
    </r>
    <r>
      <rPr>
        <sz val="9.5"/>
        <color rgb="FF000000"/>
        <rFont val="Noto Sans CJK SC"/>
        <family val="2"/>
      </rPr>
      <t xml:space="preserve">组合</t>
    </r>
  </si>
  <si>
    <t xml:space="preserve">供给结构</t>
  </si>
  <si>
    <r>
      <rPr>
        <sz val="9.5"/>
        <color rgb="FF000000"/>
        <rFont val="Noto Sans CJK SC"/>
        <family val="2"/>
      </rPr>
      <t xml:space="preserve">美国数据中心 </t>
    </r>
    <r>
      <rPr>
        <sz val="9.5"/>
        <color rgb="FF000000"/>
        <rFont val="微软雅黑"/>
        <family val="0"/>
        <charset val="1"/>
      </rPr>
      <t xml:space="preserve">2024 vs 2030 </t>
    </r>
    <r>
      <rPr>
        <sz val="9.5"/>
        <color rgb="FF000000"/>
        <rFont val="Noto Sans CJK SC"/>
        <family val="2"/>
      </rPr>
      <t xml:space="preserve">电源结构</t>
    </r>
  </si>
  <si>
    <r>
      <rPr>
        <b val="true"/>
        <sz val="9.5"/>
        <color rgb="FF000000"/>
        <rFont val="Noto Sans CJK SC"/>
        <family val="2"/>
      </rPr>
      <t xml:space="preserve">成本</t>
    </r>
    <r>
      <rPr>
        <b val="true"/>
        <sz val="9.5"/>
        <color rgb="FF000000"/>
        <rFont val="微软雅黑"/>
        <family val="0"/>
        <charset val="1"/>
      </rPr>
      <t xml:space="preserve">_LCOE</t>
    </r>
  </si>
  <si>
    <r>
      <rPr>
        <sz val="9.5"/>
        <color rgb="FF000000"/>
        <rFont val="微软雅黑"/>
        <family val="0"/>
        <charset val="1"/>
      </rPr>
      <t xml:space="preserve">Lazard 2026 LCOE </t>
    </r>
    <r>
      <rPr>
        <sz val="9.5"/>
        <color rgb="FF000000"/>
        <rFont val="Noto Sans CJK SC"/>
        <family val="2"/>
      </rPr>
      <t xml:space="preserve">与核电 </t>
    </r>
    <r>
      <rPr>
        <sz val="9.5"/>
        <color rgb="FF000000"/>
        <rFont val="微软雅黑"/>
        <family val="0"/>
        <charset val="1"/>
      </rPr>
      <t xml:space="preserve">PPA </t>
    </r>
    <r>
      <rPr>
        <sz val="9.5"/>
        <color rgb="FF000000"/>
        <rFont val="Noto Sans CJK SC"/>
        <family val="2"/>
      </rPr>
      <t xml:space="preserve">价格</t>
    </r>
  </si>
  <si>
    <r>
      <rPr>
        <b val="true"/>
        <sz val="9.5"/>
        <color rgb="FF000000"/>
        <rFont val="Noto Sans CJK SC"/>
        <family val="2"/>
      </rPr>
      <t xml:space="preserve">聚变</t>
    </r>
    <r>
      <rPr>
        <b val="true"/>
        <sz val="9.5"/>
        <color rgb="FF000000"/>
        <rFont val="微软雅黑"/>
        <family val="0"/>
        <charset val="1"/>
      </rPr>
      <t xml:space="preserve">_</t>
    </r>
    <r>
      <rPr>
        <b val="true"/>
        <sz val="9.5"/>
        <color rgb="FF000000"/>
        <rFont val="Noto Sans CJK SC"/>
        <family val="2"/>
      </rPr>
      <t xml:space="preserve">公司</t>
    </r>
  </si>
  <si>
    <r>
      <rPr>
        <sz val="9.5"/>
        <color rgb="FF000000"/>
        <rFont val="微软雅黑"/>
        <family val="0"/>
        <charset val="1"/>
      </rPr>
      <t xml:space="preserve">8 </t>
    </r>
    <r>
      <rPr>
        <sz val="9.5"/>
        <color rgb="FF000000"/>
        <rFont val="Noto Sans CJK SC"/>
        <family val="2"/>
      </rPr>
      <t xml:space="preserve">家聚变公司融资、时间表、</t>
    </r>
    <r>
      <rPr>
        <sz val="9.5"/>
        <color rgb="FF000000"/>
        <rFont val="微软雅黑"/>
        <family val="0"/>
        <charset val="1"/>
      </rPr>
      <t xml:space="preserve">PPA</t>
    </r>
  </si>
  <si>
    <t xml:space="preserve">瓶颈指标</t>
  </si>
  <si>
    <r>
      <rPr>
        <sz val="9.5"/>
        <color rgb="FF000000"/>
        <rFont val="Noto Sans CJK SC"/>
        <family val="2"/>
      </rPr>
      <t xml:space="preserve">互联队列、变压器、燃机、</t>
    </r>
    <r>
      <rPr>
        <sz val="9.5"/>
        <color rgb="FF000000"/>
        <rFont val="微软雅黑"/>
        <family val="0"/>
        <charset val="1"/>
      </rPr>
      <t xml:space="preserve">Vogtle </t>
    </r>
    <r>
      <rPr>
        <sz val="9.5"/>
        <color rgb="FF000000"/>
        <rFont val="Noto Sans CJK SC"/>
        <family val="2"/>
      </rPr>
      <t xml:space="preserve">等</t>
    </r>
  </si>
  <si>
    <t xml:space="preserve">来源清单</t>
  </si>
  <si>
    <r>
      <rPr>
        <sz val="9.5"/>
        <color rgb="FF000000"/>
        <rFont val="微软雅黑"/>
        <family val="0"/>
        <charset val="1"/>
      </rPr>
      <t xml:space="preserve">34 </t>
    </r>
    <r>
      <rPr>
        <sz val="9.5"/>
        <color rgb="FF000000"/>
        <rFont val="Noto Sans CJK SC"/>
        <family val="2"/>
      </rPr>
      <t xml:space="preserve">个来源的机构、日期、定位</t>
    </r>
  </si>
  <si>
    <t xml:space="preserve">阅读约定</t>
  </si>
  <si>
    <t xml:space="preserve">黄色：输入格（披露事实或假设）</t>
  </si>
  <si>
    <t xml:space="preserve">蓝色：公式格（自动计算）</t>
  </si>
  <si>
    <t xml:space="preserve">绿色：关键结果格</t>
  </si>
  <si>
    <t xml:space="preserve">重要说明</t>
  </si>
  <si>
    <r>
      <rPr>
        <sz val="9.5"/>
        <color rgb="FF1F1F1F"/>
        <rFont val="微软雅黑"/>
        <family val="0"/>
        <charset val="1"/>
      </rPr>
      <t xml:space="preserve">1. </t>
    </r>
    <r>
      <rPr>
        <sz val="9.5"/>
        <color rgb="FF1F1F1F"/>
        <rFont val="Noto Sans CJK SC"/>
        <family val="2"/>
      </rPr>
      <t xml:space="preserve">本工作簿是研究与展示用的分析，不是投资建议；不提供买入、卖出、持有评级或目标价，也不评价股价。
</t>
    </r>
    <r>
      <rPr>
        <sz val="9.5"/>
        <color rgb="FF1F1F1F"/>
        <rFont val="微软雅黑"/>
        <family val="0"/>
        <charset val="1"/>
      </rPr>
      <t xml:space="preserve">2. </t>
    </r>
    <r>
      <rPr>
        <sz val="9.5"/>
        <color rgb="FF1F1F1F"/>
        <rFont val="Noto Sans CJK SC"/>
        <family val="2"/>
      </rPr>
      <t xml:space="preserve">财务数字以任务提供的三份原始文件为准；网页来源标注了链接与访问日期。
</t>
    </r>
    <r>
      <rPr>
        <sz val="9.5"/>
        <color rgb="FF1F1F1F"/>
        <rFont val="微软雅黑"/>
        <family val="0"/>
        <charset val="1"/>
      </rPr>
      <t xml:space="preserve">3. </t>
    </r>
    <r>
      <rPr>
        <sz val="9.5"/>
        <color rgb="FF1F1F1F"/>
        <rFont val="Noto Sans CJK SC"/>
        <family val="2"/>
      </rPr>
      <t xml:space="preserve">标注为“假设”的参数不是公司披露。关键假设：美国 </t>
    </r>
    <r>
      <rPr>
        <sz val="9.5"/>
        <color rgb="FF1F1F1F"/>
        <rFont val="微软雅黑"/>
        <family val="0"/>
        <charset val="1"/>
      </rPr>
      <t xml:space="preserve">2030 </t>
    </r>
    <r>
      <rPr>
        <sz val="9.5"/>
        <color rgb="FF1F1F1F"/>
        <rFont val="Noto Sans CJK SC"/>
        <family val="2"/>
      </rPr>
      <t xml:space="preserve">年占全球数据中心用电 </t>
    </r>
    <r>
      <rPr>
        <sz val="9.5"/>
        <color rgb="FF1F1F1F"/>
        <rFont val="微软雅黑"/>
        <family val="0"/>
        <charset val="1"/>
      </rPr>
      <t xml:space="preserve">47%</t>
    </r>
    <r>
      <rPr>
        <sz val="9.5"/>
        <color rgb="FF1F1F1F"/>
        <rFont val="Noto Sans CJK SC"/>
        <family val="2"/>
      </rPr>
      <t xml:space="preserve">、</t>
    </r>
    <r>
      <rPr>
        <sz val="9.5"/>
        <color rgb="FF1F1F1F"/>
        <rFont val="微软雅黑"/>
        <family val="0"/>
        <charset val="1"/>
      </rPr>
      <t xml:space="preserve">2030 </t>
    </r>
    <r>
      <rPr>
        <sz val="9.5"/>
        <color rgb="FF1F1F1F"/>
        <rFont val="Noto Sans CJK SC"/>
        <family val="2"/>
      </rPr>
      <t xml:space="preserve">年电源结构、</t>
    </r>
    <r>
      <rPr>
        <sz val="9.5"/>
        <color rgb="FF1F1F1F"/>
        <rFont val="微软雅黑"/>
        <family val="0"/>
        <charset val="1"/>
      </rPr>
      <t xml:space="preserve">Meta 2024–2026 </t>
    </r>
    <r>
      <rPr>
        <sz val="9.5"/>
        <color rgb="FF1F1F1F"/>
        <rFont val="Noto Sans CJK SC"/>
        <family val="2"/>
      </rPr>
      <t xml:space="preserve">年用电增速 </t>
    </r>
    <r>
      <rPr>
        <sz val="9.5"/>
        <color rgb="FF1F1F1F"/>
        <rFont val="微软雅黑"/>
        <family val="0"/>
        <charset val="1"/>
      </rPr>
      <t xml:space="preserve">30%</t>
    </r>
    <r>
      <rPr>
        <sz val="9.5"/>
        <color rgb="FF1F1F1F"/>
        <rFont val="Noto Sans CJK SC"/>
        <family val="2"/>
      </rPr>
      <t xml:space="preserve">、核电年利用小时 </t>
    </r>
    <r>
      <rPr>
        <sz val="9.5"/>
        <color rgb="FF1F1F1F"/>
        <rFont val="微软雅黑"/>
        <family val="0"/>
        <charset val="1"/>
      </rPr>
      <t xml:space="preserve">7,884</t>
    </r>
    <r>
      <rPr>
        <sz val="9.5"/>
        <color rgb="FF1F1F1F"/>
        <rFont val="Noto Sans CJK SC"/>
        <family val="2"/>
      </rPr>
      <t xml:space="preserve">。
</t>
    </r>
    <r>
      <rPr>
        <sz val="9.5"/>
        <color rgb="FF1F1F1F"/>
        <rFont val="微软雅黑"/>
        <family val="0"/>
        <charset val="1"/>
      </rPr>
      <t xml:space="preserve">4. </t>
    </r>
    <r>
      <rPr>
        <sz val="9.5"/>
        <color rgb="FF1F1F1F"/>
        <rFont val="Noto Sans CJK SC"/>
        <family val="2"/>
      </rPr>
      <t xml:space="preserve">价格为分析师估算（</t>
    </r>
    <r>
      <rPr>
        <sz val="9.5"/>
        <color rgb="FF1F1F1F"/>
        <rFont val="微软雅黑"/>
        <family val="0"/>
        <charset val="1"/>
      </rPr>
      <t xml:space="preserve">Jefferies</t>
    </r>
    <r>
      <rPr>
        <sz val="9.5"/>
        <color rgb="FF1F1F1F"/>
        <rFont val="Noto Sans CJK SC"/>
        <family val="2"/>
      </rPr>
      <t xml:space="preserve">）或“未披露”，未用假设替代未披露价格。
</t>
    </r>
    <r>
      <rPr>
        <sz val="9.5"/>
        <color rgb="FF1F1F1F"/>
        <rFont val="微软雅黑"/>
        <family val="0"/>
        <charset val="1"/>
      </rPr>
      <t xml:space="preserve">5. </t>
    </r>
    <r>
      <rPr>
        <sz val="9.5"/>
        <color rgb="FF1F1F1F"/>
        <rFont val="Noto Sans CJK SC"/>
        <family val="2"/>
      </rPr>
      <t xml:space="preserve">数据截至 </t>
    </r>
    <r>
      <rPr>
        <sz val="9.5"/>
        <color rgb="FF1F1F1F"/>
        <rFont val="微软雅黑"/>
        <family val="0"/>
        <charset val="1"/>
      </rPr>
      <t xml:space="preserve">2026-10-22</t>
    </r>
    <r>
      <rPr>
        <sz val="9.5"/>
        <color rgb="FF1F1F1F"/>
        <rFont val="Noto Sans CJK SC"/>
        <family val="2"/>
      </rPr>
      <t xml:space="preserve">；之后发生的事件未纳入。
</t>
    </r>
    <r>
      <rPr>
        <sz val="9.5"/>
        <color rgb="FF1F1F1F"/>
        <rFont val="微软雅黑"/>
        <family val="0"/>
        <charset val="1"/>
      </rPr>
      <t xml:space="preserve">6. </t>
    </r>
    <r>
      <rPr>
        <sz val="9.5"/>
        <color rgb="FF1F1F1F"/>
        <rFont val="Noto Sans CJK SC"/>
        <family val="2"/>
      </rPr>
      <t xml:space="preserve">本工作簿不含网址二维码、微信号、手机号、邮箱、公司标志或国旗。</t>
    </r>
  </si>
  <si>
    <r>
      <rPr>
        <b val="true"/>
        <sz val="18"/>
        <color rgb="FF1F3864"/>
        <rFont val="微软雅黑"/>
        <family val="0"/>
        <charset val="1"/>
      </rPr>
      <t xml:space="preserve">AI </t>
    </r>
    <r>
      <rPr>
        <b val="true"/>
        <sz val="18"/>
        <color rgb="FF1F3864"/>
        <rFont val="Noto Sans CJK SC"/>
        <family val="2"/>
      </rPr>
      <t xml:space="preserve">的电从哪来：核心数字与图表</t>
    </r>
  </si>
  <si>
    <r>
      <rPr>
        <i val="true"/>
        <sz val="10"/>
        <color rgb="FF595959"/>
        <rFont val="Noto Sans CJK SC"/>
        <family val="2"/>
      </rPr>
      <t xml:space="preserve">全部数值由明细表公式计算；改动“假设与情景”的黄色格，本页与图表自动更新。数据截至 </t>
    </r>
    <r>
      <rPr>
        <i val="true"/>
        <sz val="10"/>
        <color rgb="FF595959"/>
        <rFont val="微软雅黑"/>
        <family val="0"/>
        <charset val="1"/>
      </rPr>
      <t xml:space="preserve">2026-10-22</t>
    </r>
    <r>
      <rPr>
        <i val="true"/>
        <sz val="10"/>
        <color rgb="FF595959"/>
        <rFont val="Noto Sans CJK SC"/>
        <family val="2"/>
      </rPr>
      <t xml:space="preserve">。</t>
    </r>
  </si>
  <si>
    <r>
      <rPr>
        <b val="true"/>
        <sz val="11"/>
        <color rgb="FFFFFFFF"/>
        <rFont val="Noto Sans CJK SC"/>
        <family val="2"/>
      </rPr>
      <t xml:space="preserve">一、需求：</t>
    </r>
    <r>
      <rPr>
        <b val="true"/>
        <sz val="11"/>
        <color rgb="FFFFFFFF"/>
        <rFont val="微软雅黑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用了多少电</t>
    </r>
  </si>
  <si>
    <t xml:space="preserve">指标</t>
  </si>
  <si>
    <t xml:space="preserve">数值</t>
  </si>
  <si>
    <t xml:space="preserve">单位</t>
  </si>
  <si>
    <r>
      <rPr>
        <b val="true"/>
        <sz val="9.5"/>
        <color rgb="FFFFFFFF"/>
        <rFont val="Noto Sans CJK SC"/>
        <family val="2"/>
      </rPr>
      <t xml:space="preserve">口径 </t>
    </r>
    <r>
      <rPr>
        <b val="true"/>
        <sz val="9.5"/>
        <color rgb="FFFFFFFF"/>
        <rFont val="微软雅黑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公式</t>
    </r>
  </si>
  <si>
    <t xml:space="preserve">来源</t>
  </si>
  <si>
    <r>
      <rPr>
        <sz val="9.5"/>
        <color rgb="FF000000"/>
        <rFont val="Noto Sans CJK SC"/>
        <family val="2"/>
      </rPr>
      <t xml:space="preserve">全球数据中心用电（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</si>
  <si>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t xml:space="preserve">TWh</t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</si>
  <si>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基准口径</t>
    </r>
  </si>
  <si>
    <t xml:space="preserve">S04</t>
  </si>
  <si>
    <r>
      <rPr>
        <sz val="9.5"/>
        <color rgb="FF000000"/>
        <rFont val="Noto Sans CJK SC"/>
        <family val="2"/>
      </rPr>
      <t xml:space="preserve">全球数据中心用电（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</si>
  <si>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基准情景</t>
    </r>
  </si>
  <si>
    <r>
      <rPr>
        <sz val="9.5"/>
        <color rgb="FF000000"/>
        <rFont val="Noto Sans CJK SC"/>
        <family val="2"/>
      </rPr>
      <t xml:space="preserve">全球数据中心用电（</t>
    </r>
    <r>
      <rPr>
        <sz val="9.5"/>
        <color rgb="FF000000"/>
        <rFont val="微软雅黑"/>
        <family val="0"/>
        <charset val="1"/>
      </rPr>
      <t xml:space="preserve">2035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</si>
  <si>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2024–2030 </t>
    </r>
    <r>
      <rPr>
        <sz val="9.5"/>
        <color rgb="FF000000"/>
        <rFont val="Noto Sans CJK SC"/>
        <family val="2"/>
      </rPr>
      <t xml:space="preserve">复合增速</t>
    </r>
  </si>
  <si>
    <t xml:space="preserve">%</t>
  </si>
  <si>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Arial"/>
        <family val="0"/>
        <charset val="1"/>
      </rPr>
      <t xml:space="preserve">2030/2024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Arial"/>
        <family val="0"/>
        <charset val="1"/>
      </rPr>
      <t xml:space="preserve">^(1/6)-1</t>
    </r>
  </si>
  <si>
    <r>
      <rPr>
        <sz val="9.5"/>
        <color rgb="FF000000"/>
        <rFont val="Noto Sans CJK SC"/>
        <family val="2"/>
      </rPr>
      <t xml:space="preserve">美国数据中心用电（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</si>
  <si>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全球 </t>
    </r>
    <r>
      <rPr>
        <sz val="8.5"/>
        <color rgb="FF000000"/>
        <rFont val="微软雅黑"/>
        <family val="0"/>
        <charset val="1"/>
      </rPr>
      <t xml:space="preserve">415 × 45%</t>
    </r>
  </si>
  <si>
    <r>
      <rPr>
        <sz val="9.5"/>
        <color rgb="FF000000"/>
        <rFont val="Noto Sans CJK SC"/>
        <family val="2"/>
      </rPr>
      <t xml:space="preserve">美国数据中心用电（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</si>
  <si>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全球 </t>
    </r>
    <r>
      <rPr>
        <sz val="8.5"/>
        <color rgb="FF000000"/>
        <rFont val="微软雅黑"/>
        <family val="0"/>
        <charset val="1"/>
      </rPr>
      <t xml:space="preserve">945 × 47%</t>
    </r>
    <r>
      <rPr>
        <sz val="8.5"/>
        <color rgb="FF000000"/>
        <rFont val="Noto Sans CJK SC"/>
        <family val="2"/>
      </rPr>
      <t xml:space="preserve">（假设 </t>
    </r>
    <r>
      <rPr>
        <sz val="8.5"/>
        <color rgb="FF000000"/>
        <rFont val="微软雅黑"/>
        <family val="0"/>
        <charset val="1"/>
      </rPr>
      <t xml:space="preserve">A07</t>
    </r>
    <r>
      <rPr>
        <sz val="8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</si>
  <si>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美国 </t>
    </r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年数据中心用电 </t>
    </r>
    <r>
      <rPr>
        <sz val="9.5"/>
        <color rgb="FF000000"/>
        <rFont val="微软雅黑"/>
        <family val="0"/>
        <charset val="1"/>
      </rPr>
      <t xml:space="preserve">/ 2025 </t>
    </r>
    <r>
      <rPr>
        <sz val="9.5"/>
        <color rgb="FF000000"/>
        <rFont val="Noto Sans CJK SC"/>
        <family val="2"/>
      </rPr>
      <t xml:space="preserve">年全国发电量</t>
    </r>
  </si>
  <si>
    <t xml:space="preserve">444 / 4,430</t>
  </si>
  <si>
    <t xml:space="preserve">S17</t>
  </si>
  <si>
    <r>
      <rPr>
        <sz val="9.5"/>
        <color rgb="FF000000"/>
        <rFont val="Noto Sans CJK SC"/>
        <family val="2"/>
      </rPr>
      <t xml:space="preserve">美国 </t>
    </r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年较 </t>
    </r>
    <r>
      <rPr>
        <sz val="9.5"/>
        <color rgb="FF000000"/>
        <rFont val="微软雅黑"/>
        <family val="0"/>
        <charset val="1"/>
      </rPr>
      <t xml:space="preserve">2024 </t>
    </r>
    <r>
      <rPr>
        <sz val="9.5"/>
        <color rgb="FF000000"/>
        <rFont val="Noto Sans CJK SC"/>
        <family val="2"/>
      </rPr>
      <t xml:space="preserve">年增量</t>
    </r>
  </si>
  <si>
    <r>
      <rPr>
        <sz val="8.5"/>
        <color rgb="FF000000"/>
        <rFont val="Noto Sans CJK SC"/>
        <family val="2"/>
      </rPr>
      <t xml:space="preserve">约 </t>
    </r>
    <r>
      <rPr>
        <sz val="8.5"/>
        <color rgb="FF000000"/>
        <rFont val="微软雅黑"/>
        <family val="0"/>
        <charset val="1"/>
      </rPr>
      <t xml:space="preserve">257 TWh</t>
    </r>
  </si>
  <si>
    <t xml:space="preserve">计算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</si>
  <si>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数据中心用电（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，披露）</t>
    </r>
  </si>
  <si>
    <t xml:space="preserve">18,061,781 MWh</t>
  </si>
  <si>
    <t xml:space="preserve">S06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</si>
  <si>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数据中心用电（</t>
    </r>
    <r>
      <rPr>
        <sz val="9.5"/>
        <color rgb="FF000000"/>
        <rFont val="微软雅黑"/>
        <family val="0"/>
        <charset val="1"/>
      </rPr>
      <t xml:space="preserve">2026</t>
    </r>
    <r>
      <rPr>
        <sz val="9.5"/>
        <color rgb="FF000000"/>
        <rFont val="Noto Sans CJK SC"/>
        <family val="2"/>
      </rPr>
      <t xml:space="preserve">，估算）</t>
    </r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</si>
  <si>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基数 </t>
    </r>
    <r>
      <rPr>
        <sz val="8.5"/>
        <color rgb="FF000000"/>
        <rFont val="微软雅黑"/>
        <family val="0"/>
        <charset val="1"/>
      </rPr>
      <t xml:space="preserve">×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软雅黑"/>
        <family val="0"/>
        <charset val="1"/>
      </rPr>
      <t xml:space="preserve">1+30%</t>
    </r>
    <r>
      <rPr>
        <sz val="8.5"/>
        <color rgb="FF000000"/>
        <rFont val="Noto Sans CJK SC"/>
        <family val="2"/>
      </rPr>
      <t xml:space="preserve">）²（假设 </t>
    </r>
    <r>
      <rPr>
        <sz val="8.5"/>
        <color rgb="FF000000"/>
        <rFont val="微软雅黑"/>
        <family val="0"/>
        <charset val="1"/>
      </rPr>
      <t xml:space="preserve">A13</t>
    </r>
    <r>
      <rPr>
        <sz val="8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</si>
  <si>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Meta 2026 </t>
    </r>
    <r>
      <rPr>
        <sz val="9.5"/>
        <color rgb="FF000000"/>
        <rFont val="Noto Sans CJK SC"/>
        <family val="2"/>
      </rPr>
      <t xml:space="preserve">估算用电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美国 </t>
    </r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需求</t>
    </r>
  </si>
  <si>
    <r>
      <rPr>
        <sz val="8.5"/>
        <color rgb="FF000000"/>
        <rFont val="Noto Sans CJK SC"/>
        <family val="2"/>
      </rPr>
      <t xml:space="preserve">约 </t>
    </r>
    <r>
      <rPr>
        <sz val="8.5"/>
        <color rgb="FF000000"/>
        <rFont val="微软雅黑"/>
        <family val="0"/>
        <charset val="1"/>
      </rPr>
      <t xml:space="preserve">6.9%</t>
    </r>
  </si>
  <si>
    <r>
      <rPr>
        <b val="true"/>
        <sz val="11"/>
        <color rgb="FFFFFFFF"/>
        <rFont val="Noto Sans CJK SC"/>
        <family val="2"/>
      </rPr>
      <t xml:space="preserve">二、供给：电从哪里来（美国数据中心，</t>
    </r>
    <r>
      <rPr>
        <b val="true"/>
        <sz val="11"/>
        <color rgb="FFFFFFFF"/>
        <rFont val="微软雅黑"/>
        <family val="0"/>
        <charset val="1"/>
      </rPr>
      <t xml:space="preserve">2030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</si>
  <si>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电源</t>
  </si>
  <si>
    <t xml:space="preserve">2030 TWh</t>
  </si>
  <si>
    <r>
      <rPr>
        <b val="true"/>
        <sz val="9.5"/>
        <color rgb="FFFFFFFF"/>
        <rFont val="微软雅黑"/>
        <family val="0"/>
        <charset val="1"/>
      </rPr>
      <t xml:space="preserve">2030 </t>
    </r>
    <r>
      <rPr>
        <b val="true"/>
        <sz val="9.5"/>
        <color rgb="FFFFFFFF"/>
        <rFont val="Noto Sans CJK SC"/>
        <family val="2"/>
      </rPr>
      <t xml:space="preserve">占比</t>
    </r>
  </si>
  <si>
    <t xml:space="preserve">2024 TWh</t>
  </si>
  <si>
    <r>
      <rPr>
        <b val="true"/>
        <sz val="9.5"/>
        <color rgb="FFFFFFFF"/>
        <rFont val="微软雅黑"/>
        <family val="0"/>
        <charset val="1"/>
      </rPr>
      <t xml:space="preserve">2024→2030 </t>
    </r>
    <r>
      <rPr>
        <b val="true"/>
        <sz val="9.5"/>
        <color rgb="FFFFFFFF"/>
        <rFont val="Noto Sans CJK SC"/>
        <family val="2"/>
      </rPr>
      <t xml:space="preserve">增量（</t>
    </r>
    <r>
      <rPr>
        <b val="true"/>
        <sz val="9.5"/>
        <color rgb="FFFFFFFF"/>
        <rFont val="微软雅黑"/>
        <family val="0"/>
        <charset val="1"/>
      </rPr>
      <t xml:space="preserve">TWh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</si>
  <si>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天然气</t>
  </si>
  <si>
    <t xml:space="preserve">S05</t>
  </si>
  <si>
    <t xml:space="preserve">可再生能源</t>
  </si>
  <si>
    <t xml:space="preserve">核电</t>
  </si>
  <si>
    <t xml:space="preserve">煤电</t>
  </si>
  <si>
    <t xml:space="preserve">其他</t>
  </si>
  <si>
    <t xml:space="preserve">合计</t>
  </si>
  <si>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年非化石电源占比</t>
    </r>
  </si>
  <si>
    <r>
      <rPr>
        <b val="true"/>
        <sz val="11"/>
        <color rgb="FFFFFFFF"/>
        <rFont val="Noto Sans CJK SC"/>
        <family val="2"/>
      </rPr>
      <t xml:space="preserve">三、资本开支与 </t>
    </r>
    <r>
      <rPr>
        <b val="true"/>
        <sz val="11"/>
        <color rgb="FFFFFFFF"/>
        <rFont val="微软雅黑"/>
        <family val="0"/>
        <charset val="1"/>
      </rPr>
      <t xml:space="preserve">Meta </t>
    </r>
    <r>
      <rPr>
        <b val="true"/>
        <sz val="11"/>
        <color rgb="FFFFFFFF"/>
        <rFont val="Noto Sans CJK SC"/>
        <family val="2"/>
      </rPr>
      <t xml:space="preserve">案例</t>
    </r>
  </si>
  <si>
    <r>
      <rPr>
        <sz val="9.5"/>
        <color rgb="FF000000"/>
        <rFont val="Noto Sans CJK SC"/>
        <family val="2"/>
      </rPr>
      <t xml:space="preserve">五家科技巨头 </t>
    </r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年资本开支合计</t>
    </r>
  </si>
  <si>
    <t xml:space="preserve">亿美元</t>
  </si>
  <si>
    <r>
      <rPr>
        <sz val="8.5"/>
        <color rgb="FF000000"/>
        <rFont val="微软雅黑"/>
        <family val="0"/>
        <charset val="1"/>
      </rPr>
      <t xml:space="preserve">Amazon + Microsoft + Alphabet + Meta + Oracle </t>
    </r>
    <r>
      <rPr>
        <sz val="8.5"/>
        <color rgb="FF000000"/>
        <rFont val="Noto Sans CJK SC"/>
        <family val="2"/>
      </rPr>
      <t xml:space="preserve">中值</t>
    </r>
  </si>
  <si>
    <t xml:space="preserve">S27,S28,S29,S01</t>
  </si>
  <si>
    <r>
      <rPr>
        <sz val="9.5"/>
        <color rgb="FF000000"/>
        <rFont val="微软雅黑"/>
        <family val="0"/>
        <charset val="1"/>
      </rPr>
      <t xml:space="preserve">Meta 2026 </t>
    </r>
    <r>
      <rPr>
        <sz val="9.5"/>
        <color rgb="FF000000"/>
        <rFont val="Noto Sans CJK SC"/>
        <family val="2"/>
      </rPr>
      <t xml:space="preserve">年资本开支下限</t>
    </r>
  </si>
  <si>
    <t xml:space="preserve">公司指引</t>
  </si>
  <si>
    <t xml:space="preserve">S01</t>
  </si>
  <si>
    <r>
      <rPr>
        <sz val="9.5"/>
        <color rgb="FF000000"/>
        <rFont val="微软雅黑"/>
        <family val="0"/>
        <charset val="1"/>
      </rPr>
      <t xml:space="preserve">Meta 2026 </t>
    </r>
    <r>
      <rPr>
        <sz val="9.5"/>
        <color rgb="FF000000"/>
        <rFont val="Noto Sans CJK SC"/>
        <family val="2"/>
      </rPr>
      <t xml:space="preserve">年资本开支上限</t>
    </r>
  </si>
  <si>
    <r>
      <rPr>
        <sz val="9.5"/>
        <color rgb="FF000000"/>
        <rFont val="微软雅黑"/>
        <family val="0"/>
        <charset val="1"/>
      </rPr>
      <t xml:space="preserve">Meta Q3 2026 </t>
    </r>
    <r>
      <rPr>
        <sz val="9.5"/>
        <color rgb="FF000000"/>
        <rFont val="Noto Sans CJK SC"/>
        <family val="2"/>
      </rPr>
      <t xml:space="preserve">单季资本开支</t>
    </r>
  </si>
  <si>
    <t xml:space="preserve">含融资租赁本金</t>
  </si>
  <si>
    <r>
      <rPr>
        <sz val="9.5"/>
        <color rgb="FF000000"/>
        <rFont val="微软雅黑"/>
        <family val="0"/>
        <charset val="1"/>
      </rPr>
      <t xml:space="preserve">Meta 9M 2026 </t>
    </r>
    <r>
      <rPr>
        <sz val="9.5"/>
        <color rgb="FF000000"/>
        <rFont val="Noto Sans CJK SC"/>
        <family val="2"/>
      </rPr>
      <t xml:space="preserve">资本开支</t>
    </r>
  </si>
  <si>
    <r>
      <rPr>
        <sz val="9.5"/>
        <color rgb="FF000000"/>
        <rFont val="微软雅黑"/>
        <family val="0"/>
        <charset val="1"/>
      </rPr>
      <t xml:space="preserve">Meta Q4 </t>
    </r>
    <r>
      <rPr>
        <sz val="9.5"/>
        <color rgb="FF000000"/>
        <rFont val="Noto Sans CJK SC"/>
        <family val="2"/>
      </rPr>
      <t xml:space="preserve">隐含资本开支（下限）</t>
    </r>
  </si>
  <si>
    <r>
      <rPr>
        <sz val="8.5"/>
        <color rgb="FF000000"/>
        <rFont val="Noto Sans CJK SC"/>
        <family val="2"/>
      </rPr>
      <t xml:space="preserve">全年下限 </t>
    </r>
    <r>
      <rPr>
        <sz val="8.5"/>
        <color rgb="FF000000"/>
        <rFont val="微软雅黑"/>
        <family val="0"/>
        <charset val="1"/>
      </rPr>
      <t xml:space="preserve">- 9M</t>
    </r>
  </si>
  <si>
    <r>
      <rPr>
        <sz val="9.5"/>
        <color rgb="FF000000"/>
        <rFont val="微软雅黑"/>
        <family val="0"/>
        <charset val="1"/>
      </rPr>
      <t xml:space="preserve">Meta Q4 </t>
    </r>
    <r>
      <rPr>
        <sz val="9.5"/>
        <color rgb="FF000000"/>
        <rFont val="Noto Sans CJK SC"/>
        <family val="2"/>
      </rPr>
      <t xml:space="preserve">隐含资本开支（上限）</t>
    </r>
  </si>
  <si>
    <r>
      <rPr>
        <sz val="8.5"/>
        <color rgb="FF000000"/>
        <rFont val="Noto Sans CJK SC"/>
        <family val="2"/>
      </rPr>
      <t xml:space="preserve">全年上限 </t>
    </r>
    <r>
      <rPr>
        <sz val="8.5"/>
        <color rgb="FF000000"/>
        <rFont val="微软雅黑"/>
        <family val="0"/>
        <charset val="1"/>
      </rPr>
      <t xml:space="preserve">- 9M</t>
    </r>
  </si>
  <si>
    <r>
      <rPr>
        <sz val="9.5"/>
        <color rgb="FF000000"/>
        <rFont val="微软雅黑"/>
        <family val="0"/>
        <charset val="1"/>
      </rPr>
      <t xml:space="preserve">Meta Q3 </t>
    </r>
    <r>
      <rPr>
        <sz val="9.5"/>
        <color rgb="FF000000"/>
        <rFont val="Noto Sans CJK SC"/>
        <family val="2"/>
      </rPr>
      <t xml:space="preserve">资本开支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营业收入</t>
    </r>
  </si>
  <si>
    <t xml:space="preserve">349.1 / 646.0</t>
  </si>
  <si>
    <r>
      <rPr>
        <sz val="9.5"/>
        <color rgb="FF000000"/>
        <rFont val="微软雅黑"/>
        <family val="0"/>
        <charset val="1"/>
      </rPr>
      <t xml:space="preserve">Meta 9M </t>
    </r>
    <r>
      <rPr>
        <sz val="9.5"/>
        <color rgb="FF000000"/>
        <rFont val="Noto Sans CJK SC"/>
        <family val="2"/>
      </rPr>
      <t xml:space="preserve">资本开支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营业收入</t>
    </r>
  </si>
  <si>
    <t xml:space="preserve">858.2 / 1,817.1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</si>
  <si>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非取消合同承诺</t>
    </r>
  </si>
  <si>
    <t xml:space="preserve">2026-09-30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</si>
  <si>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尚未开始的租赁义务</t>
    </r>
  </si>
  <si>
    <t xml:space="preserve">数据中心、能源基础设施等</t>
  </si>
  <si>
    <t xml:space="preserve">四、核电、聚变与成本</t>
  </si>
  <si>
    <t xml:space="preserve">公开披露长期核电协议合计</t>
  </si>
  <si>
    <t xml:space="preserve">MW</t>
  </si>
  <si>
    <r>
      <rPr>
        <sz val="8.5"/>
        <color rgb="FF000000"/>
        <rFont val="微软雅黑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笔交易</t>
    </r>
  </si>
  <si>
    <t xml:space="preserve">S02,S03,S07,S08,S09,S10,S11,S13,S14,S15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</si>
  <si>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首批已签约核电</t>
    </r>
  </si>
  <si>
    <t xml:space="preserve">Clinton + Vistra + Oklo + TerraPower</t>
  </si>
  <si>
    <t xml:space="preserve">S07,S08,S09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</si>
  <si>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最高核电规模</t>
    </r>
  </si>
  <si>
    <t xml:space="preserve">含选择权与扩建</t>
  </si>
  <si>
    <t xml:space="preserve">S07,S08</t>
  </si>
  <si>
    <t xml:space="preserve">聚变行业累计融资</t>
  </si>
  <si>
    <t xml:space="preserve">十亿美元</t>
  </si>
  <si>
    <t xml:space="preserve">FIA 2026</t>
  </si>
  <si>
    <t xml:space="preserve">S24</t>
  </si>
  <si>
    <r>
      <rPr>
        <sz val="9.5"/>
        <color rgb="FF000000"/>
        <rFont val="Noto Sans CJK SC"/>
        <family val="2"/>
      </rPr>
      <t xml:space="preserve">聚变行业过去 </t>
    </r>
    <r>
      <rPr>
        <sz val="9.5"/>
        <color rgb="FF000000"/>
        <rFont val="微软雅黑"/>
        <family val="0"/>
        <charset val="1"/>
      </rPr>
      <t xml:space="preserve">12 </t>
    </r>
    <r>
      <rPr>
        <sz val="9.5"/>
        <color rgb="FF000000"/>
        <rFont val="Noto Sans CJK SC"/>
        <family val="2"/>
      </rPr>
      <t xml:space="preserve">个月融资</t>
    </r>
  </si>
  <si>
    <r>
      <rPr>
        <sz val="9.5"/>
        <color rgb="FF000000"/>
        <rFont val="微软雅黑"/>
        <family val="0"/>
        <charset val="1"/>
      </rPr>
      <t xml:space="preserve">CFS </t>
    </r>
    <r>
      <rPr>
        <sz val="9.5"/>
        <color rgb="FF000000"/>
        <rFont val="Noto Sans CJK SC"/>
        <family val="2"/>
      </rPr>
      <t xml:space="preserve">累计融资</t>
    </r>
  </si>
  <si>
    <t xml:space="preserve">2026-07</t>
  </si>
  <si>
    <t xml:space="preserve">S12</t>
  </si>
  <si>
    <r>
      <rPr>
        <sz val="9.5"/>
        <color rgb="FF000000"/>
        <rFont val="微软雅黑"/>
        <family val="0"/>
        <charset val="1"/>
      </rPr>
      <t xml:space="preserve">Helion </t>
    </r>
    <r>
      <rPr>
        <sz val="9.5"/>
        <color rgb="FF000000"/>
        <rFont val="Noto Sans CJK SC"/>
        <family val="2"/>
      </rPr>
      <t xml:space="preserve">累计融资</t>
    </r>
  </si>
  <si>
    <t xml:space="preserve">2026-06</t>
  </si>
  <si>
    <t xml:space="preserve">S13</t>
  </si>
  <si>
    <r>
      <rPr>
        <sz val="9.5"/>
        <color rgb="FF000000"/>
        <rFont val="Noto Sans CJK SC"/>
        <family val="2"/>
      </rPr>
      <t xml:space="preserve">已签聚变 </t>
    </r>
    <r>
      <rPr>
        <sz val="9.5"/>
        <color rgb="FF000000"/>
        <rFont val="微软雅黑"/>
        <family val="0"/>
        <charset val="1"/>
      </rPr>
      <t xml:space="preserve">PPA </t>
    </r>
    <r>
      <rPr>
        <sz val="9.5"/>
        <color rgb="FF000000"/>
        <rFont val="Noto Sans CJK SC"/>
        <family val="2"/>
      </rPr>
      <t xml:space="preserve">合计</t>
    </r>
  </si>
  <si>
    <t xml:space="preserve">Google–CFS 200 + Microsoft–Helion 50</t>
  </si>
  <si>
    <t xml:space="preserve">S11,S14</t>
  </si>
  <si>
    <r>
      <rPr>
        <sz val="9.5"/>
        <color rgb="FF000000"/>
        <rFont val="Noto Sans CJK SC"/>
        <family val="2"/>
      </rPr>
      <t xml:space="preserve">新建核电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</t>
    </r>
  </si>
  <si>
    <r>
      <rPr>
        <sz val="9.5"/>
        <color rgb="FF000000"/>
        <rFont val="Noto Sans CJK SC"/>
        <family val="2"/>
      </rPr>
      <t xml:space="preserve">美元</t>
    </r>
    <r>
      <rPr>
        <sz val="9.5"/>
        <color rgb="FF000000"/>
        <rFont val="微软雅黑"/>
        <family val="0"/>
        <charset val="1"/>
      </rPr>
      <t xml:space="preserve">/MWh</t>
    </r>
  </si>
  <si>
    <t xml:space="preserve">Lazard 2026 v19.0</t>
  </si>
  <si>
    <t xml:space="preserve">S16</t>
  </si>
  <si>
    <r>
      <rPr>
        <sz val="9.5"/>
        <color rgb="FF000000"/>
        <rFont val="Noto Sans CJK SC"/>
        <family val="2"/>
      </rPr>
      <t xml:space="preserve">光伏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</t>
    </r>
  </si>
  <si>
    <r>
      <rPr>
        <sz val="9.5"/>
        <color rgb="FF000000"/>
        <rFont val="微软雅黑"/>
        <family val="0"/>
        <charset val="1"/>
      </rPr>
      <t xml:space="preserve">Meta–Clinton PPA </t>
    </r>
    <r>
      <rPr>
        <sz val="9.5"/>
        <color rgb="FF000000"/>
        <rFont val="Noto Sans CJK SC"/>
        <family val="2"/>
      </rPr>
      <t xml:space="preserve">估算价</t>
    </r>
  </si>
  <si>
    <r>
      <rPr>
        <sz val="8.5"/>
        <color rgb="FF000000"/>
        <rFont val="微软雅黑"/>
        <family val="0"/>
        <charset val="1"/>
      </rPr>
      <t xml:space="preserve">Jefferies </t>
    </r>
    <r>
      <rPr>
        <sz val="8.5"/>
        <color rgb="FF000000"/>
        <rFont val="Noto Sans CJK SC"/>
        <family val="2"/>
      </rPr>
      <t xml:space="preserve">分析师估算</t>
    </r>
  </si>
  <si>
    <t xml:space="preserve">S23</t>
  </si>
  <si>
    <t xml:space="preserve">五、关键判断</t>
  </si>
  <si>
    <r>
      <rPr>
        <sz val="9.5"/>
        <color rgb="FF1F1F1F"/>
        <rFont val="微软雅黑"/>
        <family val="0"/>
        <charset val="1"/>
      </rPr>
      <t xml:space="preserve">1. </t>
    </r>
    <r>
      <rPr>
        <sz val="9.5"/>
        <color rgb="FF1F1F1F"/>
        <rFont val="Noto Sans CJK SC"/>
        <family val="2"/>
      </rPr>
      <t xml:space="preserve">需求是真实的，但不是均匀的：全球数据中心用电 </t>
    </r>
    <r>
      <rPr>
        <sz val="9.5"/>
        <color rgb="FF1F1F1F"/>
        <rFont val="微软雅黑"/>
        <family val="0"/>
        <charset val="1"/>
      </rPr>
      <t xml:space="preserve">2024–2030 </t>
    </r>
    <r>
      <rPr>
        <sz val="9.5"/>
        <color rgb="FF1F1F1F"/>
        <rFont val="Noto Sans CJK SC"/>
        <family val="2"/>
      </rPr>
      <t xml:space="preserve">年翻倍以上（</t>
    </r>
    <r>
      <rPr>
        <sz val="9.5"/>
        <color rgb="FF1F1F1F"/>
        <rFont val="微软雅黑"/>
        <family val="0"/>
        <charset val="1"/>
      </rPr>
      <t xml:space="preserve">415→945 TWh</t>
    </r>
    <r>
      <rPr>
        <sz val="9.5"/>
        <color rgb="FF1F1F1F"/>
        <rFont val="Noto Sans CJK SC"/>
        <family val="2"/>
      </rPr>
      <t xml:space="preserve">），美国占近一半增量；美国 </t>
    </r>
    <r>
      <rPr>
        <sz val="9.5"/>
        <color rgb="FF1F1F1F"/>
        <rFont val="微软雅黑"/>
        <family val="0"/>
        <charset val="1"/>
      </rPr>
      <t xml:space="preserve">2030 </t>
    </r>
    <r>
      <rPr>
        <sz val="9.5"/>
        <color rgb="FF1F1F1F"/>
        <rFont val="Noto Sans CJK SC"/>
        <family val="2"/>
      </rPr>
      <t xml:space="preserve">年数据中心用电约 </t>
    </r>
    <r>
      <rPr>
        <sz val="9.5"/>
        <color rgb="FF1F1F1F"/>
        <rFont val="微软雅黑"/>
        <family val="0"/>
        <charset val="1"/>
      </rPr>
      <t xml:space="preserve">444 TWh</t>
    </r>
    <r>
      <rPr>
        <sz val="9.5"/>
        <color rgb="FF1F1F1F"/>
        <rFont val="Noto Sans CJK SC"/>
        <family val="2"/>
      </rPr>
      <t xml:space="preserve">，相当于 </t>
    </r>
    <r>
      <rPr>
        <sz val="9.5"/>
        <color rgb="FF1F1F1F"/>
        <rFont val="微软雅黑"/>
        <family val="0"/>
        <charset val="1"/>
      </rPr>
      <t xml:space="preserve">2025 </t>
    </r>
    <r>
      <rPr>
        <sz val="9.5"/>
        <color rgb="FF1F1F1F"/>
        <rFont val="Noto Sans CJK SC"/>
        <family val="2"/>
      </rPr>
      <t xml:space="preserve">年全国发电量的 </t>
    </r>
    <r>
      <rPr>
        <sz val="9.5"/>
        <color rgb="FF1F1F1F"/>
        <rFont val="微软雅黑"/>
        <family val="0"/>
        <charset val="1"/>
      </rPr>
      <t xml:space="preserve">10%</t>
    </r>
    <r>
      <rPr>
        <sz val="9.5"/>
        <color rgb="FF1F1F1F"/>
        <rFont val="Noto Sans CJK SC"/>
        <family val="2"/>
      </rPr>
      <t xml:space="preserve">。</t>
    </r>
  </si>
  <si>
    <r>
      <rPr>
        <sz val="9.5"/>
        <color rgb="FF1F1F1F"/>
        <rFont val="微软雅黑"/>
        <family val="0"/>
        <charset val="1"/>
      </rPr>
      <t xml:space="preserve">2. </t>
    </r>
    <r>
      <rPr>
        <sz val="9.5"/>
        <color rgb="FF1F1F1F"/>
        <rFont val="Noto Sans CJK SC"/>
        <family val="2"/>
      </rPr>
      <t xml:space="preserve">近期增量靠气电和可再生，核电是 </t>
    </r>
    <r>
      <rPr>
        <sz val="9.5"/>
        <color rgb="FF1F1F1F"/>
        <rFont val="微软雅黑"/>
        <family val="0"/>
        <charset val="1"/>
      </rPr>
      <t xml:space="preserve">2027 </t>
    </r>
    <r>
      <rPr>
        <sz val="9.5"/>
        <color rgb="FF1F1F1F"/>
        <rFont val="Noto Sans CJK SC"/>
        <family val="2"/>
      </rPr>
      <t xml:space="preserve">年后的“稀缺溢价”：美国数据中心 </t>
    </r>
    <r>
      <rPr>
        <sz val="9.5"/>
        <color rgb="FF1F1F1F"/>
        <rFont val="微软雅黑"/>
        <family val="0"/>
        <charset val="1"/>
      </rPr>
      <t xml:space="preserve">2030 </t>
    </r>
    <r>
      <rPr>
        <sz val="9.5"/>
        <color rgb="FF1F1F1F"/>
        <rFont val="Noto Sans CJK SC"/>
        <family val="2"/>
      </rPr>
      <t xml:space="preserve">年气电约 </t>
    </r>
    <r>
      <rPr>
        <sz val="9.5"/>
        <color rgb="FF1F1F1F"/>
        <rFont val="微软雅黑"/>
        <family val="0"/>
        <charset val="1"/>
      </rPr>
      <t xml:space="preserve">204 TWh</t>
    </r>
    <r>
      <rPr>
        <sz val="9.5"/>
        <color rgb="FF1F1F1F"/>
        <rFont val="Noto Sans CJK SC"/>
        <family val="2"/>
      </rPr>
      <t xml:space="preserve">、可再生约 </t>
    </r>
    <r>
      <rPr>
        <sz val="9.5"/>
        <color rgb="FF1F1F1F"/>
        <rFont val="微软雅黑"/>
        <family val="0"/>
        <charset val="1"/>
      </rPr>
      <t xml:space="preserve">147 TWh</t>
    </r>
    <r>
      <rPr>
        <sz val="9.5"/>
        <color rgb="FF1F1F1F"/>
        <rFont val="Noto Sans CJK SC"/>
        <family val="2"/>
      </rPr>
      <t xml:space="preserve">、核电约 </t>
    </r>
    <r>
      <rPr>
        <sz val="9.5"/>
        <color rgb="FF1F1F1F"/>
        <rFont val="微软雅黑"/>
        <family val="0"/>
        <charset val="1"/>
      </rPr>
      <t xml:space="preserve">89 TWh</t>
    </r>
    <r>
      <rPr>
        <sz val="9.5"/>
        <color rgb="FF1F1F1F"/>
        <rFont val="Noto Sans CJK SC"/>
        <family val="2"/>
      </rPr>
      <t xml:space="preserve">；煤电退到 </t>
    </r>
    <r>
      <rPr>
        <sz val="9.5"/>
        <color rgb="FF1F1F1F"/>
        <rFont val="微软雅黑"/>
        <family val="0"/>
        <charset val="1"/>
      </rPr>
      <t xml:space="preserve">4 TWh</t>
    </r>
    <r>
      <rPr>
        <sz val="9.5"/>
        <color rgb="FF1F1F1F"/>
        <rFont val="Noto Sans CJK SC"/>
        <family val="2"/>
      </rPr>
      <t xml:space="preserve">。</t>
    </r>
  </si>
  <si>
    <r>
      <rPr>
        <sz val="9.5"/>
        <color rgb="FF1F1F1F"/>
        <rFont val="微软雅黑"/>
        <family val="0"/>
        <charset val="1"/>
      </rPr>
      <t xml:space="preserve">3. </t>
    </r>
    <r>
      <rPr>
        <sz val="9.5"/>
        <color rgb="FF1F1F1F"/>
        <rFont val="Noto Sans CJK SC"/>
        <family val="2"/>
      </rPr>
      <t xml:space="preserve">现有核电站是最大赢家之一：</t>
    </r>
    <r>
      <rPr>
        <sz val="9.5"/>
        <color rgb="FF1F1F1F"/>
        <rFont val="微软雅黑"/>
        <family val="0"/>
        <charset val="1"/>
      </rPr>
      <t xml:space="preserve">Constellation 22 GW </t>
    </r>
    <r>
      <rPr>
        <sz val="9.5"/>
        <color rgb="FF1F1F1F"/>
        <rFont val="Noto Sans CJK SC"/>
        <family val="2"/>
      </rPr>
      <t xml:space="preserve">核电、</t>
    </r>
    <r>
      <rPr>
        <sz val="9.5"/>
        <color rgb="FF1F1F1F"/>
        <rFont val="微软雅黑"/>
        <family val="0"/>
        <charset val="1"/>
      </rPr>
      <t xml:space="preserve">183 TWh </t>
    </r>
    <r>
      <rPr>
        <sz val="9.5"/>
        <color rgb="FF1F1F1F"/>
        <rFont val="Noto Sans CJK SC"/>
        <family val="2"/>
      </rPr>
      <t xml:space="preserve">年发电、</t>
    </r>
    <r>
      <rPr>
        <sz val="9.5"/>
        <color rgb="FF1F1F1F"/>
        <rFont val="微软雅黑"/>
        <family val="0"/>
        <charset val="1"/>
      </rPr>
      <t xml:space="preserve">94.7% </t>
    </r>
    <r>
      <rPr>
        <sz val="9.5"/>
        <color rgb="FF1F1F1F"/>
        <rFont val="Noto Sans CJK SC"/>
        <family val="2"/>
      </rPr>
      <t xml:space="preserve">容量因子；</t>
    </r>
    <r>
      <rPr>
        <sz val="9.5"/>
        <color rgb="FF1F1F1F"/>
        <rFont val="微软雅黑"/>
        <family val="0"/>
        <charset val="1"/>
      </rPr>
      <t xml:space="preserve">Meta–Clinton </t>
    </r>
    <r>
      <rPr>
        <sz val="9.5"/>
        <color rgb="FF1F1F1F"/>
        <rFont val="Noto Sans CJK SC"/>
        <family val="2"/>
      </rPr>
      <t xml:space="preserve">约 </t>
    </r>
    <r>
      <rPr>
        <sz val="9.5"/>
        <color rgb="FF1F1F1F"/>
        <rFont val="微软雅黑"/>
        <family val="0"/>
        <charset val="1"/>
      </rPr>
      <t xml:space="preserve">80 </t>
    </r>
    <r>
      <rPr>
        <sz val="9.5"/>
        <color rgb="FF1F1F1F"/>
        <rFont val="Noto Sans CJK SC"/>
        <family val="2"/>
      </rPr>
      <t xml:space="preserve">美元</t>
    </r>
    <r>
      <rPr>
        <sz val="9.5"/>
        <color rgb="FF1F1F1F"/>
        <rFont val="微软雅黑"/>
        <family val="0"/>
        <charset val="1"/>
      </rPr>
      <t xml:space="preserve">/MWh</t>
    </r>
    <r>
      <rPr>
        <sz val="9.5"/>
        <color rgb="FF1F1F1F"/>
        <rFont val="Noto Sans CJK SC"/>
        <family val="2"/>
      </rPr>
      <t xml:space="preserve">、</t>
    </r>
    <r>
      <rPr>
        <sz val="9.5"/>
        <color rgb="FF1F1F1F"/>
        <rFont val="微软雅黑"/>
        <family val="0"/>
        <charset val="1"/>
      </rPr>
      <t xml:space="preserve">Microsoft–Crane ≥110 </t>
    </r>
    <r>
      <rPr>
        <sz val="9.5"/>
        <color rgb="FF1F1F1F"/>
        <rFont val="Noto Sans CJK SC"/>
        <family val="2"/>
      </rPr>
      <t xml:space="preserve">美元</t>
    </r>
    <r>
      <rPr>
        <sz val="9.5"/>
        <color rgb="FF1F1F1F"/>
        <rFont val="微软雅黑"/>
        <family val="0"/>
        <charset val="1"/>
      </rPr>
      <t xml:space="preserve">/MWh </t>
    </r>
    <r>
      <rPr>
        <sz val="9.5"/>
        <color rgb="FF1F1F1F"/>
        <rFont val="Noto Sans CJK SC"/>
        <family val="2"/>
      </rPr>
      <t xml:space="preserve">的长期协议，给存量机组带来稀缺租金。</t>
    </r>
  </si>
  <si>
    <r>
      <rPr>
        <sz val="9.5"/>
        <color rgb="FF1F1F1F"/>
        <rFont val="微软雅黑"/>
        <family val="0"/>
        <charset val="1"/>
      </rPr>
      <t xml:space="preserve">4. </t>
    </r>
    <r>
      <rPr>
        <sz val="9.5"/>
        <color rgb="FF1F1F1F"/>
        <rFont val="Noto Sans CJK SC"/>
        <family val="2"/>
      </rPr>
      <t xml:space="preserve">资本开支进入“表外化”阶段：</t>
    </r>
    <r>
      <rPr>
        <sz val="9.5"/>
        <color rgb="FF1F1F1F"/>
        <rFont val="微软雅黑"/>
        <family val="0"/>
        <charset val="1"/>
      </rPr>
      <t xml:space="preserve">Meta 2026 </t>
    </r>
    <r>
      <rPr>
        <sz val="9.5"/>
        <color rgb="FF1F1F1F"/>
        <rFont val="Noto Sans CJK SC"/>
        <family val="2"/>
      </rPr>
      <t xml:space="preserve">年资本开支 </t>
    </r>
    <r>
      <rPr>
        <sz val="9.5"/>
        <color rgb="FF1F1F1F"/>
        <rFont val="微软雅黑"/>
        <family val="0"/>
        <charset val="1"/>
      </rPr>
      <t xml:space="preserve">1,350–1,450 </t>
    </r>
    <r>
      <rPr>
        <sz val="9.5"/>
        <color rgb="FF1F1F1F"/>
        <rFont val="Noto Sans CJK SC"/>
        <family val="2"/>
      </rPr>
      <t xml:space="preserve">亿美元，另有 </t>
    </r>
    <r>
      <rPr>
        <sz val="9.5"/>
        <color rgb="FF1F1F1F"/>
        <rFont val="微软雅黑"/>
        <family val="0"/>
        <charset val="1"/>
      </rPr>
      <t xml:space="preserve">4,545 </t>
    </r>
    <r>
      <rPr>
        <sz val="9.5"/>
        <color rgb="FF1F1F1F"/>
        <rFont val="Noto Sans CJK SC"/>
        <family val="2"/>
      </rPr>
      <t xml:space="preserve">亿美元非取消承诺、</t>
    </r>
    <r>
      <rPr>
        <sz val="9.5"/>
        <color rgb="FF1F1F1F"/>
        <rFont val="微软雅黑"/>
        <family val="0"/>
        <charset val="1"/>
      </rPr>
      <t xml:space="preserve">3,557 </t>
    </r>
    <r>
      <rPr>
        <sz val="9.5"/>
        <color rgb="FF1F1F1F"/>
        <rFont val="Noto Sans CJK SC"/>
        <family val="2"/>
      </rPr>
      <t xml:space="preserve">亿美元未开始租赁，以及 </t>
    </r>
    <r>
      <rPr>
        <sz val="9.5"/>
        <color rgb="FF1F1F1F"/>
        <rFont val="微软雅黑"/>
        <family val="0"/>
        <charset val="1"/>
      </rPr>
      <t xml:space="preserve">Louisiana/Texas </t>
    </r>
    <r>
      <rPr>
        <sz val="9.5"/>
        <color rgb="FF1F1F1F"/>
        <rFont val="Noto Sans CJK SC"/>
        <family val="2"/>
      </rPr>
      <t xml:space="preserve">两个 </t>
    </r>
    <r>
      <rPr>
        <sz val="9.5"/>
        <color rgb="FF1F1F1F"/>
        <rFont val="微软雅黑"/>
        <family val="0"/>
        <charset val="1"/>
      </rPr>
      <t xml:space="preserve">20% </t>
    </r>
    <r>
      <rPr>
        <sz val="9.5"/>
        <color rgb="FF1F1F1F"/>
        <rFont val="Noto Sans CJK SC"/>
        <family val="2"/>
      </rPr>
      <t xml:space="preserve">持股的数据中心合资企业。</t>
    </r>
  </si>
  <si>
    <r>
      <rPr>
        <sz val="9.5"/>
        <color rgb="FF1F1F1F"/>
        <rFont val="微软雅黑"/>
        <family val="0"/>
        <charset val="1"/>
      </rPr>
      <t xml:space="preserve">5. </t>
    </r>
    <r>
      <rPr>
        <sz val="9.5"/>
        <color rgb="FF1F1F1F"/>
        <rFont val="Noto Sans CJK SC"/>
        <family val="2"/>
      </rPr>
      <t xml:space="preserve">聚变是 </t>
    </r>
    <r>
      <rPr>
        <sz val="9.5"/>
        <color rgb="FF1F1F1F"/>
        <rFont val="微软雅黑"/>
        <family val="0"/>
        <charset val="1"/>
      </rPr>
      <t xml:space="preserve">2030 </t>
    </r>
    <r>
      <rPr>
        <sz val="9.5"/>
        <color rgb="FF1F1F1F"/>
        <rFont val="Noto Sans CJK SC"/>
        <family val="2"/>
      </rPr>
      <t xml:space="preserve">年代的期权，不是 </t>
    </r>
    <r>
      <rPr>
        <sz val="9.5"/>
        <color rgb="FF1F1F1F"/>
        <rFont val="微软雅黑"/>
        <family val="0"/>
        <charset val="1"/>
      </rPr>
      <t xml:space="preserve">2026 </t>
    </r>
    <r>
      <rPr>
        <sz val="9.5"/>
        <color rgb="FF1F1F1F"/>
        <rFont val="Noto Sans CJK SC"/>
        <family val="2"/>
      </rPr>
      <t xml:space="preserve">年的答案：行业累计融资 </t>
    </r>
    <r>
      <rPr>
        <sz val="9.5"/>
        <color rgb="FF1F1F1F"/>
        <rFont val="微软雅黑"/>
        <family val="0"/>
        <charset val="1"/>
      </rPr>
      <t xml:space="preserve">142.4 </t>
    </r>
    <r>
      <rPr>
        <sz val="9.5"/>
        <color rgb="FF1F1F1F"/>
        <rFont val="Noto Sans CJK SC"/>
        <family val="2"/>
      </rPr>
      <t xml:space="preserve">亿美元、过去 </t>
    </r>
    <r>
      <rPr>
        <sz val="9.5"/>
        <color rgb="FF1F1F1F"/>
        <rFont val="微软雅黑"/>
        <family val="0"/>
        <charset val="1"/>
      </rPr>
      <t xml:space="preserve">12 </t>
    </r>
    <r>
      <rPr>
        <sz val="9.5"/>
        <color rgb="FF1F1F1F"/>
        <rFont val="Noto Sans CJK SC"/>
        <family val="2"/>
      </rPr>
      <t xml:space="preserve">个月 </t>
    </r>
    <r>
      <rPr>
        <sz val="9.5"/>
        <color rgb="FF1F1F1F"/>
        <rFont val="微软雅黑"/>
        <family val="0"/>
        <charset val="1"/>
      </rPr>
      <t xml:space="preserve">44.8 </t>
    </r>
    <r>
      <rPr>
        <sz val="9.5"/>
        <color rgb="FF1F1F1F"/>
        <rFont val="Noto Sans CJK SC"/>
        <family val="2"/>
      </rPr>
      <t xml:space="preserve">亿美元；首批 </t>
    </r>
    <r>
      <rPr>
        <sz val="9.5"/>
        <color rgb="FF1F1F1F"/>
        <rFont val="微软雅黑"/>
        <family val="0"/>
        <charset val="1"/>
      </rPr>
      <t xml:space="preserve">PPA </t>
    </r>
    <r>
      <rPr>
        <sz val="9.5"/>
        <color rgb="FF1F1F1F"/>
        <rFont val="Noto Sans CJK SC"/>
        <family val="2"/>
      </rPr>
      <t xml:space="preserve">是 </t>
    </r>
    <r>
      <rPr>
        <sz val="9.5"/>
        <color rgb="FF1F1F1F"/>
        <rFont val="微软雅黑"/>
        <family val="0"/>
        <charset val="1"/>
      </rPr>
      <t xml:space="preserve">Microsoft–Helion 50 MW</t>
    </r>
    <r>
      <rPr>
        <sz val="9.5"/>
        <color rgb="FF1F1F1F"/>
        <rFont val="Noto Sans CJK SC"/>
        <family val="2"/>
      </rPr>
      <t xml:space="preserve">（</t>
    </r>
    <r>
      <rPr>
        <sz val="9.5"/>
        <color rgb="FF1F1F1F"/>
        <rFont val="微软雅黑"/>
        <family val="0"/>
        <charset val="1"/>
      </rPr>
      <t xml:space="preserve">2028</t>
    </r>
    <r>
      <rPr>
        <sz val="9.5"/>
        <color rgb="FF1F1F1F"/>
        <rFont val="Noto Sans CJK SC"/>
        <family val="2"/>
      </rPr>
      <t xml:space="preserve">）和 </t>
    </r>
    <r>
      <rPr>
        <sz val="9.5"/>
        <color rgb="FF1F1F1F"/>
        <rFont val="微软雅黑"/>
        <family val="0"/>
        <charset val="1"/>
      </rPr>
      <t xml:space="preserve">Google–CFS 200 MW</t>
    </r>
    <r>
      <rPr>
        <sz val="9.5"/>
        <color rgb="FF1F1F1F"/>
        <rFont val="Noto Sans CJK SC"/>
        <family val="2"/>
      </rPr>
      <t xml:space="preserve">（</t>
    </r>
    <r>
      <rPr>
        <sz val="9.5"/>
        <color rgb="FF1F1F1F"/>
        <rFont val="微软雅黑"/>
        <family val="0"/>
        <charset val="1"/>
      </rPr>
      <t xml:space="preserve">early 2030s</t>
    </r>
    <r>
      <rPr>
        <sz val="9.5"/>
        <color rgb="FF1F1F1F"/>
        <rFont val="Noto Sans CJK SC"/>
        <family val="2"/>
      </rPr>
      <t xml:space="preserve">），但尚无商业聚变电力上网。</t>
    </r>
  </si>
  <si>
    <r>
      <rPr>
        <sz val="9.5"/>
        <color rgb="FF1F1F1F"/>
        <rFont val="微软雅黑"/>
        <family val="0"/>
        <charset val="1"/>
      </rPr>
      <t xml:space="preserve">6. </t>
    </r>
    <r>
      <rPr>
        <sz val="9.5"/>
        <color rgb="FF1F1F1F"/>
        <rFont val="Noto Sans CJK SC"/>
        <family val="2"/>
      </rPr>
      <t xml:space="preserve">谁在赚钱：存量核电运营商、燃机与电网设备商、变压器</t>
    </r>
    <r>
      <rPr>
        <sz val="9.5"/>
        <color rgb="FF1F1F1F"/>
        <rFont val="微软雅黑"/>
        <family val="0"/>
        <charset val="1"/>
      </rPr>
      <t xml:space="preserve">/</t>
    </r>
    <r>
      <rPr>
        <sz val="9.5"/>
        <color rgb="FF1F1F1F"/>
        <rFont val="Noto Sans CJK SC"/>
        <family val="2"/>
      </rPr>
      <t xml:space="preserve">冷却</t>
    </r>
    <r>
      <rPr>
        <sz val="9.5"/>
        <color rgb="FF1F1F1F"/>
        <rFont val="微软雅黑"/>
        <family val="0"/>
        <charset val="1"/>
      </rPr>
      <t xml:space="preserve">/</t>
    </r>
    <r>
      <rPr>
        <sz val="9.5"/>
        <color rgb="FF1F1F1F"/>
        <rFont val="Noto Sans CJK SC"/>
        <family val="2"/>
      </rPr>
      <t xml:space="preserve">施工环节先赚到现金流；科技巨头承担资本开支、电价溢价与执行风险。</t>
    </r>
  </si>
  <si>
    <t xml:space="preserve">图表集：需求、供给、资本开支、核电、聚变与成本</t>
  </si>
  <si>
    <t xml:space="preserve">所有图表均引用明细表或汇总页的公式单元格；修改“假设与情景”的黄色输入格后自动更新。</t>
  </si>
  <si>
    <t xml:space="preserve">假设与情景：所有可调参数集中在这里</t>
  </si>
  <si>
    <r>
      <rPr>
        <i val="true"/>
        <sz val="10"/>
        <color rgb="FF595959"/>
        <rFont val="Noto Sans CJK SC"/>
        <family val="2"/>
      </rPr>
      <t xml:space="preserve">黄色</t>
    </r>
    <r>
      <rPr>
        <i val="true"/>
        <sz val="10"/>
        <color rgb="FF595959"/>
        <rFont val="微软雅黑"/>
        <family val="0"/>
        <charset val="1"/>
      </rPr>
      <t xml:space="preserve">=</t>
    </r>
    <r>
      <rPr>
        <i val="true"/>
        <sz val="10"/>
        <color rgb="FF595959"/>
        <rFont val="Noto Sans CJK SC"/>
        <family val="2"/>
      </rPr>
      <t xml:space="preserve">输入格（披露事实或假设），蓝色</t>
    </r>
    <r>
      <rPr>
        <i val="true"/>
        <sz val="10"/>
        <color rgb="FF595959"/>
        <rFont val="微软雅黑"/>
        <family val="0"/>
        <charset val="1"/>
      </rPr>
      <t xml:space="preserve">=</t>
    </r>
    <r>
      <rPr>
        <i val="true"/>
        <sz val="10"/>
        <color rgb="FF595959"/>
        <rFont val="Noto Sans CJK SC"/>
        <family val="2"/>
      </rPr>
      <t xml:space="preserve">公式格，绿色</t>
    </r>
    <r>
      <rPr>
        <i val="true"/>
        <sz val="10"/>
        <color rgb="FF595959"/>
        <rFont val="微软雅黑"/>
        <family val="0"/>
        <charset val="1"/>
      </rPr>
      <t xml:space="preserve">=</t>
    </r>
    <r>
      <rPr>
        <i val="true"/>
        <sz val="10"/>
        <color rgb="FF595959"/>
        <rFont val="Noto Sans CJK SC"/>
        <family val="2"/>
      </rPr>
      <t xml:space="preserve">结果格。修改黄色格，汇总、图表和网页数据底稿的公式会联动。</t>
    </r>
  </si>
  <si>
    <t xml:space="preserve">编号</t>
  </si>
  <si>
    <t xml:space="preserve">参数</t>
  </si>
  <si>
    <t xml:space="preserve">取值</t>
  </si>
  <si>
    <t xml:space="preserve">类型</t>
  </si>
  <si>
    <r>
      <rPr>
        <b val="true"/>
        <sz val="9.5"/>
        <color rgb="FFFFFFFF"/>
        <rFont val="Noto Sans CJK SC"/>
        <family val="2"/>
      </rPr>
      <t xml:space="preserve">说明 </t>
    </r>
    <r>
      <rPr>
        <b val="true"/>
        <sz val="9.5"/>
        <color rgb="FFFFFFFF"/>
        <rFont val="微软雅黑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依据</t>
    </r>
  </si>
  <si>
    <t xml:space="preserve">A01</t>
  </si>
  <si>
    <r>
      <rPr>
        <sz val="9.5"/>
        <color rgb="FF000000"/>
        <rFont val="Noto Sans CJK SC"/>
        <family val="2"/>
      </rPr>
      <t xml:space="preserve">全球数据中心用电量（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</si>
  <si>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t xml:space="preserve">事实</t>
  </si>
  <si>
    <r>
      <rPr>
        <sz val="7.8"/>
        <color rgb="FF404040"/>
        <rFont val="微软雅黑"/>
        <family val="0"/>
        <charset val="1"/>
      </rPr>
      <t xml:space="preserve">S04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IEA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2025-04</t>
    </r>
  </si>
  <si>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：占全球用电约 </t>
    </r>
    <r>
      <rPr>
        <sz val="8.5"/>
        <color rgb="FF000000"/>
        <rFont val="微软雅黑"/>
        <family val="0"/>
        <charset val="1"/>
      </rPr>
      <t xml:space="preserve">1.5%</t>
    </r>
    <r>
      <rPr>
        <sz val="8.5"/>
        <color rgb="FF000000"/>
        <rFont val="Noto Sans CJK SC"/>
        <family val="2"/>
      </rPr>
      <t xml:space="preserve">，相当于英国全年用电量</t>
    </r>
  </si>
  <si>
    <t xml:space="preserve">A02</t>
  </si>
  <si>
    <r>
      <rPr>
        <sz val="9.5"/>
        <color rgb="FF000000"/>
        <rFont val="Noto Sans CJK SC"/>
        <family val="2"/>
      </rPr>
      <t xml:space="preserve">全球数据中心用电量（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，基准情景）</t>
    </r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</si>
  <si>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基准情景，接近日本全国用电量</t>
    </r>
  </si>
  <si>
    <t xml:space="preserve">A03</t>
  </si>
  <si>
    <r>
      <rPr>
        <sz val="9.5"/>
        <color rgb="FF000000"/>
        <rFont val="Noto Sans CJK SC"/>
        <family val="2"/>
      </rPr>
      <t xml:space="preserve">全球数据中心用电量（</t>
    </r>
    <r>
      <rPr>
        <sz val="9.5"/>
        <color rgb="FF000000"/>
        <rFont val="微软雅黑"/>
        <family val="0"/>
        <charset val="1"/>
      </rPr>
      <t xml:space="preserve">2035</t>
    </r>
    <r>
      <rPr>
        <sz val="9.5"/>
        <color rgb="FF000000"/>
        <rFont val="Noto Sans CJK SC"/>
        <family val="2"/>
      </rPr>
      <t xml:space="preserve">，基准情景）</t>
    </r>
  </si>
  <si>
    <t xml:space="preserve">A04</t>
  </si>
  <si>
    <r>
      <rPr>
        <sz val="9.5"/>
        <color rgb="FF000000"/>
        <rFont val="Noto Sans CJK SC"/>
        <family val="2"/>
      </rPr>
      <t xml:space="preserve">全球数据中心用电量（</t>
    </r>
    <r>
      <rPr>
        <sz val="9.5"/>
        <color rgb="FF000000"/>
        <rFont val="微软雅黑"/>
        <family val="0"/>
        <charset val="1"/>
      </rPr>
      <t xml:space="preserve">2035</t>
    </r>
    <r>
      <rPr>
        <sz val="9.5"/>
        <color rgb="FF000000"/>
        <rFont val="Noto Sans CJK SC"/>
        <family val="2"/>
      </rPr>
      <t xml:space="preserve">，低情景）</t>
    </r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</si>
  <si>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各情景区间下沿（高效情景等）</t>
    </r>
  </si>
  <si>
    <t xml:space="preserve">A05</t>
  </si>
  <si>
    <r>
      <rPr>
        <sz val="9.5"/>
        <color rgb="FF000000"/>
        <rFont val="Noto Sans CJK SC"/>
        <family val="2"/>
      </rPr>
      <t xml:space="preserve">全球数据中心用电量（</t>
    </r>
    <r>
      <rPr>
        <sz val="9.5"/>
        <color rgb="FF000000"/>
        <rFont val="微软雅黑"/>
        <family val="0"/>
        <charset val="1"/>
      </rPr>
      <t xml:space="preserve">2035</t>
    </r>
    <r>
      <rPr>
        <sz val="9.5"/>
        <color rgb="FF000000"/>
        <rFont val="Noto Sans CJK SC"/>
        <family val="2"/>
      </rPr>
      <t xml:space="preserve">，高情景）</t>
    </r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</si>
  <si>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各情景区间上沿（</t>
    </r>
    <r>
      <rPr>
        <sz val="8.5"/>
        <color rgb="FF000000"/>
        <rFont val="微软雅黑"/>
        <family val="0"/>
        <charset val="1"/>
      </rPr>
      <t xml:space="preserve">Lift-Off </t>
    </r>
    <r>
      <rPr>
        <sz val="8.5"/>
        <color rgb="FF000000"/>
        <rFont val="Noto Sans CJK SC"/>
        <family val="2"/>
      </rPr>
      <t xml:space="preserve">等）</t>
    </r>
  </si>
  <si>
    <t xml:space="preserve">A06</t>
  </si>
  <si>
    <r>
      <rPr>
        <sz val="9.5"/>
        <color rgb="FF000000"/>
        <rFont val="Noto Sans CJK SC"/>
        <family val="2"/>
      </rPr>
      <t xml:space="preserve">美国占全球数据中心用电比重（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</si>
  <si>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：美国 </t>
    </r>
    <r>
      <rPr>
        <sz val="8.5"/>
        <color rgb="FF000000"/>
        <rFont val="微软雅黑"/>
        <family val="0"/>
        <charset val="1"/>
      </rPr>
      <t xml:space="preserve">45%</t>
    </r>
    <r>
      <rPr>
        <sz val="8.5"/>
        <color rgb="FF000000"/>
        <rFont val="Noto Sans CJK SC"/>
        <family val="2"/>
      </rPr>
      <t xml:space="preserve">、中国 </t>
    </r>
    <r>
      <rPr>
        <sz val="8.5"/>
        <color rgb="FF000000"/>
        <rFont val="微软雅黑"/>
        <family val="0"/>
        <charset val="1"/>
      </rPr>
      <t xml:space="preserve">25%</t>
    </r>
    <r>
      <rPr>
        <sz val="8.5"/>
        <color rgb="FF000000"/>
        <rFont val="Noto Sans CJK SC"/>
        <family val="2"/>
      </rPr>
      <t xml:space="preserve">、欧洲 </t>
    </r>
    <r>
      <rPr>
        <sz val="8.5"/>
        <color rgb="FF000000"/>
        <rFont val="微软雅黑"/>
        <family val="0"/>
        <charset val="1"/>
      </rPr>
      <t xml:space="preserve">15%</t>
    </r>
  </si>
  <si>
    <t xml:space="preserve">A07</t>
  </si>
  <si>
    <r>
      <rPr>
        <sz val="9.5"/>
        <color rgb="FF000000"/>
        <rFont val="Noto Sans CJK SC"/>
        <family val="2"/>
      </rPr>
      <t xml:space="preserve">美国占全球数据中心用电比重（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）</t>
    </r>
  </si>
  <si>
    <t xml:space="preserve">假设</t>
  </si>
  <si>
    <r>
      <rPr>
        <sz val="8.5"/>
        <color rgb="FF000000"/>
        <rFont val="Noto Sans CJK SC"/>
        <family val="2"/>
      </rPr>
      <t xml:space="preserve">假设：美国 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资本开支集中，份额较 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年略升；</t>
    </r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称美国占增量最大份额。用于将全球 </t>
    </r>
    <r>
      <rPr>
        <sz val="8.5"/>
        <color rgb="FF000000"/>
        <rFont val="微软雅黑"/>
        <family val="0"/>
        <charset val="1"/>
      </rPr>
      <t xml:space="preserve">945 TWh </t>
    </r>
    <r>
      <rPr>
        <sz val="8.5"/>
        <color rgb="FF000000"/>
        <rFont val="Noto Sans CJK SC"/>
        <family val="2"/>
      </rPr>
      <t xml:space="preserve">拆分为美国 </t>
    </r>
    <r>
      <rPr>
        <sz val="8.5"/>
        <color rgb="FF000000"/>
        <rFont val="微软雅黑"/>
        <family val="0"/>
        <charset val="1"/>
      </rPr>
      <t xml:space="preserve">444 TWh</t>
    </r>
  </si>
  <si>
    <t xml:space="preserve">A08</t>
  </si>
  <si>
    <r>
      <rPr>
        <sz val="9.5"/>
        <color rgb="FF000000"/>
        <rFont val="Noto Sans CJK SC"/>
        <family val="2"/>
      </rPr>
      <t xml:space="preserve">全球用电量（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</si>
  <si>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用于计算占比；</t>
    </r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口径全球用电约 </t>
    </r>
    <r>
      <rPr>
        <sz val="8.5"/>
        <color rgb="FF000000"/>
        <rFont val="微软雅黑"/>
        <family val="0"/>
        <charset val="1"/>
      </rPr>
      <t xml:space="preserve">27,000 TWh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软雅黑"/>
        <family val="0"/>
        <charset val="1"/>
      </rPr>
      <t xml:space="preserve">415/27,000≈1.5%</t>
    </r>
  </si>
  <si>
    <t xml:space="preserve">A09</t>
  </si>
  <si>
    <r>
      <rPr>
        <sz val="9.5"/>
        <color rgb="FF000000"/>
        <rFont val="Noto Sans CJK SC"/>
        <family val="2"/>
      </rPr>
      <t xml:space="preserve">全球用电量（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</si>
  <si>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用于计算占比；假设 </t>
    </r>
    <r>
      <rPr>
        <sz val="8.5"/>
        <color rgb="FF000000"/>
        <rFont val="微软雅黑"/>
        <family val="0"/>
        <charset val="1"/>
      </rPr>
      <t xml:space="preserve">2024–2030 </t>
    </r>
    <r>
      <rPr>
        <sz val="8.5"/>
        <color rgb="FF000000"/>
        <rFont val="Noto Sans CJK SC"/>
        <family val="2"/>
      </rPr>
      <t xml:space="preserve">年全球用电年均增长约 </t>
    </r>
    <r>
      <rPr>
        <sz val="8.5"/>
        <color rgb="FF000000"/>
        <rFont val="微软雅黑"/>
        <family val="0"/>
        <charset val="1"/>
      </rPr>
      <t xml:space="preserve">3.4%</t>
    </r>
  </si>
  <si>
    <t xml:space="preserve">A10</t>
  </si>
  <si>
    <r>
      <rPr>
        <sz val="9.5"/>
        <color rgb="FF000000"/>
        <rFont val="Noto Sans CJK SC"/>
        <family val="2"/>
      </rPr>
      <t xml:space="preserve">美国 </t>
    </r>
    <r>
      <rPr>
        <sz val="9.5"/>
        <color rgb="FF000000"/>
        <rFont val="微软雅黑"/>
        <family val="0"/>
        <charset val="1"/>
      </rPr>
      <t xml:space="preserve">2025 </t>
    </r>
    <r>
      <rPr>
        <sz val="9.5"/>
        <color rgb="FF000000"/>
        <rFont val="Noto Sans CJK SC"/>
        <family val="2"/>
      </rPr>
      <t xml:space="preserve">年净发电量</t>
    </r>
  </si>
  <si>
    <r>
      <rPr>
        <sz val="7.8"/>
        <color rgb="FF404040"/>
        <rFont val="微软雅黑"/>
        <family val="0"/>
        <charset val="1"/>
      </rPr>
      <t xml:space="preserve">S17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EIA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2026-03-05</t>
    </r>
  </si>
  <si>
    <r>
      <rPr>
        <sz val="8.5"/>
        <color rgb="FF000000"/>
        <rFont val="微软雅黑"/>
        <family val="0"/>
        <charset val="1"/>
      </rPr>
      <t xml:space="preserve">EIA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2025 </t>
    </r>
    <r>
      <rPr>
        <sz val="8.5"/>
        <color rgb="FF000000"/>
        <rFont val="Noto Sans CJK SC"/>
        <family val="2"/>
      </rPr>
      <t xml:space="preserve">年美国净发电量 </t>
    </r>
    <r>
      <rPr>
        <sz val="8.5"/>
        <color rgb="FF000000"/>
        <rFont val="微软雅黑"/>
        <family val="0"/>
        <charset val="1"/>
      </rPr>
      <t xml:space="preserve">4,430 TWh</t>
    </r>
    <r>
      <rPr>
        <sz val="8.5"/>
        <color rgb="FF000000"/>
        <rFont val="Noto Sans CJK SC"/>
        <family val="2"/>
      </rPr>
      <t xml:space="preserve">，同比 </t>
    </r>
    <r>
      <rPr>
        <sz val="8.5"/>
        <color rgb="FF000000"/>
        <rFont val="微软雅黑"/>
        <family val="0"/>
        <charset val="1"/>
      </rPr>
      <t xml:space="preserve">+2.8%</t>
    </r>
  </si>
  <si>
    <t xml:space="preserve">A11</t>
  </si>
  <si>
    <r>
      <rPr>
        <sz val="9.5"/>
        <color rgb="FF000000"/>
        <rFont val="Noto Sans CJK SC"/>
        <family val="2"/>
      </rPr>
      <t xml:space="preserve">美国 </t>
    </r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年净发电量</t>
    </r>
  </si>
  <si>
    <r>
      <rPr>
        <sz val="8.5"/>
        <color rgb="FF000000"/>
        <rFont val="Noto Sans CJK SC"/>
        <family val="2"/>
      </rPr>
      <t xml:space="preserve">假设 </t>
    </r>
    <r>
      <rPr>
        <sz val="8.5"/>
        <color rgb="FF000000"/>
        <rFont val="微软雅黑"/>
        <family val="0"/>
        <charset val="1"/>
      </rPr>
      <t xml:space="preserve">2025–2030 </t>
    </r>
    <r>
      <rPr>
        <sz val="8.5"/>
        <color rgb="FF000000"/>
        <rFont val="Noto Sans CJK SC"/>
        <family val="2"/>
      </rPr>
      <t xml:space="preserve">年年均增长约 </t>
    </r>
    <r>
      <rPr>
        <sz val="8.5"/>
        <color rgb="FF000000"/>
        <rFont val="微软雅黑"/>
        <family val="0"/>
        <charset val="1"/>
      </rPr>
      <t xml:space="preserve">1.0%</t>
    </r>
    <r>
      <rPr>
        <sz val="8.5"/>
        <color rgb="FF000000"/>
        <rFont val="Noto Sans CJK SC"/>
        <family val="2"/>
      </rPr>
      <t xml:space="preserve">，用于计算数据中心占全国发电量比重</t>
    </r>
  </si>
  <si>
    <t xml:space="preserve">A12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</si>
  <si>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数据中心用电量（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</si>
  <si>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r>
      <rPr>
        <sz val="7.8"/>
        <color rgb="FF404040"/>
        <rFont val="微软雅黑"/>
        <family val="0"/>
        <charset val="1"/>
      </rPr>
      <t xml:space="preserve">S06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Meta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2025-12-31</t>
    </r>
  </si>
  <si>
    <r>
      <rPr>
        <sz val="8.5"/>
        <color rgb="FF000000"/>
        <rFont val="微软雅黑"/>
        <family val="0"/>
        <charset val="1"/>
      </rPr>
      <t xml:space="preserve">Meta 2025 </t>
    </r>
    <r>
      <rPr>
        <sz val="8.5"/>
        <color rgb="FF000000"/>
        <rFont val="Noto Sans CJK SC"/>
        <family val="2"/>
      </rPr>
      <t xml:space="preserve">环境数据索引：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年数据中心用电 </t>
    </r>
    <r>
      <rPr>
        <sz val="8.5"/>
        <color rgb="FF000000"/>
        <rFont val="微软雅黑"/>
        <family val="0"/>
        <charset val="1"/>
      </rPr>
      <t xml:space="preserve">18,061,781 MWh</t>
    </r>
    <r>
      <rPr>
        <sz val="8.5"/>
        <color rgb="FF000000"/>
        <rFont val="Noto Sans CJK SC"/>
        <family val="2"/>
      </rPr>
      <t xml:space="preserve">；总用电 </t>
    </r>
    <r>
      <rPr>
        <sz val="8.5"/>
        <color rgb="FF000000"/>
        <rFont val="微软雅黑"/>
        <family val="0"/>
        <charset val="1"/>
      </rPr>
      <t xml:space="preserve">18,423,634 MWh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PUE 1.08</t>
    </r>
  </si>
  <si>
    <t xml:space="preserve">A13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</si>
  <si>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数据中心用电量年均增速（</t>
    </r>
    <r>
      <rPr>
        <sz val="9.5"/>
        <color rgb="FF000000"/>
        <rFont val="微软雅黑"/>
        <family val="0"/>
        <charset val="1"/>
      </rPr>
      <t xml:space="preserve">2024–2026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</si>
  <si>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假设：</t>
    </r>
    <r>
      <rPr>
        <sz val="8.5"/>
        <color rgb="FF000000"/>
        <rFont val="微软雅黑"/>
        <family val="0"/>
        <charset val="1"/>
      </rPr>
      <t xml:space="preserve">2023–2024 </t>
    </r>
    <r>
      <rPr>
        <sz val="8.5"/>
        <color rgb="FF000000"/>
        <rFont val="Noto Sans CJK SC"/>
        <family val="2"/>
      </rPr>
      <t xml:space="preserve">年实际 </t>
    </r>
    <r>
      <rPr>
        <sz val="8.5"/>
        <color rgb="FF000000"/>
        <rFont val="微软雅黑"/>
        <family val="0"/>
        <charset val="1"/>
      </rPr>
      <t xml:space="preserve">+20.6%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集群投产推动 </t>
    </r>
    <r>
      <rPr>
        <sz val="8.5"/>
        <color rgb="FF000000"/>
        <rFont val="微软雅黑"/>
        <family val="0"/>
        <charset val="1"/>
      </rPr>
      <t xml:space="preserve">2024–2026 </t>
    </r>
    <r>
      <rPr>
        <sz val="8.5"/>
        <color rgb="FF000000"/>
        <rFont val="Noto Sans CJK SC"/>
        <family val="2"/>
      </rPr>
      <t xml:space="preserve">年加速至 </t>
    </r>
    <r>
      <rPr>
        <sz val="8.5"/>
        <color rgb="FF000000"/>
        <rFont val="微软雅黑"/>
        <family val="0"/>
        <charset val="1"/>
      </rPr>
      <t xml:space="preserve">30%/</t>
    </r>
    <r>
      <rPr>
        <sz val="8.5"/>
        <color rgb="FF000000"/>
        <rFont val="Noto Sans CJK SC"/>
        <family val="2"/>
      </rPr>
      <t xml:space="preserve">年；据此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年约 </t>
    </r>
    <r>
      <rPr>
        <sz val="8.5"/>
        <color rgb="FF000000"/>
        <rFont val="微软雅黑"/>
        <family val="0"/>
        <charset val="1"/>
      </rPr>
      <t xml:space="preserve">30.5 TWh</t>
    </r>
  </si>
  <si>
    <t xml:space="preserve">A14</t>
  </si>
  <si>
    <t xml:space="preserve">核电年利用小时数</t>
  </si>
  <si>
    <t xml:space="preserve">小时</t>
  </si>
  <si>
    <r>
      <rPr>
        <sz val="7.8"/>
        <color rgb="FF404040"/>
        <rFont val="微软雅黑"/>
        <family val="0"/>
        <charset val="1"/>
      </rPr>
      <t xml:space="preserve">S02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Constellation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2026-02-24</t>
    </r>
  </si>
  <si>
    <r>
      <rPr>
        <sz val="8.5"/>
        <color rgb="FF000000"/>
        <rFont val="Noto Sans CJK SC"/>
        <family val="2"/>
      </rPr>
      <t xml:space="preserve">按 </t>
    </r>
    <r>
      <rPr>
        <sz val="8.5"/>
        <color rgb="FF000000"/>
        <rFont val="微软雅黑"/>
        <family val="0"/>
        <charset val="1"/>
      </rPr>
      <t xml:space="preserve">90% </t>
    </r>
    <r>
      <rPr>
        <sz val="8.5"/>
        <color rgb="FF000000"/>
        <rFont val="Noto Sans CJK SC"/>
        <family val="2"/>
      </rPr>
      <t xml:space="preserve">容量因子折算（</t>
    </r>
    <r>
      <rPr>
        <sz val="8.5"/>
        <color rgb="FF000000"/>
        <rFont val="微软雅黑"/>
        <family val="0"/>
        <charset val="1"/>
      </rPr>
      <t xml:space="preserve">Constellation 2025 </t>
    </r>
    <r>
      <rPr>
        <sz val="8.5"/>
        <color rgb="FF000000"/>
        <rFont val="Noto Sans CJK SC"/>
        <family val="2"/>
      </rPr>
      <t xml:space="preserve">年核电机组容量因子 </t>
    </r>
    <r>
      <rPr>
        <sz val="8.5"/>
        <color rgb="FF000000"/>
        <rFont val="微软雅黑"/>
        <family val="0"/>
        <charset val="1"/>
      </rPr>
      <t xml:space="preserve">94.7%</t>
    </r>
    <r>
      <rPr>
        <sz val="8.5"/>
        <color rgb="FF000000"/>
        <rFont val="Noto Sans CJK SC"/>
        <family val="2"/>
      </rPr>
      <t xml:space="preserve">）</t>
    </r>
  </si>
  <si>
    <t xml:space="preserve">A15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</si>
  <si>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已签约核电容量（首批）</t>
    </r>
  </si>
  <si>
    <t xml:space="preserve">GW</t>
  </si>
  <si>
    <r>
      <rPr>
        <sz val="7.8"/>
        <color rgb="FF404040"/>
        <rFont val="微软雅黑"/>
        <family val="0"/>
        <charset val="1"/>
      </rPr>
      <t xml:space="preserve">S07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Meta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2026-01-09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S08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Utility Dive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2026-01-09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S09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Constellation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2026-10-22</t>
    </r>
  </si>
  <si>
    <r>
      <rPr>
        <sz val="8.5"/>
        <color rgb="FF000000"/>
        <rFont val="微软雅黑"/>
        <family val="0"/>
        <charset val="1"/>
      </rPr>
      <t xml:space="preserve">Clinton 1.092 + Vistra 2.10 + Oklo 1.20 + TerraPower 0.69 = 5.082 GW</t>
    </r>
    <r>
      <rPr>
        <sz val="8.5"/>
        <color rgb="FF000000"/>
        <rFont val="Noto Sans CJK SC"/>
        <family val="2"/>
      </rPr>
      <t xml:space="preserve">；不含选择权与后续扩建</t>
    </r>
  </si>
  <si>
    <t xml:space="preserve">A16</t>
  </si>
  <si>
    <r>
      <rPr>
        <sz val="9.5"/>
        <color rgb="FF000000"/>
        <rFont val="微软雅黑"/>
        <family val="0"/>
        <charset val="1"/>
      </rPr>
      <t xml:space="preserve">Meta </t>
    </r>
    <r>
      <rPr>
        <sz val="9.5"/>
        <color rgb="FF000000"/>
        <rFont val="Noto Sans CJK SC"/>
        <family val="2"/>
      </rPr>
      <t xml:space="preserve">核电选择权</t>
    </r>
    <r>
      <rPr>
        <sz val="9.5"/>
        <color rgb="FF000000"/>
        <rFont val="微软雅黑"/>
        <family val="0"/>
        <charset val="1"/>
      </rPr>
      <t xml:space="preserve">/</t>
    </r>
    <r>
      <rPr>
        <sz val="9.5"/>
        <color rgb="FF000000"/>
        <rFont val="Noto Sans CJK SC"/>
        <family val="2"/>
      </rPr>
      <t xml:space="preserve">扩建容量</t>
    </r>
  </si>
  <si>
    <r>
      <rPr>
        <sz val="7.8"/>
        <color rgb="FF404040"/>
        <rFont val="微软雅黑"/>
        <family val="0"/>
        <charset val="1"/>
      </rPr>
      <t xml:space="preserve">S07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Meta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2026-01-09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S08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Utility Dive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2026-01-09</t>
    </r>
  </si>
  <si>
    <r>
      <rPr>
        <sz val="8.5"/>
        <color rgb="FF000000"/>
        <rFont val="微软雅黑"/>
        <family val="0"/>
        <charset val="1"/>
      </rPr>
      <t xml:space="preserve">TerraPower </t>
    </r>
    <r>
      <rPr>
        <sz val="8.5"/>
        <color rgb="FF000000"/>
        <rFont val="Noto Sans CJK SC"/>
        <family val="2"/>
      </rPr>
      <t xml:space="preserve">最多再 </t>
    </r>
    <r>
      <rPr>
        <sz val="8.5"/>
        <color rgb="FF000000"/>
        <rFont val="微软雅黑"/>
        <family val="0"/>
        <charset val="1"/>
      </rPr>
      <t xml:space="preserve">6 </t>
    </r>
    <r>
      <rPr>
        <sz val="8.5"/>
        <color rgb="FF000000"/>
        <rFont val="Noto Sans CJK SC"/>
        <family val="2"/>
      </rPr>
      <t xml:space="preserve">台 </t>
    </r>
    <r>
      <rPr>
        <sz val="8.5"/>
        <color rgb="FF000000"/>
        <rFont val="微软雅黑"/>
        <family val="0"/>
        <charset val="1"/>
      </rPr>
      <t xml:space="preserve">Natrium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软雅黑"/>
        <family val="0"/>
        <charset val="1"/>
      </rPr>
      <t xml:space="preserve">2.1 GW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软雅黑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其他扩建</t>
    </r>
    <r>
      <rPr>
        <sz val="8.5"/>
        <color rgb="FF000000"/>
        <rFont val="微软雅黑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升级 </t>
    </r>
    <r>
      <rPr>
        <sz val="8.5"/>
        <color rgb="FF000000"/>
        <rFont val="微软雅黑"/>
        <family val="0"/>
        <charset val="1"/>
      </rPr>
      <t xml:space="preserve">0.518 GW</t>
    </r>
    <r>
      <rPr>
        <sz val="8.5"/>
        <color rgb="FF000000"/>
        <rFont val="Noto Sans CJK SC"/>
        <family val="2"/>
      </rPr>
      <t xml:space="preserve">；合计使总规模达到 </t>
    </r>
    <r>
      <rPr>
        <sz val="8.5"/>
        <color rgb="FF000000"/>
        <rFont val="微软雅黑"/>
        <family val="0"/>
        <charset val="1"/>
      </rPr>
      <t xml:space="preserve">Meta </t>
    </r>
    <r>
      <rPr>
        <sz val="8.5"/>
        <color rgb="FF000000"/>
        <rFont val="Noto Sans CJK SC"/>
        <family val="2"/>
      </rPr>
      <t xml:space="preserve">披露的“最高 </t>
    </r>
    <r>
      <rPr>
        <sz val="8.5"/>
        <color rgb="FF000000"/>
        <rFont val="微软雅黑"/>
        <family val="0"/>
        <charset val="1"/>
      </rPr>
      <t xml:space="preserve">7.7 GW”</t>
    </r>
  </si>
  <si>
    <t xml:space="preserve">A17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</si>
  <si>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，天然气）</t>
    </r>
  </si>
  <si>
    <r>
      <rPr>
        <sz val="7.8"/>
        <color rgb="FF404040"/>
        <rFont val="微软雅黑"/>
        <family val="0"/>
        <charset val="1"/>
      </rPr>
      <t xml:space="preserve">S05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IEA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2025-04</t>
    </r>
  </si>
  <si>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：美国数据中心用电中天然气 </t>
    </r>
    <r>
      <rPr>
        <sz val="8.5"/>
        <color rgb="FF000000"/>
        <rFont val="微软雅黑"/>
        <family val="0"/>
        <charset val="1"/>
      </rPr>
      <t xml:space="preserve">&gt;40%</t>
    </r>
    <r>
      <rPr>
        <sz val="8.5"/>
        <color rgb="FF000000"/>
        <rFont val="Noto Sans CJK SC"/>
        <family val="2"/>
      </rPr>
      <t xml:space="preserve">、可再生 </t>
    </r>
    <r>
      <rPr>
        <sz val="8.5"/>
        <color rgb="FF000000"/>
        <rFont val="微软雅黑"/>
        <family val="0"/>
        <charset val="1"/>
      </rPr>
      <t xml:space="preserve">24%</t>
    </r>
    <r>
      <rPr>
        <sz val="8.5"/>
        <color rgb="FF000000"/>
        <rFont val="Noto Sans CJK SC"/>
        <family val="2"/>
      </rPr>
      <t xml:space="preserve">、核 </t>
    </r>
    <r>
      <rPr>
        <sz val="8.5"/>
        <color rgb="FF000000"/>
        <rFont val="微软雅黑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、煤 </t>
    </r>
    <r>
      <rPr>
        <sz val="8.5"/>
        <color rgb="FF000000"/>
        <rFont val="微软雅黑"/>
        <family val="0"/>
        <charset val="1"/>
      </rPr>
      <t xml:space="preserve">15%</t>
    </r>
  </si>
  <si>
    <t xml:space="preserve">A18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</si>
  <si>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，可再生）</t>
    </r>
  </si>
  <si>
    <t xml:space="preserve">同上</t>
  </si>
  <si>
    <t xml:space="preserve">A19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</si>
  <si>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，核）</t>
    </r>
  </si>
  <si>
    <t xml:space="preserve">A20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</si>
  <si>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，煤）</t>
    </r>
  </si>
  <si>
    <t xml:space="preserve">A21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</si>
  <si>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，其他）</t>
    </r>
  </si>
  <si>
    <t xml:space="preserve">残差项，含油、地热等</t>
  </si>
  <si>
    <t xml:space="preserve">A22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</si>
  <si>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，天然气）</t>
    </r>
  </si>
  <si>
    <r>
      <rPr>
        <sz val="8.5"/>
        <color rgb="FF000000"/>
        <rFont val="Noto Sans CJK SC"/>
        <family val="2"/>
      </rPr>
      <t xml:space="preserve">假设：气电仍是最大增量来源；按 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年美国 </t>
    </r>
    <r>
      <rPr>
        <sz val="8.5"/>
        <color rgb="FF000000"/>
        <rFont val="微软雅黑"/>
        <family val="0"/>
        <charset val="1"/>
      </rPr>
      <t xml:space="preserve">444 TWh</t>
    </r>
    <r>
      <rPr>
        <sz val="8.5"/>
        <color rgb="FF000000"/>
        <rFont val="Noto Sans CJK SC"/>
        <family val="2"/>
      </rPr>
      <t xml:space="preserve">、气电 </t>
    </r>
    <r>
      <rPr>
        <sz val="8.5"/>
        <color rgb="FF000000"/>
        <rFont val="微软雅黑"/>
        <family val="0"/>
        <charset val="1"/>
      </rPr>
      <t xml:space="preserve">204 TWh </t>
    </r>
    <r>
      <rPr>
        <sz val="8.5"/>
        <color rgb="FF000000"/>
        <rFont val="Noto Sans CJK SC"/>
        <family val="2"/>
      </rPr>
      <t xml:space="preserve">计，较 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+130 TWh</t>
    </r>
    <r>
      <rPr>
        <sz val="8.5"/>
        <color rgb="FF000000"/>
        <rFont val="Noto Sans CJK SC"/>
        <family val="2"/>
      </rPr>
      <t xml:space="preserve">，与 </t>
    </r>
    <r>
      <rPr>
        <sz val="8.5"/>
        <color rgb="FF000000"/>
        <rFont val="微软雅黑"/>
        <family val="0"/>
        <charset val="1"/>
      </rPr>
      <t xml:space="preserve">IEA “+130 TWh”</t>
    </r>
    <r>
      <rPr>
        <sz val="8.5"/>
        <color rgb="FF000000"/>
        <rFont val="Noto Sans CJK SC"/>
        <family val="2"/>
      </rPr>
      <t xml:space="preserve">一致</t>
    </r>
  </si>
  <si>
    <t xml:space="preserve">A23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</si>
  <si>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，可再生）</t>
    </r>
  </si>
  <si>
    <r>
      <rPr>
        <sz val="8.5"/>
        <color rgb="FF000000"/>
        <rFont val="Noto Sans CJK SC"/>
        <family val="2"/>
      </rPr>
      <t xml:space="preserve">假设：可再生占比由 </t>
    </r>
    <r>
      <rPr>
        <sz val="8.5"/>
        <color rgb="FF000000"/>
        <rFont val="微软雅黑"/>
        <family val="0"/>
        <charset val="1"/>
      </rPr>
      <t xml:space="preserve">24% </t>
    </r>
    <r>
      <rPr>
        <sz val="8.5"/>
        <color rgb="FF000000"/>
        <rFont val="Noto Sans CJK SC"/>
        <family val="2"/>
      </rPr>
      <t xml:space="preserve">升至 </t>
    </r>
    <r>
      <rPr>
        <sz val="8.5"/>
        <color rgb="FF000000"/>
        <rFont val="微软雅黑"/>
        <family val="0"/>
        <charset val="1"/>
      </rPr>
      <t xml:space="preserve">33%</t>
    </r>
    <r>
      <rPr>
        <sz val="8.5"/>
        <color rgb="FF000000"/>
        <rFont val="Noto Sans CJK SC"/>
        <family val="2"/>
      </rPr>
      <t xml:space="preserve">，增量约 </t>
    </r>
    <r>
      <rPr>
        <sz val="8.5"/>
        <color rgb="FF000000"/>
        <rFont val="微软雅黑"/>
        <family val="0"/>
        <charset val="1"/>
      </rPr>
      <t xml:space="preserve">+102 TWh</t>
    </r>
    <r>
      <rPr>
        <sz val="8.5"/>
        <color rgb="FF000000"/>
        <rFont val="Noto Sans CJK SC"/>
        <family val="2"/>
      </rPr>
      <t xml:space="preserve">，接近 </t>
    </r>
    <r>
      <rPr>
        <sz val="8.5"/>
        <color rgb="FF000000"/>
        <rFont val="微软雅黑"/>
        <family val="0"/>
        <charset val="1"/>
      </rPr>
      <t xml:space="preserve">IEA “+110 TWh”</t>
    </r>
  </si>
  <si>
    <t xml:space="preserve">A24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</si>
  <si>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，核）</t>
    </r>
  </si>
  <si>
    <r>
      <rPr>
        <sz val="8.5"/>
        <color rgb="FF000000"/>
        <rFont val="Noto Sans CJK SC"/>
        <family val="2"/>
      </rPr>
      <t xml:space="preserve">假设：现有核电保持 </t>
    </r>
    <r>
      <rPr>
        <sz val="8.5"/>
        <color rgb="FF000000"/>
        <rFont val="微软雅黑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软雅黑"/>
        <family val="0"/>
        <charset val="1"/>
      </rPr>
      <t xml:space="preserve">SMR 2030 </t>
    </r>
    <r>
      <rPr>
        <sz val="8.5"/>
        <color rgb="FF000000"/>
        <rFont val="Noto Sans CJK SC"/>
        <family val="2"/>
      </rPr>
      <t xml:space="preserve">年前贡献有限；</t>
    </r>
    <r>
      <rPr>
        <sz val="8.5"/>
        <color rgb="FF000000"/>
        <rFont val="微软雅黑"/>
        <family val="0"/>
        <charset val="1"/>
      </rPr>
      <t xml:space="preserve">2035 </t>
    </r>
    <r>
      <rPr>
        <sz val="8.5"/>
        <color rgb="FF000000"/>
        <rFont val="Noto Sans CJK SC"/>
        <family val="2"/>
      </rPr>
      <t xml:space="preserve">年低排放电源占比超过 </t>
    </r>
    <r>
      <rPr>
        <sz val="8.5"/>
        <color rgb="FF000000"/>
        <rFont val="微软雅黑"/>
        <family val="0"/>
        <charset val="1"/>
      </rPr>
      <t xml:space="preserve">50%</t>
    </r>
  </si>
  <si>
    <t xml:space="preserve">A25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</si>
  <si>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，煤）</t>
    </r>
  </si>
  <si>
    <r>
      <rPr>
        <sz val="8.5"/>
        <color rgb="FF000000"/>
        <rFont val="Noto Sans CJK SC"/>
        <family val="2"/>
      </rPr>
      <t xml:space="preserve">假设：煤电占比由 </t>
    </r>
    <r>
      <rPr>
        <sz val="8.5"/>
        <color rgb="FF000000"/>
        <rFont val="微软雅黑"/>
        <family val="0"/>
        <charset val="1"/>
      </rPr>
      <t xml:space="preserve">15% </t>
    </r>
    <r>
      <rPr>
        <sz val="8.5"/>
        <color rgb="FF000000"/>
        <rFont val="Noto Sans CJK SC"/>
        <family val="2"/>
      </rPr>
      <t xml:space="preserve">降至 </t>
    </r>
    <r>
      <rPr>
        <sz val="8.5"/>
        <color rgb="FF000000"/>
        <rFont val="微软雅黑"/>
        <family val="0"/>
        <charset val="1"/>
      </rPr>
      <t xml:space="preserve">1%</t>
    </r>
    <r>
      <rPr>
        <sz val="8.5"/>
        <color rgb="FF000000"/>
        <rFont val="Noto Sans CJK SC"/>
        <family val="2"/>
      </rPr>
      <t xml:space="preserve">，主要被气电与可再生替代</t>
    </r>
  </si>
  <si>
    <t xml:space="preserve">A26</t>
  </si>
  <si>
    <r>
      <rPr>
        <sz val="9.5"/>
        <color rgb="FF000000"/>
        <rFont val="Noto Sans CJK SC"/>
        <family val="2"/>
      </rPr>
      <t xml:space="preserve">美国数据中心供电结构（</t>
    </r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，其他）</t>
    </r>
  </si>
  <si>
    <t xml:space="preserve">残差项</t>
  </si>
  <si>
    <t xml:space="preserve">A27</t>
  </si>
  <si>
    <r>
      <rPr>
        <sz val="9.5"/>
        <color rgb="FF000000"/>
        <rFont val="微软雅黑"/>
        <family val="0"/>
        <charset val="1"/>
      </rPr>
      <t xml:space="preserve">Meta 2026 </t>
    </r>
    <r>
      <rPr>
        <sz val="9.5"/>
        <color rgb="FF000000"/>
        <rFont val="Noto Sans CJK SC"/>
        <family val="2"/>
      </rPr>
      <t xml:space="preserve">年资本开支（指引下限）</t>
    </r>
  </si>
  <si>
    <t xml:space="preserve">百万美元</t>
  </si>
  <si>
    <r>
      <rPr>
        <sz val="7.8"/>
        <color rgb="FF404040"/>
        <rFont val="微软雅黑"/>
        <family val="0"/>
        <charset val="1"/>
      </rPr>
      <t xml:space="preserve">S01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Meta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2026-10-21</t>
    </r>
  </si>
  <si>
    <r>
      <rPr>
        <sz val="8.5"/>
        <color rgb="FF000000"/>
        <rFont val="微软雅黑"/>
        <family val="0"/>
        <charset val="1"/>
      </rPr>
      <t xml:space="preserve">Meta 2026 </t>
    </r>
    <r>
      <rPr>
        <sz val="8.5"/>
        <color rgb="FF000000"/>
        <rFont val="Noto Sans CJK SC"/>
        <family val="2"/>
      </rPr>
      <t xml:space="preserve">年第三季度 </t>
    </r>
    <r>
      <rPr>
        <sz val="8.5"/>
        <color rgb="FF000000"/>
        <rFont val="微软雅黑"/>
        <family val="0"/>
        <charset val="1"/>
      </rPr>
      <t xml:space="preserve">10-Q</t>
    </r>
    <r>
      <rPr>
        <sz val="8.5"/>
        <color rgb="FF000000"/>
        <rFont val="Noto Sans CJK SC"/>
        <family val="2"/>
      </rPr>
      <t xml:space="preserve">：预计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年资本开支 </t>
    </r>
    <r>
      <rPr>
        <sz val="8.5"/>
        <color rgb="FF000000"/>
        <rFont val="微软雅黑"/>
        <family val="0"/>
        <charset val="1"/>
      </rPr>
      <t xml:space="preserve">1,350–1,450 </t>
    </r>
    <r>
      <rPr>
        <sz val="8.5"/>
        <color rgb="FF000000"/>
        <rFont val="Noto Sans CJK SC"/>
        <family val="2"/>
      </rPr>
      <t xml:space="preserve">亿美元</t>
    </r>
  </si>
  <si>
    <t xml:space="preserve">A28</t>
  </si>
  <si>
    <r>
      <rPr>
        <sz val="9.5"/>
        <color rgb="FF000000"/>
        <rFont val="微软雅黑"/>
        <family val="0"/>
        <charset val="1"/>
      </rPr>
      <t xml:space="preserve">Meta 2026 </t>
    </r>
    <r>
      <rPr>
        <sz val="9.5"/>
        <color rgb="FF000000"/>
        <rFont val="Noto Sans CJK SC"/>
        <family val="2"/>
      </rPr>
      <t xml:space="preserve">年资本开支（指引上限）</t>
    </r>
  </si>
  <si>
    <t xml:space="preserve">A29</t>
  </si>
  <si>
    <r>
      <rPr>
        <sz val="9.5"/>
        <color rgb="FF000000"/>
        <rFont val="微软雅黑"/>
        <family val="0"/>
        <charset val="1"/>
      </rPr>
      <t xml:space="preserve">AI </t>
    </r>
    <r>
      <rPr>
        <sz val="9.5"/>
        <color rgb="FF000000"/>
        <rFont val="Noto Sans CJK SC"/>
        <family val="2"/>
      </rPr>
      <t xml:space="preserve">数据中心单位投资（每 </t>
    </r>
    <r>
      <rPr>
        <sz val="9.5"/>
        <color rgb="FF000000"/>
        <rFont val="微软雅黑"/>
        <family val="0"/>
        <charset val="1"/>
      </rPr>
      <t xml:space="preserve">GW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</si>
  <si>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百万美元</t>
    </r>
    <r>
      <rPr>
        <sz val="9.5"/>
        <color rgb="FF000000"/>
        <rFont val="微软雅黑"/>
        <family val="0"/>
        <charset val="1"/>
      </rPr>
      <t xml:space="preserve">/GW</t>
    </r>
  </si>
  <si>
    <r>
      <rPr>
        <sz val="7.8"/>
        <color rgb="FF404040"/>
        <rFont val="微软雅黑"/>
        <family val="0"/>
        <charset val="1"/>
      </rPr>
      <t xml:space="preserve">S30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Nasdaq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2026-07-14</t>
    </r>
  </si>
  <si>
    <r>
      <rPr>
        <sz val="8.5"/>
        <color rgb="FF000000"/>
        <rFont val="微软雅黑"/>
        <family val="0"/>
        <charset val="1"/>
      </rPr>
      <t xml:space="preserve">Meta Hyperion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5 GW</t>
    </r>
    <r>
      <rPr>
        <sz val="8.5"/>
        <color rgb="FF000000"/>
        <rFont val="Noto Sans CJK SC"/>
        <family val="2"/>
      </rPr>
      <t xml:space="preserve">、投资超 </t>
    </r>
    <r>
      <rPr>
        <sz val="8.5"/>
        <color rgb="FF000000"/>
        <rFont val="微软雅黑"/>
        <family val="0"/>
        <charset val="1"/>
      </rPr>
      <t xml:space="preserve">500 </t>
    </r>
    <r>
      <rPr>
        <sz val="8.5"/>
        <color rgb="FF000000"/>
        <rFont val="Noto Sans CJK SC"/>
        <family val="2"/>
      </rPr>
      <t xml:space="preserve">亿美元，折合约 </t>
    </r>
    <r>
      <rPr>
        <sz val="8.5"/>
        <color rgb="FF000000"/>
        <rFont val="微软雅黑"/>
        <family val="0"/>
        <charset val="1"/>
      </rPr>
      <t xml:space="preserve">100 </t>
    </r>
    <r>
      <rPr>
        <sz val="8.5"/>
        <color rgb="FF000000"/>
        <rFont val="Noto Sans CJK SC"/>
        <family val="2"/>
      </rPr>
      <t xml:space="preserve">亿美元</t>
    </r>
    <r>
      <rPr>
        <sz val="8.5"/>
        <color rgb="FF000000"/>
        <rFont val="微软雅黑"/>
        <family val="0"/>
        <charset val="1"/>
      </rPr>
      <t xml:space="preserve">/GW</t>
    </r>
    <r>
      <rPr>
        <sz val="8.5"/>
        <color rgb="FF000000"/>
        <rFont val="Noto Sans CJK SC"/>
        <family val="2"/>
      </rPr>
      <t xml:space="preserve">；用于将资本开支粗略换算为 </t>
    </r>
    <r>
      <rPr>
        <sz val="8.5"/>
        <color rgb="FF000000"/>
        <rFont val="微软雅黑"/>
        <family val="0"/>
        <charset val="1"/>
      </rPr>
      <t xml:space="preserve">GW</t>
    </r>
  </si>
  <si>
    <t xml:space="preserve">A30</t>
  </si>
  <si>
    <t xml:space="preserve">资本开支中用于数据中心土建与供电的比例</t>
  </si>
  <si>
    <r>
      <rPr>
        <sz val="8.5"/>
        <color rgb="FF000000"/>
        <rFont val="Noto Sans CJK SC"/>
        <family val="2"/>
      </rPr>
      <t xml:space="preserve">假设：其余为服务器、网络与融资租赁；用于估算 </t>
    </r>
    <r>
      <rPr>
        <sz val="8.5"/>
        <color rgb="FF000000"/>
        <rFont val="微软雅黑"/>
        <family val="0"/>
        <charset val="1"/>
      </rPr>
      <t xml:space="preserve">Meta </t>
    </r>
    <r>
      <rPr>
        <sz val="8.5"/>
        <color rgb="FF000000"/>
        <rFont val="Noto Sans CJK SC"/>
        <family val="2"/>
      </rPr>
      <t xml:space="preserve">资本开支对应的新增园区容量，仅作敏感性参考</t>
    </r>
  </si>
  <si>
    <t xml:space="preserve">A31</t>
  </si>
  <si>
    <t xml:space="preserve">欧元兑美元汇率</t>
  </si>
  <si>
    <t xml:space="preserve">USD/EUR</t>
  </si>
  <si>
    <r>
      <rPr>
        <sz val="7.8"/>
        <color rgb="FF404040"/>
        <rFont val="微软雅黑"/>
        <family val="0"/>
        <charset val="1"/>
      </rPr>
      <t xml:space="preserve">S12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ESG Today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2026-07-31</t>
    </r>
  </si>
  <si>
    <r>
      <rPr>
        <sz val="8.5"/>
        <color rgb="FF000000"/>
        <rFont val="Noto Sans CJK SC"/>
        <family val="2"/>
      </rPr>
      <t xml:space="preserve">用于将 </t>
    </r>
    <r>
      <rPr>
        <sz val="8.5"/>
        <color rgb="FF000000"/>
        <rFont val="微软雅黑"/>
        <family val="0"/>
        <charset val="1"/>
      </rPr>
      <t xml:space="preserve">Proxima Fusion </t>
    </r>
    <r>
      <rPr>
        <sz val="8.5"/>
        <color rgb="FF000000"/>
        <rFont val="Noto Sans CJK SC"/>
        <family val="2"/>
      </rPr>
      <t xml:space="preserve">的欧元融资折算为美元</t>
    </r>
  </si>
  <si>
    <r>
      <rPr>
        <sz val="9"/>
        <color rgb="FF595959"/>
        <rFont val="Noto Sans CJK SC"/>
        <family val="2"/>
      </rPr>
      <t xml:space="preserve">说明：</t>
    </r>
    <r>
      <rPr>
        <sz val="9"/>
        <color rgb="FF595959"/>
        <rFont val="微软雅黑"/>
        <family val="0"/>
        <charset val="1"/>
      </rPr>
      <t xml:space="preserve">A07</t>
    </r>
    <r>
      <rPr>
        <sz val="9"/>
        <color rgb="FF595959"/>
        <rFont val="Noto Sans CJK SC"/>
        <family val="2"/>
      </rPr>
      <t xml:space="preserve">（美国 </t>
    </r>
    <r>
      <rPr>
        <sz val="9"/>
        <color rgb="FF595959"/>
        <rFont val="微软雅黑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年份额）和 </t>
    </r>
    <r>
      <rPr>
        <sz val="9"/>
        <color rgb="FF595959"/>
        <rFont val="微软雅黑"/>
        <family val="0"/>
        <charset val="1"/>
      </rPr>
      <t xml:space="preserve">A22–A26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微软雅黑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年供电结构）是本报告的核心情景假设；改变它们会同步改变汇总页、供给结构页与网页。</t>
    </r>
    <r>
      <rPr>
        <sz val="9"/>
        <color rgb="FF595959"/>
        <rFont val="微软雅黑"/>
        <family val="0"/>
        <charset val="1"/>
      </rPr>
      <t xml:space="preserve">A13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微软雅黑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用电增速）仅用于把 </t>
    </r>
    <r>
      <rPr>
        <sz val="9"/>
        <color rgb="FF595959"/>
        <rFont val="微软雅黑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年披露用电外推到 </t>
    </r>
    <r>
      <rPr>
        <sz val="9"/>
        <color rgb="FF595959"/>
        <rFont val="微软雅黑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年，不是公司指引。</t>
    </r>
  </si>
  <si>
    <r>
      <rPr>
        <b val="true"/>
        <sz val="18"/>
        <color rgb="FF1F3864"/>
        <rFont val="Noto Sans CJK SC"/>
        <family val="2"/>
      </rPr>
      <t xml:space="preserve">全球数据中心用电：现状与 </t>
    </r>
    <r>
      <rPr>
        <b val="true"/>
        <sz val="18"/>
        <color rgb="FF1F3864"/>
        <rFont val="微软雅黑"/>
        <family val="0"/>
        <charset val="1"/>
      </rPr>
      <t xml:space="preserve">2030 / 2035 </t>
    </r>
    <r>
      <rPr>
        <b val="true"/>
        <sz val="18"/>
        <color rgb="FF1F3864"/>
        <rFont val="Noto Sans CJK SC"/>
        <family val="2"/>
      </rPr>
      <t xml:space="preserve">预测</t>
    </r>
  </si>
  <si>
    <r>
      <rPr>
        <i val="true"/>
        <sz val="10"/>
        <color rgb="FF595959"/>
        <rFont val="Noto Sans CJK SC"/>
        <family val="2"/>
      </rPr>
      <t xml:space="preserve">口径：数据中心自身用电（含自建与租赁、含 </t>
    </r>
    <r>
      <rPr>
        <i val="true"/>
        <sz val="10"/>
        <color rgb="FF595959"/>
        <rFont val="微软雅黑"/>
        <family val="0"/>
        <charset val="1"/>
      </rPr>
      <t xml:space="preserve">IT </t>
    </r>
    <r>
      <rPr>
        <i val="true"/>
        <sz val="10"/>
        <color rgb="FF595959"/>
        <rFont val="Noto Sans CJK SC"/>
        <family val="2"/>
      </rPr>
      <t xml:space="preserve">与制冷等基础设施），不含加密货币挖矿等非 </t>
    </r>
    <r>
      <rPr>
        <i val="true"/>
        <sz val="10"/>
        <color rgb="FF595959"/>
        <rFont val="微软雅黑"/>
        <family val="0"/>
        <charset val="1"/>
      </rPr>
      <t xml:space="preserve">AI </t>
    </r>
    <r>
      <rPr>
        <i val="true"/>
        <sz val="10"/>
        <color rgb="FF595959"/>
        <rFont val="Noto Sans CJK SC"/>
        <family val="2"/>
      </rPr>
      <t xml:space="preserve">负载的单独拆分。</t>
    </r>
  </si>
  <si>
    <t xml:space="preserve">年份</t>
  </si>
  <si>
    <r>
      <rPr>
        <b val="true"/>
        <sz val="9.5"/>
        <color rgb="FFFFFFFF"/>
        <rFont val="Noto Sans CJK SC"/>
        <family val="2"/>
      </rPr>
      <t xml:space="preserve">全球数据中心用电量（</t>
    </r>
    <r>
      <rPr>
        <b val="true"/>
        <sz val="9.5"/>
        <color rgb="FFFFFFFF"/>
        <rFont val="微软雅黑"/>
        <family val="0"/>
        <charset val="1"/>
      </rPr>
      <t xml:space="preserve">TWh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</si>
  <si>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低情景（</t>
    </r>
    <r>
      <rPr>
        <b val="true"/>
        <sz val="9.5"/>
        <color rgb="FFFFFFFF"/>
        <rFont val="微软雅黑"/>
        <family val="0"/>
        <charset val="1"/>
      </rPr>
      <t xml:space="preserve">TWh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</si>
  <si>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高情景（</t>
    </r>
    <r>
      <rPr>
        <b val="true"/>
        <sz val="9.5"/>
        <color rgb="FFFFFFFF"/>
        <rFont val="微软雅黑"/>
        <family val="0"/>
        <charset val="1"/>
      </rPr>
      <t xml:space="preserve">TWh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</si>
  <si>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全球用电量（</t>
    </r>
    <r>
      <rPr>
        <b val="true"/>
        <sz val="9.5"/>
        <color rgb="FFFFFFFF"/>
        <rFont val="微软雅黑"/>
        <family val="0"/>
        <charset val="1"/>
      </rPr>
      <t xml:space="preserve">TWh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</si>
  <si>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占全球用电比重</t>
  </si>
  <si>
    <t xml:space="preserve">年均增速</t>
  </si>
  <si>
    <t xml:space="preserve">口径说明</t>
  </si>
  <si>
    <t xml:space="preserve">—</t>
  </si>
  <si>
    <r>
      <rPr>
        <sz val="8.5"/>
        <color rgb="FF000000"/>
        <rFont val="Noto Sans CJK SC"/>
        <family val="2"/>
      </rPr>
      <t xml:space="preserve">占全球用电约 </t>
    </r>
    <r>
      <rPr>
        <sz val="8.5"/>
        <color rgb="FF000000"/>
        <rFont val="微软雅黑"/>
        <family val="0"/>
        <charset val="1"/>
      </rPr>
      <t xml:space="preserve">1.5%</t>
    </r>
    <r>
      <rPr>
        <sz val="8.5"/>
        <color rgb="FF000000"/>
        <rFont val="Noto Sans CJK SC"/>
        <family val="2"/>
      </rPr>
      <t xml:space="preserve">；美国 </t>
    </r>
    <r>
      <rPr>
        <sz val="8.5"/>
        <color rgb="FF000000"/>
        <rFont val="微软雅黑"/>
        <family val="0"/>
        <charset val="1"/>
      </rPr>
      <t xml:space="preserve">45%</t>
    </r>
    <r>
      <rPr>
        <sz val="8.5"/>
        <color rgb="FF000000"/>
        <rFont val="Noto Sans CJK SC"/>
        <family val="2"/>
      </rPr>
      <t xml:space="preserve">、中国 </t>
    </r>
    <r>
      <rPr>
        <sz val="8.5"/>
        <color rgb="FF000000"/>
        <rFont val="微软雅黑"/>
        <family val="0"/>
        <charset val="1"/>
      </rPr>
      <t xml:space="preserve">25%</t>
    </r>
    <r>
      <rPr>
        <sz val="8.5"/>
        <color rgb="FF000000"/>
        <rFont val="Noto Sans CJK SC"/>
        <family val="2"/>
      </rPr>
      <t xml:space="preserve">、欧洲 </t>
    </r>
    <r>
      <rPr>
        <sz val="8.5"/>
        <color rgb="FF000000"/>
        <rFont val="微软雅黑"/>
        <family val="0"/>
        <charset val="1"/>
      </rPr>
      <t xml:space="preserve">15%</t>
    </r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</si>
  <si>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基准情景；较 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年翻倍以上，接近日本全国用电量</t>
    </r>
  </si>
  <si>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基准情景 </t>
    </r>
    <r>
      <rPr>
        <sz val="8.5"/>
        <color rgb="FF000000"/>
        <rFont val="微软雅黑"/>
        <family val="0"/>
        <charset val="1"/>
      </rPr>
      <t xml:space="preserve">1,200 TWh</t>
    </r>
    <r>
      <rPr>
        <sz val="8.5"/>
        <color rgb="FF000000"/>
        <rFont val="Noto Sans CJK SC"/>
        <family val="2"/>
      </rPr>
      <t xml:space="preserve">；各情景区间 </t>
    </r>
    <r>
      <rPr>
        <sz val="8.5"/>
        <color rgb="FF000000"/>
        <rFont val="微软雅黑"/>
        <family val="0"/>
        <charset val="1"/>
      </rPr>
      <t xml:space="preserve">700–1,700 TWh</t>
    </r>
  </si>
  <si>
    <r>
      <rPr>
        <sz val="9"/>
        <color rgb="FF595959"/>
        <rFont val="Noto Sans CJK SC"/>
        <family val="2"/>
      </rPr>
      <t xml:space="preserve">来源：</t>
    </r>
    <r>
      <rPr>
        <sz val="9"/>
        <color rgb="FF595959"/>
        <rFont val="微软雅黑"/>
        <family val="0"/>
        <charset val="1"/>
      </rPr>
      <t xml:space="preserve">IEA</t>
    </r>
    <r>
      <rPr>
        <sz val="9"/>
        <color rgb="FF595959"/>
        <rFont val="Noto Sans CJK SC"/>
        <family val="2"/>
      </rPr>
      <t xml:space="preserve">《</t>
    </r>
    <r>
      <rPr>
        <sz val="9"/>
        <color rgb="FF595959"/>
        <rFont val="微软雅黑"/>
        <family val="0"/>
        <charset val="1"/>
      </rPr>
      <t xml:space="preserve">Energy and AI</t>
    </r>
    <r>
      <rPr>
        <sz val="9"/>
        <color rgb="FF595959"/>
        <rFont val="Noto Sans CJK SC"/>
        <family val="2"/>
      </rPr>
      <t xml:space="preserve">》（</t>
    </r>
    <r>
      <rPr>
        <sz val="9"/>
        <color rgb="FF595959"/>
        <rFont val="微软雅黑"/>
        <family val="0"/>
        <charset val="1"/>
      </rPr>
      <t xml:space="preserve">2025-04</t>
    </r>
    <r>
      <rPr>
        <sz val="9"/>
        <color rgb="FF595959"/>
        <rFont val="Noto Sans CJK SC"/>
        <family val="2"/>
      </rPr>
      <t xml:space="preserve">）执行摘要与能源供给章节。</t>
    </r>
    <r>
      <rPr>
        <sz val="9"/>
        <color rgb="FF595959"/>
        <rFont val="微软雅黑"/>
        <family val="0"/>
        <charset val="1"/>
      </rPr>
      <t xml:space="preserve">IEA </t>
    </r>
    <r>
      <rPr>
        <sz val="9"/>
        <color rgb="FF595959"/>
        <rFont val="Noto Sans CJK SC"/>
        <family val="2"/>
      </rPr>
      <t xml:space="preserve">原文：</t>
    </r>
    <r>
      <rPr>
        <sz val="9"/>
        <color rgb="FF595959"/>
        <rFont val="微软雅黑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微软雅黑"/>
        <family val="0"/>
        <charset val="1"/>
      </rPr>
      <t xml:space="preserve">415 TWh</t>
    </r>
    <r>
      <rPr>
        <sz val="9"/>
        <color rgb="FF595959"/>
        <rFont val="Noto Sans CJK SC"/>
        <family val="2"/>
      </rPr>
      <t xml:space="preserve">（约全球 </t>
    </r>
    <r>
      <rPr>
        <sz val="9"/>
        <color rgb="FF595959"/>
        <rFont val="微软雅黑"/>
        <family val="0"/>
        <charset val="1"/>
      </rPr>
      <t xml:space="preserve">1.5%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微软雅黑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年约 </t>
    </r>
    <r>
      <rPr>
        <sz val="9"/>
        <color rgb="FF595959"/>
        <rFont val="微软雅黑"/>
        <family val="0"/>
        <charset val="1"/>
      </rPr>
      <t xml:space="preserve">945 TWh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2035 </t>
    </r>
    <r>
      <rPr>
        <sz val="9"/>
        <color rgb="FF595959"/>
        <rFont val="Noto Sans CJK SC"/>
        <family val="2"/>
      </rPr>
      <t xml:space="preserve">年约 </t>
    </r>
    <r>
      <rPr>
        <sz val="9"/>
        <color rgb="FF595959"/>
        <rFont val="微软雅黑"/>
        <family val="0"/>
        <charset val="1"/>
      </rPr>
      <t xml:space="preserve">1,200 TWh</t>
    </r>
    <r>
      <rPr>
        <sz val="9"/>
        <color rgb="FF595959"/>
        <rFont val="Noto Sans CJK SC"/>
        <family val="2"/>
      </rPr>
      <t xml:space="preserve">；各情景区间 </t>
    </r>
    <r>
      <rPr>
        <sz val="9"/>
        <color rgb="FF595959"/>
        <rFont val="微软雅黑"/>
        <family val="0"/>
        <charset val="1"/>
      </rPr>
      <t xml:space="preserve">700–1,700 TWh</t>
    </r>
    <r>
      <rPr>
        <sz val="9"/>
        <color rgb="FF595959"/>
        <rFont val="Noto Sans CJK SC"/>
        <family val="2"/>
      </rPr>
      <t xml:space="preserve">。全球用电量为本报告为计算占比而设的假设（</t>
    </r>
    <r>
      <rPr>
        <sz val="9"/>
        <color rgb="FF595959"/>
        <rFont val="微软雅黑"/>
        <family val="0"/>
        <charset val="1"/>
      </rPr>
      <t xml:space="preserve">A08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A09</t>
    </r>
    <r>
      <rPr>
        <sz val="9"/>
        <color rgb="FF595959"/>
        <rFont val="Noto Sans CJK SC"/>
        <family val="2"/>
      </rPr>
      <t xml:space="preserve">）。</t>
    </r>
  </si>
  <si>
    <t xml:space="preserve">区域拆分：美国、中国、欧洲与其他地区</t>
  </si>
  <si>
    <r>
      <rPr>
        <i val="true"/>
        <sz val="10"/>
        <color rgb="FF595959"/>
        <rFont val="微软雅黑"/>
        <family val="0"/>
        <charset val="1"/>
      </rPr>
      <t xml:space="preserve">2024 </t>
    </r>
    <r>
      <rPr>
        <i val="true"/>
        <sz val="10"/>
        <color rgb="FF595959"/>
        <rFont val="Noto Sans CJK SC"/>
        <family val="2"/>
      </rPr>
      <t xml:space="preserve">年份额来自 </t>
    </r>
    <r>
      <rPr>
        <i val="true"/>
        <sz val="10"/>
        <color rgb="FF595959"/>
        <rFont val="微软雅黑"/>
        <family val="0"/>
        <charset val="1"/>
      </rPr>
      <t xml:space="preserve">IEA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微软雅黑"/>
        <family val="0"/>
        <charset val="1"/>
      </rPr>
      <t xml:space="preserve">2030 </t>
    </r>
    <r>
      <rPr>
        <i val="true"/>
        <sz val="10"/>
        <color rgb="FF595959"/>
        <rFont val="Noto Sans CJK SC"/>
        <family val="2"/>
      </rPr>
      <t xml:space="preserve">年美国份额为假设（</t>
    </r>
    <r>
      <rPr>
        <i val="true"/>
        <sz val="10"/>
        <color rgb="FF595959"/>
        <rFont val="微软雅黑"/>
        <family val="0"/>
        <charset val="1"/>
      </rPr>
      <t xml:space="preserve">A07</t>
    </r>
    <r>
      <rPr>
        <i val="true"/>
        <sz val="10"/>
        <color rgb="FF595959"/>
        <rFont val="Noto Sans CJK SC"/>
        <family val="2"/>
      </rPr>
      <t xml:space="preserve">），欧洲 </t>
    </r>
    <r>
      <rPr>
        <i val="true"/>
        <sz val="10"/>
        <color rgb="FF595959"/>
        <rFont val="微软雅黑"/>
        <family val="0"/>
        <charset val="1"/>
      </rPr>
      <t xml:space="preserve">2030 </t>
    </r>
    <r>
      <rPr>
        <i val="true"/>
        <sz val="10"/>
        <color rgb="FF595959"/>
        <rFont val="Noto Sans CJK SC"/>
        <family val="2"/>
      </rPr>
      <t xml:space="preserve">年 </t>
    </r>
    <r>
      <rPr>
        <i val="true"/>
        <sz val="10"/>
        <color rgb="FF595959"/>
        <rFont val="微软雅黑"/>
        <family val="0"/>
        <charset val="1"/>
      </rPr>
      <t xml:space="preserve">150 TWh </t>
    </r>
    <r>
      <rPr>
        <i val="true"/>
        <sz val="10"/>
        <color rgb="FF595959"/>
        <rFont val="Noto Sans CJK SC"/>
        <family val="2"/>
      </rPr>
      <t xml:space="preserve">来自 </t>
    </r>
    <r>
      <rPr>
        <i val="true"/>
        <sz val="10"/>
        <color rgb="FF595959"/>
        <rFont val="微软雅黑"/>
        <family val="0"/>
        <charset val="1"/>
      </rPr>
      <t xml:space="preserve">IEA</t>
    </r>
    <r>
      <rPr>
        <i val="true"/>
        <sz val="10"/>
        <color rgb="FF595959"/>
        <rFont val="Noto Sans CJK SC"/>
        <family val="2"/>
      </rPr>
      <t xml:space="preserve">（经人民日报海外版引述）。</t>
    </r>
  </si>
  <si>
    <t xml:space="preserve">地区</t>
  </si>
  <si>
    <r>
      <rPr>
        <b val="true"/>
        <sz val="9.5"/>
        <color rgb="FFFFFFFF"/>
        <rFont val="微软雅黑"/>
        <family val="0"/>
        <charset val="1"/>
      </rPr>
      <t xml:space="preserve">2024 </t>
    </r>
    <r>
      <rPr>
        <b val="true"/>
        <sz val="9.5"/>
        <color rgb="FFFFFFFF"/>
        <rFont val="Noto Sans CJK SC"/>
        <family val="2"/>
      </rPr>
      <t xml:space="preserve">份额</t>
    </r>
  </si>
  <si>
    <r>
      <rPr>
        <b val="true"/>
        <sz val="9.5"/>
        <color rgb="FFFFFFFF"/>
        <rFont val="微软雅黑"/>
        <family val="0"/>
        <charset val="1"/>
      </rPr>
      <t xml:space="preserve">2030 </t>
    </r>
    <r>
      <rPr>
        <b val="true"/>
        <sz val="9.5"/>
        <color rgb="FFFFFFFF"/>
        <rFont val="Noto Sans CJK SC"/>
        <family val="2"/>
      </rPr>
      <t xml:space="preserve">份额</t>
    </r>
  </si>
  <si>
    <t xml:space="preserve">说明</t>
  </si>
  <si>
    <t xml:space="preserve">美国</t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</si>
  <si>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年份额为 </t>
    </r>
    <r>
      <rPr>
        <sz val="8.5"/>
        <color rgb="FF000000"/>
        <rFont val="微软雅黑"/>
        <family val="0"/>
        <charset val="1"/>
      </rPr>
      <t xml:space="preserve">IEA </t>
    </r>
    <r>
      <rPr>
        <sz val="8.5"/>
        <color rgb="FF000000"/>
        <rFont val="Noto Sans CJK SC"/>
        <family val="2"/>
      </rPr>
      <t xml:space="preserve">披露；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年份额为本报告假设（</t>
    </r>
    <r>
      <rPr>
        <sz val="8.5"/>
        <color rgb="FF000000"/>
        <rFont val="微软雅黑"/>
        <family val="0"/>
        <charset val="1"/>
      </rPr>
      <t xml:space="preserve">A07</t>
    </r>
    <r>
      <rPr>
        <sz val="8.5"/>
        <color rgb="FF000000"/>
        <rFont val="Noto Sans CJK SC"/>
        <family val="2"/>
      </rPr>
      <t xml:space="preserve">）</t>
    </r>
  </si>
  <si>
    <t xml:space="preserve">中国</t>
  </si>
  <si>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：中国 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年占 </t>
    </r>
    <r>
      <rPr>
        <sz val="8.5"/>
        <color rgb="FF000000"/>
        <rFont val="微软雅黑"/>
        <family val="0"/>
        <charset val="1"/>
      </rPr>
      <t xml:space="preserve">25%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年份额假设维持 </t>
    </r>
    <r>
      <rPr>
        <sz val="8.5"/>
        <color rgb="FF000000"/>
        <rFont val="微软雅黑"/>
        <family val="0"/>
        <charset val="1"/>
      </rPr>
      <t xml:space="preserve">25%</t>
    </r>
  </si>
  <si>
    <t xml:space="preserve">欧洲</t>
  </si>
  <si>
    <r>
      <rPr>
        <sz val="7.8"/>
        <color rgb="FF404040"/>
        <rFont val="微软雅黑"/>
        <family val="0"/>
        <charset val="1"/>
      </rPr>
      <t xml:space="preserve">S04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IEA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2025-04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S31</t>
    </r>
    <r>
      <rPr>
        <sz val="7.8"/>
        <color rgb="FF404040"/>
        <rFont val="Noto Sans CJK SC"/>
        <family val="2"/>
      </rPr>
      <t xml:space="preserve">｜人民日报｜</t>
    </r>
    <r>
      <rPr>
        <sz val="7.8"/>
        <color rgb="FF404040"/>
        <rFont val="微软雅黑"/>
        <family val="0"/>
        <charset val="1"/>
      </rPr>
      <t xml:space="preserve">2026-02-26</t>
    </r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</si>
  <si>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15%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150 TWh </t>
    </r>
    <r>
      <rPr>
        <sz val="8.5"/>
        <color rgb="FF000000"/>
        <rFont val="Noto Sans CJK SC"/>
        <family val="2"/>
      </rPr>
      <t xml:space="preserve">来自 </t>
    </r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（经人民日报海外版引述），约当前 </t>
    </r>
    <r>
      <rPr>
        <sz val="8.5"/>
        <color rgb="FF000000"/>
        <rFont val="微软雅黑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倍</t>
    </r>
  </si>
  <si>
    <t xml:space="preserve">其他地区</t>
  </si>
  <si>
    <r>
      <rPr>
        <b val="true"/>
        <sz val="18"/>
        <color rgb="FF1F3864"/>
        <rFont val="Noto Sans CJK SC"/>
        <family val="2"/>
      </rPr>
      <t xml:space="preserve">美国科技巨头 </t>
    </r>
    <r>
      <rPr>
        <b val="true"/>
        <sz val="18"/>
        <color rgb="FF1F3864"/>
        <rFont val="微软雅黑"/>
        <family val="0"/>
        <charset val="1"/>
      </rPr>
      <t xml:space="preserve">2026 </t>
    </r>
    <r>
      <rPr>
        <b val="true"/>
        <sz val="18"/>
        <color rgb="FF1F3864"/>
        <rFont val="Noto Sans CJK SC"/>
        <family val="2"/>
      </rPr>
      <t xml:space="preserve">年资本开支指引</t>
    </r>
  </si>
  <si>
    <r>
      <rPr>
        <i val="true"/>
        <sz val="10"/>
        <color rgb="FF595959"/>
        <rFont val="Noto Sans CJK SC"/>
        <family val="2"/>
      </rPr>
      <t xml:space="preserve">单位：百万美元。</t>
    </r>
    <r>
      <rPr>
        <i val="true"/>
        <sz val="10"/>
        <color rgb="FF595959"/>
        <rFont val="微软雅黑"/>
        <family val="0"/>
        <charset val="1"/>
      </rPr>
      <t xml:space="preserve">Microsoft</t>
    </r>
    <r>
      <rPr>
        <i val="true"/>
        <sz val="10"/>
        <color rgb="FF595959"/>
        <rFont val="Noto Sans CJK SC"/>
        <family val="2"/>
      </rPr>
      <t xml:space="preserve">、</t>
    </r>
    <r>
      <rPr>
        <i val="true"/>
        <sz val="10"/>
        <color rgb="FF595959"/>
        <rFont val="微软雅黑"/>
        <family val="0"/>
        <charset val="1"/>
      </rPr>
      <t xml:space="preserve">Oracle </t>
    </r>
    <r>
      <rPr>
        <i val="true"/>
        <sz val="10"/>
        <color rgb="FF595959"/>
        <rFont val="Noto Sans CJK SC"/>
        <family val="2"/>
      </rPr>
      <t xml:space="preserve">的财年与自然年不完全一致，已在口径说明中标注。</t>
    </r>
  </si>
  <si>
    <t xml:space="preserve">公司</t>
  </si>
  <si>
    <r>
      <rPr>
        <b val="true"/>
        <sz val="9.5"/>
        <color rgb="FFFFFFFF"/>
        <rFont val="微软雅黑"/>
        <family val="0"/>
        <charset val="1"/>
      </rPr>
      <t xml:space="preserve">2026 </t>
    </r>
    <r>
      <rPr>
        <b val="true"/>
        <sz val="9.5"/>
        <color rgb="FFFFFFFF"/>
        <rFont val="Noto Sans CJK SC"/>
        <family val="2"/>
      </rPr>
      <t xml:space="preserve">下限（百万美元）</t>
    </r>
  </si>
  <si>
    <r>
      <rPr>
        <b val="true"/>
        <sz val="9.5"/>
        <color rgb="FFFFFFFF"/>
        <rFont val="微软雅黑"/>
        <family val="0"/>
        <charset val="1"/>
      </rPr>
      <t xml:space="preserve">2026 </t>
    </r>
    <r>
      <rPr>
        <b val="true"/>
        <sz val="9.5"/>
        <color rgb="FFFFFFFF"/>
        <rFont val="Noto Sans CJK SC"/>
        <family val="2"/>
      </rPr>
      <t xml:space="preserve">上限（百万美元）</t>
    </r>
  </si>
  <si>
    <t xml:space="preserve">中值（百万美元）</t>
  </si>
  <si>
    <t xml:space="preserve">中值（亿美元）</t>
  </si>
  <si>
    <t xml:space="preserve">发布日期</t>
  </si>
  <si>
    <t xml:space="preserve">Amazon</t>
  </si>
  <si>
    <r>
      <rPr>
        <sz val="7.8"/>
        <color rgb="FF404040"/>
        <rFont val="微软雅黑"/>
        <family val="0"/>
        <charset val="1"/>
      </rPr>
      <t xml:space="preserve">S28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BusinessDay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2026-10-20</t>
    </r>
  </si>
  <si>
    <t xml:space="preserve">2026-10-20</t>
  </si>
  <si>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年资本开支约 </t>
    </r>
    <r>
      <rPr>
        <sz val="8.5"/>
        <color rgb="FF000000"/>
        <rFont val="微软雅黑"/>
        <family val="0"/>
        <charset val="1"/>
      </rPr>
      <t xml:space="preserve">2,200 </t>
    </r>
    <r>
      <rPr>
        <sz val="8.5"/>
        <color rgb="FF000000"/>
        <rFont val="Noto Sans CJK SC"/>
        <family val="2"/>
      </rPr>
      <t xml:space="preserve">亿美元，</t>
    </r>
    <r>
      <rPr>
        <sz val="8.5"/>
        <color rgb="FF000000"/>
        <rFont val="微软雅黑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月由约 </t>
    </r>
    <r>
      <rPr>
        <sz val="8.5"/>
        <color rgb="FF000000"/>
        <rFont val="微软雅黑"/>
        <family val="0"/>
        <charset val="1"/>
      </rPr>
      <t xml:space="preserve">2,000 </t>
    </r>
    <r>
      <rPr>
        <sz val="8.5"/>
        <color rgb="FF000000"/>
        <rFont val="Noto Sans CJK SC"/>
        <family val="2"/>
      </rPr>
      <t xml:space="preserve">亿美元上调；含非 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基础设施</t>
    </r>
  </si>
  <si>
    <t xml:space="preserve">Microsoft</t>
  </si>
  <si>
    <r>
      <rPr>
        <sz val="7.8"/>
        <color rgb="FF404040"/>
        <rFont val="微软雅黑"/>
        <family val="0"/>
        <charset val="1"/>
      </rPr>
      <t xml:space="preserve">S27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C114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2026-05-07</t>
    </r>
  </si>
  <si>
    <t xml:space="preserve">2026-05-07</t>
  </si>
  <si>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自然年约 </t>
    </r>
    <r>
      <rPr>
        <sz val="8.5"/>
        <color rgb="FF000000"/>
        <rFont val="微软雅黑"/>
        <family val="0"/>
        <charset val="1"/>
      </rPr>
      <t xml:space="preserve">1,900 </t>
    </r>
    <r>
      <rPr>
        <sz val="8.5"/>
        <color rgb="FF000000"/>
        <rFont val="Noto Sans CJK SC"/>
        <family val="2"/>
      </rPr>
      <t xml:space="preserve">亿美元，其中约 </t>
    </r>
    <r>
      <rPr>
        <sz val="8.5"/>
        <color rgb="FF000000"/>
        <rFont val="微软雅黑"/>
        <family val="0"/>
        <charset val="1"/>
      </rPr>
      <t xml:space="preserve">250 </t>
    </r>
    <r>
      <rPr>
        <sz val="8.5"/>
        <color rgb="FF000000"/>
        <rFont val="Noto Sans CJK SC"/>
        <family val="2"/>
      </rPr>
      <t xml:space="preserve">亿美元来自零部件涨价</t>
    </r>
  </si>
  <si>
    <t xml:space="preserve">Alphabet</t>
  </si>
  <si>
    <r>
      <rPr>
        <sz val="7.8"/>
        <color rgb="FF404040"/>
        <rFont val="微软雅黑"/>
        <family val="0"/>
        <charset val="1"/>
      </rPr>
      <t xml:space="preserve">S29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ET Datacenters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2026-07-24</t>
    </r>
  </si>
  <si>
    <t xml:space="preserve">2026-07-24</t>
  </si>
  <si>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年指引 </t>
    </r>
    <r>
      <rPr>
        <sz val="8.5"/>
        <color rgb="FF000000"/>
        <rFont val="微软雅黑"/>
        <family val="0"/>
        <charset val="1"/>
      </rPr>
      <t xml:space="preserve">1,950–2,050 </t>
    </r>
    <r>
      <rPr>
        <sz val="8.5"/>
        <color rgb="FF000000"/>
        <rFont val="Noto Sans CJK SC"/>
        <family val="2"/>
      </rPr>
      <t xml:space="preserve">亿美元，较此前 </t>
    </r>
    <r>
      <rPr>
        <sz val="8.5"/>
        <color rgb="FF000000"/>
        <rFont val="微软雅黑"/>
        <family val="0"/>
        <charset val="1"/>
      </rPr>
      <t xml:space="preserve">1,800–1,900 </t>
    </r>
    <r>
      <rPr>
        <sz val="8.5"/>
        <color rgb="FF000000"/>
        <rFont val="Noto Sans CJK SC"/>
        <family val="2"/>
      </rPr>
      <t xml:space="preserve">亿上调；</t>
    </r>
    <r>
      <rPr>
        <sz val="8.5"/>
        <color rgb="FF000000"/>
        <rFont val="微软雅黑"/>
        <family val="0"/>
        <charset val="1"/>
      </rPr>
      <t xml:space="preserve">Q2 </t>
    </r>
    <r>
      <rPr>
        <sz val="8.5"/>
        <color rgb="FF000000"/>
        <rFont val="Noto Sans CJK SC"/>
        <family val="2"/>
      </rPr>
      <t xml:space="preserve">资本开支 </t>
    </r>
    <r>
      <rPr>
        <sz val="8.5"/>
        <color rgb="FF000000"/>
        <rFont val="微软雅黑"/>
        <family val="0"/>
        <charset val="1"/>
      </rPr>
      <t xml:space="preserve">449 </t>
    </r>
    <r>
      <rPr>
        <sz val="8.5"/>
        <color rgb="FF000000"/>
        <rFont val="Noto Sans CJK SC"/>
        <family val="2"/>
      </rPr>
      <t xml:space="preserve">亿美元</t>
    </r>
  </si>
  <si>
    <t xml:space="preserve">Meta</t>
  </si>
  <si>
    <t xml:space="preserve">2026-10-21</t>
  </si>
  <si>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年指引 </t>
    </r>
    <r>
      <rPr>
        <sz val="8.5"/>
        <color rgb="FF000000"/>
        <rFont val="微软雅黑"/>
        <family val="0"/>
        <charset val="1"/>
      </rPr>
      <t xml:space="preserve">1,350–1,450 </t>
    </r>
    <r>
      <rPr>
        <sz val="8.5"/>
        <color rgb="FF000000"/>
        <rFont val="Noto Sans CJK SC"/>
        <family val="2"/>
      </rPr>
      <t xml:space="preserve">亿美元；</t>
    </r>
    <r>
      <rPr>
        <sz val="8.5"/>
        <color rgb="FF000000"/>
        <rFont val="微软雅黑"/>
        <family val="0"/>
        <charset val="1"/>
      </rPr>
      <t xml:space="preserve">Q3 </t>
    </r>
    <r>
      <rPr>
        <sz val="8.5"/>
        <color rgb="FF000000"/>
        <rFont val="Noto Sans CJK SC"/>
        <family val="2"/>
      </rPr>
      <t xml:space="preserve">单季 </t>
    </r>
    <r>
      <rPr>
        <sz val="8.5"/>
        <color rgb="FF000000"/>
        <rFont val="微软雅黑"/>
        <family val="0"/>
        <charset val="1"/>
      </rPr>
      <t xml:space="preserve">349.1 </t>
    </r>
    <r>
      <rPr>
        <sz val="8.5"/>
        <color rgb="FF000000"/>
        <rFont val="Noto Sans CJK SC"/>
        <family val="2"/>
      </rPr>
      <t xml:space="preserve">亿美元</t>
    </r>
  </si>
  <si>
    <t xml:space="preserve">Oracle</t>
  </si>
  <si>
    <r>
      <rPr>
        <sz val="8.5"/>
        <color rgb="FF000000"/>
        <rFont val="微软雅黑"/>
        <family val="0"/>
        <charset val="1"/>
      </rPr>
      <t xml:space="preserve">FY2026</t>
    </r>
    <r>
      <rPr>
        <sz val="8.5"/>
        <color rgb="FF000000"/>
        <rFont val="Noto Sans CJK SC"/>
        <family val="2"/>
      </rPr>
      <t xml:space="preserve">（非自然年）资本开支约 </t>
    </r>
    <r>
      <rPr>
        <sz val="8.5"/>
        <color rgb="FF000000"/>
        <rFont val="微软雅黑"/>
        <family val="0"/>
        <charset val="1"/>
      </rPr>
      <t xml:space="preserve">500 </t>
    </r>
    <r>
      <rPr>
        <sz val="8.5"/>
        <color rgb="FF000000"/>
        <rFont val="Noto Sans CJK SC"/>
        <family val="2"/>
      </rPr>
      <t xml:space="preserve">亿美元</t>
    </r>
  </si>
  <si>
    <t xml:space="preserve">五家合计</t>
  </si>
  <si>
    <r>
      <rPr>
        <sz val="8.5"/>
        <color rgb="FF000000"/>
        <rFont val="Noto Sans CJK SC"/>
        <family val="2"/>
      </rPr>
      <t xml:space="preserve">合计约 </t>
    </r>
    <r>
      <rPr>
        <sz val="8.5"/>
        <color rgb="FF000000"/>
        <rFont val="微软雅黑"/>
        <family val="0"/>
        <charset val="1"/>
      </rPr>
      <t xml:space="preserve">8,000 </t>
    </r>
    <r>
      <rPr>
        <sz val="8.5"/>
        <color rgb="FF000000"/>
        <rFont val="Noto Sans CJK SC"/>
        <family val="2"/>
      </rPr>
      <t xml:space="preserve">亿美元，与 </t>
    </r>
    <r>
      <rPr>
        <sz val="8.5"/>
        <color rgb="FF000000"/>
        <rFont val="微软雅黑"/>
        <family val="0"/>
        <charset val="1"/>
      </rPr>
      <t xml:space="preserve">Morgan Stanley </t>
    </r>
    <r>
      <rPr>
        <sz val="8.5"/>
        <color rgb="FF000000"/>
        <rFont val="Noto Sans CJK SC"/>
        <family val="2"/>
      </rPr>
      <t xml:space="preserve">对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年的预测一致</t>
    </r>
  </si>
  <si>
    <t xml:space="preserve">第三方对行业总量的预测</t>
  </si>
  <si>
    <t xml:space="preserve">机构</t>
  </si>
  <si>
    <t xml:space="preserve">数值（十亿美元）</t>
  </si>
  <si>
    <t xml:space="preserve">Morgan Stanley</t>
  </si>
  <si>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年五大科技巨头资本开支</t>
    </r>
  </si>
  <si>
    <r>
      <rPr>
        <sz val="8.5"/>
        <color rgb="FF000000"/>
        <rFont val="Noto Sans CJK SC"/>
        <family val="2"/>
      </rPr>
      <t xml:space="preserve">约为 </t>
    </r>
    <r>
      <rPr>
        <sz val="8.5"/>
        <color rgb="FF000000"/>
        <rFont val="微软雅黑"/>
        <family val="0"/>
        <charset val="1"/>
      </rPr>
      <t xml:space="preserve">2025 </t>
    </r>
    <r>
      <rPr>
        <sz val="8.5"/>
        <color rgb="FF000000"/>
        <rFont val="Noto Sans CJK SC"/>
        <family val="2"/>
      </rPr>
      <t xml:space="preserve">年的 </t>
    </r>
    <r>
      <rPr>
        <sz val="8.5"/>
        <color rgb="FF000000"/>
        <rFont val="微软雅黑"/>
        <family val="0"/>
        <charset val="1"/>
      </rPr>
      <t xml:space="preserve">2 </t>
    </r>
    <r>
      <rPr>
        <sz val="8.5"/>
        <color rgb="FF000000"/>
        <rFont val="Noto Sans CJK SC"/>
        <family val="2"/>
      </rPr>
      <t xml:space="preserve">倍、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年的 </t>
    </r>
    <r>
      <rPr>
        <sz val="8.5"/>
        <color rgb="FF000000"/>
        <rFont val="微软雅黑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倍</t>
    </r>
  </si>
  <si>
    <t xml:space="preserve">S27</t>
  </si>
  <si>
    <r>
      <rPr>
        <sz val="9.5"/>
        <color rgb="FF000000"/>
        <rFont val="微软雅黑"/>
        <family val="0"/>
        <charset val="1"/>
      </rPr>
      <t xml:space="preserve">2027 </t>
    </r>
    <r>
      <rPr>
        <sz val="9.5"/>
        <color rgb="FF000000"/>
        <rFont val="Noto Sans CJK SC"/>
        <family val="2"/>
      </rPr>
      <t xml:space="preserve">年五大科技巨头资本开支</t>
    </r>
  </si>
  <si>
    <r>
      <rPr>
        <sz val="8.5"/>
        <color rgb="FF000000"/>
        <rFont val="Noto Sans CJK SC"/>
        <family val="2"/>
      </rPr>
      <t xml:space="preserve">预计超过 </t>
    </r>
    <r>
      <rPr>
        <sz val="8.5"/>
        <color rgb="FF000000"/>
        <rFont val="微软雅黑"/>
        <family val="0"/>
        <charset val="1"/>
      </rPr>
      <t xml:space="preserve">1.1 </t>
    </r>
    <r>
      <rPr>
        <sz val="8.5"/>
        <color rgb="FF000000"/>
        <rFont val="Noto Sans CJK SC"/>
        <family val="2"/>
      </rPr>
      <t xml:space="preserve">万亿美元</t>
    </r>
  </si>
  <si>
    <t xml:space="preserve">S&amp;P Global Ratings</t>
  </si>
  <si>
    <r>
      <rPr>
        <sz val="9.5"/>
        <color rgb="FF000000"/>
        <rFont val="微软雅黑"/>
        <family val="0"/>
        <charset val="1"/>
      </rPr>
      <t xml:space="preserve">2025–2030 </t>
    </r>
    <r>
      <rPr>
        <sz val="9.5"/>
        <color rgb="FF000000"/>
        <rFont val="Noto Sans CJK SC"/>
        <family val="2"/>
      </rPr>
      <t xml:space="preserve">年六家科技公司 </t>
    </r>
    <r>
      <rPr>
        <sz val="9.5"/>
        <color rgb="FF000000"/>
        <rFont val="微软雅黑"/>
        <family val="0"/>
        <charset val="1"/>
      </rPr>
      <t xml:space="preserve">AI </t>
    </r>
    <r>
      <rPr>
        <sz val="9.5"/>
        <color rgb="FF000000"/>
        <rFont val="Noto Sans CJK SC"/>
        <family val="2"/>
      </rPr>
      <t xml:space="preserve">相关资本开支</t>
    </r>
  </si>
  <si>
    <r>
      <rPr>
        <sz val="8.5"/>
        <color rgb="FF000000"/>
        <rFont val="Noto Sans CJK SC"/>
        <family val="2"/>
      </rPr>
      <t xml:space="preserve">合计可能超过 </t>
    </r>
    <r>
      <rPr>
        <sz val="8.5"/>
        <color rgb="FF000000"/>
        <rFont val="微软雅黑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万亿美元，含表外安排</t>
    </r>
  </si>
  <si>
    <t xml:space="preserve">S28</t>
  </si>
  <si>
    <r>
      <rPr>
        <b val="true"/>
        <sz val="18"/>
        <color rgb="FF1F3864"/>
        <rFont val="微软雅黑"/>
        <family val="0"/>
        <charset val="1"/>
      </rPr>
      <t xml:space="preserve">Meta 2026 </t>
    </r>
    <r>
      <rPr>
        <b val="true"/>
        <sz val="18"/>
        <color rgb="FF1F3864"/>
        <rFont val="Noto Sans CJK SC"/>
        <family val="2"/>
      </rPr>
      <t xml:space="preserve">年第三季度：收入、资本开支与表内外承诺</t>
    </r>
  </si>
  <si>
    <r>
      <rPr>
        <i val="true"/>
        <sz val="10"/>
        <color rgb="FF595959"/>
        <rFont val="Noto Sans CJK SC"/>
        <family val="2"/>
      </rPr>
      <t xml:space="preserve">单位：百万美元。</t>
    </r>
    <r>
      <rPr>
        <i val="true"/>
        <sz val="10"/>
        <color rgb="FF595959"/>
        <rFont val="微软雅黑"/>
        <family val="0"/>
        <charset val="1"/>
      </rPr>
      <t xml:space="preserve">Q3 = 2026 </t>
    </r>
    <r>
      <rPr>
        <i val="true"/>
        <sz val="10"/>
        <color rgb="FF595959"/>
        <rFont val="Noto Sans CJK SC"/>
        <family val="2"/>
      </rPr>
      <t xml:space="preserve">年 </t>
    </r>
    <r>
      <rPr>
        <i val="true"/>
        <sz val="10"/>
        <color rgb="FF595959"/>
        <rFont val="微软雅黑"/>
        <family val="0"/>
        <charset val="1"/>
      </rPr>
      <t xml:space="preserve">7–9 </t>
    </r>
    <r>
      <rPr>
        <i val="true"/>
        <sz val="10"/>
        <color rgb="FF595959"/>
        <rFont val="Noto Sans CJK SC"/>
        <family val="2"/>
      </rPr>
      <t xml:space="preserve">月；</t>
    </r>
    <r>
      <rPr>
        <i val="true"/>
        <sz val="10"/>
        <color rgb="FF595959"/>
        <rFont val="微软雅黑"/>
        <family val="0"/>
        <charset val="1"/>
      </rPr>
      <t xml:space="preserve">9M = 2026 </t>
    </r>
    <r>
      <rPr>
        <i val="true"/>
        <sz val="10"/>
        <color rgb="FF595959"/>
        <rFont val="Noto Sans CJK SC"/>
        <family val="2"/>
      </rPr>
      <t xml:space="preserve">年 </t>
    </r>
    <r>
      <rPr>
        <i val="true"/>
        <sz val="10"/>
        <color rgb="FF595959"/>
        <rFont val="微软雅黑"/>
        <family val="0"/>
        <charset val="1"/>
      </rPr>
      <t xml:space="preserve">1–9 </t>
    </r>
    <r>
      <rPr>
        <i val="true"/>
        <sz val="10"/>
        <color rgb="FF595959"/>
        <rFont val="Noto Sans CJK SC"/>
        <family val="2"/>
      </rPr>
      <t xml:space="preserve">月。数据取自 </t>
    </r>
    <r>
      <rPr>
        <i val="true"/>
        <sz val="10"/>
        <color rgb="FF595959"/>
        <rFont val="微软雅黑"/>
        <family val="0"/>
        <charset val="1"/>
      </rPr>
      <t xml:space="preserve">Meta Form 10-Q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微软雅黑"/>
        <family val="0"/>
        <charset val="1"/>
      </rPr>
      <t xml:space="preserve">2026-10-21</t>
    </r>
    <r>
      <rPr>
        <i val="true"/>
        <sz val="10"/>
        <color rgb="FF595959"/>
        <rFont val="Noto Sans CJK SC"/>
        <family val="2"/>
      </rPr>
      <t xml:space="preserve">）。</t>
    </r>
  </si>
  <si>
    <t xml:space="preserve">一、损益与资本开支</t>
  </si>
  <si>
    <t xml:space="preserve">Q3 2026</t>
  </si>
  <si>
    <t xml:space="preserve">Q3 2025</t>
  </si>
  <si>
    <t xml:space="preserve">9M 2026</t>
  </si>
  <si>
    <t xml:space="preserve">9M 2025</t>
  </si>
  <si>
    <t xml:space="preserve">营业收入</t>
  </si>
  <si>
    <r>
      <rPr>
        <sz val="8.5"/>
        <color rgb="FF000000"/>
        <rFont val="微软雅黑"/>
        <family val="0"/>
        <charset val="1"/>
      </rPr>
      <t xml:space="preserve">Q3 </t>
    </r>
    <r>
      <rPr>
        <sz val="8.5"/>
        <color rgb="FF000000"/>
        <rFont val="Noto Sans CJK SC"/>
        <family val="2"/>
      </rPr>
      <t xml:space="preserve">同比 </t>
    </r>
    <r>
      <rPr>
        <sz val="8.5"/>
        <color rgb="FF000000"/>
        <rFont val="微软雅黑"/>
        <family val="0"/>
        <charset val="1"/>
      </rPr>
      <t xml:space="preserve">+26%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9M </t>
    </r>
    <r>
      <rPr>
        <sz val="8.5"/>
        <color rgb="FF000000"/>
        <rFont val="Noto Sans CJK SC"/>
        <family val="2"/>
      </rPr>
      <t xml:space="preserve">同比 </t>
    </r>
    <r>
      <rPr>
        <sz val="8.5"/>
        <color rgb="FF000000"/>
        <rFont val="微软雅黑"/>
        <family val="0"/>
        <charset val="1"/>
      </rPr>
      <t xml:space="preserve">+29%</t>
    </r>
  </si>
  <si>
    <t xml:space="preserve">总成本与费用</t>
  </si>
  <si>
    <r>
      <rPr>
        <sz val="8.5"/>
        <color rgb="FF000000"/>
        <rFont val="微软雅黑"/>
        <family val="0"/>
        <charset val="1"/>
      </rPr>
      <t xml:space="preserve">Q3 </t>
    </r>
    <r>
      <rPr>
        <sz val="8.5"/>
        <color rgb="FF000000"/>
        <rFont val="Noto Sans CJK SC"/>
        <family val="2"/>
      </rPr>
      <t xml:space="preserve">含 </t>
    </r>
    <r>
      <rPr>
        <sz val="8.5"/>
        <color rgb="FF000000"/>
        <rFont val="微软雅黑"/>
        <family val="0"/>
        <charset val="1"/>
      </rPr>
      <t xml:space="preserve">98.9 </t>
    </r>
    <r>
      <rPr>
        <sz val="8.5"/>
        <color rgb="FF000000"/>
        <rFont val="Noto Sans CJK SC"/>
        <family val="2"/>
      </rPr>
      <t xml:space="preserve">亿美元多州总检察长和解相关费用</t>
    </r>
  </si>
  <si>
    <t xml:space="preserve">经营利润</t>
  </si>
  <si>
    <r>
      <rPr>
        <sz val="8.5"/>
        <color rgb="FF000000"/>
        <rFont val="微软雅黑"/>
        <family val="0"/>
        <charset val="1"/>
      </rPr>
      <t xml:space="preserve">Q3 </t>
    </r>
    <r>
      <rPr>
        <sz val="8.5"/>
        <color rgb="FF000000"/>
        <rFont val="Noto Sans CJK SC"/>
        <family val="2"/>
      </rPr>
      <t xml:space="preserve">经营利润率 </t>
    </r>
    <r>
      <rPr>
        <sz val="8.5"/>
        <color rgb="FF000000"/>
        <rFont val="微软雅黑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，去年同期 </t>
    </r>
    <r>
      <rPr>
        <sz val="8.5"/>
        <color rgb="FF000000"/>
        <rFont val="微软雅黑"/>
        <family val="0"/>
        <charset val="1"/>
      </rPr>
      <t xml:space="preserve">40%</t>
    </r>
  </si>
  <si>
    <t xml:space="preserve">净利润</t>
  </si>
  <si>
    <r>
      <rPr>
        <sz val="8.5"/>
        <color rgb="FF000000"/>
        <rFont val="微软雅黑"/>
        <family val="0"/>
        <charset val="1"/>
      </rPr>
      <t xml:space="preserve">Q3 </t>
    </r>
    <r>
      <rPr>
        <sz val="8.5"/>
        <color rgb="FF000000"/>
        <rFont val="Noto Sans CJK SC"/>
        <family val="2"/>
      </rPr>
      <t xml:space="preserve">稀释 </t>
    </r>
    <r>
      <rPr>
        <sz val="8.5"/>
        <color rgb="FF000000"/>
        <rFont val="微软雅黑"/>
        <family val="0"/>
        <charset val="1"/>
      </rPr>
      <t xml:space="preserve">EPS 3.83 </t>
    </r>
    <r>
      <rPr>
        <sz val="8.5"/>
        <color rgb="FF000000"/>
        <rFont val="Noto Sans CJK SC"/>
        <family val="2"/>
      </rPr>
      <t xml:space="preserve">美元；</t>
    </r>
    <r>
      <rPr>
        <sz val="8.5"/>
        <color rgb="FF000000"/>
        <rFont val="微软雅黑"/>
        <family val="0"/>
        <charset val="1"/>
      </rPr>
      <t xml:space="preserve">9M </t>
    </r>
    <r>
      <rPr>
        <sz val="8.5"/>
        <color rgb="FF000000"/>
        <rFont val="Noto Sans CJK SC"/>
        <family val="2"/>
      </rPr>
      <t xml:space="preserve">净利润取自现金流量表</t>
    </r>
  </si>
  <si>
    <t xml:space="preserve">资本开支（含融资租赁本金）</t>
  </si>
  <si>
    <r>
      <rPr>
        <sz val="8.5"/>
        <color rgb="FF000000"/>
        <rFont val="微软雅黑"/>
        <family val="0"/>
        <charset val="1"/>
      </rPr>
      <t xml:space="preserve">Q3 349.1 </t>
    </r>
    <r>
      <rPr>
        <sz val="8.5"/>
        <color rgb="FF000000"/>
        <rFont val="Noto Sans CJK SC"/>
        <family val="2"/>
      </rPr>
      <t xml:space="preserve">亿美元；</t>
    </r>
    <r>
      <rPr>
        <sz val="8.5"/>
        <color rgb="FF000000"/>
        <rFont val="微软雅黑"/>
        <family val="0"/>
        <charset val="1"/>
      </rPr>
      <t xml:space="preserve">9M 858.2 </t>
    </r>
    <r>
      <rPr>
        <sz val="8.5"/>
        <color rgb="FF000000"/>
        <rFont val="Noto Sans CJK SC"/>
        <family val="2"/>
      </rPr>
      <t xml:space="preserve">亿美元</t>
    </r>
  </si>
  <si>
    <t xml:space="preserve">购置物业与设备（现金流口径）</t>
  </si>
  <si>
    <r>
      <rPr>
        <sz val="8.5"/>
        <color rgb="FF000000"/>
        <rFont val="微软雅黑"/>
        <family val="0"/>
        <charset val="1"/>
      </rPr>
      <t xml:space="preserve">9M 2026 </t>
    </r>
    <r>
      <rPr>
        <sz val="8.5"/>
        <color rgb="FF000000"/>
        <rFont val="Noto Sans CJK SC"/>
        <family val="2"/>
      </rPr>
      <t xml:space="preserve">同比 </t>
    </r>
    <r>
      <rPr>
        <sz val="8.5"/>
        <color rgb="FF000000"/>
        <rFont val="微软雅黑"/>
        <family val="0"/>
        <charset val="1"/>
      </rPr>
      <t xml:space="preserve">+72%</t>
    </r>
  </si>
  <si>
    <t xml:space="preserve">二、派生指标（全部为公式）</t>
  </si>
  <si>
    <t xml:space="preserve">计算口径</t>
  </si>
  <si>
    <r>
      <rPr>
        <sz val="9.5"/>
        <color rgb="FF000000"/>
        <rFont val="微软雅黑"/>
        <family val="0"/>
        <charset val="1"/>
      </rPr>
      <t xml:space="preserve">Q3 </t>
    </r>
    <r>
      <rPr>
        <sz val="9.5"/>
        <color rgb="FF000000"/>
        <rFont val="Noto Sans CJK SC"/>
        <family val="2"/>
      </rPr>
      <t xml:space="preserve">营业收入同比</t>
    </r>
  </si>
  <si>
    <t xml:space="preserve">Q3 2026 / Q3 2025 - 1</t>
  </si>
  <si>
    <r>
      <rPr>
        <sz val="9.5"/>
        <color rgb="FF000000"/>
        <rFont val="微软雅黑"/>
        <family val="0"/>
        <charset val="1"/>
      </rPr>
      <t xml:space="preserve">9M </t>
    </r>
    <r>
      <rPr>
        <sz val="9.5"/>
        <color rgb="FF000000"/>
        <rFont val="Noto Sans CJK SC"/>
        <family val="2"/>
      </rPr>
      <t xml:space="preserve">营业收入同比</t>
    </r>
  </si>
  <si>
    <t xml:space="preserve">9M 2026 / 9M 2025 - 1</t>
  </si>
  <si>
    <r>
      <rPr>
        <sz val="9.5"/>
        <color rgb="FF000000"/>
        <rFont val="微软雅黑"/>
        <family val="0"/>
        <charset val="1"/>
      </rPr>
      <t xml:space="preserve">Q3 </t>
    </r>
    <r>
      <rPr>
        <sz val="9.5"/>
        <color rgb="FF000000"/>
        <rFont val="Noto Sans CJK SC"/>
        <family val="2"/>
      </rPr>
      <t xml:space="preserve">经营利润率</t>
    </r>
  </si>
  <si>
    <r>
      <rPr>
        <sz val="8.5"/>
        <color rgb="FF000000"/>
        <rFont val="Noto Sans CJK SC"/>
        <family val="2"/>
      </rPr>
      <t xml:space="preserve">经营利润 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营业收入</t>
    </r>
  </si>
  <si>
    <r>
      <rPr>
        <sz val="9.5"/>
        <color rgb="FF000000"/>
        <rFont val="微软雅黑"/>
        <family val="0"/>
        <charset val="1"/>
      </rPr>
      <t xml:space="preserve">9M </t>
    </r>
    <r>
      <rPr>
        <sz val="9.5"/>
        <color rgb="FF000000"/>
        <rFont val="Noto Sans CJK SC"/>
        <family val="2"/>
      </rPr>
      <t xml:space="preserve">经营利润率</t>
    </r>
  </si>
  <si>
    <r>
      <rPr>
        <sz val="9.5"/>
        <color rgb="FF000000"/>
        <rFont val="微软雅黑"/>
        <family val="0"/>
        <charset val="1"/>
      </rPr>
      <t xml:space="preserve">Q3 </t>
    </r>
    <r>
      <rPr>
        <sz val="9.5"/>
        <color rgb="FF000000"/>
        <rFont val="Noto Sans CJK SC"/>
        <family val="2"/>
      </rPr>
      <t xml:space="preserve">资本开支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营业收入</t>
    </r>
  </si>
  <si>
    <r>
      <rPr>
        <sz val="8.5"/>
        <color rgb="FF000000"/>
        <rFont val="Noto Sans CJK SC"/>
        <family val="2"/>
      </rPr>
      <t xml:space="preserve">资本开支（含融资租赁本金）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营业收入</t>
    </r>
  </si>
  <si>
    <r>
      <rPr>
        <sz val="9.5"/>
        <color rgb="FF000000"/>
        <rFont val="微软雅黑"/>
        <family val="0"/>
        <charset val="1"/>
      </rPr>
      <t xml:space="preserve">9M </t>
    </r>
    <r>
      <rPr>
        <sz val="9.5"/>
        <color rgb="FF000000"/>
        <rFont val="Noto Sans CJK SC"/>
        <family val="2"/>
      </rPr>
      <t xml:space="preserve">资本开支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营业收入</t>
    </r>
  </si>
  <si>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资本开支指引下限</t>
    </r>
  </si>
  <si>
    <r>
      <rPr>
        <sz val="8.5"/>
        <color rgb="FF000000"/>
        <rFont val="Noto Sans CJK SC"/>
        <family val="2"/>
      </rPr>
      <t xml:space="preserve">公司指引（</t>
    </r>
    <r>
      <rPr>
        <sz val="8.5"/>
        <color rgb="FF000000"/>
        <rFont val="微软雅黑"/>
        <family val="0"/>
        <charset val="1"/>
      </rPr>
      <t xml:space="preserve">A27</t>
    </r>
    <r>
      <rPr>
        <sz val="8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</si>
  <si>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资本开支指引上限</t>
    </r>
  </si>
  <si>
    <r>
      <rPr>
        <sz val="8.5"/>
        <color rgb="FF000000"/>
        <rFont val="Noto Sans CJK SC"/>
        <family val="2"/>
      </rPr>
      <t xml:space="preserve">公司指引（</t>
    </r>
    <r>
      <rPr>
        <sz val="8.5"/>
        <color rgb="FF000000"/>
        <rFont val="微软雅黑"/>
        <family val="0"/>
        <charset val="1"/>
      </rPr>
      <t xml:space="preserve">A28</t>
    </r>
    <r>
      <rPr>
        <sz val="8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</si>
  <si>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资本开支指引中值</t>
    </r>
  </si>
  <si>
    <t xml:space="preserve">下限与上限平均</t>
  </si>
  <si>
    <r>
      <rPr>
        <sz val="9.5"/>
        <color rgb="FF000000"/>
        <rFont val="微软雅黑"/>
        <family val="0"/>
        <charset val="1"/>
      </rPr>
      <t xml:space="preserve">Q4 </t>
    </r>
    <r>
      <rPr>
        <sz val="9.5"/>
        <color rgb="FF000000"/>
        <rFont val="Noto Sans CJK SC"/>
        <family val="2"/>
      </rPr>
      <t xml:space="preserve">隐含资本开支（下限）</t>
    </r>
  </si>
  <si>
    <r>
      <rPr>
        <sz val="8.5"/>
        <color rgb="FF000000"/>
        <rFont val="Noto Sans CJK SC"/>
        <family val="2"/>
      </rPr>
      <t xml:space="preserve">全年下限 </t>
    </r>
    <r>
      <rPr>
        <sz val="8.5"/>
        <color rgb="FF000000"/>
        <rFont val="微软雅黑"/>
        <family val="0"/>
        <charset val="1"/>
      </rPr>
      <t xml:space="preserve">- 9M </t>
    </r>
    <r>
      <rPr>
        <sz val="8.5"/>
        <color rgb="FF000000"/>
        <rFont val="Noto Sans CJK SC"/>
        <family val="2"/>
      </rPr>
      <t xml:space="preserve">实际</t>
    </r>
  </si>
  <si>
    <r>
      <rPr>
        <sz val="9.5"/>
        <color rgb="FF000000"/>
        <rFont val="微软雅黑"/>
        <family val="0"/>
        <charset val="1"/>
      </rPr>
      <t xml:space="preserve">Q4 </t>
    </r>
    <r>
      <rPr>
        <sz val="9.5"/>
        <color rgb="FF000000"/>
        <rFont val="Noto Sans CJK SC"/>
        <family val="2"/>
      </rPr>
      <t xml:space="preserve">隐含资本开支（上限）</t>
    </r>
  </si>
  <si>
    <r>
      <rPr>
        <sz val="8.5"/>
        <color rgb="FF000000"/>
        <rFont val="Noto Sans CJK SC"/>
        <family val="2"/>
      </rPr>
      <t xml:space="preserve">全年上限 </t>
    </r>
    <r>
      <rPr>
        <sz val="8.5"/>
        <color rgb="FF000000"/>
        <rFont val="微软雅黑"/>
        <family val="0"/>
        <charset val="1"/>
      </rPr>
      <t xml:space="preserve">- 9M </t>
    </r>
    <r>
      <rPr>
        <sz val="8.5"/>
        <color rgb="FF000000"/>
        <rFont val="Noto Sans CJK SC"/>
        <family val="2"/>
      </rPr>
      <t xml:space="preserve">实际</t>
    </r>
  </si>
  <si>
    <r>
      <rPr>
        <sz val="9.5"/>
        <color rgb="FF000000"/>
        <rFont val="微软雅黑"/>
        <family val="0"/>
        <charset val="1"/>
      </rPr>
      <t xml:space="preserve">Q4 </t>
    </r>
    <r>
      <rPr>
        <sz val="9.5"/>
        <color rgb="FF000000"/>
        <rFont val="Noto Sans CJK SC"/>
        <family val="2"/>
      </rPr>
      <t xml:space="preserve">隐含环比（下限）</t>
    </r>
  </si>
  <si>
    <r>
      <rPr>
        <sz val="8.5"/>
        <color rgb="FF000000"/>
        <rFont val="微软雅黑"/>
        <family val="0"/>
        <charset val="1"/>
      </rPr>
      <t xml:space="preserve">Q4 </t>
    </r>
    <r>
      <rPr>
        <sz val="8.5"/>
        <color rgb="FF000000"/>
        <rFont val="Noto Sans CJK SC"/>
        <family val="2"/>
      </rPr>
      <t xml:space="preserve">隐含下限 </t>
    </r>
    <r>
      <rPr>
        <sz val="8.5"/>
        <color rgb="FF000000"/>
        <rFont val="微软雅黑"/>
        <family val="0"/>
        <charset val="1"/>
      </rPr>
      <t xml:space="preserve">/ Q3 </t>
    </r>
    <r>
      <rPr>
        <sz val="8.5"/>
        <color rgb="FF000000"/>
        <rFont val="Noto Sans CJK SC"/>
        <family val="2"/>
      </rPr>
      <t xml:space="preserve">实际 </t>
    </r>
    <r>
      <rPr>
        <sz val="8.5"/>
        <color rgb="FF000000"/>
        <rFont val="微软雅黑"/>
        <family val="0"/>
        <charset val="1"/>
      </rPr>
      <t xml:space="preserve">- 1</t>
    </r>
  </si>
  <si>
    <r>
      <rPr>
        <sz val="9.5"/>
        <color rgb="FF000000"/>
        <rFont val="微软雅黑"/>
        <family val="0"/>
        <charset val="1"/>
      </rPr>
      <t xml:space="preserve">Q4 </t>
    </r>
    <r>
      <rPr>
        <sz val="9.5"/>
        <color rgb="FF000000"/>
        <rFont val="Noto Sans CJK SC"/>
        <family val="2"/>
      </rPr>
      <t xml:space="preserve">隐含环比（上限）</t>
    </r>
  </si>
  <si>
    <r>
      <rPr>
        <sz val="8.5"/>
        <color rgb="FF000000"/>
        <rFont val="微软雅黑"/>
        <family val="0"/>
        <charset val="1"/>
      </rPr>
      <t xml:space="preserve">Q4 </t>
    </r>
    <r>
      <rPr>
        <sz val="8.5"/>
        <color rgb="FF000000"/>
        <rFont val="Noto Sans CJK SC"/>
        <family val="2"/>
      </rPr>
      <t xml:space="preserve">隐含上限 </t>
    </r>
    <r>
      <rPr>
        <sz val="8.5"/>
        <color rgb="FF000000"/>
        <rFont val="微软雅黑"/>
        <family val="0"/>
        <charset val="1"/>
      </rPr>
      <t xml:space="preserve">/ Q3 </t>
    </r>
    <r>
      <rPr>
        <sz val="8.5"/>
        <color rgb="FF000000"/>
        <rFont val="Noto Sans CJK SC"/>
        <family val="2"/>
      </rPr>
      <t xml:space="preserve">实际 </t>
    </r>
    <r>
      <rPr>
        <sz val="8.5"/>
        <color rgb="FF000000"/>
        <rFont val="微软雅黑"/>
        <family val="0"/>
        <charset val="1"/>
      </rPr>
      <t xml:space="preserve">- 1</t>
    </r>
  </si>
  <si>
    <r>
      <rPr>
        <sz val="9.5"/>
        <color rgb="FF000000"/>
        <rFont val="微软雅黑"/>
        <family val="0"/>
        <charset val="1"/>
      </rPr>
      <t xml:space="preserve">9M </t>
    </r>
    <r>
      <rPr>
        <sz val="9.5"/>
        <color rgb="FF000000"/>
        <rFont val="Noto Sans CJK SC"/>
        <family val="2"/>
      </rPr>
      <t xml:space="preserve">收入年化</t>
    </r>
  </si>
  <si>
    <r>
      <rPr>
        <sz val="8.5"/>
        <color rgb="FF000000"/>
        <rFont val="微软雅黑"/>
        <family val="0"/>
        <charset val="1"/>
      </rPr>
      <t xml:space="preserve">9M </t>
    </r>
    <r>
      <rPr>
        <sz val="8.5"/>
        <color rgb="FF000000"/>
        <rFont val="Noto Sans CJK SC"/>
        <family val="2"/>
      </rPr>
      <t xml:space="preserve">收入 </t>
    </r>
    <r>
      <rPr>
        <sz val="8.5"/>
        <color rgb="FF000000"/>
        <rFont val="微软雅黑"/>
        <family val="0"/>
        <charset val="1"/>
      </rPr>
      <t xml:space="preserve">× 4/3</t>
    </r>
  </si>
  <si>
    <r>
      <rPr>
        <sz val="9.5"/>
        <color rgb="FF000000"/>
        <rFont val="Noto Sans CJK SC"/>
        <family val="2"/>
      </rPr>
      <t xml:space="preserve">资本开支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年化收入（下限）</t>
    </r>
  </si>
  <si>
    <r>
      <rPr>
        <sz val="8.5"/>
        <color rgb="FF000000"/>
        <rFont val="Noto Sans CJK SC"/>
        <family val="2"/>
      </rPr>
      <t xml:space="preserve">指引下限 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年化收入</t>
    </r>
  </si>
  <si>
    <r>
      <rPr>
        <sz val="9.5"/>
        <color rgb="FF000000"/>
        <rFont val="Noto Sans CJK SC"/>
        <family val="2"/>
      </rPr>
      <t xml:space="preserve">资本开支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年化收入（上限）</t>
    </r>
  </si>
  <si>
    <r>
      <rPr>
        <sz val="8.5"/>
        <color rgb="FF000000"/>
        <rFont val="Noto Sans CJK SC"/>
        <family val="2"/>
      </rPr>
      <t xml:space="preserve">指引上限 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年化收入</t>
    </r>
  </si>
  <si>
    <r>
      <rPr>
        <sz val="9.5"/>
        <color rgb="FF000000"/>
        <rFont val="Noto Sans CJK SC"/>
        <family val="2"/>
      </rPr>
      <t xml:space="preserve">非取消合同承诺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年化收入</t>
    </r>
  </si>
  <si>
    <t xml:space="preserve">倍</t>
  </si>
  <si>
    <r>
      <rPr>
        <sz val="8.5"/>
        <color rgb="FF000000"/>
        <rFont val="Noto Sans CJK SC"/>
        <family val="2"/>
      </rPr>
      <t xml:space="preserve">合同承诺 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年化收入</t>
    </r>
  </si>
  <si>
    <r>
      <rPr>
        <sz val="9.5"/>
        <color rgb="FF000000"/>
        <rFont val="Noto Sans CJK SC"/>
        <family val="2"/>
      </rPr>
      <t xml:space="preserve">未开始租赁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年化收入</t>
    </r>
  </si>
  <si>
    <r>
      <rPr>
        <sz val="8.5"/>
        <color rgb="FF000000"/>
        <rFont val="Noto Sans CJK SC"/>
        <family val="2"/>
      </rPr>
      <t xml:space="preserve">未开始租赁 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年化收入</t>
    </r>
  </si>
  <si>
    <t xml:space="preserve">三、资产负债表与承诺</t>
  </si>
  <si>
    <t xml:space="preserve">项目</t>
  </si>
  <si>
    <t xml:space="preserve">金额（百万美元）</t>
  </si>
  <si>
    <t xml:space="preserve">现金、现金等价物与有价证券</t>
  </si>
  <si>
    <t xml:space="preserve">长期债务本金</t>
  </si>
  <si>
    <r>
      <rPr>
        <sz val="8.5"/>
        <color rgb="FF000000"/>
        <rFont val="Noto Sans CJK SC"/>
        <family val="2"/>
      </rPr>
      <t xml:space="preserve">固定利率高级无抵押票据；</t>
    </r>
    <r>
      <rPr>
        <sz val="8.5"/>
        <color rgb="FF000000"/>
        <rFont val="微软雅黑"/>
        <family val="0"/>
        <charset val="1"/>
      </rPr>
      <t xml:space="preserve">2027 </t>
    </r>
    <r>
      <rPr>
        <sz val="8.5"/>
        <color rgb="FF000000"/>
        <rFont val="Noto Sans CJK SC"/>
        <family val="2"/>
      </rPr>
      <t xml:space="preserve">年到期 </t>
    </r>
    <r>
      <rPr>
        <sz val="8.5"/>
        <color rgb="FF000000"/>
        <rFont val="微软雅黑"/>
        <family val="0"/>
        <charset val="1"/>
      </rPr>
      <t xml:space="preserve">27.5 </t>
    </r>
    <r>
      <rPr>
        <sz val="8.5"/>
        <color rgb="FF000000"/>
        <rFont val="Noto Sans CJK SC"/>
        <family val="2"/>
      </rPr>
      <t xml:space="preserve">亿美元</t>
    </r>
  </si>
  <si>
    <t xml:space="preserve">非取消合同承诺</t>
  </si>
  <si>
    <t xml:space="preserve">主要为第三方云容量、服务器与网络、数据中心能源服务协议</t>
  </si>
  <si>
    <t xml:space="preserve">尚未开始的租赁义务</t>
  </si>
  <si>
    <r>
      <rPr>
        <sz val="8.5"/>
        <color rgb="FF000000"/>
        <rFont val="Noto Sans CJK SC"/>
        <family val="2"/>
      </rPr>
      <t xml:space="preserve">数据中心、能源相关基础设施、托管与网络；</t>
    </r>
    <r>
      <rPr>
        <sz val="8.5"/>
        <color rgb="FF000000"/>
        <rFont val="微软雅黑"/>
        <family val="0"/>
        <charset val="1"/>
      </rPr>
      <t xml:space="preserve">2026–2036 </t>
    </r>
    <r>
      <rPr>
        <sz val="8.5"/>
        <color rgb="FF000000"/>
        <rFont val="Noto Sans CJK SC"/>
        <family val="2"/>
      </rPr>
      <t xml:space="preserve">年陆续开始</t>
    </r>
  </si>
  <si>
    <r>
      <rPr>
        <sz val="9.5"/>
        <color rgb="FF000000"/>
        <rFont val="Noto Sans CJK SC"/>
        <family val="2"/>
      </rPr>
      <t xml:space="preserve">其中：</t>
    </r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年内到期</t>
    </r>
  </si>
  <si>
    <t xml:space="preserve">合同承诺到期额</t>
  </si>
  <si>
    <r>
      <rPr>
        <sz val="9.5"/>
        <color rgb="FF000000"/>
        <rFont val="Noto Sans CJK SC"/>
        <family val="2"/>
      </rPr>
      <t xml:space="preserve">其中：</t>
    </r>
    <r>
      <rPr>
        <sz val="9.5"/>
        <color rgb="FF000000"/>
        <rFont val="微软雅黑"/>
        <family val="0"/>
        <charset val="1"/>
      </rPr>
      <t xml:space="preserve">2027 </t>
    </r>
    <r>
      <rPr>
        <sz val="9.5"/>
        <color rgb="FF000000"/>
        <rFont val="Noto Sans CJK SC"/>
        <family val="2"/>
      </rPr>
      <t xml:space="preserve">年内到期</t>
    </r>
  </si>
  <si>
    <t xml:space="preserve">数据中心合资企业最大剩余价值担保</t>
  </si>
  <si>
    <t xml:space="preserve">S34</t>
  </si>
  <si>
    <r>
      <rPr>
        <sz val="8.5"/>
        <color rgb="FF000000"/>
        <rFont val="微软雅黑"/>
        <family val="0"/>
        <charset val="1"/>
      </rPr>
      <t xml:space="preserve">Louisiana + Texas </t>
    </r>
    <r>
      <rPr>
        <sz val="8.5"/>
        <color rgb="FF000000"/>
        <rFont val="Noto Sans CJK SC"/>
        <family val="2"/>
      </rPr>
      <t xml:space="preserve">两个 </t>
    </r>
    <r>
      <rPr>
        <sz val="8.5"/>
        <color rgb="FF000000"/>
        <rFont val="微软雅黑"/>
        <family val="0"/>
        <charset val="1"/>
      </rPr>
      <t xml:space="preserve">VIE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Meta </t>
    </r>
    <r>
      <rPr>
        <sz val="8.5"/>
        <color rgb="FF000000"/>
        <rFont val="Noto Sans CJK SC"/>
        <family val="2"/>
      </rPr>
      <t xml:space="preserve">持 </t>
    </r>
    <r>
      <rPr>
        <sz val="8.5"/>
        <color rgb="FF000000"/>
        <rFont val="微软雅黑"/>
        <family val="0"/>
        <charset val="1"/>
      </rPr>
      <t xml:space="preserve">20%</t>
    </r>
  </si>
  <si>
    <r>
      <rPr>
        <b val="true"/>
        <sz val="18"/>
        <color rgb="FF1F3864"/>
        <rFont val="Noto Sans CJK SC"/>
        <family val="2"/>
      </rPr>
      <t xml:space="preserve">核电与科技公司的长期购电协议 </t>
    </r>
    <r>
      <rPr>
        <b val="true"/>
        <sz val="18"/>
        <color rgb="FF1F3864"/>
        <rFont val="微软雅黑"/>
        <family val="0"/>
        <charset val="1"/>
      </rPr>
      <t xml:space="preserve">/ </t>
    </r>
    <r>
      <rPr>
        <b val="true"/>
        <sz val="18"/>
        <color rgb="FF1F3864"/>
        <rFont val="Noto Sans CJK SC"/>
        <family val="2"/>
      </rPr>
      <t xml:space="preserve">长期合同</t>
    </r>
  </si>
  <si>
    <t xml:space="preserve">价格为分析师估算或未披露；未披露的项目在价格列留空，不以假设代替。期限按公开披露，部分交易只披露“长期”。</t>
  </si>
  <si>
    <t xml:space="preserve">科技公司</t>
  </si>
  <si>
    <r>
      <rPr>
        <b val="true"/>
        <sz val="9.5"/>
        <color rgb="FFFFFFFF"/>
        <rFont val="Noto Sans CJK SC"/>
        <family val="2"/>
      </rPr>
      <t xml:space="preserve">电力</t>
    </r>
    <r>
      <rPr>
        <b val="true"/>
        <sz val="9.5"/>
        <color rgb="FFFFFFFF"/>
        <rFont val="微软雅黑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核电公司</t>
    </r>
  </si>
  <si>
    <t xml:space="preserve">电站</t>
  </si>
  <si>
    <r>
      <rPr>
        <b val="true"/>
        <sz val="9.5"/>
        <color rgb="FFFFFFFF"/>
        <rFont val="Noto Sans CJK SC"/>
        <family val="2"/>
      </rPr>
      <t xml:space="preserve">规模（</t>
    </r>
    <r>
      <rPr>
        <b val="true"/>
        <sz val="9.5"/>
        <color rgb="FFFFFFFF"/>
        <rFont val="微软雅黑"/>
        <family val="0"/>
        <charset val="1"/>
      </rPr>
      <t xml:space="preserve">MW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</si>
  <si>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期限（年）</t>
  </si>
  <si>
    <t xml:space="preserve">起始</t>
  </si>
  <si>
    <t xml:space="preserve">状态</t>
  </si>
  <si>
    <r>
      <rPr>
        <b val="true"/>
        <sz val="9.5"/>
        <color rgb="FFFFFFFF"/>
        <rFont val="Noto Sans CJK SC"/>
        <family val="2"/>
      </rPr>
      <t xml:space="preserve">价格（美元</t>
    </r>
    <r>
      <rPr>
        <b val="true"/>
        <sz val="9.5"/>
        <color rgb="FFFFFFFF"/>
        <rFont val="微软雅黑"/>
        <family val="0"/>
        <charset val="1"/>
      </rPr>
      <t xml:space="preserve">/MWh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</si>
  <si>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价格说明</t>
  </si>
  <si>
    <t xml:space="preserve">备注</t>
  </si>
  <si>
    <t xml:space="preserve">N01</t>
  </si>
  <si>
    <t xml:space="preserve">Constellation</t>
  </si>
  <si>
    <r>
      <rPr>
        <sz val="9.5"/>
        <color rgb="FF000000"/>
        <rFont val="微软雅黑"/>
        <family val="0"/>
        <charset val="1"/>
      </rPr>
      <t xml:space="preserve">Crane</t>
    </r>
    <r>
      <rPr>
        <sz val="9.5"/>
        <color rgb="FF000000"/>
        <rFont val="Noto Sans CJK SC"/>
        <family val="2"/>
      </rPr>
      <t xml:space="preserve">（原 </t>
    </r>
    <r>
      <rPr>
        <sz val="9.5"/>
        <color rgb="FF000000"/>
        <rFont val="微软雅黑"/>
        <family val="0"/>
        <charset val="1"/>
      </rPr>
      <t xml:space="preserve">Three Mile Island 1 </t>
    </r>
    <r>
      <rPr>
        <sz val="9.5"/>
        <color rgb="FF000000"/>
        <rFont val="Noto Sans CJK SC"/>
        <family val="2"/>
      </rPr>
      <t xml:space="preserve">号）</t>
    </r>
  </si>
  <si>
    <r>
      <rPr>
        <sz val="9.5"/>
        <color rgb="FF000000"/>
        <rFont val="微软雅黑"/>
        <family val="0"/>
        <charset val="1"/>
      </rPr>
      <t xml:space="preserve">2027–2028</t>
    </r>
    <r>
      <rPr>
        <sz val="9.5"/>
        <color rgb="FF000000"/>
        <rFont val="Noto Sans CJK SC"/>
        <family val="2"/>
      </rPr>
      <t xml:space="preserve">（待重启）</t>
    </r>
  </si>
  <si>
    <t xml:space="preserve">已签，重启中</t>
  </si>
  <si>
    <r>
      <rPr>
        <sz val="8.5"/>
        <color rgb="FF000000"/>
        <rFont val="微软雅黑"/>
        <family val="0"/>
        <charset val="1"/>
      </rPr>
      <t xml:space="preserve">Jefferies </t>
    </r>
    <r>
      <rPr>
        <sz val="8.5"/>
        <color rgb="FF000000"/>
        <rFont val="Noto Sans CJK SC"/>
        <family val="2"/>
      </rPr>
      <t xml:space="preserve">估算 ≥</t>
    </r>
    <r>
      <rPr>
        <sz val="8.5"/>
        <color rgb="FF000000"/>
        <rFont val="微软雅黑"/>
        <family val="0"/>
        <charset val="1"/>
      </rPr>
      <t xml:space="preserve">110 </t>
    </r>
    <r>
      <rPr>
        <sz val="8.5"/>
        <color rgb="FF000000"/>
        <rFont val="Noto Sans CJK SC"/>
        <family val="2"/>
      </rPr>
      <t xml:space="preserve">美元</t>
    </r>
    <r>
      <rPr>
        <sz val="8.5"/>
        <color rgb="FF000000"/>
        <rFont val="微软雅黑"/>
        <family val="0"/>
        <charset val="1"/>
      </rPr>
      <t xml:space="preserve">/MWh</t>
    </r>
  </si>
  <si>
    <r>
      <rPr>
        <sz val="7.8"/>
        <color rgb="FF404040"/>
        <rFont val="微软雅黑"/>
        <family val="0"/>
        <charset val="1"/>
      </rPr>
      <t xml:space="preserve">S02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Constellation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2026-02-24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S23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Bloomberg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2025-06-03</t>
    </r>
  </si>
  <si>
    <r>
      <rPr>
        <sz val="8.5"/>
        <color rgb="FF000000"/>
        <rFont val="Noto Sans CJK SC"/>
        <family val="2"/>
      </rPr>
      <t xml:space="preserve">重启支持；</t>
    </r>
    <r>
      <rPr>
        <sz val="8.5"/>
        <color rgb="FF000000"/>
        <rFont val="微软雅黑"/>
        <family val="0"/>
        <charset val="1"/>
      </rPr>
      <t xml:space="preserve">DOE </t>
    </r>
    <r>
      <rPr>
        <sz val="8.5"/>
        <color rgb="FF000000"/>
        <rFont val="Noto Sans CJK SC"/>
        <family val="2"/>
      </rPr>
      <t xml:space="preserve">提供最高 </t>
    </r>
    <r>
      <rPr>
        <sz val="8.5"/>
        <color rgb="FF000000"/>
        <rFont val="微软雅黑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亿美元贷款担保；</t>
    </r>
    <r>
      <rPr>
        <sz val="8.5"/>
        <color rgb="FF000000"/>
        <rFont val="微软雅黑"/>
        <family val="0"/>
        <charset val="1"/>
      </rPr>
      <t xml:space="preserve">835 MW </t>
    </r>
    <r>
      <rPr>
        <sz val="8.5"/>
        <color rgb="FF000000"/>
        <rFont val="Noto Sans CJK SC"/>
        <family val="2"/>
      </rPr>
      <t xml:space="preserve">零排放容量</t>
    </r>
  </si>
  <si>
    <t xml:space="preserve">N02</t>
  </si>
  <si>
    <t xml:space="preserve">Clinton</t>
  </si>
  <si>
    <t xml:space="preserve">2027-06</t>
  </si>
  <si>
    <t xml:space="preserve">已签，运行中</t>
  </si>
  <si>
    <r>
      <rPr>
        <sz val="8.5"/>
        <color rgb="FF000000"/>
        <rFont val="微软雅黑"/>
        <family val="0"/>
        <charset val="1"/>
      </rPr>
      <t xml:space="preserve">Jefferies </t>
    </r>
    <r>
      <rPr>
        <sz val="8.5"/>
        <color rgb="FF000000"/>
        <rFont val="Noto Sans CJK SC"/>
        <family val="2"/>
      </rPr>
      <t xml:space="preserve">估算约 </t>
    </r>
    <r>
      <rPr>
        <sz val="8.5"/>
        <color rgb="FF000000"/>
        <rFont val="微软雅黑"/>
        <family val="0"/>
        <charset val="1"/>
      </rPr>
      <t xml:space="preserve">80 </t>
    </r>
    <r>
      <rPr>
        <sz val="8.5"/>
        <color rgb="FF000000"/>
        <rFont val="Noto Sans CJK SC"/>
        <family val="2"/>
      </rPr>
      <t xml:space="preserve">美元</t>
    </r>
    <r>
      <rPr>
        <sz val="8.5"/>
        <color rgb="FF000000"/>
        <rFont val="微软雅黑"/>
        <family val="0"/>
        <charset val="1"/>
      </rPr>
      <t xml:space="preserve">/MWh</t>
    </r>
  </si>
  <si>
    <r>
      <rPr>
        <sz val="7.8"/>
        <color rgb="FF404040"/>
        <rFont val="微软雅黑"/>
        <family val="0"/>
        <charset val="1"/>
      </rPr>
      <t xml:space="preserve">S02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Constellation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2026-02-24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S09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Constellation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2026-10-22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S23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Bloomberg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2025-06-03</t>
    </r>
  </si>
  <si>
    <r>
      <rPr>
        <sz val="8.5"/>
        <color rgb="FF000000"/>
        <rFont val="Noto Sans CJK SC"/>
        <family val="2"/>
      </rPr>
      <t xml:space="preserve">支持再许可与继续运行 </t>
    </r>
    <r>
      <rPr>
        <sz val="8.5"/>
        <color rgb="FF000000"/>
        <rFont val="微软雅黑"/>
        <family val="0"/>
        <charset val="1"/>
      </rPr>
      <t xml:space="preserve">20 </t>
    </r>
    <r>
      <rPr>
        <sz val="8.5"/>
        <color rgb="FF000000"/>
        <rFont val="Noto Sans CJK SC"/>
        <family val="2"/>
      </rPr>
      <t xml:space="preserve">年；</t>
    </r>
    <r>
      <rPr>
        <sz val="8.5"/>
        <color rgb="FF000000"/>
        <rFont val="微软雅黑"/>
        <family val="0"/>
        <charset val="1"/>
      </rPr>
      <t xml:space="preserve">+30 MW </t>
    </r>
    <r>
      <rPr>
        <sz val="8.5"/>
        <color rgb="FF000000"/>
        <rFont val="Noto Sans CJK SC"/>
        <family val="2"/>
      </rPr>
      <t xml:space="preserve">升级至 </t>
    </r>
    <r>
      <rPr>
        <sz val="8.5"/>
        <color rgb="FF000000"/>
        <rFont val="微软雅黑"/>
        <family val="0"/>
        <charset val="1"/>
      </rPr>
      <t xml:space="preserve">2029 </t>
    </r>
    <r>
      <rPr>
        <sz val="8.5"/>
        <color rgb="FF000000"/>
        <rFont val="Noto Sans CJK SC"/>
        <family val="2"/>
      </rPr>
      <t xml:space="preserve">年完成；</t>
    </r>
    <r>
      <rPr>
        <sz val="8.5"/>
        <color rgb="FF000000"/>
        <rFont val="微软雅黑"/>
        <family val="0"/>
        <charset val="1"/>
      </rPr>
      <t xml:space="preserve">1,092 MW </t>
    </r>
    <r>
      <rPr>
        <sz val="8.5"/>
        <color rgb="FF000000"/>
        <rFont val="Noto Sans CJK SC"/>
        <family val="2"/>
      </rPr>
      <t xml:space="preserve">为当前容量</t>
    </r>
  </si>
  <si>
    <t xml:space="preserve">N03</t>
  </si>
  <si>
    <t xml:space="preserve">Talen</t>
  </si>
  <si>
    <t xml:space="preserve">Susquehanna</t>
  </si>
  <si>
    <r>
      <rPr>
        <sz val="9.5"/>
        <color rgb="FF000000"/>
        <rFont val="Noto Sans CJK SC"/>
        <family val="2"/>
      </rPr>
      <t xml:space="preserve">逐步爬坡，</t>
    </r>
    <r>
      <rPr>
        <sz val="9.5"/>
        <color rgb="FF000000"/>
        <rFont val="微软雅黑"/>
        <family val="0"/>
        <charset val="1"/>
      </rPr>
      <t xml:space="preserve">2032 </t>
    </r>
    <r>
      <rPr>
        <sz val="9.5"/>
        <color rgb="FF000000"/>
        <rFont val="Noto Sans CJK SC"/>
        <family val="2"/>
      </rPr>
      <t xml:space="preserve">年满功率；合同至 </t>
    </r>
    <r>
      <rPr>
        <sz val="9.5"/>
        <color rgb="FF000000"/>
        <rFont val="微软雅黑"/>
        <family val="0"/>
        <charset val="1"/>
      </rPr>
      <t xml:space="preserve">2042</t>
    </r>
  </si>
  <si>
    <r>
      <rPr>
        <sz val="8.5"/>
        <color rgb="FF000000"/>
        <rFont val="Noto Sans CJK SC"/>
        <family val="2"/>
      </rPr>
      <t xml:space="preserve">已签，</t>
    </r>
    <r>
      <rPr>
        <sz val="8.5"/>
        <color rgb="FF000000"/>
        <rFont val="微软雅黑"/>
        <family val="0"/>
        <charset val="1"/>
      </rPr>
      <t xml:space="preserve">front-of-meter </t>
    </r>
    <r>
      <rPr>
        <sz val="8.5"/>
        <color rgb="FF000000"/>
        <rFont val="Noto Sans CJK SC"/>
        <family val="2"/>
      </rPr>
      <t xml:space="preserve">改造中</t>
    </r>
  </si>
  <si>
    <t xml:space="preserve">未披露</t>
  </si>
  <si>
    <r>
      <rPr>
        <sz val="7.8"/>
        <color rgb="FF404040"/>
        <rFont val="微软雅黑"/>
        <family val="0"/>
        <charset val="1"/>
      </rPr>
      <t xml:space="preserve">S10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Talen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2025-06-13</t>
    </r>
  </si>
  <si>
    <r>
      <rPr>
        <sz val="8.5"/>
        <color rgb="FF000000"/>
        <rFont val="Noto Sans CJK SC"/>
        <family val="2"/>
      </rPr>
      <t xml:space="preserve">长期 </t>
    </r>
    <r>
      <rPr>
        <sz val="8.5"/>
        <color rgb="FF000000"/>
        <rFont val="微软雅黑"/>
        <family val="0"/>
        <charset val="1"/>
      </rPr>
      <t xml:space="preserve">PPA</t>
    </r>
    <r>
      <rPr>
        <sz val="8.5"/>
        <color rgb="FF000000"/>
        <rFont val="Noto Sans CJK SC"/>
        <family val="2"/>
      </rPr>
      <t xml:space="preserve">，含延期权；</t>
    </r>
    <r>
      <rPr>
        <sz val="8.5"/>
        <color rgb="FF000000"/>
        <rFont val="微软雅黑"/>
        <family val="0"/>
        <charset val="1"/>
      </rPr>
      <t xml:space="preserve">Talen </t>
    </r>
    <r>
      <rPr>
        <sz val="8.5"/>
        <color rgb="FF000000"/>
        <rFont val="Noto Sans CJK SC"/>
        <family val="2"/>
      </rPr>
      <t xml:space="preserve">作为零售电力供应商</t>
    </r>
  </si>
  <si>
    <t xml:space="preserve">N04</t>
  </si>
  <si>
    <t xml:space="preserve">Vistra</t>
  </si>
  <si>
    <t xml:space="preserve">Beaver Valley / Perry / Davis-Besse</t>
  </si>
  <si>
    <t xml:space="preserve">已签</t>
  </si>
  <si>
    <r>
      <rPr>
        <sz val="8.5"/>
        <color rgb="FF000000"/>
        <rFont val="微软雅黑"/>
        <family val="0"/>
        <charset val="1"/>
      </rPr>
      <t xml:space="preserve">&gt;2.1 GW</t>
    </r>
    <r>
      <rPr>
        <sz val="8.5"/>
        <color rgb="FF000000"/>
        <rFont val="Noto Sans CJK SC"/>
        <family val="2"/>
      </rPr>
      <t xml:space="preserve">；含 </t>
    </r>
    <r>
      <rPr>
        <sz val="8.5"/>
        <color rgb="FF000000"/>
        <rFont val="微软雅黑"/>
        <family val="0"/>
        <charset val="1"/>
      </rPr>
      <t xml:space="preserve">Ohio </t>
    </r>
    <r>
      <rPr>
        <sz val="8.5"/>
        <color rgb="FF000000"/>
        <rFont val="Noto Sans CJK SC"/>
        <family val="2"/>
      </rPr>
      <t xml:space="preserve">两站升级；</t>
    </r>
    <r>
      <rPr>
        <sz val="8.5"/>
        <color rgb="FF000000"/>
        <rFont val="微软雅黑"/>
        <family val="0"/>
        <charset val="1"/>
      </rPr>
      <t xml:space="preserve">20 </t>
    </r>
    <r>
      <rPr>
        <sz val="8.5"/>
        <color rgb="FF000000"/>
        <rFont val="Noto Sans CJK SC"/>
        <family val="2"/>
      </rPr>
      <t xml:space="preserve">年协议</t>
    </r>
  </si>
  <si>
    <t xml:space="preserve">N05</t>
  </si>
  <si>
    <t xml:space="preserve">Oklo</t>
  </si>
  <si>
    <r>
      <rPr>
        <sz val="9.5"/>
        <color rgb="FF000000"/>
        <rFont val="Arial"/>
        <family val="0"/>
        <charset val="1"/>
      </rPr>
      <t xml:space="preserve">Pike County, Ohio</t>
    </r>
    <r>
      <rPr>
        <sz val="9.5"/>
        <color rgb="FF000000"/>
        <rFont val="Noto Sans CJK SC"/>
        <family val="2"/>
      </rPr>
      <t xml:space="preserve">（</t>
    </r>
    <r>
      <rPr>
        <sz val="9.5"/>
        <color rgb="FF000000"/>
        <rFont val="Arial"/>
        <family val="0"/>
        <charset val="1"/>
      </rPr>
      <t xml:space="preserve">SMR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</si>
  <si>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首期，</t>
    </r>
    <r>
      <rPr>
        <sz val="9.5"/>
        <color rgb="FF000000"/>
        <rFont val="微软雅黑"/>
        <family val="0"/>
        <charset val="1"/>
      </rPr>
      <t xml:space="preserve">2034 </t>
    </r>
    <r>
      <rPr>
        <sz val="9.5"/>
        <color rgb="FF000000"/>
        <rFont val="Noto Sans CJK SC"/>
        <family val="2"/>
      </rPr>
      <t xml:space="preserve">全容量</t>
    </r>
  </si>
  <si>
    <t xml:space="preserve">已签，开发中</t>
  </si>
  <si>
    <r>
      <rPr>
        <sz val="8.5"/>
        <color rgb="FF000000"/>
        <rFont val="微软雅黑"/>
        <family val="0"/>
        <charset val="1"/>
      </rPr>
      <t xml:space="preserve">1.2 GW </t>
    </r>
    <r>
      <rPr>
        <sz val="8.5"/>
        <color rgb="FF000000"/>
        <rFont val="Noto Sans CJK SC"/>
        <family val="2"/>
      </rPr>
      <t xml:space="preserve">电力园区；预建设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年启动</t>
    </r>
  </si>
  <si>
    <t xml:space="preserve">N06</t>
  </si>
  <si>
    <t xml:space="preserve">TerraPower</t>
  </si>
  <si>
    <r>
      <rPr>
        <sz val="9.5"/>
        <color rgb="FF000000"/>
        <rFont val="微软雅黑"/>
        <family val="0"/>
        <charset val="1"/>
      </rPr>
      <t xml:space="preserve">Natrium</t>
    </r>
    <r>
      <rPr>
        <sz val="9.5"/>
        <color rgb="FF000000"/>
        <rFont val="Noto Sans CJK SC"/>
        <family val="2"/>
      </rPr>
      <t xml:space="preserve">（钠冷快堆）</t>
    </r>
  </si>
  <si>
    <t xml:space="preserve">≥2032</t>
  </si>
  <si>
    <r>
      <rPr>
        <sz val="8.5"/>
        <color rgb="FF000000"/>
        <rFont val="微软雅黑"/>
        <family val="0"/>
        <charset val="1"/>
      </rPr>
      <t xml:space="preserve">2×345 MW</t>
    </r>
    <r>
      <rPr>
        <sz val="8.5"/>
        <color rgb="FF000000"/>
        <rFont val="Noto Sans CJK SC"/>
        <family val="2"/>
      </rPr>
      <t xml:space="preserve">；另有 </t>
    </r>
    <r>
      <rPr>
        <sz val="8.5"/>
        <color rgb="FF000000"/>
        <rFont val="微软雅黑"/>
        <family val="0"/>
        <charset val="1"/>
      </rPr>
      <t xml:space="preserve">6 </t>
    </r>
    <r>
      <rPr>
        <sz val="8.5"/>
        <color rgb="FF000000"/>
        <rFont val="Noto Sans CJK SC"/>
        <family val="2"/>
      </rPr>
      <t xml:space="preserve">台、最多 </t>
    </r>
    <r>
      <rPr>
        <sz val="8.5"/>
        <color rgb="FF000000"/>
        <rFont val="微软雅黑"/>
        <family val="0"/>
        <charset val="1"/>
      </rPr>
      <t xml:space="preserve">2.1 GW </t>
    </r>
    <r>
      <rPr>
        <sz val="8.5"/>
        <color rgb="FF000000"/>
        <rFont val="Noto Sans CJK SC"/>
        <family val="2"/>
      </rPr>
      <t xml:space="preserve">的购电权，目标 </t>
    </r>
    <r>
      <rPr>
        <sz val="8.5"/>
        <color rgb="FF000000"/>
        <rFont val="微软雅黑"/>
        <family val="0"/>
        <charset val="1"/>
      </rPr>
      <t xml:space="preserve">2035 </t>
    </r>
    <r>
      <rPr>
        <sz val="8.5"/>
        <color rgb="FF000000"/>
        <rFont val="Noto Sans CJK SC"/>
        <family val="2"/>
      </rPr>
      <t xml:space="preserve">年交付</t>
    </r>
  </si>
  <si>
    <t xml:space="preserve">N07</t>
  </si>
  <si>
    <t xml:space="preserve">Google</t>
  </si>
  <si>
    <t xml:space="preserve">Kairos Power</t>
  </si>
  <si>
    <r>
      <rPr>
        <sz val="9.5"/>
        <color rgb="FF000000"/>
        <rFont val="微软雅黑"/>
        <family val="0"/>
        <charset val="1"/>
      </rPr>
      <t xml:space="preserve">Hermes / </t>
    </r>
    <r>
      <rPr>
        <sz val="9.5"/>
        <color rgb="FF000000"/>
        <rFont val="Noto Sans CJK SC"/>
        <family val="2"/>
      </rPr>
      <t xml:space="preserve">后续电站（氟盐冷却）</t>
    </r>
  </si>
  <si>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首堆，</t>
    </r>
    <r>
      <rPr>
        <sz val="9.5"/>
        <color rgb="FF000000"/>
        <rFont val="微软雅黑"/>
        <family val="0"/>
        <charset val="1"/>
      </rPr>
      <t xml:space="preserve">2035 </t>
    </r>
    <r>
      <rPr>
        <sz val="9.5"/>
        <color rgb="FF000000"/>
        <rFont val="Noto Sans CJK SC"/>
        <family val="2"/>
      </rPr>
      <t xml:space="preserve">全规模</t>
    </r>
  </si>
  <si>
    <r>
      <rPr>
        <sz val="7.8"/>
        <color rgb="FF404040"/>
        <rFont val="微软雅黑"/>
        <family val="0"/>
        <charset val="1"/>
      </rPr>
      <t xml:space="preserve">S15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Kairos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2024-10-14</t>
    </r>
  </si>
  <si>
    <r>
      <rPr>
        <sz val="8.5"/>
        <color rgb="FF000000"/>
        <rFont val="微软雅黑"/>
        <family val="0"/>
        <charset val="1"/>
      </rPr>
      <t xml:space="preserve">500 MW </t>
    </r>
    <r>
      <rPr>
        <sz val="8.5"/>
        <color rgb="FF000000"/>
        <rFont val="Noto Sans CJK SC"/>
        <family val="2"/>
      </rPr>
      <t xml:space="preserve">总承诺；首堆 </t>
    </r>
    <r>
      <rPr>
        <sz val="8.5"/>
        <color rgb="FF000000"/>
        <rFont val="微软雅黑"/>
        <family val="0"/>
        <charset val="1"/>
      </rPr>
      <t xml:space="preserve">35 MW </t>
    </r>
    <r>
      <rPr>
        <sz val="8.5"/>
        <color rgb="FF000000"/>
        <rFont val="Noto Sans CJK SC"/>
        <family val="2"/>
      </rPr>
      <t xml:space="preserve">级</t>
    </r>
  </si>
  <si>
    <t xml:space="preserve">N08</t>
  </si>
  <si>
    <t xml:space="preserve">Commonwealth Fusion Systems</t>
  </si>
  <si>
    <r>
      <rPr>
        <sz val="9.5"/>
        <color rgb="FF000000"/>
        <rFont val="微软雅黑"/>
        <family val="0"/>
        <charset val="1"/>
      </rPr>
      <t xml:space="preserve">ARC</t>
    </r>
    <r>
      <rPr>
        <sz val="9.5"/>
        <color rgb="FF000000"/>
        <rFont val="Noto Sans CJK SC"/>
        <family val="2"/>
      </rPr>
      <t xml:space="preserve">（聚变托卡马克）</t>
    </r>
  </si>
  <si>
    <t xml:space="preserve">early 2030s</t>
  </si>
  <si>
    <r>
      <rPr>
        <sz val="8.5"/>
        <color rgb="FF000000"/>
        <rFont val="Noto Sans CJK SC"/>
        <family val="2"/>
      </rPr>
      <t xml:space="preserve">已签， </t>
    </r>
    <r>
      <rPr>
        <sz val="8.5"/>
        <color rgb="FF000000"/>
        <rFont val="微软雅黑"/>
        <family val="0"/>
        <charset val="1"/>
      </rPr>
      <t xml:space="preserve">contingent on SPARC Q&gt;1</t>
    </r>
  </si>
  <si>
    <r>
      <rPr>
        <sz val="7.8"/>
        <color rgb="FF404040"/>
        <rFont val="微软雅黑"/>
        <family val="0"/>
        <charset val="1"/>
      </rPr>
      <t xml:space="preserve">S11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CFS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2025-06-30</t>
    </r>
  </si>
  <si>
    <r>
      <rPr>
        <sz val="8.5"/>
        <color rgb="FF000000"/>
        <rFont val="Noto Sans CJK SC"/>
        <family val="2"/>
      </rPr>
      <t xml:space="preserve">全球首个聚变商业购电协议之一；</t>
    </r>
    <r>
      <rPr>
        <sz val="8.5"/>
        <color rgb="FF000000"/>
        <rFont val="微软雅黑"/>
        <family val="0"/>
        <charset val="1"/>
      </rPr>
      <t xml:space="preserve">ARC </t>
    </r>
    <r>
      <rPr>
        <sz val="8.5"/>
        <color rgb="FF000000"/>
        <rFont val="Noto Sans CJK SC"/>
        <family val="2"/>
      </rPr>
      <t xml:space="preserve">净出力 </t>
    </r>
    <r>
      <rPr>
        <sz val="8.5"/>
        <color rgb="FF000000"/>
        <rFont val="微软雅黑"/>
        <family val="0"/>
        <charset val="1"/>
      </rPr>
      <t xml:space="preserve">400 MW</t>
    </r>
  </si>
  <si>
    <t xml:space="preserve">N09</t>
  </si>
  <si>
    <t xml:space="preserve">Helion</t>
  </si>
  <si>
    <r>
      <rPr>
        <sz val="9.5"/>
        <color rgb="FF000000"/>
        <rFont val="微软雅黑"/>
        <family val="0"/>
        <charset val="1"/>
      </rPr>
      <t xml:space="preserve">Orion</t>
    </r>
    <r>
      <rPr>
        <sz val="9.5"/>
        <color rgb="FF000000"/>
        <rFont val="Noto Sans CJK SC"/>
        <family val="2"/>
      </rPr>
      <t xml:space="preserve">（聚变 </t>
    </r>
    <r>
      <rPr>
        <sz val="9.5"/>
        <color rgb="FF000000"/>
        <rFont val="微软雅黑"/>
        <family val="0"/>
        <charset val="1"/>
      </rPr>
      <t xml:space="preserve">FRC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</si>
  <si>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2028</t>
    </r>
    <r>
      <rPr>
        <sz val="9.5"/>
        <color rgb="FF000000"/>
        <rFont val="Noto Sans CJK SC"/>
        <family val="2"/>
      </rPr>
      <t xml:space="preserve">（原 </t>
    </r>
    <r>
      <rPr>
        <sz val="9.5"/>
        <color rgb="FF000000"/>
        <rFont val="微软雅黑"/>
        <family val="0"/>
        <charset val="1"/>
      </rPr>
      <t xml:space="preserve">2029</t>
    </r>
    <r>
      <rPr>
        <sz val="9.5"/>
        <color rgb="FF000000"/>
        <rFont val="Noto Sans CJK SC"/>
        <family val="2"/>
      </rPr>
      <t xml:space="preserve">）</t>
    </r>
  </si>
  <si>
    <t xml:space="preserve">已签，建设中</t>
  </si>
  <si>
    <r>
      <rPr>
        <sz val="7.8"/>
        <color rgb="FF404040"/>
        <rFont val="微软雅黑"/>
        <family val="0"/>
        <charset val="1"/>
      </rPr>
      <t xml:space="preserve">S13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Helion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2026-06-04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S14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Reuters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2023-05-10</t>
    </r>
  </si>
  <si>
    <r>
      <rPr>
        <sz val="8.5"/>
        <color rgb="FF000000"/>
        <rFont val="Noto Sans CJK SC"/>
        <family val="2"/>
      </rPr>
      <t xml:space="preserve">首个聚变 </t>
    </r>
    <r>
      <rPr>
        <sz val="8.5"/>
        <color rgb="FF000000"/>
        <rFont val="微软雅黑"/>
        <family val="0"/>
        <charset val="1"/>
      </rPr>
      <t xml:space="preserve">PPA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Constellation </t>
    </r>
    <r>
      <rPr>
        <sz val="8.5"/>
        <color rgb="FF000000"/>
        <rFont val="Noto Sans CJK SC"/>
        <family val="2"/>
      </rPr>
      <t xml:space="preserve">作为电力营销方</t>
    </r>
  </si>
  <si>
    <t xml:space="preserve">N10</t>
  </si>
  <si>
    <t xml:space="preserve">未披露（多个核电机组）</t>
  </si>
  <si>
    <t xml:space="preserve">2029–2032</t>
  </si>
  <si>
    <r>
      <rPr>
        <sz val="7.8"/>
        <color rgb="FF404040"/>
        <rFont val="微软雅黑"/>
        <family val="0"/>
        <charset val="1"/>
      </rPr>
      <t xml:space="preserve">S03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Constellation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2026-08-06</t>
    </r>
  </si>
  <si>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Q2 </t>
    </r>
    <r>
      <rPr>
        <sz val="8.5"/>
        <color rgb="FF000000"/>
        <rFont val="Noto Sans CJK SC"/>
        <family val="2"/>
      </rPr>
      <t xml:space="preserve">新增 </t>
    </r>
    <r>
      <rPr>
        <sz val="8.5"/>
        <color rgb="FF000000"/>
        <rFont val="微软雅黑"/>
        <family val="0"/>
        <charset val="1"/>
      </rPr>
      <t xml:space="preserve">920 MW </t>
    </r>
    <r>
      <rPr>
        <sz val="8.5"/>
        <color rgb="FF000000"/>
        <rFont val="Noto Sans CJK SC"/>
        <family val="2"/>
      </rPr>
      <t xml:space="preserve">长期 </t>
    </r>
    <r>
      <rPr>
        <sz val="8.5"/>
        <color rgb="FF000000"/>
        <rFont val="微软雅黑"/>
        <family val="0"/>
        <charset val="1"/>
      </rPr>
      <t xml:space="preserve">PPA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软雅黑"/>
        <family val="0"/>
        <charset val="1"/>
      </rPr>
      <t xml:space="preserve">15–20 </t>
    </r>
    <r>
      <rPr>
        <sz val="8.5"/>
        <color rgb="FF000000"/>
        <rFont val="Noto Sans CJK SC"/>
        <family val="2"/>
      </rPr>
      <t xml:space="preserve">年）；其中 </t>
    </r>
    <r>
      <rPr>
        <sz val="8.5"/>
        <color rgb="FF000000"/>
        <rFont val="微软雅黑"/>
        <family val="0"/>
        <charset val="1"/>
      </rPr>
      <t xml:space="preserve">Walmart 176 MW </t>
    </r>
    <r>
      <rPr>
        <sz val="8.5"/>
        <color rgb="FF000000"/>
        <rFont val="Noto Sans CJK SC"/>
        <family val="2"/>
      </rPr>
      <t xml:space="preserve">支持 </t>
    </r>
    <r>
      <rPr>
        <sz val="8.5"/>
        <color rgb="FF000000"/>
        <rFont val="微软雅黑"/>
        <family val="0"/>
        <charset val="1"/>
      </rPr>
      <t xml:space="preserve">Dresden +30 MW</t>
    </r>
  </si>
  <si>
    <r>
      <rPr>
        <sz val="8.5"/>
        <color rgb="FF000000"/>
        <rFont val="微软雅黑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笔公开披露的长期合同；不代表行业全部交易</t>
    </r>
  </si>
  <si>
    <r>
      <rPr>
        <b val="true"/>
        <sz val="11"/>
        <color rgb="FFFFFFFF"/>
        <rFont val="Noto Sans CJK SC"/>
        <family val="2"/>
      </rPr>
      <t xml:space="preserve">按科技公司汇总（</t>
    </r>
    <r>
      <rPr>
        <b val="true"/>
        <sz val="11"/>
        <color rgb="FFFFFFFF"/>
        <rFont val="微软雅黑"/>
        <family val="0"/>
        <charset val="1"/>
      </rPr>
      <t xml:space="preserve">MW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</si>
  <si>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合计 </t>
    </r>
    <r>
      <rPr>
        <b val="true"/>
        <sz val="9.5"/>
        <color rgb="FFFFFFFF"/>
        <rFont val="微软雅黑"/>
        <family val="0"/>
        <charset val="1"/>
      </rPr>
      <t xml:space="preserve">MW</t>
    </r>
  </si>
  <si>
    <r>
      <rPr>
        <b val="true"/>
        <sz val="9.5"/>
        <color rgb="FFFFFFFF"/>
        <rFont val="Noto Sans CJK SC"/>
        <family val="2"/>
      </rPr>
      <t xml:space="preserve">其中已运行</t>
    </r>
    <r>
      <rPr>
        <b val="true"/>
        <sz val="9.5"/>
        <color rgb="FFFFFFFF"/>
        <rFont val="微软雅黑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在建</t>
    </r>
  </si>
  <si>
    <r>
      <rPr>
        <sz val="8.5"/>
        <color rgb="FF000000"/>
        <rFont val="微软雅黑"/>
        <family val="0"/>
        <charset val="1"/>
      </rPr>
      <t xml:space="preserve">Crane 835 + Helion 50</t>
    </r>
    <r>
      <rPr>
        <sz val="8.5"/>
        <color rgb="FF000000"/>
        <rFont val="Noto Sans CJK SC"/>
        <family val="2"/>
      </rPr>
      <t xml:space="preserve">（聚变，</t>
    </r>
    <r>
      <rPr>
        <sz val="8.5"/>
        <color rgb="FF000000"/>
        <rFont val="微软雅黑"/>
        <family val="0"/>
        <charset val="1"/>
      </rPr>
      <t xml:space="preserve">2028</t>
    </r>
    <r>
      <rPr>
        <sz val="8.5"/>
        <color rgb="FF000000"/>
        <rFont val="Noto Sans CJK SC"/>
        <family val="2"/>
      </rPr>
      <t xml:space="preserve">）</t>
    </r>
  </si>
  <si>
    <t xml:space="preserve">S02,S13</t>
  </si>
  <si>
    <r>
      <rPr>
        <sz val="8.5"/>
        <color rgb="FF000000"/>
        <rFont val="微软雅黑"/>
        <family val="0"/>
        <charset val="1"/>
      </rPr>
      <t xml:space="preserve">Clinton 1,092 + Vistra 2,100 + Oklo 1,200 + TerraPower 690 + 2026Q2 </t>
    </r>
    <r>
      <rPr>
        <sz val="8.5"/>
        <color rgb="FF000000"/>
        <rFont val="Noto Sans CJK SC"/>
        <family val="2"/>
      </rPr>
      <t xml:space="preserve">新增 </t>
    </r>
    <r>
      <rPr>
        <sz val="8.5"/>
        <color rgb="FF000000"/>
        <rFont val="微软雅黑"/>
        <family val="0"/>
        <charset val="1"/>
      </rPr>
      <t xml:space="preserve">920</t>
    </r>
  </si>
  <si>
    <t xml:space="preserve">S02,S03,S07,S08</t>
  </si>
  <si>
    <t xml:space="preserve">Susquehanna 1,920</t>
  </si>
  <si>
    <t xml:space="preserve">S10</t>
  </si>
  <si>
    <r>
      <rPr>
        <sz val="8.5"/>
        <color rgb="FF000000"/>
        <rFont val="微软雅黑"/>
        <family val="0"/>
        <charset val="1"/>
      </rPr>
      <t xml:space="preserve">Kairos 500 + CFS 200</t>
    </r>
    <r>
      <rPr>
        <sz val="8.5"/>
        <color rgb="FF000000"/>
        <rFont val="Noto Sans CJK SC"/>
        <family val="2"/>
      </rPr>
      <t xml:space="preserve">（聚变，</t>
    </r>
    <r>
      <rPr>
        <sz val="8.5"/>
        <color rgb="FF000000"/>
        <rFont val="微软雅黑"/>
        <family val="0"/>
        <charset val="1"/>
      </rPr>
      <t xml:space="preserve">early 2030s</t>
    </r>
    <r>
      <rPr>
        <sz val="8.5"/>
        <color rgb="FF000000"/>
        <rFont val="Noto Sans CJK SC"/>
        <family val="2"/>
      </rPr>
      <t xml:space="preserve">）</t>
    </r>
  </si>
  <si>
    <t xml:space="preserve">S11,S15</t>
  </si>
  <si>
    <r>
      <rPr>
        <b val="true"/>
        <sz val="11"/>
        <color rgb="FFFFFFFF"/>
        <rFont val="微软雅黑"/>
        <family val="0"/>
        <charset val="1"/>
      </rPr>
      <t xml:space="preserve">Meta </t>
    </r>
    <r>
      <rPr>
        <b val="true"/>
        <sz val="11"/>
        <color rgb="FFFFFFFF"/>
        <rFont val="Noto Sans CJK SC"/>
        <family val="2"/>
      </rPr>
      <t xml:space="preserve">核电组合：按公司披露的“最高 </t>
    </r>
    <r>
      <rPr>
        <b val="true"/>
        <sz val="11"/>
        <color rgb="FFFFFFFF"/>
        <rFont val="微软雅黑"/>
        <family val="0"/>
        <charset val="1"/>
      </rPr>
      <t xml:space="preserve">7.7 GW”</t>
    </r>
    <r>
      <rPr>
        <b val="true"/>
        <sz val="11"/>
        <color rgb="FFFFFFFF"/>
        <rFont val="Noto Sans CJK SC"/>
        <family val="2"/>
      </rPr>
      <t xml:space="preserve">口径</t>
    </r>
  </si>
  <si>
    <r>
      <rPr>
        <sz val="9.5"/>
        <color rgb="FF000000"/>
        <rFont val="Arial"/>
        <family val="0"/>
        <charset val="1"/>
      </rPr>
      <t xml:space="preserve">Clinton</t>
    </r>
    <r>
      <rPr>
        <sz val="9.5"/>
        <color rgb="FF000000"/>
        <rFont val="Noto Sans CJK SC"/>
        <family val="2"/>
      </rPr>
      <t xml:space="preserve">（</t>
    </r>
    <r>
      <rPr>
        <sz val="9.5"/>
        <color rgb="FF000000"/>
        <rFont val="Arial"/>
        <family val="0"/>
        <charset val="1"/>
      </rPr>
      <t xml:space="preserve">Constellation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</si>
  <si>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运行中，</t>
    </r>
    <r>
      <rPr>
        <sz val="8.5"/>
        <color rgb="FF000000"/>
        <rFont val="微软雅黑"/>
        <family val="0"/>
        <charset val="1"/>
      </rPr>
      <t xml:space="preserve">20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PPA</t>
    </r>
  </si>
  <si>
    <t xml:space="preserve">S02,S09</t>
  </si>
  <si>
    <r>
      <rPr>
        <sz val="9.5"/>
        <color rgb="FF000000"/>
        <rFont val="Arial"/>
        <family val="0"/>
        <charset val="1"/>
      </rPr>
      <t xml:space="preserve">Vistra</t>
    </r>
    <r>
      <rPr>
        <sz val="9.5"/>
        <color rgb="FF000000"/>
        <rFont val="Noto Sans CJK SC"/>
        <family val="2"/>
      </rPr>
      <t xml:space="preserve">（</t>
    </r>
    <r>
      <rPr>
        <sz val="9.5"/>
        <color rgb="FF000000"/>
        <rFont val="Arial"/>
        <family val="0"/>
        <charset val="1"/>
      </rPr>
      <t xml:space="preserve">Beaver Valley / Perry / Davis-Besse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</si>
  <si>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运行中 </t>
    </r>
    <r>
      <rPr>
        <sz val="8.5"/>
        <color rgb="FF000000"/>
        <rFont val="微软雅黑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升级</t>
    </r>
  </si>
  <si>
    <r>
      <rPr>
        <sz val="9.5"/>
        <color rgb="FF000000"/>
        <rFont val="Arial"/>
        <family val="0"/>
        <charset val="1"/>
      </rPr>
      <t xml:space="preserve">Oklo</t>
    </r>
    <r>
      <rPr>
        <sz val="9.5"/>
        <color rgb="FF000000"/>
        <rFont val="Noto Sans CJK SC"/>
        <family val="2"/>
      </rPr>
      <t xml:space="preserve">（</t>
    </r>
    <r>
      <rPr>
        <sz val="9.5"/>
        <color rgb="FF000000"/>
        <rFont val="Arial"/>
        <family val="0"/>
        <charset val="1"/>
      </rPr>
      <t xml:space="preserve">Pike County, OH</t>
    </r>
    <r>
      <rPr>
        <sz val="9.5"/>
        <color rgb="FF000000"/>
        <rFont val="Noto Sans CJK SC"/>
        <family val="2"/>
      </rPr>
      <t xml:space="preserve">）</t>
    </r>
  </si>
  <si>
    <t xml:space="preserve">开发中</t>
  </si>
  <si>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首期</t>
    </r>
  </si>
  <si>
    <r>
      <rPr>
        <sz val="9.5"/>
        <color rgb="FF000000"/>
        <rFont val="Arial"/>
        <family val="0"/>
        <charset val="1"/>
      </rPr>
      <t xml:space="preserve">TerraPower</t>
    </r>
    <r>
      <rPr>
        <sz val="9.5"/>
        <color rgb="FF000000"/>
        <rFont val="Noto Sans CJK SC"/>
        <family val="2"/>
      </rPr>
      <t xml:space="preserve">（</t>
    </r>
    <r>
      <rPr>
        <sz val="9.5"/>
        <color rgb="FF000000"/>
        <rFont val="Arial"/>
        <family val="0"/>
        <charset val="1"/>
      </rPr>
      <t xml:space="preserve">2×345 MW Natrium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</si>
  <si>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TerraPower </t>
    </r>
    <r>
      <rPr>
        <sz val="9.5"/>
        <color rgb="FF000000"/>
        <rFont val="Noto Sans CJK SC"/>
        <family val="2"/>
      </rPr>
      <t xml:space="preserve">选择权 </t>
    </r>
    <r>
      <rPr>
        <sz val="9.5"/>
        <color rgb="FF000000"/>
        <rFont val="微软雅黑"/>
        <family val="0"/>
        <charset val="1"/>
      </rPr>
      <t xml:space="preserve">+ </t>
    </r>
    <r>
      <rPr>
        <sz val="9.5"/>
        <color rgb="FF000000"/>
        <rFont val="Noto Sans CJK SC"/>
        <family val="2"/>
      </rPr>
      <t xml:space="preserve">其他扩建</t>
    </r>
  </si>
  <si>
    <r>
      <rPr>
        <sz val="8.5"/>
        <color rgb="FF000000"/>
        <rFont val="Noto Sans CJK SC"/>
        <family val="2"/>
      </rPr>
      <t xml:space="preserve">选择权</t>
    </r>
    <r>
      <rPr>
        <sz val="8.5"/>
        <color rgb="FF000000"/>
        <rFont val="微软雅黑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规划</t>
    </r>
  </si>
  <si>
    <r>
      <rPr>
        <sz val="9.5"/>
        <color rgb="FF000000"/>
        <rFont val="Noto Sans CJK SC"/>
        <family val="2"/>
      </rPr>
      <t xml:space="preserve">至 </t>
    </r>
    <r>
      <rPr>
        <sz val="9.5"/>
        <color rgb="FF000000"/>
        <rFont val="微软雅黑"/>
        <family val="0"/>
        <charset val="1"/>
      </rPr>
      <t xml:space="preserve">2035</t>
    </r>
  </si>
  <si>
    <t xml:space="preserve">合计（最高口径）</t>
  </si>
  <si>
    <t xml:space="preserve">其中：首批已签约（不含选择权）</t>
  </si>
  <si>
    <r>
      <rPr>
        <sz val="9.5"/>
        <color rgb="FF000000"/>
        <rFont val="Noto Sans CJK SC"/>
        <family val="2"/>
      </rPr>
      <t xml:space="preserve">最高口径年发电量（</t>
    </r>
    <r>
      <rPr>
        <sz val="9.5"/>
        <color rgb="FF000000"/>
        <rFont val="微软雅黑"/>
        <family val="0"/>
        <charset val="1"/>
      </rPr>
      <t xml:space="preserve">TWh</t>
    </r>
    <r>
      <rPr>
        <sz val="9.5"/>
        <color rgb="FF000000"/>
        <rFont val="Noto Sans CJK SC"/>
        <family val="2"/>
      </rPr>
      <t xml:space="preserve">，按 </t>
    </r>
    <r>
      <rPr>
        <sz val="9.5"/>
        <color rgb="FF000000"/>
        <rFont val="微软雅黑"/>
        <family val="0"/>
        <charset val="1"/>
      </rPr>
      <t xml:space="preserve">7,884 </t>
    </r>
    <r>
      <rPr>
        <sz val="9.5"/>
        <color rgb="FF000000"/>
        <rFont val="Noto Sans CJK SC"/>
        <family val="2"/>
      </rPr>
      <t xml:space="preserve">小时）</t>
    </r>
  </si>
  <si>
    <r>
      <rPr>
        <sz val="9.5"/>
        <color rgb="FF000000"/>
        <rFont val="Noto Sans CJK SC"/>
        <family val="2"/>
      </rPr>
      <t xml:space="preserve">首批年发电量（</t>
    </r>
    <r>
      <rPr>
        <sz val="9.5"/>
        <color rgb="FF000000"/>
        <rFont val="微软雅黑"/>
        <family val="0"/>
        <charset val="1"/>
      </rPr>
      <t xml:space="preserve">TWh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</si>
  <si>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首批年发电量 </t>
    </r>
    <r>
      <rPr>
        <sz val="9.5"/>
        <color rgb="FF000000"/>
        <rFont val="微软雅黑"/>
        <family val="0"/>
        <charset val="1"/>
      </rPr>
      <t xml:space="preserve">/ Meta 2026 </t>
    </r>
    <r>
      <rPr>
        <sz val="9.5"/>
        <color rgb="FF000000"/>
        <rFont val="Noto Sans CJK SC"/>
        <family val="2"/>
      </rPr>
      <t xml:space="preserve">估算用电</t>
    </r>
  </si>
  <si>
    <r>
      <rPr>
        <sz val="9.5"/>
        <color rgb="FF000000"/>
        <rFont val="Noto Sans CJK SC"/>
        <family val="2"/>
      </rPr>
      <t xml:space="preserve">最高口径年发电量 </t>
    </r>
    <r>
      <rPr>
        <sz val="9.5"/>
        <color rgb="FF000000"/>
        <rFont val="微软雅黑"/>
        <family val="0"/>
        <charset val="1"/>
      </rPr>
      <t xml:space="preserve">/ Meta 2026 </t>
    </r>
    <r>
      <rPr>
        <sz val="9.5"/>
        <color rgb="FF000000"/>
        <rFont val="Noto Sans CJK SC"/>
        <family val="2"/>
      </rPr>
      <t xml:space="preserve">估算用电</t>
    </r>
  </si>
  <si>
    <r>
      <rPr>
        <b val="true"/>
        <sz val="18"/>
        <color rgb="FF1F3864"/>
        <rFont val="Noto Sans CJK SC"/>
        <family val="2"/>
      </rPr>
      <t xml:space="preserve">美国数据中心用电的来源结构：</t>
    </r>
    <r>
      <rPr>
        <b val="true"/>
        <sz val="18"/>
        <color rgb="FF1F3864"/>
        <rFont val="微软雅黑"/>
        <family val="0"/>
        <charset val="1"/>
      </rPr>
      <t xml:space="preserve">2024 vs 2030</t>
    </r>
  </si>
  <si>
    <r>
      <rPr>
        <i val="true"/>
        <sz val="10"/>
        <color rgb="FF595959"/>
        <rFont val="微软雅黑"/>
        <family val="0"/>
        <charset val="1"/>
      </rPr>
      <t xml:space="preserve">2024 </t>
    </r>
    <r>
      <rPr>
        <i val="true"/>
        <sz val="10"/>
        <color rgb="FF595959"/>
        <rFont val="Noto Sans CJK SC"/>
        <family val="2"/>
      </rPr>
      <t xml:space="preserve">年份额来自 </t>
    </r>
    <r>
      <rPr>
        <i val="true"/>
        <sz val="10"/>
        <color rgb="FF595959"/>
        <rFont val="微软雅黑"/>
        <family val="0"/>
        <charset val="1"/>
      </rPr>
      <t xml:space="preserve">IEA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微软雅黑"/>
        <family val="0"/>
        <charset val="1"/>
      </rPr>
      <t xml:space="preserve">2030 </t>
    </r>
    <r>
      <rPr>
        <i val="true"/>
        <sz val="10"/>
        <color rgb="FF595959"/>
        <rFont val="Noto Sans CJK SC"/>
        <family val="2"/>
      </rPr>
      <t xml:space="preserve">年份额为假设（</t>
    </r>
    <r>
      <rPr>
        <i val="true"/>
        <sz val="10"/>
        <color rgb="FF595959"/>
        <rFont val="微软雅黑"/>
        <family val="0"/>
        <charset val="1"/>
      </rPr>
      <t xml:space="preserve">A22–A26</t>
    </r>
    <r>
      <rPr>
        <i val="true"/>
        <sz val="10"/>
        <color rgb="FF595959"/>
        <rFont val="Noto Sans CJK SC"/>
        <family val="2"/>
      </rPr>
      <t xml:space="preserve">）。</t>
    </r>
    <r>
      <rPr>
        <i val="true"/>
        <sz val="10"/>
        <color rgb="FF595959"/>
        <rFont val="微软雅黑"/>
        <family val="0"/>
        <charset val="1"/>
      </rPr>
      <t xml:space="preserve">TWh </t>
    </r>
    <r>
      <rPr>
        <i val="true"/>
        <sz val="10"/>
        <color rgb="FF595959"/>
        <rFont val="Noto Sans CJK SC"/>
        <family val="2"/>
      </rPr>
      <t xml:space="preserve">由美国数据中心总用电量乘以份额得到。</t>
    </r>
  </si>
  <si>
    <r>
      <rPr>
        <b val="true"/>
        <sz val="9.5"/>
        <color rgb="FF000000"/>
        <rFont val="Noto Sans CJK SC"/>
        <family val="2"/>
      </rPr>
      <t xml:space="preserve">美国数据中心用电（</t>
    </r>
    <r>
      <rPr>
        <b val="true"/>
        <sz val="9.5"/>
        <color rgb="FF000000"/>
        <rFont val="微软雅黑"/>
        <family val="0"/>
        <charset val="1"/>
      </rPr>
      <t xml:space="preserve">TWh</t>
    </r>
    <r>
      <rPr>
        <b val="true"/>
        <sz val="9.5"/>
        <color rgb="FF000000"/>
        <rFont val="Noto Sans CJK SC"/>
        <family val="2"/>
      </rPr>
      <t xml:space="preserve">）</t>
    </r>
  </si>
  <si>
    <t xml:space="preserve">2024</t>
  </si>
  <si>
    <t xml:space="preserve">2030</t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</si>
  <si>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&gt;40%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年假设 </t>
    </r>
    <r>
      <rPr>
        <sz val="8.5"/>
        <color rgb="FF000000"/>
        <rFont val="微软雅黑"/>
        <family val="0"/>
        <charset val="1"/>
      </rPr>
      <t xml:space="preserve">46%</t>
    </r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</si>
  <si>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24%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年假设 </t>
    </r>
    <r>
      <rPr>
        <sz val="8.5"/>
        <color rgb="FF000000"/>
        <rFont val="微软雅黑"/>
        <family val="0"/>
        <charset val="1"/>
      </rPr>
      <t xml:space="preserve">33%</t>
    </r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</si>
  <si>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年约 </t>
    </r>
    <r>
      <rPr>
        <sz val="8.5"/>
        <color rgb="FF000000"/>
        <rFont val="微软雅黑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年假设维持 </t>
    </r>
    <r>
      <rPr>
        <sz val="8.5"/>
        <color rgb="FF000000"/>
        <rFont val="微软雅黑"/>
        <family val="0"/>
        <charset val="1"/>
      </rPr>
      <t xml:space="preserve">20%</t>
    </r>
  </si>
  <si>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年约 </t>
    </r>
    <r>
      <rPr>
        <sz val="8.5"/>
        <color rgb="FF000000"/>
        <rFont val="微软雅黑"/>
        <family val="0"/>
        <charset val="1"/>
      </rPr>
      <t xml:space="preserve">15%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年假设降至 </t>
    </r>
    <r>
      <rPr>
        <sz val="8.5"/>
        <color rgb="FF000000"/>
        <rFont val="微软雅黑"/>
        <family val="0"/>
        <charset val="1"/>
      </rPr>
      <t xml:space="preserve">1%</t>
    </r>
  </si>
  <si>
    <r>
      <rPr>
        <sz val="9.5"/>
        <color rgb="FF000000"/>
        <rFont val="Noto Sans CJK SC"/>
        <family val="2"/>
      </rPr>
      <t xml:space="preserve">校验：</t>
    </r>
    <r>
      <rPr>
        <sz val="9.5"/>
        <color rgb="FF000000"/>
        <rFont val="微软雅黑"/>
        <family val="0"/>
        <charset val="1"/>
      </rPr>
      <t xml:space="preserve">2024 </t>
    </r>
    <r>
      <rPr>
        <sz val="9.5"/>
        <color rgb="FF000000"/>
        <rFont val="Noto Sans CJK SC"/>
        <family val="2"/>
      </rPr>
      <t xml:space="preserve">份额合计</t>
    </r>
  </si>
  <si>
    <r>
      <rPr>
        <sz val="9.5"/>
        <color rgb="FF000000"/>
        <rFont val="Noto Sans CJK SC"/>
        <family val="2"/>
      </rPr>
      <t xml:space="preserve">校验：</t>
    </r>
    <r>
      <rPr>
        <sz val="9.5"/>
        <color rgb="FF000000"/>
        <rFont val="微软雅黑"/>
        <family val="0"/>
        <charset val="1"/>
      </rPr>
      <t xml:space="preserve">2030 </t>
    </r>
    <r>
      <rPr>
        <sz val="9.5"/>
        <color rgb="FF000000"/>
        <rFont val="Noto Sans CJK SC"/>
        <family val="2"/>
      </rPr>
      <t xml:space="preserve">份额合计</t>
    </r>
  </si>
  <si>
    <r>
      <rPr>
        <sz val="9.5"/>
        <color rgb="FF000000"/>
        <rFont val="Noto Sans CJK SC"/>
        <family val="2"/>
      </rPr>
      <t xml:space="preserve">气电增量（</t>
    </r>
    <r>
      <rPr>
        <sz val="9.5"/>
        <color rgb="FF000000"/>
        <rFont val="微软雅黑"/>
        <family val="0"/>
        <charset val="1"/>
      </rPr>
      <t xml:space="preserve">IEA </t>
    </r>
    <r>
      <rPr>
        <sz val="9.5"/>
        <color rgb="FF000000"/>
        <rFont val="Noto Sans CJK SC"/>
        <family val="2"/>
      </rPr>
      <t xml:space="preserve">口径 </t>
    </r>
    <r>
      <rPr>
        <sz val="9.5"/>
        <color rgb="FF000000"/>
        <rFont val="微软雅黑"/>
        <family val="0"/>
        <charset val="1"/>
      </rPr>
      <t xml:space="preserve">+130 TWh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</si>
  <si>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可再生增量（</t>
    </r>
    <r>
      <rPr>
        <sz val="9.5"/>
        <color rgb="FF000000"/>
        <rFont val="微软雅黑"/>
        <family val="0"/>
        <charset val="1"/>
      </rPr>
      <t xml:space="preserve">IEA </t>
    </r>
    <r>
      <rPr>
        <sz val="9.5"/>
        <color rgb="FF000000"/>
        <rFont val="Noto Sans CJK SC"/>
        <family val="2"/>
      </rPr>
      <t xml:space="preserve">口径 </t>
    </r>
    <r>
      <rPr>
        <sz val="9.5"/>
        <color rgb="FF000000"/>
        <rFont val="微软雅黑"/>
        <family val="0"/>
        <charset val="1"/>
      </rPr>
      <t xml:space="preserve">+110 TWh</t>
    </r>
    <r>
      <rPr>
        <sz val="9.5"/>
        <color rgb="FF000000"/>
        <rFont val="Noto Sans CJK SC"/>
        <family val="2"/>
      </rPr>
      <t xml:space="preserve">）</t>
    </r>
  </si>
  <si>
    <r>
      <rPr>
        <b val="true"/>
        <sz val="18"/>
        <color rgb="FF1F3864"/>
        <rFont val="Noto Sans CJK SC"/>
        <family val="2"/>
      </rPr>
      <t xml:space="preserve">新建电源的平准化度电成本（</t>
    </r>
    <r>
      <rPr>
        <b val="true"/>
        <sz val="18"/>
        <color rgb="FF1F3864"/>
        <rFont val="微软雅黑"/>
        <family val="0"/>
        <charset val="1"/>
      </rPr>
      <t xml:space="preserve">LCOE</t>
    </r>
    <r>
      <rPr>
        <b val="true"/>
        <sz val="18"/>
        <color rgb="FF1F3864"/>
        <rFont val="Noto Sans CJK SC"/>
        <family val="2"/>
      </rPr>
      <t xml:space="preserve">）与核电 </t>
    </r>
    <r>
      <rPr>
        <b val="true"/>
        <sz val="18"/>
        <color rgb="FF1F3864"/>
        <rFont val="微软雅黑"/>
        <family val="0"/>
        <charset val="1"/>
      </rPr>
      <t xml:space="preserve">PPA </t>
    </r>
    <r>
      <rPr>
        <b val="true"/>
        <sz val="18"/>
        <color rgb="FF1F3864"/>
        <rFont val="Noto Sans CJK SC"/>
        <family val="2"/>
      </rPr>
      <t xml:space="preserve">价格</t>
    </r>
  </si>
  <si>
    <r>
      <rPr>
        <i val="true"/>
        <sz val="10"/>
        <color rgb="FF595959"/>
        <rFont val="微软雅黑"/>
        <family val="0"/>
        <charset val="1"/>
      </rPr>
      <t xml:space="preserve">Lazard 2026 </t>
    </r>
    <r>
      <rPr>
        <i val="true"/>
        <sz val="10"/>
        <color rgb="FF595959"/>
        <rFont val="Noto Sans CJK SC"/>
        <family val="2"/>
      </rPr>
      <t xml:space="preserve">版 </t>
    </r>
    <r>
      <rPr>
        <i val="true"/>
        <sz val="10"/>
        <color rgb="FF595959"/>
        <rFont val="微软雅黑"/>
        <family val="0"/>
        <charset val="1"/>
      </rPr>
      <t xml:space="preserve">LCOE+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微软雅黑"/>
        <family val="0"/>
        <charset val="1"/>
      </rPr>
      <t xml:space="preserve">v19.0</t>
    </r>
    <r>
      <rPr>
        <i val="true"/>
        <sz val="10"/>
        <color rgb="FF595959"/>
        <rFont val="Noto Sans CJK SC"/>
        <family val="2"/>
      </rPr>
      <t xml:space="preserve">），未补贴、</t>
    </r>
    <r>
      <rPr>
        <i val="true"/>
        <sz val="10"/>
        <color rgb="FF595959"/>
        <rFont val="微软雅黑"/>
        <family val="0"/>
        <charset val="1"/>
      </rPr>
      <t xml:space="preserve">60% </t>
    </r>
    <r>
      <rPr>
        <i val="true"/>
        <sz val="10"/>
        <color rgb="FF595959"/>
        <rFont val="Noto Sans CJK SC"/>
        <family val="2"/>
      </rPr>
      <t xml:space="preserve">债务</t>
    </r>
    <r>
      <rPr>
        <i val="true"/>
        <sz val="10"/>
        <color rgb="FF595959"/>
        <rFont val="微软雅黑"/>
        <family val="0"/>
        <charset val="1"/>
      </rPr>
      <t xml:space="preserve">/40% </t>
    </r>
    <r>
      <rPr>
        <i val="true"/>
        <sz val="10"/>
        <color rgb="FF595959"/>
        <rFont val="Noto Sans CJK SC"/>
        <family val="2"/>
      </rPr>
      <t xml:space="preserve">权益、税后 </t>
    </r>
    <r>
      <rPr>
        <i val="true"/>
        <sz val="10"/>
        <color rgb="FF595959"/>
        <rFont val="微软雅黑"/>
        <family val="0"/>
        <charset val="1"/>
      </rPr>
      <t xml:space="preserve">IRR 7.7%</t>
    </r>
    <r>
      <rPr>
        <i val="true"/>
        <sz val="10"/>
        <color rgb="FF595959"/>
        <rFont val="Noto Sans CJK SC"/>
        <family val="2"/>
      </rPr>
      <t xml:space="preserve">。核电为 </t>
    </r>
    <r>
      <rPr>
        <i val="true"/>
        <sz val="10"/>
        <color rgb="FF595959"/>
        <rFont val="微软雅黑"/>
        <family val="0"/>
        <charset val="1"/>
      </rPr>
      <t xml:space="preserve">Vogtle </t>
    </r>
    <r>
      <rPr>
        <i val="true"/>
        <sz val="10"/>
        <color rgb="FF595959"/>
        <rFont val="Noto Sans CJK SC"/>
        <family val="2"/>
      </rPr>
      <t xml:space="preserve">口径的新建成本。</t>
    </r>
  </si>
  <si>
    <t xml:space="preserve">技术</t>
  </si>
  <si>
    <r>
      <rPr>
        <b val="true"/>
        <sz val="9.5"/>
        <color rgb="FFFFFFFF"/>
        <rFont val="Noto Sans CJK SC"/>
        <family val="2"/>
      </rPr>
      <t xml:space="preserve">低（美元</t>
    </r>
    <r>
      <rPr>
        <b val="true"/>
        <sz val="9.5"/>
        <color rgb="FFFFFFFF"/>
        <rFont val="微软雅黑"/>
        <family val="0"/>
        <charset val="1"/>
      </rPr>
      <t xml:space="preserve">/MWh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</si>
  <si>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高（美元</t>
    </r>
    <r>
      <rPr>
        <b val="true"/>
        <sz val="9.5"/>
        <color rgb="FFFFFFFF"/>
        <rFont val="微软雅黑"/>
        <family val="0"/>
        <charset val="1"/>
      </rPr>
      <t xml:space="preserve">/MWh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</si>
  <si>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中值</t>
  </si>
  <si>
    <t xml:space="preserve">光伏（公用事业规模）</t>
  </si>
  <si>
    <r>
      <rPr>
        <sz val="7.8"/>
        <color rgb="FF404040"/>
        <rFont val="微软雅黑"/>
        <family val="0"/>
        <charset val="1"/>
      </rPr>
      <t xml:space="preserve">S16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Lazard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2026-06</t>
    </r>
  </si>
  <si>
    <r>
      <rPr>
        <sz val="8.5"/>
        <color rgb="FF000000"/>
        <rFont val="微软雅黑"/>
        <family val="0"/>
        <charset val="1"/>
      </rPr>
      <t xml:space="preserve">Lazard 2026 v19.0</t>
    </r>
    <r>
      <rPr>
        <sz val="8.5"/>
        <color rgb="FF000000"/>
        <rFont val="Noto Sans CJK SC"/>
        <family val="2"/>
      </rPr>
      <t xml:space="preserve">，未补贴、</t>
    </r>
    <r>
      <rPr>
        <sz val="8.5"/>
        <color rgb="FF000000"/>
        <rFont val="微软雅黑"/>
        <family val="0"/>
        <charset val="1"/>
      </rPr>
      <t xml:space="preserve">60% </t>
    </r>
    <r>
      <rPr>
        <sz val="8.5"/>
        <color rgb="FF000000"/>
        <rFont val="Noto Sans CJK SC"/>
        <family val="2"/>
      </rPr>
      <t xml:space="preserve">债务</t>
    </r>
    <r>
      <rPr>
        <sz val="8.5"/>
        <color rgb="FF000000"/>
        <rFont val="微软雅黑"/>
        <family val="0"/>
        <charset val="1"/>
      </rPr>
      <t xml:space="preserve">/40% </t>
    </r>
    <r>
      <rPr>
        <sz val="8.5"/>
        <color rgb="FF000000"/>
        <rFont val="Noto Sans CJK SC"/>
        <family val="2"/>
      </rPr>
      <t xml:space="preserve">权益</t>
    </r>
  </si>
  <si>
    <t xml:space="preserve">陆上风电</t>
  </si>
  <si>
    <r>
      <rPr>
        <sz val="9.5"/>
        <color rgb="FF000000"/>
        <rFont val="Noto Sans CJK SC"/>
        <family val="2"/>
      </rPr>
      <t xml:space="preserve">燃气联合循环（</t>
    </r>
    <r>
      <rPr>
        <sz val="9.5"/>
        <color rgb="FF000000"/>
        <rFont val="微软雅黑"/>
        <family val="0"/>
        <charset val="1"/>
      </rPr>
      <t xml:space="preserve">CCGT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</si>
  <si>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同上；燃气价格 </t>
    </r>
    <r>
      <rPr>
        <sz val="8.5"/>
        <color rgb="FF000000"/>
        <rFont val="微软雅黑"/>
        <family val="0"/>
        <charset val="1"/>
      </rPr>
      <t xml:space="preserve">3.45 </t>
    </r>
    <r>
      <rPr>
        <sz val="8.5"/>
        <color rgb="FF000000"/>
        <rFont val="Noto Sans CJK SC"/>
        <family val="2"/>
      </rPr>
      <t xml:space="preserve">美元</t>
    </r>
    <r>
      <rPr>
        <sz val="8.5"/>
        <color rgb="FF000000"/>
        <rFont val="微软雅黑"/>
        <family val="0"/>
        <charset val="1"/>
      </rPr>
      <t xml:space="preserve">/MMBtu</t>
    </r>
  </si>
  <si>
    <r>
      <rPr>
        <sz val="9.5"/>
        <color rgb="FF000000"/>
        <rFont val="Noto Sans CJK SC"/>
        <family val="2"/>
      </rPr>
      <t xml:space="preserve">核电（新建，</t>
    </r>
    <r>
      <rPr>
        <sz val="9.5"/>
        <color rgb="FF000000"/>
        <rFont val="微软雅黑"/>
        <family val="0"/>
        <charset val="1"/>
      </rPr>
      <t xml:space="preserve">Vogtle </t>
    </r>
    <r>
      <rPr>
        <sz val="9.5"/>
        <color rgb="FF000000"/>
        <rFont val="Noto Sans CJK SC"/>
        <family val="2"/>
      </rPr>
      <t xml:space="preserve">口径）</t>
    </r>
  </si>
  <si>
    <r>
      <rPr>
        <sz val="8.5"/>
        <color rgb="FF000000"/>
        <rFont val="Noto Sans CJK SC"/>
        <family val="2"/>
      </rPr>
      <t xml:space="preserve">同上；基于 </t>
    </r>
    <r>
      <rPr>
        <sz val="8.5"/>
        <color rgb="FF000000"/>
        <rFont val="微软雅黑"/>
        <family val="0"/>
        <charset val="1"/>
      </rPr>
      <t xml:space="preserve">Vogtle 3&amp;4 </t>
    </r>
    <r>
      <rPr>
        <sz val="8.5"/>
        <color rgb="FF000000"/>
        <rFont val="Noto Sans CJK SC"/>
        <family val="2"/>
      </rPr>
      <t xml:space="preserve">公开成本</t>
    </r>
  </si>
  <si>
    <t xml:space="preserve">燃气调峰</t>
  </si>
  <si>
    <t xml:space="preserve">同上；不含运输与储存</t>
  </si>
  <si>
    <r>
      <rPr>
        <b val="true"/>
        <sz val="11"/>
        <color rgb="FFFFFFFF"/>
        <rFont val="Noto Sans CJK SC"/>
        <family val="2"/>
      </rPr>
      <t xml:space="preserve">核电 </t>
    </r>
    <r>
      <rPr>
        <b val="true"/>
        <sz val="11"/>
        <color rgb="FFFFFFFF"/>
        <rFont val="微软雅黑"/>
        <family val="0"/>
        <charset val="1"/>
      </rPr>
      <t xml:space="preserve">PPA </t>
    </r>
    <r>
      <rPr>
        <b val="true"/>
        <sz val="11"/>
        <color rgb="FFFFFFFF"/>
        <rFont val="Noto Sans CJK SC"/>
        <family val="2"/>
      </rPr>
      <t xml:space="preserve">价格（分析师估算，非公司披露）</t>
    </r>
  </si>
  <si>
    <t xml:space="preserve">交易</t>
  </si>
  <si>
    <t xml:space="preserve">Meta–Constellation Clinton</t>
  </si>
  <si>
    <t xml:space="preserve">分析师估算</t>
  </si>
  <si>
    <r>
      <rPr>
        <sz val="8.5"/>
        <color rgb="FF000000"/>
        <rFont val="微软雅黑"/>
        <family val="0"/>
        <charset val="1"/>
      </rPr>
      <t xml:space="preserve">Jefferies</t>
    </r>
    <r>
      <rPr>
        <sz val="8.5"/>
        <color rgb="FF000000"/>
        <rFont val="Noto Sans CJK SC"/>
        <family val="2"/>
      </rPr>
      <t xml:space="preserve">：运营中的核电站，价格低于重启项目</t>
    </r>
  </si>
  <si>
    <t xml:space="preserve">Microsoft–Constellation Crane</t>
  </si>
  <si>
    <t xml:space="preserve">分析师估算下限</t>
  </si>
  <si>
    <r>
      <rPr>
        <sz val="8.5"/>
        <color rgb="FF000000"/>
        <rFont val="微软雅黑"/>
        <family val="0"/>
        <charset val="1"/>
      </rPr>
      <t xml:space="preserve">Jefferies</t>
    </r>
    <r>
      <rPr>
        <sz val="8.5"/>
        <color rgb="FF000000"/>
        <rFont val="Noto Sans CJK SC"/>
        <family val="2"/>
      </rPr>
      <t xml:space="preserve">：至少 </t>
    </r>
    <r>
      <rPr>
        <sz val="8.5"/>
        <color rgb="FF000000"/>
        <rFont val="微软雅黑"/>
        <family val="0"/>
        <charset val="1"/>
      </rPr>
      <t xml:space="preserve">110 </t>
    </r>
    <r>
      <rPr>
        <sz val="8.5"/>
        <color rgb="FF000000"/>
        <rFont val="Noto Sans CJK SC"/>
        <family val="2"/>
      </rPr>
      <t xml:space="preserve">美元</t>
    </r>
    <r>
      <rPr>
        <sz val="8.5"/>
        <color rgb="FF000000"/>
        <rFont val="微软雅黑"/>
        <family val="0"/>
        <charset val="1"/>
      </rPr>
      <t xml:space="preserve">/MWh</t>
    </r>
    <r>
      <rPr>
        <sz val="8.5"/>
        <color rgb="FF000000"/>
        <rFont val="Noto Sans CJK SC"/>
        <family val="2"/>
      </rPr>
      <t xml:space="preserve">；重启资本开支约 </t>
    </r>
    <r>
      <rPr>
        <sz val="8.5"/>
        <color rgb="FF000000"/>
        <rFont val="微软雅黑"/>
        <family val="0"/>
        <charset val="1"/>
      </rPr>
      <t xml:space="preserve">16 </t>
    </r>
    <r>
      <rPr>
        <sz val="8.5"/>
        <color rgb="FF000000"/>
        <rFont val="Noto Sans CJK SC"/>
        <family val="2"/>
      </rPr>
      <t xml:space="preserve">亿美元</t>
    </r>
  </si>
  <si>
    <r>
      <rPr>
        <sz val="9.5"/>
        <color rgb="FF000000"/>
        <rFont val="Noto Sans CJK SC"/>
        <family val="2"/>
      </rPr>
      <t xml:space="preserve">新建核电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 </t>
    </r>
    <r>
      <rPr>
        <sz val="9.5"/>
        <color rgb="FF000000"/>
        <rFont val="微软雅黑"/>
        <family val="0"/>
        <charset val="1"/>
      </rPr>
      <t xml:space="preserve">/ Meta PPA </t>
    </r>
    <r>
      <rPr>
        <sz val="9.5"/>
        <color rgb="FF000000"/>
        <rFont val="Noto Sans CJK SC"/>
        <family val="2"/>
      </rPr>
      <t xml:space="preserve">价格</t>
    </r>
  </si>
  <si>
    <r>
      <rPr>
        <sz val="9.5"/>
        <color rgb="FF000000"/>
        <rFont val="Noto Sans CJK SC"/>
        <family val="2"/>
      </rPr>
      <t xml:space="preserve">新建核电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 </t>
    </r>
    <r>
      <rPr>
        <sz val="9.5"/>
        <color rgb="FF000000"/>
        <rFont val="微软雅黑"/>
        <family val="0"/>
        <charset val="1"/>
      </rPr>
      <t xml:space="preserve">- Meta PPA</t>
    </r>
    <r>
      <rPr>
        <sz val="9.5"/>
        <color rgb="FF000000"/>
        <rFont val="Noto Sans CJK SC"/>
        <family val="2"/>
      </rPr>
      <t xml:space="preserve">（美元</t>
    </r>
    <r>
      <rPr>
        <sz val="9.5"/>
        <color rgb="FF000000"/>
        <rFont val="微软雅黑"/>
        <family val="0"/>
        <charset val="1"/>
      </rPr>
      <t xml:space="preserve">/MWh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</si>
  <si>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新建核电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 </t>
    </r>
    <r>
      <rPr>
        <sz val="9.5"/>
        <color rgb="FF000000"/>
        <rFont val="微软雅黑"/>
        <family val="0"/>
        <charset val="1"/>
      </rPr>
      <t xml:space="preserve">- Microsoft PPA</t>
    </r>
    <r>
      <rPr>
        <sz val="9.5"/>
        <color rgb="FF000000"/>
        <rFont val="Noto Sans CJK SC"/>
        <family val="2"/>
      </rPr>
      <t xml:space="preserve">（美元</t>
    </r>
    <r>
      <rPr>
        <sz val="9.5"/>
        <color rgb="FF000000"/>
        <rFont val="微软雅黑"/>
        <family val="0"/>
        <charset val="1"/>
      </rPr>
      <t xml:space="preserve">/MWh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</si>
  <si>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光伏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核电 </t>
    </r>
    <r>
      <rPr>
        <sz val="9.5"/>
        <color rgb="FF000000"/>
        <rFont val="微软雅黑"/>
        <family val="0"/>
        <charset val="1"/>
      </rPr>
      <t xml:space="preserve">LCOE </t>
    </r>
    <r>
      <rPr>
        <sz val="9.5"/>
        <color rgb="FF000000"/>
        <rFont val="Noto Sans CJK SC"/>
        <family val="2"/>
      </rPr>
      <t xml:space="preserve">中值</t>
    </r>
  </si>
  <si>
    <t xml:space="preserve">主要聚变公司：融资、时间表与科技公司购电协议</t>
  </si>
  <si>
    <r>
      <rPr>
        <i val="true"/>
        <sz val="10"/>
        <color rgb="FF595959"/>
        <rFont val="Noto Sans CJK SC"/>
        <family val="2"/>
      </rPr>
      <t xml:space="preserve">融资单位：百万美元；</t>
    </r>
    <r>
      <rPr>
        <i val="true"/>
        <sz val="10"/>
        <color rgb="FF595959"/>
        <rFont val="微软雅黑"/>
        <family val="0"/>
        <charset val="1"/>
      </rPr>
      <t xml:space="preserve">Proxima </t>
    </r>
    <r>
      <rPr>
        <i val="true"/>
        <sz val="10"/>
        <color rgb="FF595959"/>
        <rFont val="Noto Sans CJK SC"/>
        <family val="2"/>
      </rPr>
      <t xml:space="preserve">的欧元融资按 </t>
    </r>
    <r>
      <rPr>
        <i val="true"/>
        <sz val="10"/>
        <color rgb="FF595959"/>
        <rFont val="微软雅黑"/>
        <family val="0"/>
        <charset val="1"/>
      </rPr>
      <t xml:space="preserve">1.08 </t>
    </r>
    <r>
      <rPr>
        <i val="true"/>
        <sz val="10"/>
        <color rgb="FF595959"/>
        <rFont val="Noto Sans CJK SC"/>
        <family val="2"/>
      </rPr>
      <t xml:space="preserve">折算为美元（</t>
    </r>
    <r>
      <rPr>
        <i val="true"/>
        <sz val="10"/>
        <color rgb="FF595959"/>
        <rFont val="微软雅黑"/>
        <family val="0"/>
        <charset val="1"/>
      </rPr>
      <t xml:space="preserve">A31</t>
    </r>
    <r>
      <rPr>
        <i val="true"/>
        <sz val="10"/>
        <color rgb="FF595959"/>
        <rFont val="Noto Sans CJK SC"/>
        <family val="2"/>
      </rPr>
      <t xml:space="preserve">）。估值为最近一轮投后估值或并购对价，未披露留空。</t>
    </r>
  </si>
  <si>
    <t xml:space="preserve">国家</t>
  </si>
  <si>
    <t xml:space="preserve">技术路线</t>
  </si>
  <si>
    <t xml:space="preserve">累计融资（百万美元）</t>
  </si>
  <si>
    <t xml:space="preserve">估值（百万美元）</t>
  </si>
  <si>
    <r>
      <rPr>
        <b val="true"/>
        <sz val="9.5"/>
        <color rgb="FFFFFFFF"/>
        <rFont val="Noto Sans CJK SC"/>
        <family val="2"/>
      </rPr>
      <t xml:space="preserve">目标装机（</t>
    </r>
    <r>
      <rPr>
        <b val="true"/>
        <sz val="9.5"/>
        <color rgb="FFFFFFFF"/>
        <rFont val="微软雅黑"/>
        <family val="0"/>
        <charset val="1"/>
      </rPr>
      <t xml:space="preserve">MW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</si>
  <si>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并网</t>
    </r>
    <r>
      <rPr>
        <b val="true"/>
        <sz val="9.5"/>
        <color rgb="FFFFFFFF"/>
        <rFont val="微软雅黑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供电时间</t>
    </r>
  </si>
  <si>
    <r>
      <rPr>
        <b val="true"/>
        <sz val="9.5"/>
        <color rgb="FFFFFFFF"/>
        <rFont val="Noto Sans CJK SC"/>
        <family val="2"/>
      </rPr>
      <t xml:space="preserve">已签 </t>
    </r>
    <r>
      <rPr>
        <b val="true"/>
        <sz val="9.5"/>
        <color rgb="FFFFFFFF"/>
        <rFont val="微软雅黑"/>
        <family val="0"/>
        <charset val="1"/>
      </rPr>
      <t xml:space="preserve">PPA</t>
    </r>
    <r>
      <rPr>
        <b val="true"/>
        <sz val="9.5"/>
        <color rgb="FFFFFFFF"/>
        <rFont val="Noto Sans CJK SC"/>
        <family val="2"/>
      </rPr>
      <t xml:space="preserve">（</t>
    </r>
    <r>
      <rPr>
        <b val="true"/>
        <sz val="9.5"/>
        <color rgb="FFFFFFFF"/>
        <rFont val="微软雅黑"/>
        <family val="0"/>
        <charset val="1"/>
      </rPr>
      <t xml:space="preserve">MW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</si>
  <si>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科技公司购电方</t>
  </si>
  <si>
    <t xml:space="preserve">Commonwealth Fusion Systems (CFS)</t>
  </si>
  <si>
    <t xml:space="preserve">高温超导托卡马克</t>
  </si>
  <si>
    <r>
      <rPr>
        <sz val="8.5"/>
        <color rgb="FF000000"/>
        <rFont val="微软雅黑"/>
        <family val="0"/>
        <charset val="1"/>
      </rPr>
      <t xml:space="preserve">Google 200 MW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Eni &gt;10 </t>
    </r>
    <r>
      <rPr>
        <sz val="8.5"/>
        <color rgb="FF000000"/>
        <rFont val="Noto Sans CJK SC"/>
        <family val="2"/>
      </rPr>
      <t xml:space="preserve">亿美元</t>
    </r>
  </si>
  <si>
    <r>
      <rPr>
        <sz val="7.8"/>
        <color rgb="FF404040"/>
        <rFont val="微软雅黑"/>
        <family val="0"/>
        <charset val="1"/>
      </rPr>
      <t xml:space="preserve">S11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CFS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2025-06-30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S12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ESG Today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2026-07-31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S25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NNN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2026-10-22</t>
    </r>
  </si>
  <si>
    <r>
      <rPr>
        <sz val="8.5"/>
        <color rgb="FF000000"/>
        <rFont val="微软雅黑"/>
        <family val="0"/>
        <charset val="1"/>
      </rPr>
      <t xml:space="preserve">SPARC </t>
    </r>
    <r>
      <rPr>
        <sz val="8.5"/>
        <color rgb="FF000000"/>
        <rFont val="Noto Sans CJK SC"/>
        <family val="2"/>
      </rPr>
      <t xml:space="preserve">约 </t>
    </r>
    <r>
      <rPr>
        <sz val="8.5"/>
        <color rgb="FF000000"/>
        <rFont val="微软雅黑"/>
        <family val="0"/>
        <charset val="1"/>
      </rPr>
      <t xml:space="preserve">80% </t>
    </r>
    <r>
      <rPr>
        <sz val="8.5"/>
        <color rgb="FF000000"/>
        <rFont val="Noto Sans CJK SC"/>
        <family val="2"/>
      </rPr>
      <t xml:space="preserve">完成，首次等离子体目标 </t>
    </r>
    <r>
      <rPr>
        <sz val="8.5"/>
        <color rgb="FF000000"/>
        <rFont val="微软雅黑"/>
        <family val="0"/>
        <charset val="1"/>
      </rPr>
      <t xml:space="preserve">2027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ARC 400 MW </t>
    </r>
    <r>
      <rPr>
        <sz val="8.5"/>
        <color rgb="FF000000"/>
        <rFont val="Noto Sans CJK SC"/>
        <family val="2"/>
      </rPr>
      <t xml:space="preserve">落地弗吉尼亚 </t>
    </r>
    <r>
      <rPr>
        <sz val="8.5"/>
        <color rgb="FF000000"/>
        <rFont val="微软雅黑"/>
        <family val="0"/>
        <charset val="1"/>
      </rPr>
      <t xml:space="preserve">Chesterfield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2026-04 </t>
    </r>
    <r>
      <rPr>
        <sz val="8.5"/>
        <color rgb="FF000000"/>
        <rFont val="Noto Sans CJK SC"/>
        <family val="2"/>
      </rPr>
      <t xml:space="preserve">提交 </t>
    </r>
    <r>
      <rPr>
        <sz val="8.5"/>
        <color rgb="FF000000"/>
        <rFont val="微软雅黑"/>
        <family val="0"/>
        <charset val="1"/>
      </rPr>
      <t xml:space="preserve">PJM </t>
    </r>
    <r>
      <rPr>
        <sz val="8.5"/>
        <color rgb="FF000000"/>
        <rFont val="Noto Sans CJK SC"/>
        <family val="2"/>
      </rPr>
      <t xml:space="preserve">并网申请</t>
    </r>
  </si>
  <si>
    <t xml:space="preserve">Helion Energy</t>
  </si>
  <si>
    <r>
      <rPr>
        <sz val="9.5"/>
        <color rgb="FF000000"/>
        <rFont val="Noto Sans CJK SC"/>
        <family val="2"/>
      </rPr>
      <t xml:space="preserve">场反位形（</t>
    </r>
    <r>
      <rPr>
        <sz val="9.5"/>
        <color rgb="FF000000"/>
        <rFont val="微软雅黑"/>
        <family val="0"/>
        <charset val="1"/>
      </rPr>
      <t xml:space="preserve">FRC</t>
    </r>
    <r>
      <rPr>
        <sz val="9.5"/>
        <color rgb="FF000000"/>
        <rFont val="Noto Sans CJK SC"/>
        <family val="2"/>
      </rPr>
      <t xml:space="preserve">）</t>
    </r>
  </si>
  <si>
    <t xml:space="preserve">2028</t>
  </si>
  <si>
    <t xml:space="preserve">Microsoft 50 MW</t>
  </si>
  <si>
    <r>
      <rPr>
        <sz val="7.8"/>
        <color rgb="FF404040"/>
        <rFont val="微软雅黑"/>
        <family val="0"/>
        <charset val="1"/>
      </rPr>
      <t xml:space="preserve">S13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Helion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2026-06-04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S14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Reuters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2023-05-10</t>
    </r>
    <r>
      <rPr>
        <sz val="7.8"/>
        <color rgb="FF404040"/>
        <rFont val="Noto Sans CJK SC"/>
        <family val="2"/>
      </rPr>
      <t xml:space="preserve">；</t>
    </r>
    <r>
      <rPr>
        <sz val="7.8"/>
        <color rgb="FF404040"/>
        <rFont val="微软雅黑"/>
        <family val="0"/>
        <charset val="1"/>
      </rPr>
      <t xml:space="preserve">S25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NNN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2026-10-22</t>
    </r>
  </si>
  <si>
    <r>
      <rPr>
        <sz val="8.5"/>
        <color rgb="FF000000"/>
        <rFont val="微软雅黑"/>
        <family val="0"/>
        <charset val="1"/>
      </rPr>
      <t xml:space="preserve">Polaris </t>
    </r>
    <r>
      <rPr>
        <sz val="8.5"/>
        <color rgb="FF000000"/>
        <rFont val="Noto Sans CJK SC"/>
        <family val="2"/>
      </rPr>
      <t xml:space="preserve">实现 </t>
    </r>
    <r>
      <rPr>
        <sz val="8.5"/>
        <color rgb="FF000000"/>
        <rFont val="微软雅黑"/>
        <family val="0"/>
        <charset val="1"/>
      </rPr>
      <t xml:space="preserve">D-T </t>
    </r>
    <r>
      <rPr>
        <sz val="8.5"/>
        <color rgb="FF000000"/>
        <rFont val="Noto Sans CJK SC"/>
        <family val="2"/>
      </rPr>
      <t xml:space="preserve">运行、等离子体 </t>
    </r>
    <r>
      <rPr>
        <sz val="8.5"/>
        <color rgb="FF000000"/>
        <rFont val="微软雅黑"/>
        <family val="0"/>
        <charset val="1"/>
      </rPr>
      <t xml:space="preserve">&gt;1.5 </t>
    </r>
    <r>
      <rPr>
        <sz val="8.5"/>
        <color rgb="FF000000"/>
        <rFont val="Noto Sans CJK SC"/>
        <family val="2"/>
      </rPr>
      <t xml:space="preserve">亿</t>
    </r>
    <r>
      <rPr>
        <sz val="8.5"/>
        <color rgb="FF000000"/>
        <rFont val="微软雅黑"/>
        <family val="0"/>
        <charset val="1"/>
      </rPr>
      <t xml:space="preserve">°C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软雅黑"/>
        <family val="0"/>
        <charset val="1"/>
      </rPr>
      <t xml:space="preserve">Orion 50 MW </t>
    </r>
    <r>
      <rPr>
        <sz val="8.5"/>
        <color rgb="FF000000"/>
        <rFont val="Noto Sans CJK SC"/>
        <family val="2"/>
      </rPr>
      <t xml:space="preserve">建设中；</t>
    </r>
    <r>
      <rPr>
        <sz val="8.5"/>
        <color rgb="FF000000"/>
        <rFont val="微软雅黑"/>
        <family val="0"/>
        <charset val="1"/>
      </rPr>
      <t xml:space="preserve">G </t>
    </r>
    <r>
      <rPr>
        <sz val="8.5"/>
        <color rgb="FF000000"/>
        <rFont val="Noto Sans CJK SC"/>
        <family val="2"/>
      </rPr>
      <t xml:space="preserve">轮 </t>
    </r>
    <r>
      <rPr>
        <sz val="8.5"/>
        <color rgb="FF000000"/>
        <rFont val="微软雅黑"/>
        <family val="0"/>
        <charset val="1"/>
      </rPr>
      <t xml:space="preserve">4.65 </t>
    </r>
    <r>
      <rPr>
        <sz val="8.5"/>
        <color rgb="FF000000"/>
        <rFont val="Noto Sans CJK SC"/>
        <family val="2"/>
      </rPr>
      <t xml:space="preserve">亿美元，后增至 </t>
    </r>
    <r>
      <rPr>
        <sz val="8.5"/>
        <color rgb="FF000000"/>
        <rFont val="微软雅黑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亿美元</t>
    </r>
  </si>
  <si>
    <t xml:space="preserve">TAE Technologies</t>
  </si>
  <si>
    <t xml:space="preserve">2030s</t>
  </si>
  <si>
    <t xml:space="preserve">无</t>
  </si>
  <si>
    <r>
      <rPr>
        <sz val="7.8"/>
        <color rgb="FF404040"/>
        <rFont val="微软雅黑"/>
        <family val="0"/>
        <charset val="1"/>
      </rPr>
      <t xml:space="preserve">S25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NNN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2026-10-22</t>
    </r>
  </si>
  <si>
    <r>
      <rPr>
        <sz val="8.5"/>
        <color rgb="FF000000"/>
        <rFont val="微软雅黑"/>
        <family val="0"/>
        <charset val="1"/>
      </rPr>
      <t xml:space="preserve">Copernicus </t>
    </r>
    <r>
      <rPr>
        <sz val="8.5"/>
        <color rgb="FF000000"/>
        <rFont val="Noto Sans CJK SC"/>
        <family val="2"/>
      </rPr>
      <t xml:space="preserve">建设中；首座 </t>
    </r>
    <r>
      <rPr>
        <sz val="8.5"/>
        <color rgb="FF000000"/>
        <rFont val="微软雅黑"/>
        <family val="0"/>
        <charset val="1"/>
      </rPr>
      <t xml:space="preserve">50 MW </t>
    </r>
    <r>
      <rPr>
        <sz val="8.5"/>
        <color rgb="FF000000"/>
        <rFont val="Noto Sans CJK SC"/>
        <family val="2"/>
      </rPr>
      <t xml:space="preserve">级电站 </t>
    </r>
    <r>
      <rPr>
        <sz val="8.5"/>
        <color rgb="FF000000"/>
        <rFont val="微软雅黑"/>
        <family val="0"/>
        <charset val="1"/>
      </rPr>
      <t xml:space="preserve">Da Vinci </t>
    </r>
    <r>
      <rPr>
        <sz val="8.5"/>
        <color rgb="FF000000"/>
        <rFont val="Noto Sans CJK SC"/>
        <family val="2"/>
      </rPr>
      <t xml:space="preserve">选址中；</t>
    </r>
    <r>
      <rPr>
        <sz val="8.5"/>
        <color rgb="FF000000"/>
        <rFont val="微软雅黑"/>
        <family val="0"/>
        <charset val="1"/>
      </rPr>
      <t xml:space="preserve">2025-12 </t>
    </r>
    <r>
      <rPr>
        <sz val="8.5"/>
        <color rgb="FF000000"/>
        <rFont val="Noto Sans CJK SC"/>
        <family val="2"/>
      </rPr>
      <t xml:space="preserve">与 </t>
    </r>
    <r>
      <rPr>
        <sz val="8.5"/>
        <color rgb="FF000000"/>
        <rFont val="微软雅黑"/>
        <family val="0"/>
        <charset val="1"/>
      </rPr>
      <t xml:space="preserve">Trump Media </t>
    </r>
    <r>
      <rPr>
        <sz val="8.5"/>
        <color rgb="FF000000"/>
        <rFont val="Noto Sans CJK SC"/>
        <family val="2"/>
      </rPr>
      <t xml:space="preserve">合并，交易估值 </t>
    </r>
    <r>
      <rPr>
        <sz val="8.5"/>
        <color rgb="FF000000"/>
        <rFont val="微软雅黑"/>
        <family val="0"/>
        <charset val="1"/>
      </rPr>
      <t xml:space="preserve">&gt;60 </t>
    </r>
    <r>
      <rPr>
        <sz val="8.5"/>
        <color rgb="FF000000"/>
        <rFont val="Noto Sans CJK SC"/>
        <family val="2"/>
      </rPr>
      <t xml:space="preserve">亿美元</t>
    </r>
  </si>
  <si>
    <t xml:space="preserve">Type One Energy</t>
  </si>
  <si>
    <t xml:space="preserve">仿星器</t>
  </si>
  <si>
    <t xml:space="preserve">mid-2030s</t>
  </si>
  <si>
    <r>
      <rPr>
        <sz val="8.5"/>
        <color rgb="FF000000"/>
        <rFont val="微软雅黑"/>
        <family val="0"/>
        <charset val="1"/>
      </rPr>
      <t xml:space="preserve">TVA</t>
    </r>
    <r>
      <rPr>
        <sz val="8.5"/>
        <color rgb="FF000000"/>
        <rFont val="Noto Sans CJK SC"/>
        <family val="2"/>
      </rPr>
      <t xml:space="preserve">（意向书）</t>
    </r>
  </si>
  <si>
    <r>
      <rPr>
        <sz val="7.8"/>
        <color rgb="FF404040"/>
        <rFont val="微软雅黑"/>
        <family val="0"/>
        <charset val="1"/>
      </rPr>
      <t xml:space="preserve">S26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ENR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2026-10-07</t>
    </r>
  </si>
  <si>
    <r>
      <rPr>
        <sz val="8.5"/>
        <color rgb="FF000000"/>
        <rFont val="微软雅黑"/>
        <family val="0"/>
        <charset val="1"/>
      </rPr>
      <t xml:space="preserve">Infinity One </t>
    </r>
    <r>
      <rPr>
        <sz val="8.5"/>
        <color rgb="FF000000"/>
        <rFont val="Noto Sans CJK SC"/>
        <family val="2"/>
      </rPr>
      <t xml:space="preserve">原型 </t>
    </r>
    <r>
      <rPr>
        <sz val="8.5"/>
        <color rgb="FF000000"/>
        <rFont val="微软雅黑"/>
        <family val="0"/>
        <charset val="1"/>
      </rPr>
      <t xml:space="preserve">2027 </t>
    </r>
    <r>
      <rPr>
        <sz val="8.5"/>
        <color rgb="FF000000"/>
        <rFont val="Noto Sans CJK SC"/>
        <family val="2"/>
      </rPr>
      <t xml:space="preserve">年开工；</t>
    </r>
    <r>
      <rPr>
        <sz val="8.5"/>
        <color rgb="FF000000"/>
        <rFont val="微软雅黑"/>
        <family val="0"/>
        <charset val="1"/>
      </rPr>
      <t xml:space="preserve">Infinity Two 400 MW</t>
    </r>
    <r>
      <rPr>
        <sz val="8.5"/>
        <color rgb="FF000000"/>
        <rFont val="Noto Sans CJK SC"/>
        <family val="2"/>
      </rPr>
      <t xml:space="preserve">，常规岛 </t>
    </r>
    <r>
      <rPr>
        <sz val="8.5"/>
        <color rgb="FF000000"/>
        <rFont val="微软雅黑"/>
        <family val="0"/>
        <charset val="1"/>
      </rPr>
      <t xml:space="preserve">2028</t>
    </r>
    <r>
      <rPr>
        <sz val="8.5"/>
        <color rgb="FF000000"/>
        <rFont val="Noto Sans CJK SC"/>
        <family val="2"/>
      </rPr>
      <t xml:space="preserve">、聚变岛 </t>
    </r>
    <r>
      <rPr>
        <sz val="8.5"/>
        <color rgb="FF000000"/>
        <rFont val="微软雅黑"/>
        <family val="0"/>
        <charset val="1"/>
      </rPr>
      <t xml:space="preserve">2030</t>
    </r>
  </si>
  <si>
    <t xml:space="preserve">Pacific Fusion</t>
  </si>
  <si>
    <t xml:space="preserve">脉冲惯性约束</t>
  </si>
  <si>
    <r>
      <rPr>
        <sz val="9.5"/>
        <color rgb="FF000000"/>
        <rFont val="微软雅黑"/>
        <family val="0"/>
        <charset val="1"/>
      </rPr>
      <t xml:space="preserve">2030</t>
    </r>
    <r>
      <rPr>
        <sz val="9.5"/>
        <color rgb="FF000000"/>
        <rFont val="Noto Sans CJK SC"/>
        <family val="2"/>
      </rPr>
      <t xml:space="preserve">（净增益）</t>
    </r>
  </si>
  <si>
    <r>
      <rPr>
        <sz val="8.5"/>
        <color rgb="FF000000"/>
        <rFont val="微软雅黑"/>
        <family val="0"/>
        <charset val="1"/>
      </rPr>
      <t xml:space="preserve">2026-08 </t>
    </r>
    <r>
      <rPr>
        <sz val="8.5"/>
        <color rgb="FF000000"/>
        <rFont val="Noto Sans CJK SC"/>
        <family val="2"/>
      </rPr>
      <t xml:space="preserve">在阿尔伯克基动工建设示范系统；目标 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年实现设施净增益</t>
    </r>
  </si>
  <si>
    <t xml:space="preserve">Tokamak Energy</t>
  </si>
  <si>
    <t xml:space="preserve">英国</t>
  </si>
  <si>
    <t xml:space="preserve">球形托卡马克</t>
  </si>
  <si>
    <r>
      <rPr>
        <sz val="8.5"/>
        <color rgb="FF000000"/>
        <rFont val="微软雅黑"/>
        <family val="0"/>
        <charset val="1"/>
      </rPr>
      <t xml:space="preserve">ST80-HTS </t>
    </r>
    <r>
      <rPr>
        <sz val="8.5"/>
        <color rgb="FF000000"/>
        <rFont val="Noto Sans CJK SC"/>
        <family val="2"/>
      </rPr>
      <t xml:space="preserve">设计阶段；</t>
    </r>
    <r>
      <rPr>
        <sz val="8.5"/>
        <color rgb="FF000000"/>
        <rFont val="微软雅黑"/>
        <family val="0"/>
        <charset val="1"/>
      </rPr>
      <t xml:space="preserve">2026-08 </t>
    </r>
    <r>
      <rPr>
        <sz val="8.5"/>
        <color rgb="FF000000"/>
        <rFont val="Noto Sans CJK SC"/>
        <family val="2"/>
      </rPr>
      <t xml:space="preserve">表示不再自建示范电站，转向 </t>
    </r>
    <r>
      <rPr>
        <sz val="8.5"/>
        <color rgb="FF000000"/>
        <rFont val="微软雅黑"/>
        <family val="0"/>
        <charset val="1"/>
      </rPr>
      <t xml:space="preserve">HTS </t>
    </r>
    <r>
      <rPr>
        <sz val="8.5"/>
        <color rgb="FF000000"/>
        <rFont val="Noto Sans CJK SC"/>
        <family val="2"/>
      </rPr>
      <t xml:space="preserve">磁体与 </t>
    </r>
    <r>
      <rPr>
        <sz val="8.5"/>
        <color rgb="FF000000"/>
        <rFont val="微软雅黑"/>
        <family val="0"/>
        <charset val="1"/>
      </rPr>
      <t xml:space="preserve">STEP </t>
    </r>
    <r>
      <rPr>
        <sz val="8.5"/>
        <color rgb="FF000000"/>
        <rFont val="Noto Sans CJK SC"/>
        <family val="2"/>
      </rPr>
      <t xml:space="preserve">合作</t>
    </r>
  </si>
  <si>
    <t xml:space="preserve">Proxima Fusion</t>
  </si>
  <si>
    <t xml:space="preserve">德国</t>
  </si>
  <si>
    <t xml:space="preserve">准等角仿星器</t>
  </si>
  <si>
    <r>
      <rPr>
        <sz val="8.5"/>
        <color rgb="FF000000"/>
        <rFont val="微软雅黑"/>
        <family val="0"/>
        <charset val="1"/>
      </rPr>
      <t xml:space="preserve">RWE/</t>
    </r>
    <r>
      <rPr>
        <sz val="8.5"/>
        <color rgb="FF000000"/>
        <rFont val="Noto Sans CJK SC"/>
        <family val="2"/>
      </rPr>
      <t xml:space="preserve">巴伐利亚（</t>
    </r>
    <r>
      <rPr>
        <sz val="8.5"/>
        <color rgb="FF000000"/>
        <rFont val="微软雅黑"/>
        <family val="0"/>
        <charset val="1"/>
      </rPr>
      <t xml:space="preserve">MoU</t>
    </r>
    <r>
      <rPr>
        <sz val="8.5"/>
        <color rgb="FF000000"/>
        <rFont val="Noto Sans CJK SC"/>
        <family val="2"/>
      </rPr>
      <t xml:space="preserve">）</t>
    </r>
  </si>
  <si>
    <r>
      <rPr>
        <sz val="8.5"/>
        <color rgb="FF000000"/>
        <rFont val="微软雅黑"/>
        <family val="0"/>
        <charset val="1"/>
      </rPr>
      <t xml:space="preserve">2026-07 </t>
    </r>
    <r>
      <rPr>
        <sz val="8.5"/>
        <color rgb="FF000000"/>
        <rFont val="Noto Sans CJK SC"/>
        <family val="2"/>
      </rPr>
      <t xml:space="preserve">融资 </t>
    </r>
    <r>
      <rPr>
        <sz val="8.5"/>
        <color rgb="FF000000"/>
        <rFont val="微软雅黑"/>
        <family val="0"/>
        <charset val="1"/>
      </rPr>
      <t xml:space="preserve">4.11 </t>
    </r>
    <r>
      <rPr>
        <sz val="8.5"/>
        <color rgb="FF000000"/>
        <rFont val="Noto Sans CJK SC"/>
        <family val="2"/>
      </rPr>
      <t xml:space="preserve">亿欧元，累计 </t>
    </r>
    <r>
      <rPr>
        <sz val="8.5"/>
        <color rgb="FF000000"/>
        <rFont val="微软雅黑"/>
        <family val="0"/>
        <charset val="1"/>
      </rPr>
      <t xml:space="preserve">&gt;6.5 </t>
    </r>
    <r>
      <rPr>
        <sz val="8.5"/>
        <color rgb="FF000000"/>
        <rFont val="Noto Sans CJK SC"/>
        <family val="2"/>
      </rPr>
      <t xml:space="preserve">亿欧元；</t>
    </r>
    <r>
      <rPr>
        <sz val="8.5"/>
        <color rgb="FF000000"/>
        <rFont val="微软雅黑"/>
        <family val="0"/>
        <charset val="1"/>
      </rPr>
      <t xml:space="preserve">Alpha </t>
    </r>
    <r>
      <rPr>
        <sz val="8.5"/>
        <color rgb="FF000000"/>
        <rFont val="Noto Sans CJK SC"/>
        <family val="2"/>
      </rPr>
      <t xml:space="preserve">示范装置选址 </t>
    </r>
    <r>
      <rPr>
        <sz val="8.5"/>
        <color rgb="FF000000"/>
        <rFont val="微软雅黑"/>
        <family val="0"/>
        <charset val="1"/>
      </rPr>
      <t xml:space="preserve">Garching</t>
    </r>
  </si>
  <si>
    <t xml:space="preserve">Zap Energy</t>
  </si>
  <si>
    <r>
      <rPr>
        <sz val="9.5"/>
        <color rgb="FF000000"/>
        <rFont val="微软雅黑"/>
        <family val="0"/>
        <charset val="1"/>
      </rPr>
      <t xml:space="preserve">Z </t>
    </r>
    <r>
      <rPr>
        <sz val="9.5"/>
        <color rgb="FF000000"/>
        <rFont val="Noto Sans CJK SC"/>
        <family val="2"/>
      </rPr>
      <t xml:space="preserve">箍缩</t>
    </r>
  </si>
  <si>
    <r>
      <rPr>
        <sz val="8.5"/>
        <color rgb="FF000000"/>
        <rFont val="微软雅黑"/>
        <family val="0"/>
        <charset val="1"/>
      </rPr>
      <t xml:space="preserve">Century </t>
    </r>
    <r>
      <rPr>
        <sz val="8.5"/>
        <color rgb="FF000000"/>
        <rFont val="Noto Sans CJK SC"/>
        <family val="2"/>
      </rPr>
      <t xml:space="preserve">平台运行；</t>
    </r>
    <r>
      <rPr>
        <sz val="8.5"/>
        <color rgb="FF000000"/>
        <rFont val="微软雅黑"/>
        <family val="0"/>
        <charset val="1"/>
      </rPr>
      <t xml:space="preserve">2026-05 DOE </t>
    </r>
    <r>
      <rPr>
        <sz val="8.5"/>
        <color rgb="FF000000"/>
        <rFont val="Noto Sans CJK SC"/>
        <family val="2"/>
      </rPr>
      <t xml:space="preserve">批准约 </t>
    </r>
    <r>
      <rPr>
        <sz val="8.5"/>
        <color rgb="FF000000"/>
        <rFont val="微软雅黑"/>
        <family val="0"/>
        <charset val="1"/>
      </rPr>
      <t xml:space="preserve">50 MWe </t>
    </r>
    <r>
      <rPr>
        <sz val="8.5"/>
        <color rgb="FF000000"/>
        <rFont val="Noto Sans CJK SC"/>
        <family val="2"/>
      </rPr>
      <t xml:space="preserve">模块预概念设计</t>
    </r>
  </si>
  <si>
    <r>
      <rPr>
        <b val="true"/>
        <sz val="9.5"/>
        <color rgb="FF000000"/>
        <rFont val="微软雅黑"/>
        <family val="0"/>
        <charset val="1"/>
      </rPr>
      <t xml:space="preserve">8 </t>
    </r>
    <r>
      <rPr>
        <b val="true"/>
        <sz val="9.5"/>
        <color rgb="FF000000"/>
        <rFont val="Noto Sans CJK SC"/>
        <family val="2"/>
      </rPr>
      <t xml:space="preserve">家样本合计</t>
    </r>
  </si>
  <si>
    <t xml:space="preserve">样本合计不等于行业总额；仅用于展示头部公司量级</t>
  </si>
  <si>
    <r>
      <rPr>
        <b val="true"/>
        <sz val="11"/>
        <color rgb="FFFFFFFF"/>
        <rFont val="Noto Sans CJK SC"/>
        <family val="2"/>
      </rPr>
      <t xml:space="preserve">行业总量：</t>
    </r>
    <r>
      <rPr>
        <b val="true"/>
        <sz val="11"/>
        <color rgb="FFFFFFFF"/>
        <rFont val="微软雅黑"/>
        <family val="0"/>
        <charset val="1"/>
      </rPr>
      <t xml:space="preserve">FIA 2026 </t>
    </r>
    <r>
      <rPr>
        <b val="true"/>
        <sz val="11"/>
        <color rgb="FFFFFFFF"/>
        <rFont val="Noto Sans CJK SC"/>
        <family val="2"/>
      </rPr>
      <t xml:space="preserve">年报告</t>
    </r>
  </si>
  <si>
    <r>
      <rPr>
        <sz val="9.5"/>
        <color rgb="FF000000"/>
        <rFont val="Noto Sans CJK SC"/>
        <family val="2"/>
      </rPr>
      <t xml:space="preserve">累计私人融资（自 </t>
    </r>
    <r>
      <rPr>
        <sz val="9.5"/>
        <color rgb="FF000000"/>
        <rFont val="微软雅黑"/>
        <family val="0"/>
        <charset val="1"/>
      </rPr>
      <t xml:space="preserve">2021 </t>
    </r>
    <r>
      <rPr>
        <sz val="9.5"/>
        <color rgb="FF000000"/>
        <rFont val="Noto Sans CJK SC"/>
        <family val="2"/>
      </rPr>
      <t xml:space="preserve">年调查起）</t>
    </r>
  </si>
  <si>
    <r>
      <rPr>
        <sz val="8.5"/>
        <color rgb="FF000000"/>
        <rFont val="微软雅黑"/>
        <family val="0"/>
        <charset val="1"/>
      </rPr>
      <t xml:space="preserve">56 </t>
    </r>
    <r>
      <rPr>
        <sz val="8.5"/>
        <color rgb="FF000000"/>
        <rFont val="Noto Sans CJK SC"/>
        <family val="2"/>
      </rPr>
      <t xml:space="preserve">家公司；约 </t>
    </r>
    <r>
      <rPr>
        <sz val="8.5"/>
        <color rgb="FF000000"/>
        <rFont val="微软雅黑"/>
        <family val="0"/>
        <charset val="1"/>
      </rPr>
      <t xml:space="preserve">16,000 </t>
    </r>
    <r>
      <rPr>
        <sz val="8.5"/>
        <color rgb="FF000000"/>
        <rFont val="Noto Sans CJK SC"/>
        <family val="2"/>
      </rPr>
      <t xml:space="preserve">名员工</t>
    </r>
  </si>
  <si>
    <r>
      <rPr>
        <sz val="9.5"/>
        <color rgb="FF000000"/>
        <rFont val="Noto Sans CJK SC"/>
        <family val="2"/>
      </rPr>
      <t xml:space="preserve">截至 </t>
    </r>
    <r>
      <rPr>
        <sz val="9.5"/>
        <color rgb="FF000000"/>
        <rFont val="微软雅黑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年 </t>
    </r>
    <r>
      <rPr>
        <sz val="9.5"/>
        <color rgb="FF000000"/>
        <rFont val="微软雅黑"/>
        <family val="0"/>
        <charset val="1"/>
      </rPr>
      <t xml:space="preserve">7 </t>
    </r>
    <r>
      <rPr>
        <sz val="9.5"/>
        <color rgb="FF000000"/>
        <rFont val="Noto Sans CJK SC"/>
        <family val="2"/>
      </rPr>
      <t xml:space="preserve">月的 </t>
    </r>
    <r>
      <rPr>
        <sz val="9.5"/>
        <color rgb="FF000000"/>
        <rFont val="微软雅黑"/>
        <family val="0"/>
        <charset val="1"/>
      </rPr>
      <t xml:space="preserve">12 </t>
    </r>
    <r>
      <rPr>
        <sz val="9.5"/>
        <color rgb="FF000000"/>
        <rFont val="Noto Sans CJK SC"/>
        <family val="2"/>
      </rPr>
      <t xml:space="preserve">个月融资</t>
    </r>
  </si>
  <si>
    <r>
      <rPr>
        <sz val="8.5"/>
        <color rgb="FF000000"/>
        <rFont val="Noto Sans CJK SC"/>
        <family val="2"/>
      </rPr>
      <t xml:space="preserve">创纪录，较上年约 </t>
    </r>
    <r>
      <rPr>
        <sz val="8.5"/>
        <color rgb="FF000000"/>
        <rFont val="微软雅黑"/>
        <family val="0"/>
        <charset val="1"/>
      </rPr>
      <t xml:space="preserve">+69%</t>
    </r>
  </si>
  <si>
    <t xml:space="preserve">被调查公司数</t>
  </si>
  <si>
    <t xml:space="preserve">家</t>
  </si>
  <si>
    <t xml:space="preserve">行业员工数</t>
  </si>
  <si>
    <t xml:space="preserve">人</t>
  </si>
  <si>
    <r>
      <rPr>
        <sz val="9.5"/>
        <color rgb="FF000000"/>
        <rFont val="微软雅黑"/>
        <family val="0"/>
        <charset val="1"/>
      </rPr>
      <t xml:space="preserve">CFS </t>
    </r>
    <r>
      <rPr>
        <sz val="9.5"/>
        <color rgb="FF000000"/>
        <rFont val="Noto Sans CJK SC"/>
        <family val="2"/>
      </rPr>
      <t xml:space="preserve">累计融资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行业累计</t>
    </r>
  </si>
  <si>
    <r>
      <rPr>
        <sz val="9.5"/>
        <color rgb="FF000000"/>
        <rFont val="微软雅黑"/>
        <family val="0"/>
        <charset val="1"/>
      </rPr>
      <t xml:space="preserve">8 </t>
    </r>
    <r>
      <rPr>
        <sz val="9.5"/>
        <color rgb="FF000000"/>
        <rFont val="Noto Sans CJK SC"/>
        <family val="2"/>
      </rPr>
      <t xml:space="preserve">家样本 </t>
    </r>
    <r>
      <rPr>
        <sz val="9.5"/>
        <color rgb="FF000000"/>
        <rFont val="微软雅黑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行业累计</t>
    </r>
  </si>
  <si>
    <r>
      <rPr>
        <sz val="9.5"/>
        <color rgb="FF000000"/>
        <rFont val="Noto Sans CJK SC"/>
        <family val="2"/>
      </rPr>
      <t xml:space="preserve">已签聚变 </t>
    </r>
    <r>
      <rPr>
        <sz val="9.5"/>
        <color rgb="FF000000"/>
        <rFont val="微软雅黑"/>
        <family val="0"/>
        <charset val="1"/>
      </rPr>
      <t xml:space="preserve">PPA </t>
    </r>
    <r>
      <rPr>
        <sz val="9.5"/>
        <color rgb="FF000000"/>
        <rFont val="Noto Sans CJK SC"/>
        <family val="2"/>
      </rPr>
      <t xml:space="preserve">合计（</t>
    </r>
    <r>
      <rPr>
        <sz val="9.5"/>
        <color rgb="FF000000"/>
        <rFont val="微软雅黑"/>
        <family val="0"/>
        <charset val="1"/>
      </rPr>
      <t xml:space="preserve">MW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</si>
  <si>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其中：</t>
    </r>
    <r>
      <rPr>
        <sz val="9.5"/>
        <color rgb="FF000000"/>
        <rFont val="微软雅黑"/>
        <family val="0"/>
        <charset val="1"/>
      </rPr>
      <t xml:space="preserve">Google–CFS</t>
    </r>
  </si>
  <si>
    <r>
      <rPr>
        <sz val="9.5"/>
        <color rgb="FF000000"/>
        <rFont val="Noto Sans CJK SC"/>
        <family val="2"/>
      </rPr>
      <t xml:space="preserve">其中：</t>
    </r>
    <r>
      <rPr>
        <sz val="9.5"/>
        <color rgb="FF000000"/>
        <rFont val="微软雅黑"/>
        <family val="0"/>
        <charset val="1"/>
      </rPr>
      <t xml:space="preserve">Microsoft–Helion</t>
    </r>
  </si>
  <si>
    <t xml:space="preserve">成本与瓶颈：关键量化指标</t>
  </si>
  <si>
    <t xml:space="preserve">部分指标为区间或文本（如交付周期），不能直接参与计算；已在单位列标注。</t>
  </si>
  <si>
    <t xml:space="preserve">美国输电互联队列活跃容量</t>
  </si>
  <si>
    <r>
      <rPr>
        <sz val="7.8"/>
        <color rgb="FF404040"/>
        <rFont val="微软雅黑"/>
        <family val="0"/>
        <charset val="1"/>
      </rPr>
      <t xml:space="preserve">S18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LBNL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2026-06</t>
    </r>
  </si>
  <si>
    <t xml:space="preserve">发电与储能；不含负荷队列</t>
  </si>
  <si>
    <r>
      <rPr>
        <sz val="9.5"/>
        <color rgb="FF000000"/>
        <rFont val="微软雅黑"/>
        <family val="0"/>
        <charset val="1"/>
      </rPr>
      <t xml:space="preserve">2025 </t>
    </r>
    <r>
      <rPr>
        <sz val="9.5"/>
        <color rgb="FF000000"/>
        <rFont val="Noto Sans CJK SC"/>
        <family val="2"/>
      </rPr>
      <t xml:space="preserve">年投运项目从申请到商运的中位时间</t>
    </r>
  </si>
  <si>
    <t xml:space="preserve">个月</t>
  </si>
  <si>
    <r>
      <rPr>
        <sz val="8.5"/>
        <color rgb="FF000000"/>
        <rFont val="微软雅黑"/>
        <family val="0"/>
        <charset val="1"/>
      </rPr>
      <t xml:space="preserve">2015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36 </t>
    </r>
    <r>
      <rPr>
        <sz val="8.5"/>
        <color rgb="FF000000"/>
        <rFont val="Noto Sans CJK SC"/>
        <family val="2"/>
      </rPr>
      <t xml:space="preserve">个月、</t>
    </r>
    <r>
      <rPr>
        <sz val="8.5"/>
        <color rgb="FF000000"/>
        <rFont val="微软雅黑"/>
        <family val="0"/>
        <charset val="1"/>
      </rPr>
      <t xml:space="preserve">2008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22 </t>
    </r>
    <r>
      <rPr>
        <sz val="8.5"/>
        <color rgb="FF000000"/>
        <rFont val="Noto Sans CJK SC"/>
        <family val="2"/>
      </rPr>
      <t xml:space="preserve">个月</t>
    </r>
  </si>
  <si>
    <r>
      <rPr>
        <sz val="9.5"/>
        <color rgb="FF000000"/>
        <rFont val="微软雅黑"/>
        <family val="0"/>
        <charset val="1"/>
      </rPr>
      <t xml:space="preserve">2000–2020 </t>
    </r>
    <r>
      <rPr>
        <sz val="9.5"/>
        <color rgb="FF000000"/>
        <rFont val="Noto Sans CJK SC"/>
        <family val="2"/>
      </rPr>
      <t xml:space="preserve">年请求项目中最终投运的比例</t>
    </r>
  </si>
  <si>
    <r>
      <rPr>
        <sz val="8.5"/>
        <color rgb="FF000000"/>
        <rFont val="Noto Sans CJK SC"/>
        <family val="2"/>
      </rPr>
      <t xml:space="preserve">按项目数；按容量 </t>
    </r>
    <r>
      <rPr>
        <sz val="8.5"/>
        <color rgb="FF000000"/>
        <rFont val="微软雅黑"/>
        <family val="0"/>
        <charset val="1"/>
      </rPr>
      <t xml:space="preserve">13%</t>
    </r>
  </si>
  <si>
    <t xml:space="preserve">大型变压器交付周期</t>
  </si>
  <si>
    <t xml:space="preserve">24–48</t>
  </si>
  <si>
    <r>
      <rPr>
        <sz val="7.8"/>
        <color rgb="FF404040"/>
        <rFont val="微软雅黑"/>
        <family val="0"/>
        <charset val="1"/>
      </rPr>
      <t xml:space="preserve">S21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DigitalToday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2026-07-15</t>
    </r>
  </si>
  <si>
    <r>
      <rPr>
        <sz val="8.5"/>
        <color rgb="FF000000"/>
        <rFont val="微软雅黑"/>
        <family val="0"/>
        <charset val="1"/>
      </rPr>
      <t xml:space="preserve">2020 </t>
    </r>
    <r>
      <rPr>
        <sz val="8.5"/>
        <color rgb="FF000000"/>
        <rFont val="Noto Sans CJK SC"/>
        <family val="2"/>
      </rPr>
      <t xml:space="preserve">年前为 </t>
    </r>
    <r>
      <rPr>
        <sz val="8.5"/>
        <color rgb="FF000000"/>
        <rFont val="微软雅黑"/>
        <family val="0"/>
        <charset val="1"/>
      </rPr>
      <t xml:space="preserve">6–12 </t>
    </r>
    <r>
      <rPr>
        <sz val="8.5"/>
        <color rgb="FF000000"/>
        <rFont val="Noto Sans CJK SC"/>
        <family val="2"/>
      </rPr>
      <t xml:space="preserve">个月；</t>
    </r>
    <r>
      <rPr>
        <sz val="8.5"/>
        <color rgb="FF000000"/>
        <rFont val="微软雅黑"/>
        <family val="0"/>
        <charset val="1"/>
      </rPr>
      <t xml:space="preserve">100 MVA/230 kV </t>
    </r>
    <r>
      <rPr>
        <sz val="8.5"/>
        <color rgb="FF000000"/>
        <rFont val="Noto Sans CJK SC"/>
        <family val="2"/>
      </rPr>
      <t xml:space="preserve">以上 </t>
    </r>
    <r>
      <rPr>
        <sz val="8.5"/>
        <color rgb="FF000000"/>
        <rFont val="微软雅黑"/>
        <family val="0"/>
        <charset val="1"/>
      </rPr>
      <t xml:space="preserve">&gt;36 </t>
    </r>
    <r>
      <rPr>
        <sz val="8.5"/>
        <color rgb="FF000000"/>
        <rFont val="Noto Sans CJK SC"/>
        <family val="2"/>
      </rPr>
      <t xml:space="preserve">个月</t>
    </r>
  </si>
  <si>
    <r>
      <rPr>
        <sz val="9.5"/>
        <color rgb="FF000000"/>
        <rFont val="Noto Sans CJK SC"/>
        <family val="2"/>
      </rPr>
      <t xml:space="preserve">变压器价格较 </t>
    </r>
    <r>
      <rPr>
        <sz val="9.5"/>
        <color rgb="FF000000"/>
        <rFont val="微软雅黑"/>
        <family val="0"/>
        <charset val="1"/>
      </rPr>
      <t xml:space="preserve">2020 </t>
    </r>
    <r>
      <rPr>
        <sz val="9.5"/>
        <color rgb="FF000000"/>
        <rFont val="Noto Sans CJK SC"/>
        <family val="2"/>
      </rPr>
      <t xml:space="preserve">年前涨幅</t>
    </r>
  </si>
  <si>
    <t xml:space="preserve">50–80</t>
  </si>
  <si>
    <t xml:space="preserve">铜、取向电工钢、熟练工与试验能力共同约束</t>
  </si>
  <si>
    <r>
      <rPr>
        <sz val="9.5"/>
        <color rgb="FF000000"/>
        <rFont val="微软雅黑"/>
        <family val="0"/>
        <charset val="1"/>
      </rPr>
      <t xml:space="preserve">GE Vernova </t>
    </r>
    <r>
      <rPr>
        <sz val="9.5"/>
        <color rgb="FF000000"/>
        <rFont val="Noto Sans CJK SC"/>
        <family val="2"/>
      </rPr>
      <t xml:space="preserve">燃机设备在手订单</t>
    </r>
  </si>
  <si>
    <r>
      <rPr>
        <sz val="7.8"/>
        <color rgb="FF404040"/>
        <rFont val="微软雅黑"/>
        <family val="0"/>
        <charset val="1"/>
      </rPr>
      <t xml:space="preserve">S19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GE Vernova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2026-07-22</t>
    </r>
  </si>
  <si>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6 </t>
    </r>
    <r>
      <rPr>
        <sz val="8.5"/>
        <color rgb="FF000000"/>
        <rFont val="Noto Sans CJK SC"/>
        <family val="2"/>
      </rPr>
      <t xml:space="preserve">月底；公司预计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年底至少 </t>
    </r>
    <r>
      <rPr>
        <sz val="8.5"/>
        <color rgb="FF000000"/>
        <rFont val="微软雅黑"/>
        <family val="0"/>
        <charset val="1"/>
      </rPr>
      <t xml:space="preserve">125 GW</t>
    </r>
  </si>
  <si>
    <r>
      <rPr>
        <sz val="9.5"/>
        <color rgb="FF000000"/>
        <rFont val="微软雅黑"/>
        <family val="0"/>
        <charset val="1"/>
      </rPr>
      <t xml:space="preserve">GE Vernova </t>
    </r>
    <r>
      <rPr>
        <sz val="9.5"/>
        <color rgb="FF000000"/>
        <rFont val="Noto Sans CJK SC"/>
        <family val="2"/>
      </rPr>
      <t xml:space="preserve">燃机年产能（</t>
    </r>
    <r>
      <rPr>
        <sz val="9.5"/>
        <color rgb="FF000000"/>
        <rFont val="微软雅黑"/>
        <family val="0"/>
        <charset val="1"/>
      </rPr>
      <t xml:space="preserve">2026Q3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</si>
  <si>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微软雅黑"/>
        <family val="0"/>
        <charset val="1"/>
      </rPr>
      <t xml:space="preserve">GW/</t>
    </r>
    <r>
      <rPr>
        <sz val="9.5"/>
        <color rgb="FF000000"/>
        <rFont val="Noto Sans CJK SC"/>
        <family val="2"/>
      </rPr>
      <t xml:space="preserve">年</t>
    </r>
  </si>
  <si>
    <r>
      <rPr>
        <sz val="8.5"/>
        <color rgb="FF000000"/>
        <rFont val="微软雅黑"/>
        <family val="0"/>
        <charset val="1"/>
      </rPr>
      <t xml:space="preserve">2028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24 GW/</t>
    </r>
    <r>
      <rPr>
        <sz val="8.5"/>
        <color rgb="FF000000"/>
        <rFont val="Noto Sans CJK SC"/>
        <family val="2"/>
      </rPr>
      <t xml:space="preserve">年、</t>
    </r>
    <r>
      <rPr>
        <sz val="8.5"/>
        <color rgb="FF000000"/>
        <rFont val="微软雅黑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软雅黑"/>
        <family val="0"/>
        <charset val="1"/>
      </rPr>
      <t xml:space="preserve">30 GW/</t>
    </r>
    <r>
      <rPr>
        <sz val="8.5"/>
        <color rgb="FF000000"/>
        <rFont val="Noto Sans CJK SC"/>
        <family val="2"/>
      </rPr>
      <t xml:space="preserve">年</t>
    </r>
  </si>
  <si>
    <r>
      <rPr>
        <sz val="9.5"/>
        <color rgb="FF000000"/>
        <rFont val="微软雅黑"/>
        <family val="0"/>
        <charset val="1"/>
      </rPr>
      <t xml:space="preserve">IEA</t>
    </r>
    <r>
      <rPr>
        <sz val="9.5"/>
        <color rgb="FF000000"/>
        <rFont val="Noto Sans CJK SC"/>
        <family val="2"/>
      </rPr>
      <t xml:space="preserve">：因电网约束面临延期的数据中心项目比例</t>
    </r>
  </si>
  <si>
    <t xml:space="preserve">全球计划项目</t>
  </si>
  <si>
    <r>
      <rPr>
        <sz val="9.5"/>
        <color rgb="FF000000"/>
        <rFont val="微软雅黑"/>
        <family val="0"/>
        <charset val="1"/>
      </rPr>
      <t xml:space="preserve">IEA</t>
    </r>
    <r>
      <rPr>
        <sz val="9.5"/>
        <color rgb="FF000000"/>
        <rFont val="Noto Sans CJK SC"/>
        <family val="2"/>
      </rPr>
      <t xml:space="preserve">：新建输电线路典型工期</t>
    </r>
  </si>
  <si>
    <t xml:space="preserve">4–8</t>
  </si>
  <si>
    <t xml:space="preserve">年</t>
  </si>
  <si>
    <t xml:space="preserve">发达经济体</t>
  </si>
  <si>
    <r>
      <rPr>
        <sz val="9.5"/>
        <color rgb="FF000000"/>
        <rFont val="微软雅黑"/>
        <family val="0"/>
        <charset val="1"/>
      </rPr>
      <t xml:space="preserve">Vogtle 3&amp;4 </t>
    </r>
    <r>
      <rPr>
        <sz val="9.5"/>
        <color rgb="FF000000"/>
        <rFont val="Noto Sans CJK SC"/>
        <family val="2"/>
      </rPr>
      <t xml:space="preserve">最终成本</t>
    </r>
  </si>
  <si>
    <r>
      <rPr>
        <sz val="7.8"/>
        <color rgb="FF404040"/>
        <rFont val="微软雅黑"/>
        <family val="0"/>
        <charset val="1"/>
      </rPr>
      <t xml:space="preserve">S22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E&amp;E News</t>
    </r>
    <r>
      <rPr>
        <sz val="7.8"/>
        <color rgb="FF404040"/>
        <rFont val="Noto Sans CJK SC"/>
        <family val="2"/>
      </rPr>
      <t xml:space="preserve">｜</t>
    </r>
    <r>
      <rPr>
        <sz val="7.8"/>
        <color rgb="FF404040"/>
        <rFont val="微软雅黑"/>
        <family val="0"/>
        <charset val="1"/>
      </rPr>
      <t xml:space="preserve">2024-04-30</t>
    </r>
  </si>
  <si>
    <r>
      <rPr>
        <sz val="8.5"/>
        <color rgb="FF000000"/>
        <rFont val="Noto Sans CJK SC"/>
        <family val="2"/>
      </rPr>
      <t xml:space="preserve">最初预算 </t>
    </r>
    <r>
      <rPr>
        <sz val="8.5"/>
        <color rgb="FF000000"/>
        <rFont val="微软雅黑"/>
        <family val="0"/>
        <charset val="1"/>
      </rPr>
      <t xml:space="preserve">140 </t>
    </r>
    <r>
      <rPr>
        <sz val="8.5"/>
        <color rgb="FF000000"/>
        <rFont val="Noto Sans CJK SC"/>
        <family val="2"/>
      </rPr>
      <t xml:space="preserve">亿美元；晚 </t>
    </r>
    <r>
      <rPr>
        <sz val="8.5"/>
        <color rgb="FF000000"/>
        <rFont val="微软雅黑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年</t>
    </r>
  </si>
  <si>
    <r>
      <rPr>
        <sz val="9.5"/>
        <color rgb="FF000000"/>
        <rFont val="微软雅黑"/>
        <family val="0"/>
        <charset val="1"/>
      </rPr>
      <t xml:space="preserve">Vogtle 3&amp;4 </t>
    </r>
    <r>
      <rPr>
        <sz val="9.5"/>
        <color rgb="FF000000"/>
        <rFont val="Noto Sans CJK SC"/>
        <family val="2"/>
      </rPr>
      <t xml:space="preserve">延期</t>
    </r>
  </si>
  <si>
    <r>
      <rPr>
        <sz val="8.5"/>
        <color rgb="FF000000"/>
        <rFont val="Noto Sans CJK SC"/>
        <family val="2"/>
      </rPr>
      <t xml:space="preserve">两台机组 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年投运</t>
    </r>
  </si>
  <si>
    <r>
      <rPr>
        <sz val="9.5"/>
        <color rgb="FF000000"/>
        <rFont val="微软雅黑"/>
        <family val="0"/>
        <charset val="1"/>
      </rPr>
      <t xml:space="preserve">Meta Hyperion </t>
    </r>
    <r>
      <rPr>
        <sz val="9.5"/>
        <color rgb="FF000000"/>
        <rFont val="Noto Sans CJK SC"/>
        <family val="2"/>
      </rPr>
      <t xml:space="preserve">单位投资</t>
    </r>
  </si>
  <si>
    <r>
      <rPr>
        <sz val="9.5"/>
        <color rgb="FF000000"/>
        <rFont val="Noto Sans CJK SC"/>
        <family val="2"/>
      </rPr>
      <t xml:space="preserve">亿美元</t>
    </r>
    <r>
      <rPr>
        <sz val="9.5"/>
        <color rgb="FF000000"/>
        <rFont val="微软雅黑"/>
        <family val="0"/>
        <charset val="1"/>
      </rPr>
      <t xml:space="preserve">/GW</t>
    </r>
  </si>
  <si>
    <r>
      <rPr>
        <sz val="8.5"/>
        <color rgb="FF000000"/>
        <rFont val="微软雅黑"/>
        <family val="0"/>
        <charset val="1"/>
      </rPr>
      <t xml:space="preserve">5 GW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软雅黑"/>
        <family val="0"/>
        <charset val="1"/>
      </rPr>
      <t xml:space="preserve">&gt;500 </t>
    </r>
    <r>
      <rPr>
        <sz val="8.5"/>
        <color rgb="FF000000"/>
        <rFont val="Noto Sans CJK SC"/>
        <family val="2"/>
      </rPr>
      <t xml:space="preserve">亿美元</t>
    </r>
  </si>
  <si>
    <r>
      <rPr>
        <sz val="9.5"/>
        <color rgb="FF000000"/>
        <rFont val="Noto Sans CJK SC"/>
        <family val="2"/>
      </rPr>
      <t xml:space="preserve">铀现货价（</t>
    </r>
    <r>
      <rPr>
        <sz val="9.5"/>
        <color rgb="FF000000"/>
        <rFont val="微软雅黑"/>
        <family val="0"/>
        <charset val="1"/>
      </rPr>
      <t xml:space="preserve">U3O8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</si>
  <si>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Noto Sans CJK SC"/>
        <family val="2"/>
      </rPr>
      <t xml:space="preserve">美元</t>
    </r>
    <r>
      <rPr>
        <sz val="9.5"/>
        <color rgb="FF000000"/>
        <rFont val="微软雅黑"/>
        <family val="0"/>
        <charset val="1"/>
      </rPr>
      <t xml:space="preserve">/</t>
    </r>
    <r>
      <rPr>
        <sz val="9.5"/>
        <color rgb="FF000000"/>
        <rFont val="Noto Sans CJK SC"/>
        <family val="2"/>
      </rPr>
      <t xml:space="preserve">磅</t>
    </r>
  </si>
  <si>
    <r>
      <rPr>
        <sz val="8.5"/>
        <color rgb="FF000000"/>
        <rFont val="微软雅黑"/>
        <family val="0"/>
        <charset val="1"/>
      </rPr>
      <t xml:space="preserve">2026-10-22</t>
    </r>
    <r>
      <rPr>
        <sz val="8.5"/>
        <color rgb="FF000000"/>
        <rFont val="Noto Sans CJK SC"/>
        <family val="2"/>
      </rPr>
      <t xml:space="preserve">；长期合同价 </t>
    </r>
    <r>
      <rPr>
        <sz val="8.5"/>
        <color rgb="FF000000"/>
        <rFont val="微软雅黑"/>
        <family val="0"/>
        <charset val="1"/>
      </rPr>
      <t xml:space="preserve">96.50 </t>
    </r>
    <r>
      <rPr>
        <sz val="8.5"/>
        <color rgb="FF000000"/>
        <rFont val="Noto Sans CJK SC"/>
        <family val="2"/>
      </rPr>
      <t xml:space="preserve">美元</t>
    </r>
    <r>
      <rPr>
        <sz val="8.5"/>
        <color rgb="FF000000"/>
        <rFont val="微软雅黑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磅</t>
    </r>
  </si>
  <si>
    <r>
      <rPr>
        <sz val="9.5"/>
        <color rgb="FF000000"/>
        <rFont val="Noto Sans CJK SC"/>
        <family val="2"/>
      </rPr>
      <t xml:space="preserve">全球数据中心投资（</t>
    </r>
    <r>
      <rPr>
        <sz val="9.5"/>
        <color rgb="FF000000"/>
        <rFont val="微软雅黑"/>
        <family val="0"/>
        <charset val="1"/>
      </rPr>
      <t xml:space="preserve">2024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</si>
  <si>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较 </t>
    </r>
    <r>
      <rPr>
        <sz val="8.5"/>
        <color rgb="FF000000"/>
        <rFont val="微软雅黑"/>
        <family val="0"/>
        <charset val="1"/>
      </rPr>
      <t xml:space="preserve">2022 </t>
    </r>
    <r>
      <rPr>
        <sz val="8.5"/>
        <color rgb="FF000000"/>
        <rFont val="Noto Sans CJK SC"/>
        <family val="2"/>
      </rPr>
      <t xml:space="preserve">年接近翻倍</t>
    </r>
  </si>
  <si>
    <r>
      <rPr>
        <sz val="9.5"/>
        <color rgb="FF000000"/>
        <rFont val="Noto Sans CJK SC"/>
        <family val="2"/>
      </rPr>
      <t xml:space="preserve">标普：六家科技公司 </t>
    </r>
    <r>
      <rPr>
        <sz val="9.5"/>
        <color rgb="FF000000"/>
        <rFont val="微软雅黑"/>
        <family val="0"/>
        <charset val="1"/>
      </rPr>
      <t xml:space="preserve">2025–2030 AI </t>
    </r>
    <r>
      <rPr>
        <sz val="9.5"/>
        <color rgb="FF000000"/>
        <rFont val="Noto Sans CJK SC"/>
        <family val="2"/>
      </rPr>
      <t xml:space="preserve">资本开支</t>
    </r>
  </si>
  <si>
    <r>
      <rPr>
        <sz val="8.5"/>
        <color rgb="FF000000"/>
        <rFont val="Noto Sans CJK SC"/>
        <family val="2"/>
      </rPr>
      <t xml:space="preserve">合计可能超过 </t>
    </r>
    <r>
      <rPr>
        <sz val="8.5"/>
        <color rgb="FF000000"/>
        <rFont val="微软雅黑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万亿美元；含表外安排</t>
    </r>
  </si>
  <si>
    <t xml:space="preserve">本报告对瓶颈的判断</t>
  </si>
  <si>
    <r>
      <rPr>
        <sz val="9"/>
        <color rgb="FF595959"/>
        <rFont val="Noto Sans CJK SC"/>
        <family val="2"/>
      </rPr>
      <t xml:space="preserve">电力系统的约束正在从“燃料够不够”转向“能不能按时拿到并网、变压器、燃机和施工队伍”。</t>
    </r>
    <r>
      <rPr>
        <sz val="9"/>
        <color rgb="FF595959"/>
        <rFont val="微软雅黑"/>
        <family val="0"/>
        <charset val="1"/>
      </rPr>
      <t xml:space="preserve">IEA </t>
    </r>
    <r>
      <rPr>
        <sz val="9"/>
        <color rgb="FF595959"/>
        <rFont val="Noto Sans CJK SC"/>
        <family val="2"/>
      </rPr>
      <t xml:space="preserve">估计约 </t>
    </r>
    <r>
      <rPr>
        <sz val="9"/>
        <color rgb="FF595959"/>
        <rFont val="微软雅黑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的已规划数据中心项目可能因电网约束延期；美国活跃互联队列 </t>
    </r>
    <r>
      <rPr>
        <sz val="9"/>
        <color rgb="FF595959"/>
        <rFont val="微软雅黑"/>
        <family val="0"/>
        <charset val="1"/>
      </rPr>
      <t xml:space="preserve">2,061 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微软雅黑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年投运项目从申请到商运的中位时间为 </t>
    </r>
    <r>
      <rPr>
        <sz val="9"/>
        <color rgb="FF595959"/>
        <rFont val="微软雅黑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个月。对科技公司而言，能否锁定长期、可调度、无碳的电力，比电价本身更关键。</t>
    </r>
  </si>
  <si>
    <t xml:space="preserve">来源清单：每个数字都能追到这里</t>
  </si>
  <si>
    <r>
      <rPr>
        <i val="true"/>
        <sz val="10"/>
        <color rgb="FF595959"/>
        <rFont val="Noto Sans CJK SC"/>
        <family val="2"/>
      </rPr>
      <t xml:space="preserve">“材料”指任务提供的三份原始文件；网页来源均标注访问日期 </t>
    </r>
    <r>
      <rPr>
        <i val="true"/>
        <sz val="10"/>
        <color rgb="FF595959"/>
        <rFont val="微软雅黑"/>
        <family val="0"/>
        <charset val="1"/>
      </rPr>
      <t xml:space="preserve">2026-10-22</t>
    </r>
    <r>
      <rPr>
        <i val="true"/>
        <sz val="10"/>
        <color rgb="FF595959"/>
        <rFont val="Noto Sans CJK SC"/>
        <family val="2"/>
      </rPr>
      <t xml:space="preserve">。链接为文本，不是可点击超链接。</t>
    </r>
  </si>
  <si>
    <t xml:space="preserve">来源名称</t>
  </si>
  <si>
    <t xml:space="preserve">发布机构</t>
  </si>
  <si>
    <t xml:space="preserve">标题</t>
  </si>
  <si>
    <r>
      <rPr>
        <b val="true"/>
        <sz val="9.5"/>
        <color rgb="FFFFFFFF"/>
        <rFont val="Noto Sans CJK SC"/>
        <family val="2"/>
      </rPr>
      <t xml:space="preserve">定位 </t>
    </r>
    <r>
      <rPr>
        <b val="true"/>
        <sz val="9.5"/>
        <color rgb="FFFFFFFF"/>
        <rFont val="微软雅黑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链接</t>
    </r>
  </si>
  <si>
    <t xml:space="preserve">访问日期</t>
  </si>
  <si>
    <r>
      <rPr>
        <sz val="8.5"/>
        <color rgb="FF000000"/>
        <rFont val="微软雅黑"/>
        <family val="0"/>
        <charset val="1"/>
      </rPr>
      <t xml:space="preserve">Meta Platforms 2026 </t>
    </r>
    <r>
      <rPr>
        <sz val="8.5"/>
        <color rgb="FF000000"/>
        <rFont val="Noto Sans CJK SC"/>
        <family val="2"/>
      </rPr>
      <t xml:space="preserve">年第三季度报告（</t>
    </r>
    <r>
      <rPr>
        <sz val="8.5"/>
        <color rgb="FF000000"/>
        <rFont val="微软雅黑"/>
        <family val="0"/>
        <charset val="1"/>
      </rPr>
      <t xml:space="preserve">Form 10-Q</t>
    </r>
    <r>
      <rPr>
        <sz val="8.5"/>
        <color rgb="FF000000"/>
        <rFont val="Noto Sans CJK SC"/>
        <family val="2"/>
      </rPr>
      <t xml:space="preserve">）</t>
    </r>
  </si>
  <si>
    <t xml:space="preserve">Meta Platforms, Inc.</t>
  </si>
  <si>
    <t xml:space="preserve">Form 10-Q for the quarterly period ended September 30, 2026</t>
  </si>
  <si>
    <t xml:space="preserve">公司原始披露</t>
  </si>
  <si>
    <r>
      <rPr>
        <sz val="8"/>
        <color rgb="FF000000"/>
        <rFont val="Noto Sans CJK SC"/>
        <family val="2"/>
      </rPr>
      <t xml:space="preserve">材料</t>
    </r>
    <r>
      <rPr>
        <sz val="8"/>
        <color rgb="FF000000"/>
        <rFont val="微软雅黑"/>
        <family val="0"/>
        <charset val="1"/>
      </rPr>
      <t xml:space="preserve">/Meta_2026Q3</t>
    </r>
    <r>
      <rPr>
        <sz val="8"/>
        <color rgb="FF000000"/>
        <rFont val="Noto Sans CJK SC"/>
        <family val="2"/>
      </rPr>
      <t xml:space="preserve">季报</t>
    </r>
    <r>
      <rPr>
        <sz val="8"/>
        <color rgb="FF000000"/>
        <rFont val="微软雅黑"/>
        <family val="0"/>
        <charset val="1"/>
      </rPr>
      <t xml:space="preserve">__meta-20260930.htm</t>
    </r>
    <r>
      <rPr>
        <sz val="8"/>
        <color rgb="FF000000"/>
        <rFont val="Noto Sans CJK SC"/>
        <family val="2"/>
      </rPr>
      <t xml:space="preserve">：</t>
    </r>
    <r>
      <rPr>
        <sz val="8"/>
        <color rgb="FF000000"/>
        <rFont val="微软雅黑"/>
        <family val="0"/>
        <charset val="1"/>
      </rPr>
      <t xml:space="preserve">MD&amp;A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Note 5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Note 10</t>
    </r>
    <r>
      <rPr>
        <sz val="8"/>
        <color rgb="FF000000"/>
        <rFont val="Noto Sans CJK SC"/>
        <family val="2"/>
      </rPr>
      <t xml:space="preserve">、合并现金流量表</t>
    </r>
  </si>
  <si>
    <t xml:space="preserve">2026-10-22</t>
  </si>
  <si>
    <t xml:space="preserve">S02</t>
  </si>
  <si>
    <r>
      <rPr>
        <sz val="8.5"/>
        <color rgb="FF000000"/>
        <rFont val="微软雅黑"/>
        <family val="0"/>
        <charset val="1"/>
      </rPr>
      <t xml:space="preserve">Constellation Energy 2025 </t>
    </r>
    <r>
      <rPr>
        <sz val="8.5"/>
        <color rgb="FF000000"/>
        <rFont val="Noto Sans CJK SC"/>
        <family val="2"/>
      </rPr>
      <t xml:space="preserve">年年报（</t>
    </r>
    <r>
      <rPr>
        <sz val="8.5"/>
        <color rgb="FF000000"/>
        <rFont val="微软雅黑"/>
        <family val="0"/>
        <charset val="1"/>
      </rPr>
      <t xml:space="preserve">Form 10-K</t>
    </r>
    <r>
      <rPr>
        <sz val="8.5"/>
        <color rgb="FF000000"/>
        <rFont val="Noto Sans CJK SC"/>
        <family val="2"/>
      </rPr>
      <t xml:space="preserve">）</t>
    </r>
  </si>
  <si>
    <t xml:space="preserve">Constellation Energy Corporation</t>
  </si>
  <si>
    <t xml:space="preserve">2025 Annual Report on Form 10-K</t>
  </si>
  <si>
    <t xml:space="preserve">2026-02-24</t>
  </si>
  <si>
    <r>
      <rPr>
        <sz val="8"/>
        <color rgb="FF000000"/>
        <rFont val="Noto Sans CJK SC"/>
        <family val="2"/>
      </rPr>
      <t xml:space="preserve">材料</t>
    </r>
    <r>
      <rPr>
        <sz val="8"/>
        <color rgb="FF000000"/>
        <rFont val="微软雅黑"/>
        <family val="0"/>
        <charset val="1"/>
      </rPr>
      <t xml:space="preserve">/Constellation_2025</t>
    </r>
    <r>
      <rPr>
        <sz val="8"/>
        <color rgb="FF000000"/>
        <rFont val="Noto Sans CJK SC"/>
        <family val="2"/>
      </rPr>
      <t xml:space="preserve">年报</t>
    </r>
    <r>
      <rPr>
        <sz val="8"/>
        <color rgb="FF000000"/>
        <rFont val="微软雅黑"/>
        <family val="0"/>
        <charset val="1"/>
      </rPr>
      <t xml:space="preserve">__ceg-20251231.htm</t>
    </r>
    <r>
      <rPr>
        <sz val="8"/>
        <color rgb="FF000000"/>
        <rFont val="Noto Sans CJK SC"/>
        <family val="2"/>
      </rPr>
      <t xml:space="preserve">：</t>
    </r>
    <r>
      <rPr>
        <sz val="8"/>
        <color rgb="FF000000"/>
        <rFont val="微软雅黑"/>
        <family val="0"/>
        <charset val="1"/>
      </rPr>
      <t xml:space="preserve">Item 1 Business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Item 7 MD&amp;A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Note 16</t>
    </r>
  </si>
  <si>
    <t xml:space="preserve">S03</t>
  </si>
  <si>
    <r>
      <rPr>
        <sz val="8.5"/>
        <color rgb="FF000000"/>
        <rFont val="微软雅黑"/>
        <family val="0"/>
        <charset val="1"/>
      </rPr>
      <t xml:space="preserve">Constellation Energy 2026 </t>
    </r>
    <r>
      <rPr>
        <sz val="8.5"/>
        <color rgb="FF000000"/>
        <rFont val="Noto Sans CJK SC"/>
        <family val="2"/>
      </rPr>
      <t xml:space="preserve">年第二季度报告（</t>
    </r>
    <r>
      <rPr>
        <sz val="8.5"/>
        <color rgb="FF000000"/>
        <rFont val="微软雅黑"/>
        <family val="0"/>
        <charset val="1"/>
      </rPr>
      <t xml:space="preserve">Form 10-Q</t>
    </r>
    <r>
      <rPr>
        <sz val="8.5"/>
        <color rgb="FF000000"/>
        <rFont val="Noto Sans CJK SC"/>
        <family val="2"/>
      </rPr>
      <t xml:space="preserve">）</t>
    </r>
  </si>
  <si>
    <t xml:space="preserve">Form 10-Q for the quarterly period ended June 30, 2026</t>
  </si>
  <si>
    <t xml:space="preserve">2026-08-06</t>
  </si>
  <si>
    <r>
      <rPr>
        <sz val="8"/>
        <color rgb="FF000000"/>
        <rFont val="Noto Sans CJK SC"/>
        <family val="2"/>
      </rPr>
      <t xml:space="preserve">材料</t>
    </r>
    <r>
      <rPr>
        <sz val="8"/>
        <color rgb="FF000000"/>
        <rFont val="微软雅黑"/>
        <family val="0"/>
        <charset val="1"/>
      </rPr>
      <t xml:space="preserve">/Constellation_2026Q2</t>
    </r>
    <r>
      <rPr>
        <sz val="8"/>
        <color rgb="FF000000"/>
        <rFont val="Noto Sans CJK SC"/>
        <family val="2"/>
      </rPr>
      <t xml:space="preserve">季报</t>
    </r>
    <r>
      <rPr>
        <sz val="8"/>
        <color rgb="FF000000"/>
        <rFont val="微软雅黑"/>
        <family val="0"/>
        <charset val="1"/>
      </rPr>
      <t xml:space="preserve">__ceg-20260630.htm</t>
    </r>
    <r>
      <rPr>
        <sz val="8"/>
        <color rgb="FF000000"/>
        <rFont val="Noto Sans CJK SC"/>
        <family val="2"/>
      </rPr>
      <t xml:space="preserve">：</t>
    </r>
    <r>
      <rPr>
        <sz val="8"/>
        <color rgb="FF000000"/>
        <rFont val="微软雅黑"/>
        <family val="0"/>
        <charset val="1"/>
      </rPr>
      <t xml:space="preserve">MD&amp;A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Note 2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Note 13</t>
    </r>
  </si>
  <si>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《</t>
    </r>
    <r>
      <rPr>
        <sz val="8.5"/>
        <color rgb="FF000000"/>
        <rFont val="微软雅黑"/>
        <family val="0"/>
        <charset val="1"/>
      </rPr>
      <t xml:space="preserve">Energy and AI</t>
    </r>
    <r>
      <rPr>
        <sz val="8.5"/>
        <color rgb="FF000000"/>
        <rFont val="Noto Sans CJK SC"/>
        <family val="2"/>
      </rPr>
      <t xml:space="preserve">》执行摘要</t>
    </r>
  </si>
  <si>
    <t xml:space="preserve">International Energy Agency</t>
  </si>
  <si>
    <t xml:space="preserve">Energy and AI – Executive summary</t>
  </si>
  <si>
    <t xml:space="preserve">2025-04</t>
  </si>
  <si>
    <t xml:space="preserve">国际组织研究</t>
  </si>
  <si>
    <r>
      <rPr>
        <sz val="8"/>
        <color rgb="FF000000"/>
        <rFont val="微软雅黑"/>
        <family val="0"/>
        <charset val="1"/>
      </rPr>
      <t xml:space="preserve">https://www.iea.org/reports/energy-and-ai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经互联网档案馆访问）</t>
    </r>
  </si>
  <si>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《</t>
    </r>
    <r>
      <rPr>
        <sz val="8.5"/>
        <color rgb="FF000000"/>
        <rFont val="微软雅黑"/>
        <family val="0"/>
        <charset val="1"/>
      </rPr>
      <t xml:space="preserve">Energy and AI</t>
    </r>
    <r>
      <rPr>
        <sz val="8.5"/>
        <color rgb="FF000000"/>
        <rFont val="Noto Sans CJK SC"/>
        <family val="2"/>
      </rPr>
      <t xml:space="preserve">》能源供给章节</t>
    </r>
  </si>
  <si>
    <t xml:space="preserve">Energy and AI – Energy supply for AI</t>
  </si>
  <si>
    <r>
      <rPr>
        <sz val="8"/>
        <color rgb="FF000000"/>
        <rFont val="微软雅黑"/>
        <family val="0"/>
        <charset val="1"/>
      </rPr>
      <t xml:space="preserve">https://www.iea.org/reports/energy-and-ai/energy-supply-for-ai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</si>
  <si>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Meta 2025 </t>
    </r>
    <r>
      <rPr>
        <sz val="8.5"/>
        <color rgb="FF000000"/>
        <rFont val="Noto Sans CJK SC"/>
        <family val="2"/>
      </rPr>
      <t xml:space="preserve">环境数据索引（</t>
    </r>
    <r>
      <rPr>
        <sz val="8.5"/>
        <color rgb="FF000000"/>
        <rFont val="微软雅黑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年数据）</t>
    </r>
  </si>
  <si>
    <t xml:space="preserve">2025 Environmental Data Index</t>
  </si>
  <si>
    <t xml:space="preserve">2025-12-31</t>
  </si>
  <si>
    <t xml:space="preserve">公司可持续披露</t>
  </si>
  <si>
    <r>
      <rPr>
        <sz val="8"/>
        <color rgb="FF000000"/>
        <rFont val="微软雅黑"/>
        <family val="0"/>
        <charset val="1"/>
      </rPr>
      <t xml:space="preserve">Electricity 2.1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PUE 2.4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https://sustainability.atmeta.com/asset/2025-environmental-data-index/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</si>
  <si>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S07</t>
  </si>
  <si>
    <r>
      <rPr>
        <sz val="8.5"/>
        <color rgb="FF000000"/>
        <rFont val="微软雅黑"/>
        <family val="0"/>
        <charset val="1"/>
      </rPr>
      <t xml:space="preserve">Meta </t>
    </r>
    <r>
      <rPr>
        <sz val="8.5"/>
        <color rgb="FF000000"/>
        <rFont val="Noto Sans CJK SC"/>
        <family val="2"/>
      </rPr>
      <t xml:space="preserve">核能项目公告</t>
    </r>
  </si>
  <si>
    <t xml:space="preserve">Meta announces nuclear energy projects to power American AI leadership</t>
  </si>
  <si>
    <t xml:space="preserve">2026-01-09</t>
  </si>
  <si>
    <t xml:space="preserve">公司公告</t>
  </si>
  <si>
    <r>
      <rPr>
        <sz val="8"/>
        <color rgb="FF000000"/>
        <rFont val="微软雅黑"/>
        <family val="0"/>
        <charset val="1"/>
      </rPr>
      <t xml:space="preserve">https://about.fb.com/news/2026/01/meta-nuclear-energy-projects-power-american-ai-leadership/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</si>
  <si>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S08</t>
  </si>
  <si>
    <r>
      <rPr>
        <sz val="8.5"/>
        <color rgb="FF000000"/>
        <rFont val="微软雅黑"/>
        <family val="0"/>
        <charset val="1"/>
      </rPr>
      <t xml:space="preserve">Utility Dive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Meta </t>
    </r>
    <r>
      <rPr>
        <sz val="8.5"/>
        <color rgb="FF000000"/>
        <rFont val="Noto Sans CJK SC"/>
        <family val="2"/>
      </rPr>
      <t xml:space="preserve">与 </t>
    </r>
    <r>
      <rPr>
        <sz val="8.5"/>
        <color rgb="FF000000"/>
        <rFont val="微软雅黑"/>
        <family val="0"/>
        <charset val="1"/>
      </rPr>
      <t xml:space="preserve">Oklo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软雅黑"/>
        <family val="0"/>
        <charset val="1"/>
      </rPr>
      <t xml:space="preserve">Vistra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软雅黑"/>
        <family val="0"/>
        <charset val="1"/>
      </rPr>
      <t xml:space="preserve">TerraPower </t>
    </r>
    <r>
      <rPr>
        <sz val="8.5"/>
        <color rgb="FF000000"/>
        <rFont val="Noto Sans CJK SC"/>
        <family val="2"/>
      </rPr>
      <t xml:space="preserve">签约</t>
    </r>
  </si>
  <si>
    <t xml:space="preserve">Utility Dive</t>
  </si>
  <si>
    <t xml:space="preserve">Meta inks nuclear deals for up to 6.6 GW from Oklo, Vistra, TerraPower</t>
  </si>
  <si>
    <t xml:space="preserve">行业媒体</t>
  </si>
  <si>
    <r>
      <rPr>
        <sz val="8"/>
        <color rgb="FF000000"/>
        <rFont val="微软雅黑"/>
        <family val="0"/>
        <charset val="1"/>
      </rPr>
      <t xml:space="preserve">https://www.utilitydive.com/news/meta-nuclear-deal-oklo-vistra-terrapower-ai-data-centers/809215/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</si>
  <si>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S09</t>
  </si>
  <si>
    <r>
      <rPr>
        <sz val="8.5"/>
        <color rgb="FF000000"/>
        <rFont val="微软雅黑"/>
        <family val="0"/>
        <charset val="1"/>
      </rPr>
      <t xml:space="preserve">Constellation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Clinton Clean Energy Center </t>
    </r>
    <r>
      <rPr>
        <sz val="8.5"/>
        <color rgb="FF000000"/>
        <rFont val="Noto Sans CJK SC"/>
        <family val="2"/>
      </rPr>
      <t xml:space="preserve">设施页</t>
    </r>
  </si>
  <si>
    <t xml:space="preserve">Clinton Clean Energy Center</t>
  </si>
  <si>
    <t xml:space="preserve">公司网站</t>
  </si>
  <si>
    <r>
      <rPr>
        <sz val="8"/>
        <color rgb="FF000000"/>
        <rFont val="Noto Sans CJK SC"/>
        <family val="2"/>
      </rPr>
      <t xml:space="preserve">装机 </t>
    </r>
    <r>
      <rPr>
        <sz val="8"/>
        <color rgb="FF000000"/>
        <rFont val="微软雅黑"/>
        <family val="0"/>
        <charset val="1"/>
      </rPr>
      <t xml:space="preserve">1,092 MW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20 </t>
    </r>
    <r>
      <rPr>
        <sz val="8"/>
        <color rgb="FF000000"/>
        <rFont val="Noto Sans CJK SC"/>
        <family val="2"/>
      </rPr>
      <t xml:space="preserve">年 </t>
    </r>
    <r>
      <rPr>
        <sz val="8"/>
        <color rgb="FF000000"/>
        <rFont val="微软雅黑"/>
        <family val="0"/>
        <charset val="1"/>
      </rPr>
      <t xml:space="preserve">Meta </t>
    </r>
    <r>
      <rPr>
        <sz val="8"/>
        <color rgb="FF000000"/>
        <rFont val="Noto Sans CJK SC"/>
        <family val="2"/>
      </rPr>
      <t xml:space="preserve">协议庆祝活动；</t>
    </r>
    <r>
      <rPr>
        <sz val="8"/>
        <color rgb="FF000000"/>
        <rFont val="微软雅黑"/>
        <family val="0"/>
        <charset val="1"/>
      </rPr>
      <t xml:space="preserve">https://www.constellationenergy.com/about/locations/clinton-clean-energy-center.html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</si>
  <si>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Talen Energy </t>
    </r>
    <r>
      <rPr>
        <sz val="8.5"/>
        <color rgb="FF000000"/>
        <rFont val="Noto Sans CJK SC"/>
        <family val="2"/>
      </rPr>
      <t xml:space="preserve">与 </t>
    </r>
    <r>
      <rPr>
        <sz val="8.5"/>
        <color rgb="FF000000"/>
        <rFont val="微软雅黑"/>
        <family val="0"/>
        <charset val="1"/>
      </rPr>
      <t xml:space="preserve">Amazon </t>
    </r>
    <r>
      <rPr>
        <sz val="8.5"/>
        <color rgb="FF000000"/>
        <rFont val="Noto Sans CJK SC"/>
        <family val="2"/>
      </rPr>
      <t xml:space="preserve">扩大核电合作（新闻稿转载）</t>
    </r>
  </si>
  <si>
    <t xml:space="preserve">World-Energy / Talen Energy</t>
  </si>
  <si>
    <t xml:space="preserve">Talen and Amazon Sign 1.92 GW Nuclear Energy PPA</t>
  </si>
  <si>
    <t xml:space="preserve">2025-06-13</t>
  </si>
  <si>
    <t xml:space="preserve">公司公告转载</t>
  </si>
  <si>
    <r>
      <rPr>
        <sz val="8"/>
        <color rgb="FF000000"/>
        <rFont val="微软雅黑"/>
        <family val="0"/>
        <charset val="1"/>
      </rPr>
      <t xml:space="preserve">https://www.world-energy.org/article/52524.html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</si>
  <si>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S11</t>
  </si>
  <si>
    <r>
      <rPr>
        <sz val="8.5"/>
        <color rgb="FF000000"/>
        <rFont val="微软雅黑"/>
        <family val="0"/>
        <charset val="1"/>
      </rPr>
      <t xml:space="preserve">Google </t>
    </r>
    <r>
      <rPr>
        <sz val="8.5"/>
        <color rgb="FF000000"/>
        <rFont val="Noto Sans CJK SC"/>
        <family val="2"/>
      </rPr>
      <t xml:space="preserve">与 </t>
    </r>
    <r>
      <rPr>
        <sz val="8.5"/>
        <color rgb="FF000000"/>
        <rFont val="微软雅黑"/>
        <family val="0"/>
        <charset val="1"/>
      </rPr>
      <t xml:space="preserve">Commonwealth Fusion Systems </t>
    </r>
    <r>
      <rPr>
        <sz val="8.5"/>
        <color rgb="FF000000"/>
        <rFont val="Noto Sans CJK SC"/>
        <family val="2"/>
      </rPr>
      <t xml:space="preserve">战略合作</t>
    </r>
  </si>
  <si>
    <t xml:space="preserve">Google and Commonwealth Fusion Systems Sign Strategic Partnership</t>
  </si>
  <si>
    <t xml:space="preserve">2025-06-30</t>
  </si>
  <si>
    <r>
      <rPr>
        <sz val="8"/>
        <color rgb="FF000000"/>
        <rFont val="微软雅黑"/>
        <family val="0"/>
        <charset val="1"/>
      </rPr>
      <t xml:space="preserve">200 MW PPA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ARC 400 MW </t>
    </r>
    <r>
      <rPr>
        <sz val="8"/>
        <color rgb="FF000000"/>
        <rFont val="Noto Sans CJK SC"/>
        <family val="2"/>
      </rPr>
      <t xml:space="preserve">净出力；</t>
    </r>
    <r>
      <rPr>
        <sz val="8"/>
        <color rgb="FF000000"/>
        <rFont val="微软雅黑"/>
        <family val="0"/>
        <charset val="1"/>
      </rPr>
      <t xml:space="preserve">early 2030s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https://cfs.energy/news-and-media/google-and-commonwealth-fusion-systems-sign-strategic-partnership/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</si>
  <si>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CFS </t>
    </r>
    <r>
      <rPr>
        <sz val="8.5"/>
        <color rgb="FF000000"/>
        <rFont val="Noto Sans CJK SC"/>
        <family val="2"/>
      </rPr>
      <t xml:space="preserve">完成 </t>
    </r>
    <r>
      <rPr>
        <sz val="8.5"/>
        <color rgb="FF000000"/>
        <rFont val="微软雅黑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亿美元融资</t>
    </r>
  </si>
  <si>
    <t xml:space="preserve">ESG Today</t>
  </si>
  <si>
    <t xml:space="preserve">Commonwealth Raises $1 Billion to Accelerate Path to Commercial Fusion Energy</t>
  </si>
  <si>
    <t xml:space="preserve">2026-07-31</t>
  </si>
  <si>
    <r>
      <rPr>
        <sz val="8"/>
        <color rgb="FF000000"/>
        <rFont val="Noto Sans CJK SC"/>
        <family val="2"/>
      </rPr>
      <t xml:space="preserve">累计融资 </t>
    </r>
    <r>
      <rPr>
        <sz val="8"/>
        <color rgb="FF000000"/>
        <rFont val="微软雅黑"/>
        <family val="0"/>
        <charset val="1"/>
      </rPr>
      <t xml:space="preserve">40 </t>
    </r>
    <r>
      <rPr>
        <sz val="8"/>
        <color rgb="FF000000"/>
        <rFont val="Noto Sans CJK SC"/>
        <family val="2"/>
      </rPr>
      <t xml:space="preserve">亿美元，约占行业 </t>
    </r>
    <r>
      <rPr>
        <sz val="8"/>
        <color rgb="FF000000"/>
        <rFont val="微软雅黑"/>
        <family val="0"/>
        <charset val="1"/>
      </rPr>
      <t xml:space="preserve">30%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https://www.esgtoday.com/commonwealth-raises-1-billion-to-accelerate-path-to-commercial-fusion-energy/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</si>
  <si>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Helion </t>
    </r>
    <r>
      <rPr>
        <sz val="8.5"/>
        <color rgb="FF000000"/>
        <rFont val="Noto Sans CJK SC"/>
        <family val="2"/>
      </rPr>
      <t xml:space="preserve">完成 </t>
    </r>
    <r>
      <rPr>
        <sz val="8.5"/>
        <color rgb="FF000000"/>
        <rFont val="微软雅黑"/>
        <family val="0"/>
        <charset val="1"/>
      </rPr>
      <t xml:space="preserve">4.65 </t>
    </r>
    <r>
      <rPr>
        <sz val="8.5"/>
        <color rgb="FF000000"/>
        <rFont val="Noto Sans CJK SC"/>
        <family val="2"/>
      </rPr>
      <t xml:space="preserve">亿美元 </t>
    </r>
    <r>
      <rPr>
        <sz val="8.5"/>
        <color rgb="FF000000"/>
        <rFont val="微软雅黑"/>
        <family val="0"/>
        <charset val="1"/>
      </rPr>
      <t xml:space="preserve">G </t>
    </r>
    <r>
      <rPr>
        <sz val="8.5"/>
        <color rgb="FF000000"/>
        <rFont val="Noto Sans CJK SC"/>
        <family val="2"/>
      </rPr>
      <t xml:space="preserve">轮融资</t>
    </r>
  </si>
  <si>
    <t xml:space="preserve">Helion Raises $465 Million Series G Funding Round</t>
  </si>
  <si>
    <t xml:space="preserve">2026-06-04</t>
  </si>
  <si>
    <r>
      <rPr>
        <sz val="8"/>
        <color rgb="FF000000"/>
        <rFont val="Noto Sans CJK SC"/>
        <family val="2"/>
      </rPr>
      <t xml:space="preserve">累计 </t>
    </r>
    <r>
      <rPr>
        <sz val="8"/>
        <color rgb="FF000000"/>
        <rFont val="微软雅黑"/>
        <family val="0"/>
        <charset val="1"/>
      </rPr>
      <t xml:space="preserve">15 </t>
    </r>
    <r>
      <rPr>
        <sz val="8"/>
        <color rgb="FF000000"/>
        <rFont val="Noto Sans CJK SC"/>
        <family val="2"/>
      </rPr>
      <t xml:space="preserve">亿美元、投后 </t>
    </r>
    <r>
      <rPr>
        <sz val="8"/>
        <color rgb="FF000000"/>
        <rFont val="微软雅黑"/>
        <family val="0"/>
        <charset val="1"/>
      </rPr>
      <t xml:space="preserve">155 </t>
    </r>
    <r>
      <rPr>
        <sz val="8"/>
        <color rgb="FF000000"/>
        <rFont val="Noto Sans CJK SC"/>
        <family val="2"/>
      </rPr>
      <t xml:space="preserve">亿美元估值；</t>
    </r>
    <r>
      <rPr>
        <sz val="8"/>
        <color rgb="FF000000"/>
        <rFont val="微软雅黑"/>
        <family val="0"/>
        <charset val="1"/>
      </rPr>
      <t xml:space="preserve">Polaris </t>
    </r>
    <r>
      <rPr>
        <sz val="8"/>
        <color rgb="FF000000"/>
        <rFont val="Noto Sans CJK SC"/>
        <family val="2"/>
      </rPr>
      <t xml:space="preserve">实现 </t>
    </r>
    <r>
      <rPr>
        <sz val="8"/>
        <color rgb="FF000000"/>
        <rFont val="微软雅黑"/>
        <family val="0"/>
        <charset val="1"/>
      </rPr>
      <t xml:space="preserve">D-T </t>
    </r>
    <r>
      <rPr>
        <sz val="8"/>
        <color rgb="FF000000"/>
        <rFont val="Noto Sans CJK SC"/>
        <family val="2"/>
      </rPr>
      <t xml:space="preserve">运行；</t>
    </r>
    <r>
      <rPr>
        <sz val="8"/>
        <color rgb="FF000000"/>
        <rFont val="微软雅黑"/>
        <family val="0"/>
        <charset val="1"/>
      </rPr>
      <t xml:space="preserve">Orion </t>
    </r>
    <r>
      <rPr>
        <sz val="8"/>
        <color rgb="FF000000"/>
        <rFont val="Noto Sans CJK SC"/>
        <family val="2"/>
      </rPr>
      <t xml:space="preserve">建设中；</t>
    </r>
    <r>
      <rPr>
        <sz val="8"/>
        <color rgb="FF000000"/>
        <rFont val="微软雅黑"/>
        <family val="0"/>
        <charset val="1"/>
      </rPr>
      <t xml:space="preserve">https://www.helionenergy.com/newsroom/helion-raises-465-million-series-g-funding-round-to-meet-surging-global-demand-for-power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</si>
  <si>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S14</t>
  </si>
  <si>
    <r>
      <rPr>
        <sz val="8.5"/>
        <color rgb="FF000000"/>
        <rFont val="微软雅黑"/>
        <family val="0"/>
        <charset val="1"/>
      </rPr>
      <t xml:space="preserve">Reuters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Microsoft </t>
    </r>
    <r>
      <rPr>
        <sz val="8.5"/>
        <color rgb="FF000000"/>
        <rFont val="Noto Sans CJK SC"/>
        <family val="2"/>
      </rPr>
      <t xml:space="preserve">与 </t>
    </r>
    <r>
      <rPr>
        <sz val="8.5"/>
        <color rgb="FF000000"/>
        <rFont val="微软雅黑"/>
        <family val="0"/>
        <charset val="1"/>
      </rPr>
      <t xml:space="preserve">Helion </t>
    </r>
    <r>
      <rPr>
        <sz val="8.5"/>
        <color rgb="FF000000"/>
        <rFont val="Noto Sans CJK SC"/>
        <family val="2"/>
      </rPr>
      <t xml:space="preserve">签署首个聚变购电协议</t>
    </r>
  </si>
  <si>
    <t xml:space="preserve">Reuters</t>
  </si>
  <si>
    <t xml:space="preserve">Microsoft signs power purchase deal with nuclear fusion company Helion</t>
  </si>
  <si>
    <t xml:space="preserve">2023-05-10</t>
  </si>
  <si>
    <t xml:space="preserve">通讯社</t>
  </si>
  <si>
    <r>
      <rPr>
        <sz val="8"/>
        <color rgb="FF000000"/>
        <rFont val="微软雅黑"/>
        <family val="0"/>
        <charset val="1"/>
      </rPr>
      <t xml:space="preserve">50 MW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2029 </t>
    </r>
    <r>
      <rPr>
        <sz val="8"/>
        <color rgb="FF000000"/>
        <rFont val="Noto Sans CJK SC"/>
        <family val="2"/>
      </rPr>
      <t xml:space="preserve">年目标（</t>
    </r>
    <r>
      <rPr>
        <sz val="8"/>
        <color rgb="FF000000"/>
        <rFont val="微软雅黑"/>
        <family val="0"/>
        <charset val="1"/>
      </rPr>
      <t xml:space="preserve">Helion </t>
    </r>
    <r>
      <rPr>
        <sz val="8"/>
        <color rgb="FF000000"/>
        <rFont val="Noto Sans CJK SC"/>
        <family val="2"/>
      </rPr>
      <t xml:space="preserve">后续称提前至 </t>
    </r>
    <r>
      <rPr>
        <sz val="8"/>
        <color rgb="FF000000"/>
        <rFont val="微软雅黑"/>
        <family val="0"/>
        <charset val="1"/>
      </rPr>
      <t xml:space="preserve">2028 </t>
    </r>
    <r>
      <rPr>
        <sz val="8"/>
        <color rgb="FF000000"/>
        <rFont val="Noto Sans CJK SC"/>
        <family val="2"/>
      </rPr>
      <t xml:space="preserve">年）；</t>
    </r>
    <r>
      <rPr>
        <sz val="8"/>
        <color rgb="FF000000"/>
        <rFont val="微软雅黑"/>
        <family val="0"/>
        <charset val="1"/>
      </rPr>
      <t xml:space="preserve">https://www.reuters.com/technology/microsoft-buy-power-nuclear-fusion-company-helion-2023-05-10/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</si>
  <si>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S15</t>
  </si>
  <si>
    <r>
      <rPr>
        <sz val="8.5"/>
        <color rgb="FF000000"/>
        <rFont val="微软雅黑"/>
        <family val="0"/>
        <charset val="1"/>
      </rPr>
      <t xml:space="preserve">Google </t>
    </r>
    <r>
      <rPr>
        <sz val="8.5"/>
        <color rgb="FF000000"/>
        <rFont val="Noto Sans CJK SC"/>
        <family val="2"/>
      </rPr>
      <t xml:space="preserve">与 </t>
    </r>
    <r>
      <rPr>
        <sz val="8.5"/>
        <color rgb="FF000000"/>
        <rFont val="微软雅黑"/>
        <family val="0"/>
        <charset val="1"/>
      </rPr>
      <t xml:space="preserve">Kairos Power </t>
    </r>
    <r>
      <rPr>
        <sz val="8.5"/>
        <color rgb="FF000000"/>
        <rFont val="Noto Sans CJK SC"/>
        <family val="2"/>
      </rPr>
      <t xml:space="preserve">合作</t>
    </r>
  </si>
  <si>
    <t xml:space="preserve">Google and Kairos Power Partner to Deploy 500 MW of Clean Electricity Generation</t>
  </si>
  <si>
    <t xml:space="preserve">2024-10-14</t>
  </si>
  <si>
    <r>
      <rPr>
        <sz val="8"/>
        <color rgb="FF000000"/>
        <rFont val="微软雅黑"/>
        <family val="0"/>
        <charset val="1"/>
      </rPr>
      <t xml:space="preserve">500 MW</t>
    </r>
    <r>
      <rPr>
        <sz val="8"/>
        <color rgb="FF000000"/>
        <rFont val="Noto Sans CJK SC"/>
        <family val="2"/>
      </rPr>
      <t xml:space="preserve">、首堆 </t>
    </r>
    <r>
      <rPr>
        <sz val="8"/>
        <color rgb="FF000000"/>
        <rFont val="微软雅黑"/>
        <family val="0"/>
        <charset val="1"/>
      </rPr>
      <t xml:space="preserve">2030 </t>
    </r>
    <r>
      <rPr>
        <sz val="8"/>
        <color rgb="FF000000"/>
        <rFont val="Noto Sans CJK SC"/>
        <family val="2"/>
      </rPr>
      <t xml:space="preserve">年、</t>
    </r>
    <r>
      <rPr>
        <sz val="8"/>
        <color rgb="FF000000"/>
        <rFont val="微软雅黑"/>
        <family val="0"/>
        <charset val="1"/>
      </rPr>
      <t xml:space="preserve">2035 </t>
    </r>
    <r>
      <rPr>
        <sz val="8"/>
        <color rgb="FF000000"/>
        <rFont val="Noto Sans CJK SC"/>
        <family val="2"/>
      </rPr>
      <t xml:space="preserve">年全规模；</t>
    </r>
    <r>
      <rPr>
        <sz val="8"/>
        <color rgb="FF000000"/>
        <rFont val="微软雅黑"/>
        <family val="0"/>
        <charset val="1"/>
      </rPr>
      <t xml:space="preserve">https://www.kairospower.com/updates/google-and-kairos-power-partner-to-deploy-500-mw-of-clean-electricity-generation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</si>
  <si>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Lazard</t>
    </r>
    <r>
      <rPr>
        <sz val="8.5"/>
        <color rgb="FF000000"/>
        <rFont val="Noto Sans CJK SC"/>
        <family val="2"/>
      </rPr>
      <t xml:space="preserve">《</t>
    </r>
    <r>
      <rPr>
        <sz val="8.5"/>
        <color rgb="FF000000"/>
        <rFont val="微软雅黑"/>
        <family val="0"/>
        <charset val="1"/>
      </rPr>
      <t xml:space="preserve">Levelized Cost of Energy+</t>
    </r>
    <r>
      <rPr>
        <sz val="8.5"/>
        <color rgb="FF000000"/>
        <rFont val="Noto Sans CJK SC"/>
        <family val="2"/>
      </rPr>
      <t xml:space="preserve">》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版（</t>
    </r>
    <r>
      <rPr>
        <sz val="8.5"/>
        <color rgb="FF000000"/>
        <rFont val="微软雅黑"/>
        <family val="0"/>
        <charset val="1"/>
      </rPr>
      <t xml:space="preserve">v19.0</t>
    </r>
    <r>
      <rPr>
        <sz val="8.5"/>
        <color rgb="FF000000"/>
        <rFont val="Noto Sans CJK SC"/>
        <family val="2"/>
      </rPr>
      <t xml:space="preserve">）</t>
    </r>
  </si>
  <si>
    <t xml:space="preserve">Lazard</t>
  </si>
  <si>
    <t xml:space="preserve">Lazard's Levelized Cost of Energy+ (LCOE+), Version 19.0</t>
  </si>
  <si>
    <t xml:space="preserve">第三方研究</t>
  </si>
  <si>
    <r>
      <rPr>
        <sz val="8"/>
        <color rgb="FF000000"/>
        <rFont val="Noto Sans CJK SC"/>
        <family val="2"/>
      </rPr>
      <t xml:space="preserve">第 </t>
    </r>
    <r>
      <rPr>
        <sz val="8"/>
        <color rgb="FF000000"/>
        <rFont val="微软雅黑"/>
        <family val="0"/>
        <charset val="1"/>
      </rPr>
      <t xml:space="preserve">7 </t>
    </r>
    <r>
      <rPr>
        <sz val="8"/>
        <color rgb="FF000000"/>
        <rFont val="Noto Sans CJK SC"/>
        <family val="2"/>
      </rPr>
      <t xml:space="preserve">页 </t>
    </r>
    <r>
      <rPr>
        <sz val="8"/>
        <color rgb="FF000000"/>
        <rFont val="微软雅黑"/>
        <family val="0"/>
        <charset val="1"/>
      </rPr>
      <t xml:space="preserve">LCOE </t>
    </r>
    <r>
      <rPr>
        <sz val="8"/>
        <color rgb="FF000000"/>
        <rFont val="Noto Sans CJK SC"/>
        <family val="2"/>
      </rPr>
      <t xml:space="preserve">对比：光伏 </t>
    </r>
    <r>
      <rPr>
        <sz val="8"/>
        <color rgb="FF000000"/>
        <rFont val="微软雅黑"/>
        <family val="0"/>
        <charset val="1"/>
      </rPr>
      <t xml:space="preserve">40–98</t>
    </r>
    <r>
      <rPr>
        <sz val="8"/>
        <color rgb="FF000000"/>
        <rFont val="Noto Sans CJK SC"/>
        <family val="2"/>
      </rPr>
      <t xml:space="preserve">、陆上风电 </t>
    </r>
    <r>
      <rPr>
        <sz val="8"/>
        <color rgb="FF000000"/>
        <rFont val="微软雅黑"/>
        <family val="0"/>
        <charset val="1"/>
      </rPr>
      <t xml:space="preserve">37–99</t>
    </r>
    <r>
      <rPr>
        <sz val="8"/>
        <color rgb="FF000000"/>
        <rFont val="Noto Sans CJK SC"/>
        <family val="2"/>
      </rPr>
      <t xml:space="preserve">、联合循环 </t>
    </r>
    <r>
      <rPr>
        <sz val="8"/>
        <color rgb="FF000000"/>
        <rFont val="微软雅黑"/>
        <family val="0"/>
        <charset val="1"/>
      </rPr>
      <t xml:space="preserve">51–129</t>
    </r>
    <r>
      <rPr>
        <sz val="8"/>
        <color rgb="FF000000"/>
        <rFont val="Noto Sans CJK SC"/>
        <family val="2"/>
      </rPr>
      <t xml:space="preserve">、核电 </t>
    </r>
    <r>
      <rPr>
        <sz val="8"/>
        <color rgb="FF000000"/>
        <rFont val="微软雅黑"/>
        <family val="0"/>
        <charset val="1"/>
      </rPr>
      <t xml:space="preserve">175–255</t>
    </r>
    <r>
      <rPr>
        <sz val="8"/>
        <color rgb="FF000000"/>
        <rFont val="Noto Sans CJK SC"/>
        <family val="2"/>
      </rPr>
      <t xml:space="preserve">、燃气调峰 </t>
    </r>
    <r>
      <rPr>
        <sz val="8"/>
        <color rgb="FF000000"/>
        <rFont val="微软雅黑"/>
        <family val="0"/>
        <charset val="1"/>
      </rPr>
      <t xml:space="preserve">144–276 </t>
    </r>
    <r>
      <rPr>
        <sz val="8"/>
        <color rgb="FF000000"/>
        <rFont val="Noto Sans CJK SC"/>
        <family val="2"/>
      </rPr>
      <t xml:space="preserve">美元</t>
    </r>
    <r>
      <rPr>
        <sz val="8"/>
        <color rgb="FF000000"/>
        <rFont val="微软雅黑"/>
        <family val="0"/>
        <charset val="1"/>
      </rPr>
      <t xml:space="preserve">/MWh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https://www.lazard.com/research-insights/levelized-cost-of-energyplus-lcoeplus/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</si>
  <si>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EIA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2025 </t>
    </r>
    <r>
      <rPr>
        <sz val="8.5"/>
        <color rgb="FF000000"/>
        <rFont val="Noto Sans CJK SC"/>
        <family val="2"/>
      </rPr>
      <t xml:space="preserve">年美国发电量创历史新高</t>
    </r>
  </si>
  <si>
    <t xml:space="preserve">U.S. Energy Information Administration</t>
  </si>
  <si>
    <t xml:space="preserve">U.S. electricity generation in 2025 hit a record, again</t>
  </si>
  <si>
    <t xml:space="preserve">2026-03-05</t>
  </si>
  <si>
    <t xml:space="preserve">政府统计</t>
  </si>
  <si>
    <r>
      <rPr>
        <sz val="8"/>
        <color rgb="FF000000"/>
        <rFont val="微软雅黑"/>
        <family val="0"/>
        <charset val="1"/>
      </rPr>
      <t xml:space="preserve">2025 </t>
    </r>
    <r>
      <rPr>
        <sz val="8"/>
        <color rgb="FF000000"/>
        <rFont val="Noto Sans CJK SC"/>
        <family val="2"/>
      </rPr>
      <t xml:space="preserve">年净发电量 </t>
    </r>
    <r>
      <rPr>
        <sz val="8"/>
        <color rgb="FF000000"/>
        <rFont val="微软雅黑"/>
        <family val="0"/>
        <charset val="1"/>
      </rPr>
      <t xml:space="preserve">4,430 TWh</t>
    </r>
    <r>
      <rPr>
        <sz val="8"/>
        <color rgb="FF000000"/>
        <rFont val="Noto Sans CJK SC"/>
        <family val="2"/>
      </rPr>
      <t xml:space="preserve">，同比 </t>
    </r>
    <r>
      <rPr>
        <sz val="8"/>
        <color rgb="FF000000"/>
        <rFont val="微软雅黑"/>
        <family val="0"/>
        <charset val="1"/>
      </rPr>
      <t xml:space="preserve">+2.8%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https://www.eia.gov/todayinenergy/detail.php?id=67284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</si>
  <si>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S18</t>
  </si>
  <si>
    <r>
      <rPr>
        <sz val="8.5"/>
        <color rgb="FF000000"/>
        <rFont val="Arial"/>
        <family val="0"/>
        <charset val="1"/>
      </rPr>
      <t xml:space="preserve">LBNL</t>
    </r>
    <r>
      <rPr>
        <sz val="8.5"/>
        <color rgb="FF000000"/>
        <rFont val="Noto Sans CJK SC"/>
        <family val="2"/>
      </rPr>
      <t xml:space="preserve">《</t>
    </r>
    <r>
      <rPr>
        <sz val="8.5"/>
        <color rgb="FF000000"/>
        <rFont val="Arial"/>
        <family val="0"/>
        <charset val="1"/>
      </rPr>
      <t xml:space="preserve">Queued Up: 2026 Edition</t>
    </r>
    <r>
      <rPr>
        <sz val="8.5"/>
        <color rgb="FF000000"/>
        <rFont val="Noto Sans CJK SC"/>
        <family val="2"/>
      </rPr>
      <t xml:space="preserve">》</t>
    </r>
  </si>
  <si>
    <t xml:space="preserve">Lawrence Berkeley National Laboratory</t>
  </si>
  <si>
    <t xml:space="preserve">Queued Up: 2026 Edition – Characteristics of Power Plants Seeking Transmission Interconnection</t>
  </si>
  <si>
    <t xml:space="preserve">国家实验室研究</t>
  </si>
  <si>
    <r>
      <rPr>
        <sz val="8"/>
        <color rgb="FF000000"/>
        <rFont val="Noto Sans CJK SC"/>
        <family val="2"/>
      </rPr>
      <t xml:space="preserve">活跃队列 </t>
    </r>
    <r>
      <rPr>
        <sz val="8"/>
        <color rgb="FF000000"/>
        <rFont val="微软雅黑"/>
        <family val="0"/>
        <charset val="1"/>
      </rPr>
      <t xml:space="preserve">2,061 GW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2025 </t>
    </r>
    <r>
      <rPr>
        <sz val="8"/>
        <color rgb="FF000000"/>
        <rFont val="Noto Sans CJK SC"/>
        <family val="2"/>
      </rPr>
      <t xml:space="preserve">年投运项目中位排队 </t>
    </r>
    <r>
      <rPr>
        <sz val="8"/>
        <color rgb="FF000000"/>
        <rFont val="微软雅黑"/>
        <family val="0"/>
        <charset val="1"/>
      </rPr>
      <t xml:space="preserve">61 </t>
    </r>
    <r>
      <rPr>
        <sz val="8"/>
        <color rgb="FF000000"/>
        <rFont val="Noto Sans CJK SC"/>
        <family val="2"/>
      </rPr>
      <t xml:space="preserve">个月；</t>
    </r>
    <r>
      <rPr>
        <sz val="8"/>
        <color rgb="FF000000"/>
        <rFont val="微软雅黑"/>
        <family val="0"/>
        <charset val="1"/>
      </rPr>
      <t xml:space="preserve">2000–2020 </t>
    </r>
    <r>
      <rPr>
        <sz val="8"/>
        <color rgb="FF000000"/>
        <rFont val="Noto Sans CJK SC"/>
        <family val="2"/>
      </rPr>
      <t xml:space="preserve">年请求项目仅 </t>
    </r>
    <r>
      <rPr>
        <sz val="8"/>
        <color rgb="FF000000"/>
        <rFont val="微软雅黑"/>
        <family val="0"/>
        <charset val="1"/>
      </rPr>
      <t xml:space="preserve">19% </t>
    </r>
    <r>
      <rPr>
        <sz val="8"/>
        <color rgb="FF000000"/>
        <rFont val="Noto Sans CJK SC"/>
        <family val="2"/>
      </rPr>
      <t xml:space="preserve">投运；第 </t>
    </r>
    <r>
      <rPr>
        <sz val="8"/>
        <color rgb="FF000000"/>
        <rFont val="微软雅黑"/>
        <family val="0"/>
        <charset val="1"/>
      </rPr>
      <t xml:space="preserve">4 </t>
    </r>
    <r>
      <rPr>
        <sz val="8"/>
        <color rgb="FF000000"/>
        <rFont val="Noto Sans CJK SC"/>
        <family val="2"/>
      </rPr>
      <t xml:space="preserve">页</t>
    </r>
  </si>
  <si>
    <t xml:space="preserve">S19</t>
  </si>
  <si>
    <r>
      <rPr>
        <sz val="8.5"/>
        <color rgb="FF000000"/>
        <rFont val="微软雅黑"/>
        <family val="0"/>
        <charset val="1"/>
      </rPr>
      <t xml:space="preserve">GE Vernova 2026 </t>
    </r>
    <r>
      <rPr>
        <sz val="8.5"/>
        <color rgb="FF000000"/>
        <rFont val="Noto Sans CJK SC"/>
        <family val="2"/>
      </rPr>
      <t xml:space="preserve">年第二季度业绩</t>
    </r>
  </si>
  <si>
    <t xml:space="preserve">GE Vernova</t>
  </si>
  <si>
    <t xml:space="preserve">GE Vernova reports second quarter 2026 financial results</t>
  </si>
  <si>
    <t xml:space="preserve">2026-07-22</t>
  </si>
  <si>
    <r>
      <rPr>
        <sz val="8"/>
        <color rgb="FF000000"/>
        <rFont val="Noto Sans CJK SC"/>
        <family val="2"/>
      </rPr>
      <t xml:space="preserve">订单 </t>
    </r>
    <r>
      <rPr>
        <sz val="8"/>
        <color rgb="FF000000"/>
        <rFont val="微软雅黑"/>
        <family val="0"/>
        <charset val="1"/>
      </rPr>
      <t xml:space="preserve">242 </t>
    </r>
    <r>
      <rPr>
        <sz val="8"/>
        <color rgb="FF000000"/>
        <rFont val="Noto Sans CJK SC"/>
        <family val="2"/>
      </rPr>
      <t xml:space="preserve">亿美元（</t>
    </r>
    <r>
      <rPr>
        <sz val="8"/>
        <color rgb="FF000000"/>
        <rFont val="微软雅黑"/>
        <family val="0"/>
        <charset val="1"/>
      </rPr>
      <t xml:space="preserve">+88%</t>
    </r>
    <r>
      <rPr>
        <sz val="8"/>
        <color rgb="FF000000"/>
        <rFont val="Noto Sans CJK SC"/>
        <family val="2"/>
      </rPr>
      <t xml:space="preserve">）、在手订单 </t>
    </r>
    <r>
      <rPr>
        <sz val="8"/>
        <color rgb="FF000000"/>
        <rFont val="微软雅黑"/>
        <family val="0"/>
        <charset val="1"/>
      </rPr>
      <t xml:space="preserve">1,760 </t>
    </r>
    <r>
      <rPr>
        <sz val="8"/>
        <color rgb="FF000000"/>
        <rFont val="Noto Sans CJK SC"/>
        <family val="2"/>
      </rPr>
      <t xml:space="preserve">亿美元、燃机设备在手 </t>
    </r>
    <r>
      <rPr>
        <sz val="8"/>
        <color rgb="FF000000"/>
        <rFont val="微软雅黑"/>
        <family val="0"/>
        <charset val="1"/>
      </rPr>
      <t xml:space="preserve">116 GW</t>
    </r>
    <r>
      <rPr>
        <sz val="8"/>
        <color rgb="FF000000"/>
        <rFont val="Noto Sans CJK SC"/>
        <family val="2"/>
      </rPr>
      <t xml:space="preserve">、数据中心电气化订单年内超 </t>
    </r>
    <r>
      <rPr>
        <sz val="8"/>
        <color rgb="FF000000"/>
        <rFont val="微软雅黑"/>
        <family val="0"/>
        <charset val="1"/>
      </rPr>
      <t xml:space="preserve">50 </t>
    </r>
    <r>
      <rPr>
        <sz val="8"/>
        <color rgb="FF000000"/>
        <rFont val="Noto Sans CJK SC"/>
        <family val="2"/>
      </rPr>
      <t xml:space="preserve">亿美元；</t>
    </r>
    <r>
      <rPr>
        <sz val="8"/>
        <color rgb="FF000000"/>
        <rFont val="微软雅黑"/>
        <family val="0"/>
        <charset val="1"/>
      </rPr>
      <t xml:space="preserve">https://www.gevernova.com/news/press-releases/ge-vernova-reports-second-quarter-2026-financial-results-raises-2026-financial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</si>
  <si>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S20</t>
  </si>
  <si>
    <r>
      <rPr>
        <sz val="8.5"/>
        <color rgb="FF000000"/>
        <rFont val="微软雅黑"/>
        <family val="0"/>
        <charset val="1"/>
      </rPr>
      <t xml:space="preserve">Siemens Energy 2026 </t>
    </r>
    <r>
      <rPr>
        <sz val="8.5"/>
        <color rgb="FF000000"/>
        <rFont val="Noto Sans CJK SC"/>
        <family val="2"/>
      </rPr>
      <t xml:space="preserve">财年第三季度业绩</t>
    </r>
  </si>
  <si>
    <t xml:space="preserve">Mitrade / Siemens Energy</t>
  </si>
  <si>
    <t xml:space="preserve">Siemens Energy's profit more than triples as orders hit record €17.9 billion</t>
  </si>
  <si>
    <r>
      <rPr>
        <sz val="8"/>
        <color rgb="FF000000"/>
        <rFont val="Noto Sans CJK SC"/>
        <family val="2"/>
      </rPr>
      <t xml:space="preserve">单季订单 </t>
    </r>
    <r>
      <rPr>
        <sz val="8"/>
        <color rgb="FF000000"/>
        <rFont val="微软雅黑"/>
        <family val="0"/>
        <charset val="1"/>
      </rPr>
      <t xml:space="preserve">179 </t>
    </r>
    <r>
      <rPr>
        <sz val="8"/>
        <color rgb="FF000000"/>
        <rFont val="Noto Sans CJK SC"/>
        <family val="2"/>
      </rPr>
      <t xml:space="preserve">亿欧元，创纪录；</t>
    </r>
    <r>
      <rPr>
        <sz val="8"/>
        <color rgb="FF000000"/>
        <rFont val="微软雅黑"/>
        <family val="0"/>
        <charset val="1"/>
      </rPr>
      <t xml:space="preserve">https://www.mitrade.com/ae-en/insights/news/live-news/article-3-1965389-20260806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</si>
  <si>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S21</t>
  </si>
  <si>
    <r>
      <rPr>
        <sz val="8.5"/>
        <color rgb="FF000000"/>
        <rFont val="Noto Sans CJK SC"/>
        <family val="2"/>
      </rPr>
      <t xml:space="preserve">变压器交付周期延长至 </t>
    </r>
    <r>
      <rPr>
        <sz val="8.5"/>
        <color rgb="FF000000"/>
        <rFont val="微软雅黑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</t>
    </r>
  </si>
  <si>
    <r>
      <rPr>
        <sz val="8.5"/>
        <color rgb="FF000000"/>
        <rFont val="微软雅黑"/>
        <family val="0"/>
        <charset val="1"/>
      </rPr>
      <t xml:space="preserve">DigitalToday</t>
    </r>
    <r>
      <rPr>
        <sz val="8.5"/>
        <color rgb="FF000000"/>
        <rFont val="Noto Sans CJK SC"/>
        <family val="2"/>
      </rPr>
      <t xml:space="preserve">（引 </t>
    </r>
    <r>
      <rPr>
        <sz val="8.5"/>
        <color rgb="FF000000"/>
        <rFont val="微软雅黑"/>
        <family val="0"/>
        <charset val="1"/>
      </rPr>
      <t xml:space="preserve">TechRadar</t>
    </r>
    <r>
      <rPr>
        <sz val="8.5"/>
        <color rgb="FF000000"/>
        <rFont val="Noto Sans CJK SC"/>
        <family val="2"/>
      </rPr>
      <t xml:space="preserve">）</t>
    </r>
  </si>
  <si>
    <t xml:space="preserve">Transformer shortage pushes lead times to up to 4 years</t>
  </si>
  <si>
    <t xml:space="preserve">2026-07-15</t>
  </si>
  <si>
    <r>
      <rPr>
        <sz val="8"/>
        <color rgb="FF000000"/>
        <rFont val="Noto Sans CJK SC"/>
        <family val="2"/>
      </rPr>
      <t xml:space="preserve">交付周期由 </t>
    </r>
    <r>
      <rPr>
        <sz val="8"/>
        <color rgb="FF000000"/>
        <rFont val="微软雅黑"/>
        <family val="0"/>
        <charset val="1"/>
      </rPr>
      <t xml:space="preserve">2020 </t>
    </r>
    <r>
      <rPr>
        <sz val="8"/>
        <color rgb="FF000000"/>
        <rFont val="Noto Sans CJK SC"/>
        <family val="2"/>
      </rPr>
      <t xml:space="preserve">年前 </t>
    </r>
    <r>
      <rPr>
        <sz val="8"/>
        <color rgb="FF000000"/>
        <rFont val="微软雅黑"/>
        <family val="0"/>
        <charset val="1"/>
      </rPr>
      <t xml:space="preserve">6–12 </t>
    </r>
    <r>
      <rPr>
        <sz val="8"/>
        <color rgb="FF000000"/>
        <rFont val="Noto Sans CJK SC"/>
        <family val="2"/>
      </rPr>
      <t xml:space="preserve">个月升至 </t>
    </r>
    <r>
      <rPr>
        <sz val="8"/>
        <color rgb="FF000000"/>
        <rFont val="微软雅黑"/>
        <family val="0"/>
        <charset val="1"/>
      </rPr>
      <t xml:space="preserve">24–48 </t>
    </r>
    <r>
      <rPr>
        <sz val="8"/>
        <color rgb="FF000000"/>
        <rFont val="Noto Sans CJK SC"/>
        <family val="2"/>
      </rPr>
      <t xml:space="preserve">个月，大型机组 </t>
    </r>
    <r>
      <rPr>
        <sz val="8"/>
        <color rgb="FF000000"/>
        <rFont val="微软雅黑"/>
        <family val="0"/>
        <charset val="1"/>
      </rPr>
      <t xml:space="preserve">&gt;36 </t>
    </r>
    <r>
      <rPr>
        <sz val="8"/>
        <color rgb="FF000000"/>
        <rFont val="Noto Sans CJK SC"/>
        <family val="2"/>
      </rPr>
      <t xml:space="preserve">个月；价格较 </t>
    </r>
    <r>
      <rPr>
        <sz val="8"/>
        <color rgb="FF000000"/>
        <rFont val="微软雅黑"/>
        <family val="0"/>
        <charset val="1"/>
      </rPr>
      <t xml:space="preserve">2020 </t>
    </r>
    <r>
      <rPr>
        <sz val="8"/>
        <color rgb="FF000000"/>
        <rFont val="Noto Sans CJK SC"/>
        <family val="2"/>
      </rPr>
      <t xml:space="preserve">年前上涨 </t>
    </r>
    <r>
      <rPr>
        <sz val="8"/>
        <color rgb="FF000000"/>
        <rFont val="微软雅黑"/>
        <family val="0"/>
        <charset val="1"/>
      </rPr>
      <t xml:space="preserve">50–80%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https://www.digitaltoday.co.kr/en/view/81723/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</si>
  <si>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S22</t>
  </si>
  <si>
    <r>
      <rPr>
        <sz val="8.5"/>
        <color rgb="FF000000"/>
        <rFont val="微软雅黑"/>
        <family val="0"/>
        <charset val="1"/>
      </rPr>
      <t xml:space="preserve">E&amp;E News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Vogtle 3&amp;4 </t>
    </r>
    <r>
      <rPr>
        <sz val="8.5"/>
        <color rgb="FF000000"/>
        <rFont val="Noto Sans CJK SC"/>
        <family val="2"/>
      </rPr>
      <t xml:space="preserve">的成本与工期</t>
    </r>
  </si>
  <si>
    <t xml:space="preserve">E&amp;E News / POLITICO</t>
  </si>
  <si>
    <t xml:space="preserve">After Vogtle, what's next for nuclear?</t>
  </si>
  <si>
    <t xml:space="preserve">2024-04-30</t>
  </si>
  <si>
    <r>
      <rPr>
        <sz val="8"/>
        <color rgb="FF000000"/>
        <rFont val="Noto Sans CJK SC"/>
        <family val="2"/>
      </rPr>
      <t xml:space="preserve">两台机组 </t>
    </r>
    <r>
      <rPr>
        <sz val="8"/>
        <color rgb="FF000000"/>
        <rFont val="微软雅黑"/>
        <family val="0"/>
        <charset val="1"/>
      </rPr>
      <t xml:space="preserve">2024 </t>
    </r>
    <r>
      <rPr>
        <sz val="8"/>
        <color rgb="FF000000"/>
        <rFont val="Noto Sans CJK SC"/>
        <family val="2"/>
      </rPr>
      <t xml:space="preserve">年投运，较原计划晚 </t>
    </r>
    <r>
      <rPr>
        <sz val="8"/>
        <color rgb="FF000000"/>
        <rFont val="微软雅黑"/>
        <family val="0"/>
        <charset val="1"/>
      </rPr>
      <t xml:space="preserve">7 </t>
    </r>
    <r>
      <rPr>
        <sz val="8"/>
        <color rgb="FF000000"/>
        <rFont val="Noto Sans CJK SC"/>
        <family val="2"/>
      </rPr>
      <t xml:space="preserve">年，总成本 </t>
    </r>
    <r>
      <rPr>
        <sz val="8"/>
        <color rgb="FF000000"/>
        <rFont val="微软雅黑"/>
        <family val="0"/>
        <charset val="1"/>
      </rPr>
      <t xml:space="preserve">350 </t>
    </r>
    <r>
      <rPr>
        <sz val="8"/>
        <color rgb="FF000000"/>
        <rFont val="Noto Sans CJK SC"/>
        <family val="2"/>
      </rPr>
      <t xml:space="preserve">亿美元，超过最初 </t>
    </r>
    <r>
      <rPr>
        <sz val="8"/>
        <color rgb="FF000000"/>
        <rFont val="微软雅黑"/>
        <family val="0"/>
        <charset val="1"/>
      </rPr>
      <t xml:space="preserve">140 </t>
    </r>
    <r>
      <rPr>
        <sz val="8"/>
        <color rgb="FF000000"/>
        <rFont val="Noto Sans CJK SC"/>
        <family val="2"/>
      </rPr>
      <t xml:space="preserve">亿美元预算一倍以上；</t>
    </r>
    <r>
      <rPr>
        <sz val="8"/>
        <color rgb="FF000000"/>
        <rFont val="微软雅黑"/>
        <family val="0"/>
        <charset val="1"/>
      </rPr>
      <t xml:space="preserve">https://www.eenews.net/articles/after-vogtle-whats-next-for-nuclear/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</si>
  <si>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Jefferies </t>
    </r>
    <r>
      <rPr>
        <sz val="8.5"/>
        <color rgb="FF000000"/>
        <rFont val="Noto Sans CJK SC"/>
        <family val="2"/>
      </rPr>
      <t xml:space="preserve">对核电 </t>
    </r>
    <r>
      <rPr>
        <sz val="8.5"/>
        <color rgb="FF000000"/>
        <rFont val="微软雅黑"/>
        <family val="0"/>
        <charset val="1"/>
      </rPr>
      <t xml:space="preserve">PPA </t>
    </r>
    <r>
      <rPr>
        <sz val="8.5"/>
        <color rgb="FF000000"/>
        <rFont val="Noto Sans CJK SC"/>
        <family val="2"/>
      </rPr>
      <t xml:space="preserve">价格的估算</t>
    </r>
  </si>
  <si>
    <t xml:space="preserve">Bloomberg / Energy Connects</t>
  </si>
  <si>
    <t xml:space="preserve">Meta's Deal for Nuclear Power Is Likely Cheaper Than Microsoft's, Jefferies Says</t>
  </si>
  <si>
    <t xml:space="preserve">2025-06-03</t>
  </si>
  <si>
    <r>
      <rPr>
        <sz val="8"/>
        <color rgb="FF000000"/>
        <rFont val="微软雅黑"/>
        <family val="0"/>
        <charset val="1"/>
      </rPr>
      <t xml:space="preserve">Meta–Clinton </t>
    </r>
    <r>
      <rPr>
        <sz val="8"/>
        <color rgb="FF000000"/>
        <rFont val="Noto Sans CJK SC"/>
        <family val="2"/>
      </rPr>
      <t xml:space="preserve">约 </t>
    </r>
    <r>
      <rPr>
        <sz val="8"/>
        <color rgb="FF000000"/>
        <rFont val="微软雅黑"/>
        <family val="0"/>
        <charset val="1"/>
      </rPr>
      <t xml:space="preserve">80 </t>
    </r>
    <r>
      <rPr>
        <sz val="8"/>
        <color rgb="FF000000"/>
        <rFont val="Noto Sans CJK SC"/>
        <family val="2"/>
      </rPr>
      <t xml:space="preserve">美元</t>
    </r>
    <r>
      <rPr>
        <sz val="8"/>
        <color rgb="FF000000"/>
        <rFont val="微软雅黑"/>
        <family val="0"/>
        <charset val="1"/>
      </rPr>
      <t xml:space="preserve">/MWh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Microsoft–Crane </t>
    </r>
    <r>
      <rPr>
        <sz val="8"/>
        <color rgb="FF000000"/>
        <rFont val="Noto Sans CJK SC"/>
        <family val="2"/>
      </rPr>
      <t xml:space="preserve">至少 </t>
    </r>
    <r>
      <rPr>
        <sz val="8"/>
        <color rgb="FF000000"/>
        <rFont val="微软雅黑"/>
        <family val="0"/>
        <charset val="1"/>
      </rPr>
      <t xml:space="preserve">110 </t>
    </r>
    <r>
      <rPr>
        <sz val="8"/>
        <color rgb="FF000000"/>
        <rFont val="Noto Sans CJK SC"/>
        <family val="2"/>
      </rPr>
      <t xml:space="preserve">美元</t>
    </r>
    <r>
      <rPr>
        <sz val="8"/>
        <color rgb="FF000000"/>
        <rFont val="微软雅黑"/>
        <family val="0"/>
        <charset val="1"/>
      </rPr>
      <t xml:space="preserve">/MWh</t>
    </r>
    <r>
      <rPr>
        <sz val="8"/>
        <color rgb="FF000000"/>
        <rFont val="Noto Sans CJK SC"/>
        <family val="2"/>
      </rPr>
      <t xml:space="preserve">（分析师估算，非公司披露）；</t>
    </r>
    <r>
      <rPr>
        <sz val="8"/>
        <color rgb="FF000000"/>
        <rFont val="微软雅黑"/>
        <family val="0"/>
        <charset val="1"/>
      </rPr>
      <t xml:space="preserve">https://www.energyconnects.com/news/renewables/2025/june/meta-s-deal-for-nuclear-power-is-likely-cheaper-than-microsoft-s-jeffreys-says/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</si>
  <si>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Fusion Industry Association 2026 </t>
    </r>
    <r>
      <rPr>
        <sz val="8.5"/>
        <color rgb="FF000000"/>
        <rFont val="Noto Sans CJK SC"/>
        <family val="2"/>
      </rPr>
      <t xml:space="preserve">年报告（</t>
    </r>
    <r>
      <rPr>
        <sz val="8.5"/>
        <color rgb="FF000000"/>
        <rFont val="微软雅黑"/>
        <family val="0"/>
        <charset val="1"/>
      </rPr>
      <t xml:space="preserve">NIA </t>
    </r>
    <r>
      <rPr>
        <sz val="8.5"/>
        <color rgb="FF000000"/>
        <rFont val="Noto Sans CJK SC"/>
        <family val="2"/>
      </rPr>
      <t xml:space="preserve">转载）</t>
    </r>
  </si>
  <si>
    <t xml:space="preserve">Nuclear Industry Association / FIA</t>
  </si>
  <si>
    <t xml:space="preserve">Fusion Industry Attracts Record Annual Funding of $4.48bn, Raising Total to $14.24bn</t>
  </si>
  <si>
    <t xml:space="preserve">行业协会</t>
  </si>
  <si>
    <r>
      <rPr>
        <sz val="8"/>
        <color rgb="FF000000"/>
        <rFont val="Noto Sans CJK SC"/>
        <family val="2"/>
      </rPr>
      <t xml:space="preserve">截至 </t>
    </r>
    <r>
      <rPr>
        <sz val="8"/>
        <color rgb="FF000000"/>
        <rFont val="微软雅黑"/>
        <family val="0"/>
        <charset val="1"/>
      </rPr>
      <t xml:space="preserve">2026 </t>
    </r>
    <r>
      <rPr>
        <sz val="8"/>
        <color rgb="FF000000"/>
        <rFont val="Noto Sans CJK SC"/>
        <family val="2"/>
      </rPr>
      <t xml:space="preserve">年 </t>
    </r>
    <r>
      <rPr>
        <sz val="8"/>
        <color rgb="FF000000"/>
        <rFont val="微软雅黑"/>
        <family val="0"/>
        <charset val="1"/>
      </rPr>
      <t xml:space="preserve">7 </t>
    </r>
    <r>
      <rPr>
        <sz val="8"/>
        <color rgb="FF000000"/>
        <rFont val="Noto Sans CJK SC"/>
        <family val="2"/>
      </rPr>
      <t xml:space="preserve">月的 </t>
    </r>
    <r>
      <rPr>
        <sz val="8"/>
        <color rgb="FF000000"/>
        <rFont val="微软雅黑"/>
        <family val="0"/>
        <charset val="1"/>
      </rPr>
      <t xml:space="preserve">12 </t>
    </r>
    <r>
      <rPr>
        <sz val="8"/>
        <color rgb="FF000000"/>
        <rFont val="Noto Sans CJK SC"/>
        <family val="2"/>
      </rPr>
      <t xml:space="preserve">个月融资 </t>
    </r>
    <r>
      <rPr>
        <sz val="8"/>
        <color rgb="FF000000"/>
        <rFont val="微软雅黑"/>
        <family val="0"/>
        <charset val="1"/>
      </rPr>
      <t xml:space="preserve">44.8 </t>
    </r>
    <r>
      <rPr>
        <sz val="8"/>
        <color rgb="FF000000"/>
        <rFont val="Noto Sans CJK SC"/>
        <family val="2"/>
      </rPr>
      <t xml:space="preserve">亿美元，累计 </t>
    </r>
    <r>
      <rPr>
        <sz val="8"/>
        <color rgb="FF000000"/>
        <rFont val="微软雅黑"/>
        <family val="0"/>
        <charset val="1"/>
      </rPr>
      <t xml:space="preserve">142.4 </t>
    </r>
    <r>
      <rPr>
        <sz val="8"/>
        <color rgb="FF000000"/>
        <rFont val="Noto Sans CJK SC"/>
        <family val="2"/>
      </rPr>
      <t xml:space="preserve">亿美元，</t>
    </r>
    <r>
      <rPr>
        <sz val="8"/>
        <color rgb="FF000000"/>
        <rFont val="微软雅黑"/>
        <family val="0"/>
        <charset val="1"/>
      </rPr>
      <t xml:space="preserve">56 </t>
    </r>
    <r>
      <rPr>
        <sz val="8"/>
        <color rgb="FF000000"/>
        <rFont val="Noto Sans CJK SC"/>
        <family val="2"/>
      </rPr>
      <t xml:space="preserve">家公司；</t>
    </r>
    <r>
      <rPr>
        <sz val="8"/>
        <color rgb="FF000000"/>
        <rFont val="微软雅黑"/>
        <family val="0"/>
        <charset val="1"/>
      </rPr>
      <t xml:space="preserve">https://www.niauk.org/fusion-industry-attracts-record-annual-funding-of-4-48bn/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</si>
  <si>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S25</t>
  </si>
  <si>
    <r>
      <rPr>
        <sz val="8.5"/>
        <color rgb="FF000000"/>
        <rFont val="微软雅黑"/>
        <family val="0"/>
        <charset val="1"/>
      </rPr>
      <t xml:space="preserve">Nuclear News Network </t>
    </r>
    <r>
      <rPr>
        <sz val="8.5"/>
        <color rgb="FF000000"/>
        <rFont val="Noto Sans CJK SC"/>
        <family val="2"/>
      </rPr>
      <t xml:space="preserve">聚变项目数据库</t>
    </r>
  </si>
  <si>
    <t xml:space="preserve">Nuclear News Network</t>
  </si>
  <si>
    <t xml:space="preserve">Fusion Energy Companies &amp; Projects Tracker</t>
  </si>
  <si>
    <t xml:space="preserve">行业数据库</t>
  </si>
  <si>
    <r>
      <rPr>
        <sz val="8"/>
        <color rgb="FF000000"/>
        <rFont val="Noto Sans CJK SC"/>
        <family val="2"/>
      </rPr>
      <t xml:space="preserve">公司融资、装置状态、时间表与购电方；</t>
    </r>
    <r>
      <rPr>
        <sz val="8"/>
        <color rgb="FF000000"/>
        <rFont val="微软雅黑"/>
        <family val="0"/>
        <charset val="1"/>
      </rPr>
      <t xml:space="preserve">https://www.nuclearnewsnetwork.com/industry-trackers/fusion-energy-companies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</si>
  <si>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S26</t>
  </si>
  <si>
    <r>
      <rPr>
        <sz val="8.5"/>
        <color rgb="FF000000"/>
        <rFont val="微软雅黑"/>
        <family val="0"/>
        <charset val="1"/>
      </rPr>
      <t xml:space="preserve">Type One Energy </t>
    </r>
    <r>
      <rPr>
        <sz val="8.5"/>
        <color rgb="FF000000"/>
        <rFont val="Noto Sans CJK SC"/>
        <family val="2"/>
      </rPr>
      <t xml:space="preserve">完成 </t>
    </r>
    <r>
      <rPr>
        <sz val="8.5"/>
        <color rgb="FF000000"/>
        <rFont val="微软雅黑"/>
        <family val="0"/>
        <charset val="1"/>
      </rPr>
      <t xml:space="preserve">2 </t>
    </r>
    <r>
      <rPr>
        <sz val="8.5"/>
        <color rgb="FF000000"/>
        <rFont val="Noto Sans CJK SC"/>
        <family val="2"/>
      </rPr>
      <t xml:space="preserve">亿美元 </t>
    </r>
    <r>
      <rPr>
        <sz val="8.5"/>
        <color rgb="FF000000"/>
        <rFont val="微软雅黑"/>
        <family val="0"/>
        <charset val="1"/>
      </rPr>
      <t xml:space="preserve">B </t>
    </r>
    <r>
      <rPr>
        <sz val="8.5"/>
        <color rgb="FF000000"/>
        <rFont val="Noto Sans CJK SC"/>
        <family val="2"/>
      </rPr>
      <t xml:space="preserve">轮</t>
    </r>
  </si>
  <si>
    <t xml:space="preserve">Engineering News-Record</t>
  </si>
  <si>
    <t xml:space="preserve">Type One Raises $200M in Series B Round as Tennessee Fusion Project Nears Construction</t>
  </si>
  <si>
    <t xml:space="preserve">2026-10-07</t>
  </si>
  <si>
    <r>
      <rPr>
        <sz val="8"/>
        <color rgb="FF000000"/>
        <rFont val="微软雅黑"/>
        <family val="0"/>
        <charset val="1"/>
      </rPr>
      <t xml:space="preserve">Infinity One 2027 </t>
    </r>
    <r>
      <rPr>
        <sz val="8"/>
        <color rgb="FF000000"/>
        <rFont val="Noto Sans CJK SC"/>
        <family val="2"/>
      </rPr>
      <t xml:space="preserve">年开工；</t>
    </r>
    <r>
      <rPr>
        <sz val="8"/>
        <color rgb="FF000000"/>
        <rFont val="微软雅黑"/>
        <family val="0"/>
        <charset val="1"/>
      </rPr>
      <t xml:space="preserve">Infinity Two 400 MW</t>
    </r>
    <r>
      <rPr>
        <sz val="8"/>
        <color rgb="FF000000"/>
        <rFont val="Noto Sans CJK SC"/>
        <family val="2"/>
      </rPr>
      <t xml:space="preserve">，常规岛 </t>
    </r>
    <r>
      <rPr>
        <sz val="8"/>
        <color rgb="FF000000"/>
        <rFont val="微软雅黑"/>
        <family val="0"/>
        <charset val="1"/>
      </rPr>
      <t xml:space="preserve">2028</t>
    </r>
    <r>
      <rPr>
        <sz val="8"/>
        <color rgb="FF000000"/>
        <rFont val="Noto Sans CJK SC"/>
        <family val="2"/>
      </rPr>
      <t xml:space="preserve">、聚变岛 </t>
    </r>
    <r>
      <rPr>
        <sz val="8"/>
        <color rgb="FF000000"/>
        <rFont val="微软雅黑"/>
        <family val="0"/>
        <charset val="1"/>
      </rPr>
      <t xml:space="preserve">2030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微软雅黑"/>
        <family val="0"/>
        <charset val="1"/>
      </rPr>
      <t xml:space="preserve">2030 </t>
    </r>
    <r>
      <rPr>
        <sz val="8"/>
        <color rgb="FF000000"/>
        <rFont val="Noto Sans CJK SC"/>
        <family val="2"/>
      </rPr>
      <t xml:space="preserve">年代中期并网；</t>
    </r>
    <r>
      <rPr>
        <sz val="8"/>
        <color rgb="FF000000"/>
        <rFont val="微软雅黑"/>
        <family val="0"/>
        <charset val="1"/>
      </rPr>
      <t xml:space="preserve">https://www.enr.com/articles/63801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</si>
  <si>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C114</t>
    </r>
    <r>
      <rPr>
        <sz val="8.5"/>
        <color rgb="FF000000"/>
        <rFont val="Noto Sans CJK SC"/>
        <family val="2"/>
      </rPr>
      <t xml:space="preserve">：美国 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五巨头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年资本开支</t>
    </r>
  </si>
  <si>
    <t xml:space="preserve">C114</t>
  </si>
  <si>
    <r>
      <rPr>
        <sz val="8.5"/>
        <color rgb="FF000000"/>
        <rFont val="微软雅黑"/>
        <family val="0"/>
        <charset val="1"/>
      </rPr>
      <t xml:space="preserve">8000 </t>
    </r>
    <r>
      <rPr>
        <sz val="8.5"/>
        <color rgb="FF000000"/>
        <rFont val="Noto Sans CJK SC"/>
        <family val="2"/>
      </rPr>
      <t xml:space="preserve">亿美元！美国 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五巨头资本开支再创新高</t>
    </r>
  </si>
  <si>
    <r>
      <rPr>
        <sz val="8"/>
        <color rgb="FF000000"/>
        <rFont val="微软雅黑"/>
        <family val="0"/>
        <charset val="1"/>
      </rPr>
      <t xml:space="preserve">Alphabet 1,800–1,900 </t>
    </r>
    <r>
      <rPr>
        <sz val="8"/>
        <color rgb="FF000000"/>
        <rFont val="Noto Sans CJK SC"/>
        <family val="2"/>
      </rPr>
      <t xml:space="preserve">亿、</t>
    </r>
    <r>
      <rPr>
        <sz val="8"/>
        <color rgb="FF000000"/>
        <rFont val="微软雅黑"/>
        <family val="0"/>
        <charset val="1"/>
      </rPr>
      <t xml:space="preserve">Microsoft </t>
    </r>
    <r>
      <rPr>
        <sz val="8"/>
        <color rgb="FF000000"/>
        <rFont val="Noto Sans CJK SC"/>
        <family val="2"/>
      </rPr>
      <t xml:space="preserve">约 </t>
    </r>
    <r>
      <rPr>
        <sz val="8"/>
        <color rgb="FF000000"/>
        <rFont val="微软雅黑"/>
        <family val="0"/>
        <charset val="1"/>
      </rPr>
      <t xml:space="preserve">1,900 </t>
    </r>
    <r>
      <rPr>
        <sz val="8"/>
        <color rgb="FF000000"/>
        <rFont val="Noto Sans CJK SC"/>
        <family val="2"/>
      </rPr>
      <t xml:space="preserve">亿、</t>
    </r>
    <r>
      <rPr>
        <sz val="8"/>
        <color rgb="FF000000"/>
        <rFont val="微软雅黑"/>
        <family val="0"/>
        <charset val="1"/>
      </rPr>
      <t xml:space="preserve">Amazon </t>
    </r>
    <r>
      <rPr>
        <sz val="8"/>
        <color rgb="FF000000"/>
        <rFont val="Noto Sans CJK SC"/>
        <family val="2"/>
      </rPr>
      <t xml:space="preserve">约 </t>
    </r>
    <r>
      <rPr>
        <sz val="8"/>
        <color rgb="FF000000"/>
        <rFont val="微软雅黑"/>
        <family val="0"/>
        <charset val="1"/>
      </rPr>
      <t xml:space="preserve">2,000 </t>
    </r>
    <r>
      <rPr>
        <sz val="8"/>
        <color rgb="FF000000"/>
        <rFont val="Noto Sans CJK SC"/>
        <family val="2"/>
      </rPr>
      <t xml:space="preserve">亿、</t>
    </r>
    <r>
      <rPr>
        <sz val="8"/>
        <color rgb="FF000000"/>
        <rFont val="微软雅黑"/>
        <family val="0"/>
        <charset val="1"/>
      </rPr>
      <t xml:space="preserve">Meta 1,250–1,450 </t>
    </r>
    <r>
      <rPr>
        <sz val="8"/>
        <color rgb="FF000000"/>
        <rFont val="Noto Sans CJK SC"/>
        <family val="2"/>
      </rPr>
      <t xml:space="preserve">亿、</t>
    </r>
    <r>
      <rPr>
        <sz val="8"/>
        <color rgb="FF000000"/>
        <rFont val="微软雅黑"/>
        <family val="0"/>
        <charset val="1"/>
      </rPr>
      <t xml:space="preserve">Oracle 500 </t>
    </r>
    <r>
      <rPr>
        <sz val="8"/>
        <color rgb="FF000000"/>
        <rFont val="Noto Sans CJK SC"/>
        <family val="2"/>
      </rPr>
      <t xml:space="preserve">亿美元；</t>
    </r>
    <r>
      <rPr>
        <sz val="8"/>
        <color rgb="FF000000"/>
        <rFont val="微软雅黑"/>
        <family val="0"/>
        <charset val="1"/>
      </rPr>
      <t xml:space="preserve">Morgan Stanley </t>
    </r>
    <r>
      <rPr>
        <sz val="8"/>
        <color rgb="FF000000"/>
        <rFont val="Noto Sans CJK SC"/>
        <family val="2"/>
      </rPr>
      <t xml:space="preserve">预计 </t>
    </r>
    <r>
      <rPr>
        <sz val="8"/>
        <color rgb="FF000000"/>
        <rFont val="微软雅黑"/>
        <family val="0"/>
        <charset val="1"/>
      </rPr>
      <t xml:space="preserve">2026 </t>
    </r>
    <r>
      <rPr>
        <sz val="8"/>
        <color rgb="FF000000"/>
        <rFont val="Noto Sans CJK SC"/>
        <family val="2"/>
      </rPr>
      <t xml:space="preserve">年约 </t>
    </r>
    <r>
      <rPr>
        <sz val="8"/>
        <color rgb="FF000000"/>
        <rFont val="微软雅黑"/>
        <family val="0"/>
        <charset val="1"/>
      </rPr>
      <t xml:space="preserve">8,000 </t>
    </r>
    <r>
      <rPr>
        <sz val="8"/>
        <color rgb="FF000000"/>
        <rFont val="Noto Sans CJK SC"/>
        <family val="2"/>
      </rPr>
      <t xml:space="preserve">亿、</t>
    </r>
    <r>
      <rPr>
        <sz val="8"/>
        <color rgb="FF000000"/>
        <rFont val="微软雅黑"/>
        <family val="0"/>
        <charset val="1"/>
      </rPr>
      <t xml:space="preserve">2027 </t>
    </r>
    <r>
      <rPr>
        <sz val="8"/>
        <color rgb="FF000000"/>
        <rFont val="Noto Sans CJK SC"/>
        <family val="2"/>
      </rPr>
      <t xml:space="preserve">年超 </t>
    </r>
    <r>
      <rPr>
        <sz val="8"/>
        <color rgb="FF000000"/>
        <rFont val="微软雅黑"/>
        <family val="0"/>
        <charset val="1"/>
      </rPr>
      <t xml:space="preserve">1.1 </t>
    </r>
    <r>
      <rPr>
        <sz val="8"/>
        <color rgb="FF000000"/>
        <rFont val="Noto Sans CJK SC"/>
        <family val="2"/>
      </rPr>
      <t xml:space="preserve">万亿美元；</t>
    </r>
    <r>
      <rPr>
        <sz val="8"/>
        <color rgb="FF000000"/>
        <rFont val="微软雅黑"/>
        <family val="0"/>
        <charset val="1"/>
      </rPr>
      <t xml:space="preserve">https://www.c114.net.cn/industry/80383.html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</si>
  <si>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BusinessDay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Amazon </t>
    </r>
    <r>
      <rPr>
        <sz val="8.5"/>
        <color rgb="FF000000"/>
        <rFont val="Noto Sans CJK SC"/>
        <family val="2"/>
      </rPr>
      <t xml:space="preserve">上调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年资本开支至 </t>
    </r>
    <r>
      <rPr>
        <sz val="8.5"/>
        <color rgb="FF000000"/>
        <rFont val="微软雅黑"/>
        <family val="0"/>
        <charset val="1"/>
      </rPr>
      <t xml:space="preserve">2,200 </t>
    </r>
    <r>
      <rPr>
        <sz val="8.5"/>
        <color rgb="FF000000"/>
        <rFont val="Noto Sans CJK SC"/>
        <family val="2"/>
      </rPr>
      <t xml:space="preserve">亿美元</t>
    </r>
  </si>
  <si>
    <t xml:space="preserve">BusinessDay</t>
  </si>
  <si>
    <t xml:space="preserve">Amazon's $220bn AI bet puts cash flow under pressure as spending outpaces returns</t>
  </si>
  <si>
    <r>
      <rPr>
        <sz val="8"/>
        <color rgb="FF000000"/>
        <rFont val="微软雅黑"/>
        <family val="0"/>
        <charset val="1"/>
      </rPr>
      <t xml:space="preserve">2026 </t>
    </r>
    <r>
      <rPr>
        <sz val="8"/>
        <color rgb="FF000000"/>
        <rFont val="Noto Sans CJK SC"/>
        <family val="2"/>
      </rPr>
      <t xml:space="preserve">年资本开支约 </t>
    </r>
    <r>
      <rPr>
        <sz val="8"/>
        <color rgb="FF000000"/>
        <rFont val="微软雅黑"/>
        <family val="0"/>
        <charset val="1"/>
      </rPr>
      <t xml:space="preserve">2,200 </t>
    </r>
    <r>
      <rPr>
        <sz val="8"/>
        <color rgb="FF000000"/>
        <rFont val="Noto Sans CJK SC"/>
        <family val="2"/>
      </rPr>
      <t xml:space="preserve">亿美元；标普预计六家科技公司 </t>
    </r>
    <r>
      <rPr>
        <sz val="8"/>
        <color rgb="FF000000"/>
        <rFont val="微软雅黑"/>
        <family val="0"/>
        <charset val="1"/>
      </rPr>
      <t xml:space="preserve">2025–2030 </t>
    </r>
    <r>
      <rPr>
        <sz val="8"/>
        <color rgb="FF000000"/>
        <rFont val="Noto Sans CJK SC"/>
        <family val="2"/>
      </rPr>
      <t xml:space="preserve">年 </t>
    </r>
    <r>
      <rPr>
        <sz val="8"/>
        <color rgb="FF000000"/>
        <rFont val="微软雅黑"/>
        <family val="0"/>
        <charset val="1"/>
      </rPr>
      <t xml:space="preserve">AI </t>
    </r>
    <r>
      <rPr>
        <sz val="8"/>
        <color rgb="FF000000"/>
        <rFont val="Noto Sans CJK SC"/>
        <family val="2"/>
      </rPr>
      <t xml:space="preserve">相关资本开支合计超 </t>
    </r>
    <r>
      <rPr>
        <sz val="8"/>
        <color rgb="FF000000"/>
        <rFont val="微软雅黑"/>
        <family val="0"/>
        <charset val="1"/>
      </rPr>
      <t xml:space="preserve">7 </t>
    </r>
    <r>
      <rPr>
        <sz val="8"/>
        <color rgb="FF000000"/>
        <rFont val="Noto Sans CJK SC"/>
        <family val="2"/>
      </rPr>
      <t xml:space="preserve">万亿美元；</t>
    </r>
    <r>
      <rPr>
        <sz val="8"/>
        <color rgb="FF000000"/>
        <rFont val="微软雅黑"/>
        <family val="0"/>
        <charset val="1"/>
      </rPr>
      <t xml:space="preserve">https://businessday.ng/technology/article/amazons-220bn-ai-bet-puts-cash-flow-under-pressure-as-spending-outpaces-returns/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</si>
  <si>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S29</t>
  </si>
  <si>
    <r>
      <rPr>
        <sz val="8.5"/>
        <color rgb="FF000000"/>
        <rFont val="微软雅黑"/>
        <family val="0"/>
        <charset val="1"/>
      </rPr>
      <t xml:space="preserve">ET Datacenters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Alphabet </t>
    </r>
    <r>
      <rPr>
        <sz val="8.5"/>
        <color rgb="FF000000"/>
        <rFont val="Noto Sans CJK SC"/>
        <family val="2"/>
      </rPr>
      <t xml:space="preserve">上调 </t>
    </r>
    <r>
      <rPr>
        <sz val="8.5"/>
        <color rgb="FF000000"/>
        <rFont val="微软雅黑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年资本开支至 </t>
    </r>
    <r>
      <rPr>
        <sz val="8.5"/>
        <color rgb="FF000000"/>
        <rFont val="微软雅黑"/>
        <family val="0"/>
        <charset val="1"/>
      </rPr>
      <t xml:space="preserve">2,050 </t>
    </r>
    <r>
      <rPr>
        <sz val="8.5"/>
        <color rgb="FF000000"/>
        <rFont val="Noto Sans CJK SC"/>
        <family val="2"/>
      </rPr>
      <t xml:space="preserve">亿美元</t>
    </r>
  </si>
  <si>
    <t xml:space="preserve">ET Datacenters</t>
  </si>
  <si>
    <t xml:space="preserve">Alphabet Raises 2026 Capex to US$205 Billion for AI Infrastructure</t>
  </si>
  <si>
    <r>
      <rPr>
        <sz val="8"/>
        <color rgb="FF000000"/>
        <rFont val="微软雅黑"/>
        <family val="0"/>
        <charset val="1"/>
      </rPr>
      <t xml:space="preserve">2026 </t>
    </r>
    <r>
      <rPr>
        <sz val="8"/>
        <color rgb="FF000000"/>
        <rFont val="Noto Sans CJK SC"/>
        <family val="2"/>
      </rPr>
      <t xml:space="preserve">年资本开支指引 </t>
    </r>
    <r>
      <rPr>
        <sz val="8"/>
        <color rgb="FF000000"/>
        <rFont val="微软雅黑"/>
        <family val="0"/>
        <charset val="1"/>
      </rPr>
      <t xml:space="preserve">1,950–2,050 </t>
    </r>
    <r>
      <rPr>
        <sz val="8"/>
        <color rgb="FF000000"/>
        <rFont val="Noto Sans CJK SC"/>
        <family val="2"/>
      </rPr>
      <t xml:space="preserve">亿美元；</t>
    </r>
    <r>
      <rPr>
        <sz val="8"/>
        <color rgb="FF000000"/>
        <rFont val="微软雅黑"/>
        <family val="0"/>
        <charset val="1"/>
      </rPr>
      <t xml:space="preserve">Q2 </t>
    </r>
    <r>
      <rPr>
        <sz val="8"/>
        <color rgb="FF000000"/>
        <rFont val="Noto Sans CJK SC"/>
        <family val="2"/>
      </rPr>
      <t xml:space="preserve">资本开支 </t>
    </r>
    <r>
      <rPr>
        <sz val="8"/>
        <color rgb="FF000000"/>
        <rFont val="微软雅黑"/>
        <family val="0"/>
        <charset val="1"/>
      </rPr>
      <t xml:space="preserve">449 </t>
    </r>
    <r>
      <rPr>
        <sz val="8"/>
        <color rgb="FF000000"/>
        <rFont val="Noto Sans CJK SC"/>
        <family val="2"/>
      </rPr>
      <t xml:space="preserve">亿美元；</t>
    </r>
    <r>
      <rPr>
        <sz val="8"/>
        <color rgb="FF000000"/>
        <rFont val="微软雅黑"/>
        <family val="0"/>
        <charset val="1"/>
      </rPr>
      <t xml:space="preserve">https://datacenters.economictimes.indiatimes.com/news/ai-compute-infrastructure/alphabet-raises-2026-capex-to-us205-billion-for-ai-infrastructure/132595345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</si>
  <si>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S30</t>
  </si>
  <si>
    <r>
      <rPr>
        <sz val="8.5"/>
        <color rgb="FF000000"/>
        <rFont val="微软雅黑"/>
        <family val="0"/>
        <charset val="1"/>
      </rPr>
      <t xml:space="preserve">Nasdaq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软雅黑"/>
        <family val="0"/>
        <charset val="1"/>
      </rPr>
      <t xml:space="preserve">Meta </t>
    </r>
    <r>
      <rPr>
        <sz val="8.5"/>
        <color rgb="FF000000"/>
        <rFont val="Noto Sans CJK SC"/>
        <family val="2"/>
      </rPr>
      <t xml:space="preserve">将路易斯安那数据中心扩至 </t>
    </r>
    <r>
      <rPr>
        <sz val="8.5"/>
        <color rgb="FF000000"/>
        <rFont val="微软雅黑"/>
        <family val="0"/>
        <charset val="1"/>
      </rPr>
      <t xml:space="preserve">5 GW</t>
    </r>
  </si>
  <si>
    <t xml:space="preserve">Nasdaq / Reuters</t>
  </si>
  <si>
    <t xml:space="preserve">Meta Expands Louisiana AI Data Center To 5 GW, Lifts Investment Above $50 Bln</t>
  </si>
  <si>
    <t xml:space="preserve">2026-07-14</t>
  </si>
  <si>
    <r>
      <rPr>
        <sz val="8"/>
        <color rgb="FF000000"/>
        <rFont val="微软雅黑"/>
        <family val="0"/>
        <charset val="1"/>
      </rPr>
      <t xml:space="preserve">Hyperion 5 GW</t>
    </r>
    <r>
      <rPr>
        <sz val="8"/>
        <color rgb="FF000000"/>
        <rFont val="Noto Sans CJK SC"/>
        <family val="2"/>
      </rPr>
      <t xml:space="preserve">、投资超 </t>
    </r>
    <r>
      <rPr>
        <sz val="8"/>
        <color rgb="FF000000"/>
        <rFont val="微软雅黑"/>
        <family val="0"/>
        <charset val="1"/>
      </rPr>
      <t xml:space="preserve">500 </t>
    </r>
    <r>
      <rPr>
        <sz val="8"/>
        <color rgb="FF000000"/>
        <rFont val="Noto Sans CJK SC"/>
        <family val="2"/>
      </rPr>
      <t xml:space="preserve">亿美元（约 </t>
    </r>
    <r>
      <rPr>
        <sz val="8"/>
        <color rgb="FF000000"/>
        <rFont val="微软雅黑"/>
        <family val="0"/>
        <charset val="1"/>
      </rPr>
      <t xml:space="preserve">100 </t>
    </r>
    <r>
      <rPr>
        <sz val="8"/>
        <color rgb="FF000000"/>
        <rFont val="Noto Sans CJK SC"/>
        <family val="2"/>
      </rPr>
      <t xml:space="preserve">亿美元</t>
    </r>
    <r>
      <rPr>
        <sz val="8"/>
        <color rgb="FF000000"/>
        <rFont val="微软雅黑"/>
        <family val="0"/>
        <charset val="1"/>
      </rPr>
      <t xml:space="preserve">/GW</t>
    </r>
    <r>
      <rPr>
        <sz val="8"/>
        <color rgb="FF000000"/>
        <rFont val="Noto Sans CJK SC"/>
        <family val="2"/>
      </rPr>
      <t xml:space="preserve">）；</t>
    </r>
    <r>
      <rPr>
        <sz val="8"/>
        <color rgb="FF000000"/>
        <rFont val="微软雅黑"/>
        <family val="0"/>
        <charset val="1"/>
      </rPr>
      <t xml:space="preserve">https://www.nasdaq.com/articles/meta-expands-louisiana-ai-data-center-5-gw-lifts-investment-above-50-bln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</si>
  <si>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S31</t>
  </si>
  <si>
    <r>
      <rPr>
        <sz val="8.5"/>
        <color rgb="FF000000"/>
        <rFont val="Noto Sans CJK SC"/>
        <family val="2"/>
      </rPr>
      <t xml:space="preserve">人民日报海外版：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能耗账单（引 </t>
    </r>
    <r>
      <rPr>
        <sz val="8.5"/>
        <color rgb="FF000000"/>
        <rFont val="微软雅黑"/>
        <family val="0"/>
        <charset val="1"/>
      </rPr>
      <t xml:space="preserve">IEA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软雅黑"/>
        <family val="0"/>
        <charset val="1"/>
      </rPr>
      <t xml:space="preserve">Morgan Stanley</t>
    </r>
    <r>
      <rPr>
        <sz val="8.5"/>
        <color rgb="FF000000"/>
        <rFont val="Noto Sans CJK SC"/>
        <family val="2"/>
      </rPr>
      <t xml:space="preserve">）</t>
    </r>
  </si>
  <si>
    <r>
      <rPr>
        <sz val="8.5"/>
        <color rgb="FF000000"/>
        <rFont val="Noto Sans CJK SC"/>
        <family val="2"/>
      </rPr>
      <t xml:space="preserve">人民日报海外版 </t>
    </r>
    <r>
      <rPr>
        <sz val="8.5"/>
        <color rgb="FF000000"/>
        <rFont val="微软雅黑"/>
        <family val="0"/>
        <charset val="1"/>
      </rPr>
      <t xml:space="preserve">/ </t>
    </r>
    <r>
      <rPr>
        <sz val="8.5"/>
        <color rgb="FF000000"/>
        <rFont val="Noto Sans CJK SC"/>
        <family val="2"/>
      </rPr>
      <t xml:space="preserve">中国经济周刊</t>
    </r>
  </si>
  <si>
    <r>
      <rPr>
        <sz val="8.5"/>
        <color rgb="FF000000"/>
        <rFont val="Noto Sans CJK SC"/>
        <family val="2"/>
      </rPr>
      <t xml:space="preserve">拆解 </t>
    </r>
    <r>
      <rPr>
        <sz val="8.5"/>
        <color rgb="FF000000"/>
        <rFont val="微软雅黑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背后的“国际能耗账单”</t>
    </r>
  </si>
  <si>
    <t xml:space="preserve">2026-02-26</t>
  </si>
  <si>
    <t xml:space="preserve">媒体（引述第三方）</t>
  </si>
  <si>
    <r>
      <rPr>
        <sz val="8"/>
        <color rgb="FF000000"/>
        <rFont val="Noto Sans CJK SC"/>
        <family val="2"/>
      </rPr>
      <t xml:space="preserve">欧盟数据中心 </t>
    </r>
    <r>
      <rPr>
        <sz val="8"/>
        <color rgb="FF000000"/>
        <rFont val="微软雅黑"/>
        <family val="0"/>
        <charset val="1"/>
      </rPr>
      <t xml:space="preserve">2030 </t>
    </r>
    <r>
      <rPr>
        <sz val="8"/>
        <color rgb="FF000000"/>
        <rFont val="Noto Sans CJK SC"/>
        <family val="2"/>
      </rPr>
      <t xml:space="preserve">年 </t>
    </r>
    <r>
      <rPr>
        <sz val="8"/>
        <color rgb="FF000000"/>
        <rFont val="微软雅黑"/>
        <family val="0"/>
        <charset val="1"/>
      </rPr>
      <t xml:space="preserve">150 TWh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Morgan Stanley </t>
    </r>
    <r>
      <rPr>
        <sz val="8"/>
        <color rgb="FF000000"/>
        <rFont val="Noto Sans CJK SC"/>
        <family val="2"/>
      </rPr>
      <t xml:space="preserve">测算 </t>
    </r>
    <r>
      <rPr>
        <sz val="8"/>
        <color rgb="FF000000"/>
        <rFont val="微软雅黑"/>
        <family val="0"/>
        <charset val="1"/>
      </rPr>
      <t xml:space="preserve">2025–2028 </t>
    </r>
    <r>
      <rPr>
        <sz val="8"/>
        <color rgb="FF000000"/>
        <rFont val="Noto Sans CJK SC"/>
        <family val="2"/>
      </rPr>
      <t xml:space="preserve">年美国数据中心累计电力缺口 </t>
    </r>
    <r>
      <rPr>
        <sz val="8"/>
        <color rgb="FF000000"/>
        <rFont val="微软雅黑"/>
        <family val="0"/>
        <charset val="1"/>
      </rPr>
      <t xml:space="preserve">47 GW</t>
    </r>
    <r>
      <rPr>
        <sz val="8"/>
        <color rgb="FF000000"/>
        <rFont val="Noto Sans CJK SC"/>
        <family val="2"/>
      </rPr>
      <t xml:space="preserve">；</t>
    </r>
    <r>
      <rPr>
        <sz val="8"/>
        <color rgb="FF000000"/>
        <rFont val="微软雅黑"/>
        <family val="0"/>
        <charset val="1"/>
      </rPr>
      <t xml:space="preserve">https://www.ceweekly.cn/international/2026/0226/489719.html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</si>
  <si>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S32</t>
  </si>
  <si>
    <r>
      <rPr>
        <sz val="8.5"/>
        <color rgb="FF000000"/>
        <rFont val="微软雅黑"/>
        <family val="0"/>
        <charset val="1"/>
      </rPr>
      <t xml:space="preserve">ITER 2024 </t>
    </r>
    <r>
      <rPr>
        <sz val="8.5"/>
        <color rgb="FF000000"/>
        <rFont val="Noto Sans CJK SC"/>
        <family val="2"/>
      </rPr>
      <t xml:space="preserve">年基线</t>
    </r>
  </si>
  <si>
    <t xml:space="preserve">ITER Organization</t>
  </si>
  <si>
    <t xml:space="preserve">ITER 2024 baseline</t>
  </si>
  <si>
    <t xml:space="preserve">2024-07</t>
  </si>
  <si>
    <t xml:space="preserve">国际项目</t>
  </si>
  <si>
    <r>
      <rPr>
        <sz val="8"/>
        <color rgb="FF000000"/>
        <rFont val="Noto Sans CJK SC"/>
        <family val="2"/>
      </rPr>
      <t xml:space="preserve">研究运行 </t>
    </r>
    <r>
      <rPr>
        <sz val="8"/>
        <color rgb="FF000000"/>
        <rFont val="微软雅黑"/>
        <family val="0"/>
        <charset val="1"/>
      </rPr>
      <t xml:space="preserve">2034 </t>
    </r>
    <r>
      <rPr>
        <sz val="8"/>
        <color rgb="FF000000"/>
        <rFont val="Noto Sans CJK SC"/>
        <family val="2"/>
      </rPr>
      <t xml:space="preserve">年、</t>
    </r>
    <r>
      <rPr>
        <sz val="8"/>
        <color rgb="FF000000"/>
        <rFont val="微软雅黑"/>
        <family val="0"/>
        <charset val="1"/>
      </rPr>
      <t xml:space="preserve">D-T </t>
    </r>
    <r>
      <rPr>
        <sz val="8"/>
        <color rgb="FF000000"/>
        <rFont val="Noto Sans CJK SC"/>
        <family val="2"/>
      </rPr>
      <t xml:space="preserve">运行 </t>
    </r>
    <r>
      <rPr>
        <sz val="8"/>
        <color rgb="FF000000"/>
        <rFont val="微软雅黑"/>
        <family val="0"/>
        <charset val="1"/>
      </rPr>
      <t xml:space="preserve">2039 </t>
    </r>
    <r>
      <rPr>
        <sz val="8"/>
        <color rgb="FF000000"/>
        <rFont val="Noto Sans CJK SC"/>
        <family val="2"/>
      </rPr>
      <t xml:space="preserve">年；</t>
    </r>
    <r>
      <rPr>
        <sz val="8"/>
        <color rgb="FF000000"/>
        <rFont val="微软雅黑"/>
        <family val="0"/>
        <charset val="1"/>
      </rPr>
      <t xml:space="preserve">https://www.iter.org/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</si>
  <si>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t xml:space="preserve">S33</t>
  </si>
  <si>
    <r>
      <rPr>
        <sz val="8.5"/>
        <color rgb="FF000000"/>
        <rFont val="Noto Sans CJK SC"/>
        <family val="2"/>
      </rPr>
      <t xml:space="preserve">美国 </t>
    </r>
    <r>
      <rPr>
        <sz val="8.5"/>
        <color rgb="FF000000"/>
        <rFont val="微软雅黑"/>
        <family val="0"/>
        <charset val="1"/>
      </rPr>
      <t xml:space="preserve">NRC </t>
    </r>
    <r>
      <rPr>
        <sz val="8.5"/>
        <color rgb="FF000000"/>
        <rFont val="Noto Sans CJK SC"/>
        <family val="2"/>
      </rPr>
      <t xml:space="preserve">聚变监管规则进展</t>
    </r>
  </si>
  <si>
    <r>
      <rPr>
        <sz val="8.5"/>
        <color rgb="FF000000"/>
        <rFont val="微软雅黑"/>
        <family val="0"/>
        <charset val="1"/>
      </rPr>
      <t xml:space="preserve">U.S. Nuclear Regulatory Commission</t>
    </r>
    <r>
      <rPr>
        <sz val="8.5"/>
        <color rgb="FF000000"/>
        <rFont val="Noto Sans CJK SC"/>
        <family val="2"/>
      </rPr>
      <t xml:space="preserve">（经 </t>
    </r>
    <r>
      <rPr>
        <sz val="8.5"/>
        <color rgb="FF000000"/>
        <rFont val="微软雅黑"/>
        <family val="0"/>
        <charset val="1"/>
      </rPr>
      <t xml:space="preserve">NNN </t>
    </r>
    <r>
      <rPr>
        <sz val="8.5"/>
        <color rgb="FF000000"/>
        <rFont val="Noto Sans CJK SC"/>
        <family val="2"/>
      </rPr>
      <t xml:space="preserve">数据库）</t>
    </r>
  </si>
  <si>
    <t xml:space="preserve">Fusion rulemaking status</t>
  </si>
  <si>
    <t xml:space="preserve">2026-09-14</t>
  </si>
  <si>
    <t xml:space="preserve">监管机构</t>
  </si>
  <si>
    <r>
      <rPr>
        <sz val="8"/>
        <color rgb="FF000000"/>
        <rFont val="微软雅黑"/>
        <family val="0"/>
        <charset val="1"/>
      </rPr>
      <t xml:space="preserve">2026 </t>
    </r>
    <r>
      <rPr>
        <sz val="8"/>
        <color rgb="FF000000"/>
        <rFont val="Noto Sans CJK SC"/>
        <family val="2"/>
      </rPr>
      <t xml:space="preserve">年 </t>
    </r>
    <r>
      <rPr>
        <sz val="8"/>
        <color rgb="FF000000"/>
        <rFont val="微软雅黑"/>
        <family val="0"/>
        <charset val="1"/>
      </rPr>
      <t xml:space="preserve">2 </t>
    </r>
    <r>
      <rPr>
        <sz val="8"/>
        <color rgb="FF000000"/>
        <rFont val="Noto Sans CJK SC"/>
        <family val="2"/>
      </rPr>
      <t xml:space="preserve">月提出，按 </t>
    </r>
    <r>
      <rPr>
        <sz val="8"/>
        <color rgb="FF000000"/>
        <rFont val="微软雅黑"/>
        <family val="0"/>
        <charset val="1"/>
      </rPr>
      <t xml:space="preserve">Part 30 </t>
    </r>
    <r>
      <rPr>
        <sz val="8"/>
        <color rgb="FF000000"/>
        <rFont val="Noto Sans CJK SC"/>
        <family val="2"/>
      </rPr>
      <t xml:space="preserve">副产品材料框架监管；截至 </t>
    </r>
    <r>
      <rPr>
        <sz val="8"/>
        <color rgb="FF000000"/>
        <rFont val="微软雅黑"/>
        <family val="0"/>
        <charset val="1"/>
      </rPr>
      <t xml:space="preserve">2026 </t>
    </r>
    <r>
      <rPr>
        <sz val="8"/>
        <color rgb="FF000000"/>
        <rFont val="Noto Sans CJK SC"/>
        <family val="2"/>
      </rPr>
      <t xml:space="preserve">年 </t>
    </r>
    <r>
      <rPr>
        <sz val="8"/>
        <color rgb="FF000000"/>
        <rFont val="微软雅黑"/>
        <family val="0"/>
        <charset val="1"/>
      </rPr>
      <t xml:space="preserve">9 </t>
    </r>
    <r>
      <rPr>
        <sz val="8"/>
        <color rgb="FF000000"/>
        <rFont val="Noto Sans CJK SC"/>
        <family val="2"/>
      </rPr>
      <t xml:space="preserve">月中旬尚未发布最终规则；</t>
    </r>
    <r>
      <rPr>
        <sz val="8"/>
        <color rgb="FF000000"/>
        <rFont val="微软雅黑"/>
        <family val="0"/>
        <charset val="1"/>
      </rPr>
      <t xml:space="preserve">https://www.nrc.gov/materials/fusion/rulemaking-status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微软雅黑"/>
        <family val="0"/>
        <charset val="1"/>
      </rPr>
      <t xml:space="preserve">2026-10-22 </t>
    </r>
    <r>
      <rPr>
        <sz val="8"/>
        <color rgb="FF000000"/>
        <rFont val="Noto Sans CJK SC"/>
        <family val="2"/>
      </rPr>
      <t xml:space="preserve">访问）</t>
    </r>
  </si>
  <si>
    <r>
      <rPr>
        <sz val="8.5"/>
        <color rgb="FF000000"/>
        <rFont val="微软雅黑"/>
        <family val="0"/>
        <charset val="1"/>
      </rPr>
      <t xml:space="preserve">Meta 2026 </t>
    </r>
    <r>
      <rPr>
        <sz val="8.5"/>
        <color rgb="FF000000"/>
        <rFont val="Noto Sans CJK SC"/>
        <family val="2"/>
      </rPr>
      <t xml:space="preserve">年第三季度数据：数据中心合资企业</t>
    </r>
  </si>
  <si>
    <t xml:space="preserve">Form 10-Q Note 5 – Data Center Ventures</t>
  </si>
  <si>
    <r>
      <rPr>
        <sz val="8"/>
        <color rgb="FF000000"/>
        <rFont val="微软雅黑"/>
        <family val="0"/>
        <charset val="1"/>
      </rPr>
      <t xml:space="preserve">Louisiana </t>
    </r>
    <r>
      <rPr>
        <sz val="8"/>
        <color rgb="FF000000"/>
        <rFont val="Noto Sans CJK SC"/>
        <family val="2"/>
      </rPr>
      <t xml:space="preserve">合资企业总开发成本约 </t>
    </r>
    <r>
      <rPr>
        <sz val="8"/>
        <color rgb="FF000000"/>
        <rFont val="微软雅黑"/>
        <family val="0"/>
        <charset val="1"/>
      </rPr>
      <t xml:space="preserve">270 </t>
    </r>
    <r>
      <rPr>
        <sz val="8"/>
        <color rgb="FF000000"/>
        <rFont val="Noto Sans CJK SC"/>
        <family val="2"/>
      </rPr>
      <t xml:space="preserve">亿美元、</t>
    </r>
    <r>
      <rPr>
        <sz val="8"/>
        <color rgb="FF000000"/>
        <rFont val="微软雅黑"/>
        <family val="0"/>
        <charset val="1"/>
      </rPr>
      <t xml:space="preserve">Texas </t>
    </r>
    <r>
      <rPr>
        <sz val="8"/>
        <color rgb="FF000000"/>
        <rFont val="Noto Sans CJK SC"/>
        <family val="2"/>
      </rPr>
      <t xml:space="preserve">约 </t>
    </r>
    <r>
      <rPr>
        <sz val="8"/>
        <color rgb="FF000000"/>
        <rFont val="微软雅黑"/>
        <family val="0"/>
        <charset val="1"/>
      </rPr>
      <t xml:space="preserve">140 </t>
    </r>
    <r>
      <rPr>
        <sz val="8"/>
        <color rgb="FF000000"/>
        <rFont val="Noto Sans CJK SC"/>
        <family val="2"/>
      </rPr>
      <t xml:space="preserve">亿美元，</t>
    </r>
    <r>
      <rPr>
        <sz val="8"/>
        <color rgb="FF000000"/>
        <rFont val="微软雅黑"/>
        <family val="0"/>
        <charset val="1"/>
      </rPr>
      <t xml:space="preserve">Meta </t>
    </r>
    <r>
      <rPr>
        <sz val="8"/>
        <color rgb="FF000000"/>
        <rFont val="Noto Sans CJK SC"/>
        <family val="2"/>
      </rPr>
      <t xml:space="preserve">持 </t>
    </r>
    <r>
      <rPr>
        <sz val="8"/>
        <color rgb="FF000000"/>
        <rFont val="微软雅黑"/>
        <family val="0"/>
        <charset val="1"/>
      </rPr>
      <t xml:space="preserve">20%</t>
    </r>
    <r>
      <rPr>
        <sz val="8"/>
        <color rgb="FF000000"/>
        <rFont val="Noto Sans CJK SC"/>
        <family val="2"/>
      </rPr>
      <t xml:space="preserve">；租赁承诺 </t>
    </r>
    <r>
      <rPr>
        <sz val="8"/>
        <color rgb="FF000000"/>
        <rFont val="微软雅黑"/>
        <family val="0"/>
        <charset val="1"/>
      </rPr>
      <t xml:space="preserve">184.76 </t>
    </r>
    <r>
      <rPr>
        <sz val="8"/>
        <color rgb="FF000000"/>
        <rFont val="Noto Sans CJK SC"/>
        <family val="2"/>
      </rPr>
      <t xml:space="preserve">亿美元；最大剩余价值担保 </t>
    </r>
    <r>
      <rPr>
        <sz val="8"/>
        <color rgb="FF000000"/>
        <rFont val="微软雅黑"/>
        <family val="0"/>
        <charset val="1"/>
      </rPr>
      <t xml:space="preserve">414.93 </t>
    </r>
    <r>
      <rPr>
        <sz val="8"/>
        <color rgb="FF000000"/>
        <rFont val="Noto Sans CJK SC"/>
        <family val="2"/>
      </rPr>
      <t xml:space="preserve">亿美元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</si>
</sst>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0.0%"/>
    <numFmt numFmtId="167" formatCode="#,##0"/>
    <numFmt numFmtId="168" formatCode="#,##0.00"/>
    <numFmt numFmtId="169" formatCode="#,##0.000"/>
    <numFmt numFmtId="170" formatCode="#,##0;\(#,##0\)"/>
    <numFmt numFmtId="171" formatCode="0.00"/>
    <numFmt numFmtId="172" formatCode="0"/>
  </numFmts>
  <fonts count="41">
    <font>
      <sz val="11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F3864"/>
      <name val="微软雅黑"/>
      <family val="0"/>
      <charset val="1"/>
    </font>
    <font>
      <b val="true"/>
      <sz val="26"/>
      <color rgb="FF1F3864"/>
      <name val="Noto Sans CJK SC"/>
      <family val="2"/>
    </font>
    <font>
      <i val="true"/>
      <sz val="10"/>
      <color rgb="FF595959"/>
      <name val="微软雅黑"/>
      <family val="0"/>
      <charset val="1"/>
    </font>
    <font>
      <b val="true"/>
      <sz val="13"/>
      <color rgb="FF1F3864"/>
      <name val="Noto Sans CJK SC"/>
      <family val="2"/>
    </font>
    <font>
      <sz val="10"/>
      <color rgb="FF1F1F1F"/>
      <name val="Noto Sans CJK SC"/>
      <family val="2"/>
    </font>
    <font>
      <sz val="10"/>
      <color rgb="FF1F1F1F"/>
      <name val="微软雅黑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000000"/>
      <name val="Noto Sans CJK SC"/>
      <family val="2"/>
    </font>
    <font>
      <sz val="9.5"/>
      <color rgb="FF000000"/>
      <name val="Noto Sans CJK SC"/>
      <family val="2"/>
    </font>
    <font>
      <sz val="9.5"/>
      <color rgb="FF000000"/>
      <name val="微软雅黑"/>
      <family val="0"/>
      <charset val="1"/>
    </font>
    <font>
      <b val="true"/>
      <sz val="9.5"/>
      <color rgb="FF000000"/>
      <name val="微软雅黑"/>
      <family val="0"/>
      <charset val="1"/>
    </font>
    <font>
      <sz val="9"/>
      <color rgb="FF000000"/>
      <name val="Noto Sans CJK SC"/>
      <family val="2"/>
    </font>
    <font>
      <b val="true"/>
      <sz val="13"/>
      <color rgb="FFC55A11"/>
      <name val="Noto Sans CJK SC"/>
      <family val="2"/>
    </font>
    <font>
      <sz val="9.5"/>
      <color rgb="FF1F1F1F"/>
      <name val="微软雅黑"/>
      <family val="0"/>
      <charset val="1"/>
    </font>
    <font>
      <sz val="9.5"/>
      <color rgb="FF1F1F1F"/>
      <name val="Noto Sans CJK SC"/>
      <family val="2"/>
    </font>
    <font>
      <b val="true"/>
      <sz val="18"/>
      <color rgb="FF1F3864"/>
      <name val="微软雅黑"/>
      <family val="0"/>
      <charset val="1"/>
    </font>
    <font>
      <b val="true"/>
      <sz val="18"/>
      <color rgb="FF1F3864"/>
      <name val="Noto Sans CJK SC"/>
      <family val="2"/>
    </font>
    <font>
      <i val="true"/>
      <sz val="10"/>
      <color rgb="FF595959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b val="true"/>
      <sz val="9.5"/>
      <color rgb="FFFFFFFF"/>
      <name val="微软雅黑"/>
      <family val="0"/>
      <charset val="1"/>
    </font>
    <font>
      <sz val="9.5"/>
      <color rgb="FF000000"/>
      <name val="Arial"/>
      <family val="0"/>
      <charset val="1"/>
    </font>
    <font>
      <sz val="8.5"/>
      <color rgb="FF000000"/>
      <name val="微软雅黑"/>
      <family val="0"/>
      <charset val="1"/>
    </font>
    <font>
      <sz val="8.5"/>
      <color rgb="FF000000"/>
      <name val="Noto Sans CJK SC"/>
      <family val="2"/>
    </font>
    <font>
      <sz val="8.5"/>
      <color rgb="FF00000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sz val="7.8"/>
      <color rgb="FF404040"/>
      <name val="微软雅黑"/>
      <family val="0"/>
      <charset val="1"/>
    </font>
    <font>
      <sz val="7.8"/>
      <color rgb="FF40404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微软雅黑"/>
      <family val="0"/>
      <charset val="1"/>
    </font>
    <font>
      <sz val="8"/>
      <color rgb="FF000000"/>
      <name val="Noto Sans CJK SC"/>
      <family val="2"/>
    </font>
    <font>
      <sz val="8"/>
      <color rgb="FF000000"/>
      <name val="微软雅黑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9F9F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2E5C8A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2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8FAADC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BB273"/>
      <rgbColor rgb="FF003300"/>
      <rgbColor rgb="FF1F1F1F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全球数据中心用电（TWh）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"全球数据中心用电"</c:f>
              <c:strCache>
                <c:ptCount val="1"/>
                <c:pt idx="0">
                  <c:v>全球数据中心用电</c:v>
                </c:pt>
              </c:strCache>
            </c:strRef>
          </c:tx>
          <c:spPr>
            <a:solidFill>
              <a:srgbClr val="2E5C8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需求_全球!$A$5:$A$7</c:f>
              <c:strCache>
                <c:ptCount val="3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</c:strCache>
            </c:strRef>
          </c:cat>
          <c:val>
            <c:numRef>
              <c:f>汇总!$B$6:$B$8</c:f>
              <c:numCache>
                <c:formatCode>#,##0.0</c:formatCode>
                <c:ptCount val="3"/>
                <c:pt idx="0">
                  <c:v>415</c:v>
                </c:pt>
                <c:pt idx="1">
                  <c:v>945</c:v>
                </c:pt>
                <c:pt idx="2">
                  <c:v>1200</c:v>
                </c:pt>
              </c:numCache>
            </c:numRef>
          </c:val>
        </c:ser>
        <c:gapWidth val="150"/>
        <c:overlap val="0"/>
        <c:axId val="4170480"/>
        <c:axId val="93663298"/>
      </c:barChart>
      <c:catAx>
        <c:axId val="4170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663298"/>
        <c:crosses val="autoZero"/>
        <c:auto val="1"/>
        <c:lblAlgn val="ctr"/>
        <c:lblOffset val="100"/>
        <c:noMultiLvlLbl val="0"/>
      </c:catAx>
      <c:valAx>
        <c:axId val="93663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048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美国数据中心用电来源（TWh）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"2024"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BDD7E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供给结构!$A$5:$A$9</c:f>
              <c:strCache>
                <c:ptCount val="5"/>
                <c:pt idx="0">
                  <c:v>天然气</c:v>
                </c:pt>
                <c:pt idx="1">
                  <c:v>可再生能源</c:v>
                </c:pt>
                <c:pt idx="2">
                  <c:v>核电</c:v>
                </c:pt>
                <c:pt idx="3">
                  <c:v>煤电</c:v>
                </c:pt>
                <c:pt idx="4">
                  <c:v>其他</c:v>
                </c:pt>
              </c:strCache>
            </c:strRef>
          </c:cat>
          <c:val>
            <c:numRef>
              <c:f>供给结构!$C$5:$C$9</c:f>
              <c:numCache>
                <c:formatCode>#,##0.0</c:formatCode>
                <c:ptCount val="5"/>
                <c:pt idx="0">
                  <c:v>74.7</c:v>
                </c:pt>
                <c:pt idx="1">
                  <c:v>44.82</c:v>
                </c:pt>
                <c:pt idx="2">
                  <c:v>37.35</c:v>
                </c:pt>
                <c:pt idx="3">
                  <c:v>28.0125</c:v>
                </c:pt>
                <c:pt idx="4">
                  <c:v>1.8675</c:v>
                </c:pt>
              </c:numCache>
            </c:numRef>
          </c:val>
        </c:ser>
        <c:ser>
          <c:idx val="1"/>
          <c:order val="1"/>
          <c:tx>
            <c:strRef>
              <c:f>"2030"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rgbClr val="2E5C8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供给结构!$A$5:$A$9</c:f>
              <c:strCache>
                <c:ptCount val="5"/>
                <c:pt idx="0">
                  <c:v>天然气</c:v>
                </c:pt>
                <c:pt idx="1">
                  <c:v>可再生能源</c:v>
                </c:pt>
                <c:pt idx="2">
                  <c:v>核电</c:v>
                </c:pt>
                <c:pt idx="3">
                  <c:v>煤电</c:v>
                </c:pt>
                <c:pt idx="4">
                  <c:v>其他</c:v>
                </c:pt>
              </c:strCache>
            </c:strRef>
          </c:cat>
          <c:val>
            <c:numRef>
              <c:f>供给结构!$E$5:$E$9</c:f>
              <c:numCache>
                <c:formatCode>#,##0.0</c:formatCode>
                <c:ptCount val="5"/>
                <c:pt idx="0">
                  <c:v>204.309</c:v>
                </c:pt>
                <c:pt idx="1">
                  <c:v>146.5695</c:v>
                </c:pt>
                <c:pt idx="2">
                  <c:v>88.83</c:v>
                </c:pt>
                <c:pt idx="3">
                  <c:v>4.4415</c:v>
                </c:pt>
                <c:pt idx="4">
                  <c:v>0</c:v>
                </c:pt>
              </c:numCache>
            </c:numRef>
          </c:val>
        </c:ser>
        <c:gapWidth val="60"/>
        <c:overlap val="-10"/>
        <c:axId val="27442556"/>
        <c:axId val="62209888"/>
      </c:barChart>
      <c:catAx>
        <c:axId val="2744255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209888"/>
        <c:crosses val="autoZero"/>
        <c:auto val="1"/>
        <c:lblAlgn val="ctr"/>
        <c:lblOffset val="100"/>
        <c:noMultiLvlLbl val="0"/>
      </c:catAx>
      <c:valAx>
        <c:axId val="62209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442556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全球数据中心用电（TWh）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"全球数据中心用电"</c:f>
              <c:strCache>
                <c:ptCount val="1"/>
                <c:pt idx="0">
                  <c:v>全球数据中心用电</c:v>
                </c:pt>
              </c:strCache>
            </c:strRef>
          </c:tx>
          <c:spPr>
            <a:solidFill>
              <a:srgbClr val="2E5C8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需求_全球!$A$5:$A$7</c:f>
              <c:strCache>
                <c:ptCount val="3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</c:strCache>
            </c:strRef>
          </c:cat>
          <c:val>
            <c:numRef>
              <c:f>需求_全球!$B$5:$B$7</c:f>
              <c:numCache>
                <c:formatCode>#,##0</c:formatCode>
                <c:ptCount val="3"/>
                <c:pt idx="0">
                  <c:v>415</c:v>
                </c:pt>
                <c:pt idx="1">
                  <c:v>945</c:v>
                </c:pt>
                <c:pt idx="2">
                  <c:v>1200</c:v>
                </c:pt>
              </c:numCache>
            </c:numRef>
          </c:val>
        </c:ser>
        <c:gapWidth val="150"/>
        <c:overlap val="0"/>
        <c:axId val="46987726"/>
        <c:axId val="60145271"/>
      </c:barChart>
      <c:catAx>
        <c:axId val="469877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45271"/>
        <c:crosses val="autoZero"/>
        <c:auto val="1"/>
        <c:lblAlgn val="ctr"/>
        <c:lblOffset val="100"/>
        <c:noMultiLvlLbl val="0"/>
      </c:catAx>
      <c:valAx>
        <c:axId val="60145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87726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美国数据中心用电来源（TWh）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"2024"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BDD7E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供给结构!$A$5:$A$9</c:f>
              <c:strCache>
                <c:ptCount val="5"/>
                <c:pt idx="0">
                  <c:v>天然气</c:v>
                </c:pt>
                <c:pt idx="1">
                  <c:v>可再生能源</c:v>
                </c:pt>
                <c:pt idx="2">
                  <c:v>核电</c:v>
                </c:pt>
                <c:pt idx="3">
                  <c:v>煤电</c:v>
                </c:pt>
                <c:pt idx="4">
                  <c:v>其他</c:v>
                </c:pt>
              </c:strCache>
            </c:strRef>
          </c:cat>
          <c:val>
            <c:numRef>
              <c:f>供给结构!$C$5:$C$9</c:f>
              <c:numCache>
                <c:formatCode>#,##0.0</c:formatCode>
                <c:ptCount val="5"/>
                <c:pt idx="0">
                  <c:v>74.7</c:v>
                </c:pt>
                <c:pt idx="1">
                  <c:v>44.82</c:v>
                </c:pt>
                <c:pt idx="2">
                  <c:v>37.35</c:v>
                </c:pt>
                <c:pt idx="3">
                  <c:v>28.0125</c:v>
                </c:pt>
                <c:pt idx="4">
                  <c:v>1.8675</c:v>
                </c:pt>
              </c:numCache>
            </c:numRef>
          </c:val>
        </c:ser>
        <c:ser>
          <c:idx val="1"/>
          <c:order val="1"/>
          <c:tx>
            <c:strRef>
              <c:f>"2030"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rgbClr val="2E5C8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供给结构!$A$5:$A$9</c:f>
              <c:strCache>
                <c:ptCount val="5"/>
                <c:pt idx="0">
                  <c:v>天然气</c:v>
                </c:pt>
                <c:pt idx="1">
                  <c:v>可再生能源</c:v>
                </c:pt>
                <c:pt idx="2">
                  <c:v>核电</c:v>
                </c:pt>
                <c:pt idx="3">
                  <c:v>煤电</c:v>
                </c:pt>
                <c:pt idx="4">
                  <c:v>其他</c:v>
                </c:pt>
              </c:strCache>
            </c:strRef>
          </c:cat>
          <c:val>
            <c:numRef>
              <c:f>供给结构!$E$5:$E$9</c:f>
              <c:numCache>
                <c:formatCode>#,##0.0</c:formatCode>
                <c:ptCount val="5"/>
                <c:pt idx="0">
                  <c:v>204.309</c:v>
                </c:pt>
                <c:pt idx="1">
                  <c:v>146.5695</c:v>
                </c:pt>
                <c:pt idx="2">
                  <c:v>88.83</c:v>
                </c:pt>
                <c:pt idx="3">
                  <c:v>4.4415</c:v>
                </c:pt>
                <c:pt idx="4">
                  <c:v>0</c:v>
                </c:pt>
              </c:numCache>
            </c:numRef>
          </c:val>
        </c:ser>
        <c:gapWidth val="60"/>
        <c:overlap val="-10"/>
        <c:axId val="96852025"/>
        <c:axId val="77487843"/>
      </c:barChart>
      <c:catAx>
        <c:axId val="9685202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487843"/>
        <c:crosses val="autoZero"/>
        <c:auto val="1"/>
        <c:lblAlgn val="ctr"/>
        <c:lblOffset val="100"/>
        <c:noMultiLvlLbl val="0"/>
      </c:catAx>
      <c:valAx>
        <c:axId val="77487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5202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2026 年资本开支指引（亿美元）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"2026 年资本开支"</c:f>
              <c:strCache>
                <c:ptCount val="1"/>
                <c:pt idx="0">
                  <c:v>2026 年资本开支</c:v>
                </c:pt>
              </c:strCache>
            </c:strRef>
          </c:tx>
          <c:spPr>
            <a:solidFill>
              <a:srgbClr val="C55A1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科技巨头_CapEx!$A$5:$A$9</c:f>
              <c:strCache>
                <c:ptCount val="5"/>
                <c:pt idx="0">
                  <c:v>Amazon</c:v>
                </c:pt>
                <c:pt idx="1">
                  <c:v>Microsoft</c:v>
                </c:pt>
                <c:pt idx="2">
                  <c:v>Alphabet</c:v>
                </c:pt>
                <c:pt idx="3">
                  <c:v>Meta</c:v>
                </c:pt>
                <c:pt idx="4">
                  <c:v>Oracle</c:v>
                </c:pt>
              </c:strCache>
            </c:strRef>
          </c:cat>
          <c:val>
            <c:numRef>
              <c:f>科技巨头_CapEx!$E$5:$E$9</c:f>
              <c:numCache>
                <c:formatCode>#,##0</c:formatCode>
                <c:ptCount val="5"/>
                <c:pt idx="0">
                  <c:v>2200</c:v>
                </c:pt>
                <c:pt idx="1">
                  <c:v>1900</c:v>
                </c:pt>
                <c:pt idx="2">
                  <c:v>2000</c:v>
                </c:pt>
                <c:pt idx="3">
                  <c:v>1400</c:v>
                </c:pt>
                <c:pt idx="4">
                  <c:v>500</c:v>
                </c:pt>
              </c:numCache>
            </c:numRef>
          </c:val>
        </c:ser>
        <c:gapWidth val="150"/>
        <c:overlap val="0"/>
        <c:axId val="45814806"/>
        <c:axId val="31854983"/>
      </c:barChart>
      <c:catAx>
        <c:axId val="45814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54983"/>
        <c:crosses val="autoZero"/>
        <c:auto val="1"/>
        <c:lblAlgn val="ctr"/>
        <c:lblOffset val="100"/>
        <c:noMultiLvlLbl val="0"/>
      </c:catAx>
      <c:valAx>
        <c:axId val="318549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814806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已披露长期核电协议（MW，按科技公司）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"合同 MW"</c:f>
              <c:strCache>
                <c:ptCount val="1"/>
                <c:pt idx="0">
                  <c:v>合同 MW</c:v>
                </c:pt>
              </c:strCache>
            </c:strRef>
          </c:tx>
          <c:spPr>
            <a:solidFill>
              <a:srgbClr val="3BB27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核电_PPA!$A$19:$A$22</c:f>
              <c:strCache>
                <c:ptCount val="4"/>
                <c:pt idx="0">
                  <c:v>Microsoft</c:v>
                </c:pt>
                <c:pt idx="1">
                  <c:v>Meta</c:v>
                </c:pt>
                <c:pt idx="2">
                  <c:v>Amazon</c:v>
                </c:pt>
                <c:pt idx="3">
                  <c:v>Google</c:v>
                </c:pt>
              </c:strCache>
            </c:strRef>
          </c:cat>
          <c:val>
            <c:numRef>
              <c:f>核电_PPA!$B$19:$B$22</c:f>
              <c:numCache>
                <c:formatCode>#,##0</c:formatCode>
                <c:ptCount val="4"/>
                <c:pt idx="0">
                  <c:v>885</c:v>
                </c:pt>
                <c:pt idx="1">
                  <c:v>6002</c:v>
                </c:pt>
                <c:pt idx="2">
                  <c:v>1920</c:v>
                </c:pt>
                <c:pt idx="3">
                  <c:v>700</c:v>
                </c:pt>
              </c:numCache>
            </c:numRef>
          </c:val>
        </c:ser>
        <c:gapWidth val="150"/>
        <c:overlap val="0"/>
        <c:axId val="45647342"/>
        <c:axId val="5215322"/>
      </c:barChart>
      <c:catAx>
        <c:axId val="45647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15322"/>
        <c:crosses val="autoZero"/>
        <c:auto val="1"/>
        <c:lblAlgn val="ctr"/>
        <c:lblOffset val="100"/>
        <c:noMultiLvlLbl val="0"/>
      </c:catAx>
      <c:valAx>
        <c:axId val="521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647342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聚变公司累计融资（百万美元）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"累计融资"</c:f>
              <c:strCache>
                <c:ptCount val="1"/>
                <c:pt idx="0">
                  <c:v>累计融资</c:v>
                </c:pt>
              </c:strCache>
            </c:strRef>
          </c:tx>
          <c:spPr>
            <a:solidFill>
              <a:srgbClr val="C55A1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聚变_公司!$A$5:$A$12</c:f>
              <c:strCache>
                <c:ptCount val="8"/>
                <c:pt idx="0">
                  <c:v>Commonwealth Fusion Systems (CFS)</c:v>
                </c:pt>
                <c:pt idx="1">
                  <c:v>Helion Energy</c:v>
                </c:pt>
                <c:pt idx="2">
                  <c:v>TAE Technologies</c:v>
                </c:pt>
                <c:pt idx="3">
                  <c:v>Type One Energy</c:v>
                </c:pt>
                <c:pt idx="4">
                  <c:v>Pacific Fusion</c:v>
                </c:pt>
                <c:pt idx="5">
                  <c:v>Tokamak Energy</c:v>
                </c:pt>
                <c:pt idx="6">
                  <c:v>Proxima Fusion</c:v>
                </c:pt>
                <c:pt idx="7">
                  <c:v>Zap Energy</c:v>
                </c:pt>
              </c:strCache>
            </c:strRef>
          </c:cat>
          <c:val>
            <c:numRef>
              <c:f>聚变_公司!$D$5:$D$12</c:f>
              <c:numCache>
                <c:formatCode>#,##0</c:formatCode>
                <c:ptCount val="8"/>
                <c:pt idx="0">
                  <c:v>4000</c:v>
                </c:pt>
                <c:pt idx="1">
                  <c:v>1500</c:v>
                </c:pt>
                <c:pt idx="2">
                  <c:v>1300</c:v>
                </c:pt>
                <c:pt idx="3">
                  <c:v>400</c:v>
                </c:pt>
                <c:pt idx="4">
                  <c:v>900</c:v>
                </c:pt>
                <c:pt idx="5">
                  <c:v>335</c:v>
                </c:pt>
                <c:pt idx="6">
                  <c:v>700</c:v>
                </c:pt>
                <c:pt idx="7">
                  <c:v>324</c:v>
                </c:pt>
              </c:numCache>
            </c:numRef>
          </c:val>
        </c:ser>
        <c:gapWidth val="150"/>
        <c:overlap val="0"/>
        <c:axId val="20710089"/>
        <c:axId val="97649923"/>
      </c:barChart>
      <c:catAx>
        <c:axId val="207100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49923"/>
        <c:crosses val="autoZero"/>
        <c:auto val="1"/>
        <c:lblAlgn val="ctr"/>
        <c:lblOffset val="100"/>
        <c:noMultiLvlLbl val="0"/>
      </c:catAx>
      <c:valAx>
        <c:axId val="97649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710089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新建电源 LCOE 区间（美元/MWh）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"低"</c:f>
              <c:strCache>
                <c:ptCount val="1"/>
                <c:pt idx="0">
                  <c:v>低</c:v>
                </c:pt>
              </c:strCache>
            </c:strRef>
          </c:tx>
          <c:spPr>
            <a:solidFill>
              <a:srgbClr val="8FAAD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成本_LCOE!$A$5:$A$10</c:f>
              <c:strCache>
                <c:ptCount val="6"/>
                <c:pt idx="0">
                  <c:v>光伏（公用事业规模）</c:v>
                </c:pt>
                <c:pt idx="1">
                  <c:v>陆上风电</c:v>
                </c:pt>
                <c:pt idx="2">
                  <c:v>燃气联合循环（CCGT）</c:v>
                </c:pt>
                <c:pt idx="3">
                  <c:v>核电（新建，Vogtle 口径）</c:v>
                </c:pt>
                <c:pt idx="4">
                  <c:v>燃气调峰</c:v>
                </c:pt>
                <c:pt idx="5">
                  <c:v>煤电</c:v>
                </c:pt>
              </c:strCache>
            </c:strRef>
          </c:cat>
          <c:val>
            <c:numRef>
              <c:f>成本_LCOE!$B$5:$B$10</c:f>
              <c:numCache>
                <c:formatCode>#,##0</c:formatCode>
                <c:ptCount val="6"/>
                <c:pt idx="0">
                  <c:v>40</c:v>
                </c:pt>
                <c:pt idx="1">
                  <c:v>37</c:v>
                </c:pt>
                <c:pt idx="2">
                  <c:v>51</c:v>
                </c:pt>
                <c:pt idx="3">
                  <c:v>175</c:v>
                </c:pt>
                <c:pt idx="4">
                  <c:v>144</c:v>
                </c:pt>
                <c:pt idx="5">
                  <c:v>72</c:v>
                </c:pt>
              </c:numCache>
            </c:numRef>
          </c:val>
        </c:ser>
        <c:ser>
          <c:idx val="1"/>
          <c:order val="1"/>
          <c:tx>
            <c:strRef>
              <c:f>"高"</c:f>
              <c:strCache>
                <c:ptCount val="1"/>
                <c:pt idx="0">
                  <c:v>高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成本_LCOE!$A$5:$A$10</c:f>
              <c:strCache>
                <c:ptCount val="6"/>
                <c:pt idx="0">
                  <c:v>光伏（公用事业规模）</c:v>
                </c:pt>
                <c:pt idx="1">
                  <c:v>陆上风电</c:v>
                </c:pt>
                <c:pt idx="2">
                  <c:v>燃气联合循环（CCGT）</c:v>
                </c:pt>
                <c:pt idx="3">
                  <c:v>核电（新建，Vogtle 口径）</c:v>
                </c:pt>
                <c:pt idx="4">
                  <c:v>燃气调峰</c:v>
                </c:pt>
                <c:pt idx="5">
                  <c:v>煤电</c:v>
                </c:pt>
              </c:strCache>
            </c:strRef>
          </c:cat>
          <c:val>
            <c:numRef>
              <c:f>成本_LCOE!$C$5:$C$10</c:f>
              <c:numCache>
                <c:formatCode>#,##0</c:formatCode>
                <c:ptCount val="6"/>
                <c:pt idx="0">
                  <c:v>98</c:v>
                </c:pt>
                <c:pt idx="1">
                  <c:v>99</c:v>
                </c:pt>
                <c:pt idx="2">
                  <c:v>129</c:v>
                </c:pt>
                <c:pt idx="3">
                  <c:v>255</c:v>
                </c:pt>
                <c:pt idx="4">
                  <c:v>276</c:v>
                </c:pt>
                <c:pt idx="5">
                  <c:v>177</c:v>
                </c:pt>
              </c:numCache>
            </c:numRef>
          </c:val>
        </c:ser>
        <c:gapWidth val="150"/>
        <c:overlap val="0"/>
        <c:axId val="19228895"/>
        <c:axId val="35475740"/>
      </c:barChart>
      <c:catAx>
        <c:axId val="192288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美元/MWh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75740"/>
        <c:crosses val="autoZero"/>
        <c:auto val="1"/>
        <c:lblAlgn val="ctr"/>
        <c:lblOffset val="100"/>
        <c:noMultiLvlLbl val="0"/>
      </c:catAx>
      <c:valAx>
        <c:axId val="35475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2889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全球数据中心用电量（TWh）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需求_全球!B4</c:f>
              <c:strCache>
                <c:ptCount val="1"/>
                <c:pt idx="0">
                  <c:v>全球数据中心用电量（TWh）</c:v>
                </c:pt>
              </c:strCache>
            </c:strRef>
          </c:tx>
          <c:spPr>
            <a:solidFill>
              <a:srgbClr val="2E5C8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需求_全球!$A$5:$A$7</c:f>
              <c:strCache>
                <c:ptCount val="3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</c:strCache>
            </c:strRef>
          </c:cat>
          <c:val>
            <c:numRef>
              <c:f>需求_全球!$B$5:$B$7</c:f>
              <c:numCache>
                <c:formatCode>#,##0</c:formatCode>
                <c:ptCount val="3"/>
                <c:pt idx="0">
                  <c:v>415</c:v>
                </c:pt>
                <c:pt idx="1">
                  <c:v>945</c:v>
                </c:pt>
                <c:pt idx="2">
                  <c:v>1200</c:v>
                </c:pt>
              </c:numCache>
            </c:numRef>
          </c:val>
        </c:ser>
        <c:gapWidth val="150"/>
        <c:overlap val="0"/>
        <c:axId val="36320739"/>
        <c:axId val="78625189"/>
      </c:barChart>
      <c:catAx>
        <c:axId val="363207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25189"/>
        <c:crosses val="autoZero"/>
        <c:auto val="1"/>
        <c:lblAlgn val="ctr"/>
        <c:lblOffset val="100"/>
        <c:noMultiLvlLbl val="0"/>
      </c:catAx>
      <c:valAx>
        <c:axId val="78625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20739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新建电源 LCOE 区间（美元/MWh）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成本_LCOE!B4</c:f>
              <c:strCache>
                <c:ptCount val="1"/>
                <c:pt idx="0">
                  <c:v>低（美元/MWh）</c:v>
                </c:pt>
              </c:strCache>
            </c:strRef>
          </c:tx>
          <c:spPr>
            <a:solidFill>
              <a:srgbClr val="8FAAD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成本_LCOE!$A$5:$A$10</c:f>
              <c:strCache>
                <c:ptCount val="6"/>
                <c:pt idx="0">
                  <c:v>光伏（公用事业规模）</c:v>
                </c:pt>
                <c:pt idx="1">
                  <c:v>陆上风电</c:v>
                </c:pt>
                <c:pt idx="2">
                  <c:v>燃气联合循环（CCGT）</c:v>
                </c:pt>
                <c:pt idx="3">
                  <c:v>核电（新建，Vogtle 口径）</c:v>
                </c:pt>
                <c:pt idx="4">
                  <c:v>燃气调峰</c:v>
                </c:pt>
                <c:pt idx="5">
                  <c:v>煤电</c:v>
                </c:pt>
              </c:strCache>
            </c:strRef>
          </c:cat>
          <c:val>
            <c:numRef>
              <c:f>成本_LCOE!$B$5:$B$10</c:f>
              <c:numCache>
                <c:formatCode>#,##0</c:formatCode>
                <c:ptCount val="6"/>
                <c:pt idx="0">
                  <c:v>40</c:v>
                </c:pt>
                <c:pt idx="1">
                  <c:v>37</c:v>
                </c:pt>
                <c:pt idx="2">
                  <c:v>51</c:v>
                </c:pt>
                <c:pt idx="3">
                  <c:v>175</c:v>
                </c:pt>
                <c:pt idx="4">
                  <c:v>144</c:v>
                </c:pt>
                <c:pt idx="5">
                  <c:v>72</c:v>
                </c:pt>
              </c:numCache>
            </c:numRef>
          </c:val>
        </c:ser>
        <c:ser>
          <c:idx val="1"/>
          <c:order val="1"/>
          <c:tx>
            <c:strRef>
              <c:f>成本_LCOE!C4</c:f>
              <c:strCache>
                <c:ptCount val="1"/>
                <c:pt idx="0">
                  <c:v>高（美元/MWh）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成本_LCOE!$A$5:$A$10</c:f>
              <c:strCache>
                <c:ptCount val="6"/>
                <c:pt idx="0">
                  <c:v>光伏（公用事业规模）</c:v>
                </c:pt>
                <c:pt idx="1">
                  <c:v>陆上风电</c:v>
                </c:pt>
                <c:pt idx="2">
                  <c:v>燃气联合循环（CCGT）</c:v>
                </c:pt>
                <c:pt idx="3">
                  <c:v>核电（新建，Vogtle 口径）</c:v>
                </c:pt>
                <c:pt idx="4">
                  <c:v>燃气调峰</c:v>
                </c:pt>
                <c:pt idx="5">
                  <c:v>煤电</c:v>
                </c:pt>
              </c:strCache>
            </c:strRef>
          </c:cat>
          <c:val>
            <c:numRef>
              <c:f>成本_LCOE!$C$5:$C$10</c:f>
              <c:numCache>
                <c:formatCode>#,##0</c:formatCode>
                <c:ptCount val="6"/>
                <c:pt idx="0">
                  <c:v>98</c:v>
                </c:pt>
                <c:pt idx="1">
                  <c:v>99</c:v>
                </c:pt>
                <c:pt idx="2">
                  <c:v>129</c:v>
                </c:pt>
                <c:pt idx="3">
                  <c:v>255</c:v>
                </c:pt>
                <c:pt idx="4">
                  <c:v>276</c:v>
                </c:pt>
                <c:pt idx="5">
                  <c:v>177</c:v>
                </c:pt>
              </c:numCache>
            </c:numRef>
          </c:val>
        </c:ser>
        <c:gapWidth val="150"/>
        <c:overlap val="0"/>
        <c:axId val="91708431"/>
        <c:axId val="478557"/>
      </c:barChart>
      <c:catAx>
        <c:axId val="9170843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美元/MWh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8557"/>
        <c:crosses val="autoZero"/>
        <c:auto val="1"/>
        <c:lblAlgn val="ctr"/>
        <c:lblOffset val="100"/>
        <c:noMultiLvlLbl val="0"/>
      </c:catAx>
      <c:valAx>
        <c:axId val="478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70843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聚变公司累计融资（百万美元）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聚变_公司!D4</c:f>
              <c:strCache>
                <c:ptCount val="1"/>
                <c:pt idx="0">
                  <c:v>累计融资（百万美元）</c:v>
                </c:pt>
              </c:strCache>
            </c:strRef>
          </c:tx>
          <c:spPr>
            <a:solidFill>
              <a:srgbClr val="C55A1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聚变_公司!$A$5:$A$12</c:f>
              <c:strCache>
                <c:ptCount val="8"/>
                <c:pt idx="0">
                  <c:v>Commonwealth Fusion Systems (CFS)</c:v>
                </c:pt>
                <c:pt idx="1">
                  <c:v>Helion Energy</c:v>
                </c:pt>
                <c:pt idx="2">
                  <c:v>TAE Technologies</c:v>
                </c:pt>
                <c:pt idx="3">
                  <c:v>Type One Energy</c:v>
                </c:pt>
                <c:pt idx="4">
                  <c:v>Pacific Fusion</c:v>
                </c:pt>
                <c:pt idx="5">
                  <c:v>Tokamak Energy</c:v>
                </c:pt>
                <c:pt idx="6">
                  <c:v>Proxima Fusion</c:v>
                </c:pt>
                <c:pt idx="7">
                  <c:v>Zap Energy</c:v>
                </c:pt>
              </c:strCache>
            </c:strRef>
          </c:cat>
          <c:val>
            <c:numRef>
              <c:f>聚变_公司!$D$5:$D$12</c:f>
              <c:numCache>
                <c:formatCode>#,##0</c:formatCode>
                <c:ptCount val="8"/>
                <c:pt idx="0">
                  <c:v>4000</c:v>
                </c:pt>
                <c:pt idx="1">
                  <c:v>1500</c:v>
                </c:pt>
                <c:pt idx="2">
                  <c:v>1300</c:v>
                </c:pt>
                <c:pt idx="3">
                  <c:v>400</c:v>
                </c:pt>
                <c:pt idx="4">
                  <c:v>900</c:v>
                </c:pt>
                <c:pt idx="5">
                  <c:v>335</c:v>
                </c:pt>
                <c:pt idx="6">
                  <c:v>700</c:v>
                </c:pt>
                <c:pt idx="7">
                  <c:v>324</c:v>
                </c:pt>
              </c:numCache>
            </c:numRef>
          </c:val>
        </c:ser>
        <c:gapWidth val="150"/>
        <c:overlap val="0"/>
        <c:axId val="69543261"/>
        <c:axId val="40474667"/>
      </c:barChart>
      <c:catAx>
        <c:axId val="695432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百万美元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474667"/>
        <c:crosses val="autoZero"/>
        <c:auto val="1"/>
        <c:lblAlgn val="ctr"/>
        <c:lblOffset val="100"/>
        <c:noMultiLvlLbl val="0"/>
      </c:catAx>
      <c:valAx>
        <c:axId val="40474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543261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16</xdr:col>
      <xdr:colOff>186480</xdr:colOff>
      <xdr:row>15</xdr:row>
      <xdr:rowOff>22680</xdr:rowOff>
    </xdr:to>
    <xdr:graphicFrame>
      <xdr:nvGraphicFramePr>
        <xdr:cNvPr id="1" name="Chart 1"/>
        <xdr:cNvGraphicFramePr/>
      </xdr:nvGraphicFramePr>
      <xdr:xfrm>
        <a:off x="8458200" y="740880"/>
        <a:ext cx="52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16</xdr:col>
      <xdr:colOff>186480</xdr:colOff>
      <xdr:row>34</xdr:row>
      <xdr:rowOff>77040</xdr:rowOff>
    </xdr:to>
    <xdr:graphicFrame>
      <xdr:nvGraphicFramePr>
        <xdr:cNvPr id="2" name="Chart 2"/>
        <xdr:cNvGraphicFramePr/>
      </xdr:nvGraphicFramePr>
      <xdr:xfrm>
        <a:off x="8458200" y="4892040"/>
        <a:ext cx="52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6</xdr:col>
      <xdr:colOff>42840</xdr:colOff>
      <xdr:row>18</xdr:row>
      <xdr:rowOff>21960</xdr:rowOff>
    </xdr:to>
    <xdr:graphicFrame>
      <xdr:nvGraphicFramePr>
        <xdr:cNvPr id="3" name="Chart 1"/>
        <xdr:cNvGraphicFramePr/>
      </xdr:nvGraphicFramePr>
      <xdr:xfrm>
        <a:off x="0" y="6609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15</xdr:col>
      <xdr:colOff>416160</xdr:colOff>
      <xdr:row>18</xdr:row>
      <xdr:rowOff>21960</xdr:rowOff>
    </xdr:to>
    <xdr:graphicFrame>
      <xdr:nvGraphicFramePr>
        <xdr:cNvPr id="4" name="Chart 2"/>
        <xdr:cNvGraphicFramePr/>
      </xdr:nvGraphicFramePr>
      <xdr:xfrm>
        <a:off x="5779800" y="6609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6</xdr:col>
      <xdr:colOff>42840</xdr:colOff>
      <xdr:row>38</xdr:row>
      <xdr:rowOff>22320</xdr:rowOff>
    </xdr:to>
    <xdr:graphicFrame>
      <xdr:nvGraphicFramePr>
        <xdr:cNvPr id="5" name="Chart 3"/>
        <xdr:cNvGraphicFramePr/>
      </xdr:nvGraphicFramePr>
      <xdr:xfrm>
        <a:off x="0" y="44712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15</xdr:col>
      <xdr:colOff>416160</xdr:colOff>
      <xdr:row>38</xdr:row>
      <xdr:rowOff>22320</xdr:rowOff>
    </xdr:to>
    <xdr:graphicFrame>
      <xdr:nvGraphicFramePr>
        <xdr:cNvPr id="6" name="Chart 4"/>
        <xdr:cNvGraphicFramePr/>
      </xdr:nvGraphicFramePr>
      <xdr:xfrm>
        <a:off x="5779800" y="44712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42840</xdr:colOff>
      <xdr:row>60</xdr:row>
      <xdr:rowOff>1080</xdr:rowOff>
    </xdr:to>
    <xdr:graphicFrame>
      <xdr:nvGraphicFramePr>
        <xdr:cNvPr id="7" name="Chart 5"/>
        <xdr:cNvGraphicFramePr/>
      </xdr:nvGraphicFramePr>
      <xdr:xfrm>
        <a:off x="0" y="82810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15</xdr:col>
      <xdr:colOff>416160</xdr:colOff>
      <xdr:row>60</xdr:row>
      <xdr:rowOff>1080</xdr:rowOff>
    </xdr:to>
    <xdr:graphicFrame>
      <xdr:nvGraphicFramePr>
        <xdr:cNvPr id="8" name="Chart 6"/>
        <xdr:cNvGraphicFramePr/>
      </xdr:nvGraphicFramePr>
      <xdr:xfrm>
        <a:off x="5779800" y="82810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207360</xdr:colOff>
      <xdr:row>24</xdr:row>
      <xdr:rowOff>114840</xdr:rowOff>
    </xdr:to>
    <xdr:graphicFrame>
      <xdr:nvGraphicFramePr>
        <xdr:cNvPr id="9" name="Chart 1"/>
        <xdr:cNvGraphicFramePr/>
      </xdr:nvGraphicFramePr>
      <xdr:xfrm>
        <a:off x="563760" y="337932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12</xdr:row>
      <xdr:rowOff>78120</xdr:rowOff>
    </xdr:to>
    <xdr:graphicFrame>
      <xdr:nvGraphicFramePr>
        <xdr:cNvPr id="10" name="Chart 1"/>
        <xdr:cNvGraphicFramePr/>
      </xdr:nvGraphicFramePr>
      <xdr:xfrm>
        <a:off x="13510440" y="740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20</xdr:col>
      <xdr:colOff>507600</xdr:colOff>
      <xdr:row>8</xdr:row>
      <xdr:rowOff>390600</xdr:rowOff>
    </xdr:to>
    <xdr:graphicFrame>
      <xdr:nvGraphicFramePr>
        <xdr:cNvPr id="11" name="Chart 1"/>
        <xdr:cNvGraphicFramePr/>
      </xdr:nvGraphicFramePr>
      <xdr:xfrm>
        <a:off x="18514800" y="660960"/>
        <a:ext cx="53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20.01"/>
    <col collapsed="false" customWidth="true" hidden="false" outlineLevel="0" max="3" min="3" style="0" width="14.56"/>
    <col collapsed="false" customWidth="true" hidden="false" outlineLevel="0" max="4" min="4" style="0" width="16.38"/>
    <col collapsed="false" customWidth="true" hidden="false" outlineLevel="0" max="5" min="5" style="0" width="14.56"/>
    <col collapsed="false" customWidth="true" hidden="false" outlineLevel="0" max="6" min="6" style="0" width="16.38"/>
  </cols>
  <sheetData>
    <row r="1" customFormat="false" ht="4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94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12" customFormat="false" ht="16.15" hidden="false" customHeight="false" outlineLevel="0" collapsed="false">
      <c r="A12" s="3" t="s">
        <v>4</v>
      </c>
    </row>
    <row r="13" customFormat="false" ht="31.5" hidden="false" customHeight="true" outlineLevel="0" collapsed="false">
      <c r="A13" s="5" t="s">
        <v>5</v>
      </c>
      <c r="B13" s="5" t="s">
        <v>6</v>
      </c>
      <c r="C13" s="5"/>
      <c r="D13" s="5"/>
      <c r="E13" s="5"/>
      <c r="F13" s="5"/>
    </row>
    <row r="14" customFormat="false" ht="19.5" hidden="false" customHeight="true" outlineLevel="0" collapsed="false">
      <c r="A14" s="6" t="s">
        <v>7</v>
      </c>
      <c r="B14" s="7" t="s">
        <v>8</v>
      </c>
      <c r="C14" s="7"/>
      <c r="D14" s="7"/>
      <c r="E14" s="7"/>
      <c r="F14" s="7"/>
    </row>
    <row r="15" customFormat="false" ht="19.5" hidden="false" customHeight="true" outlineLevel="0" collapsed="false">
      <c r="A15" s="6" t="s">
        <v>9</v>
      </c>
      <c r="B15" s="8" t="s">
        <v>10</v>
      </c>
      <c r="C15" s="8"/>
      <c r="D15" s="8"/>
      <c r="E15" s="8"/>
      <c r="F15" s="8"/>
    </row>
    <row r="16" customFormat="false" ht="19.5" hidden="false" customHeight="true" outlineLevel="0" collapsed="false">
      <c r="A16" s="6" t="s">
        <v>11</v>
      </c>
      <c r="B16" s="8" t="s">
        <v>12</v>
      </c>
      <c r="C16" s="8"/>
      <c r="D16" s="8"/>
      <c r="E16" s="8"/>
      <c r="F16" s="8"/>
    </row>
    <row r="17" customFormat="false" ht="19.5" hidden="false" customHeight="true" outlineLevel="0" collapsed="false">
      <c r="A17" s="6" t="s">
        <v>13</v>
      </c>
      <c r="B17" s="7" t="s">
        <v>14</v>
      </c>
      <c r="C17" s="7"/>
      <c r="D17" s="7"/>
      <c r="E17" s="7"/>
      <c r="F17" s="7"/>
    </row>
    <row r="18" customFormat="false" ht="19.5" hidden="false" customHeight="true" outlineLevel="0" collapsed="false">
      <c r="A18" s="6" t="s">
        <v>15</v>
      </c>
      <c r="B18" s="7" t="s">
        <v>16</v>
      </c>
      <c r="C18" s="7"/>
      <c r="D18" s="7"/>
      <c r="E18" s="7"/>
      <c r="F18" s="7"/>
    </row>
    <row r="19" customFormat="false" ht="19.5" hidden="false" customHeight="true" outlineLevel="0" collapsed="false">
      <c r="A19" s="9" t="s">
        <v>17</v>
      </c>
      <c r="B19" s="8" t="s">
        <v>18</v>
      </c>
      <c r="C19" s="8"/>
      <c r="D19" s="8"/>
      <c r="E19" s="8"/>
      <c r="F19" s="8"/>
    </row>
    <row r="20" customFormat="false" ht="19.5" hidden="false" customHeight="true" outlineLevel="0" collapsed="false">
      <c r="A20" s="6" t="s">
        <v>19</v>
      </c>
      <c r="B20" s="8" t="s">
        <v>20</v>
      </c>
      <c r="C20" s="8"/>
      <c r="D20" s="8"/>
      <c r="E20" s="8"/>
      <c r="F20" s="8"/>
    </row>
    <row r="21" customFormat="false" ht="19.5" hidden="false" customHeight="true" outlineLevel="0" collapsed="false">
      <c r="A21" s="6" t="s">
        <v>21</v>
      </c>
      <c r="B21" s="7" t="s">
        <v>22</v>
      </c>
      <c r="C21" s="7"/>
      <c r="D21" s="7"/>
      <c r="E21" s="7"/>
      <c r="F21" s="7"/>
    </row>
    <row r="22" customFormat="false" ht="19.5" hidden="false" customHeight="true" outlineLevel="0" collapsed="false">
      <c r="A22" s="6" t="s">
        <v>23</v>
      </c>
      <c r="B22" s="8" t="s">
        <v>24</v>
      </c>
      <c r="C22" s="8"/>
      <c r="D22" s="8"/>
      <c r="E22" s="8"/>
      <c r="F22" s="8"/>
    </row>
    <row r="23" customFormat="false" ht="19.5" hidden="false" customHeight="true" outlineLevel="0" collapsed="false">
      <c r="A23" s="6" t="s">
        <v>25</v>
      </c>
      <c r="B23" s="8" t="s">
        <v>26</v>
      </c>
      <c r="C23" s="8"/>
      <c r="D23" s="8"/>
      <c r="E23" s="8"/>
      <c r="F23" s="8"/>
    </row>
    <row r="24" customFormat="false" ht="19.5" hidden="false" customHeight="true" outlineLevel="0" collapsed="false">
      <c r="A24" s="6" t="s">
        <v>27</v>
      </c>
      <c r="B24" s="7" t="s">
        <v>28</v>
      </c>
      <c r="C24" s="7"/>
      <c r="D24" s="7"/>
      <c r="E24" s="7"/>
      <c r="F24" s="7"/>
    </row>
    <row r="25" customFormat="false" ht="19.5" hidden="false" customHeight="true" outlineLevel="0" collapsed="false">
      <c r="A25" s="6" t="s">
        <v>29</v>
      </c>
      <c r="B25" s="8" t="s">
        <v>30</v>
      </c>
      <c r="C25" s="8"/>
      <c r="D25" s="8"/>
      <c r="E25" s="8"/>
      <c r="F25" s="8"/>
    </row>
    <row r="28" customFormat="false" ht="16.15" hidden="false" customHeight="false" outlineLevel="0" collapsed="false">
      <c r="A28" s="3" t="s">
        <v>31</v>
      </c>
    </row>
    <row r="29" customFormat="false" ht="25.5" hidden="false" customHeight="true" outlineLevel="0" collapsed="false">
      <c r="A29" s="10" t="s">
        <v>32</v>
      </c>
      <c r="B29" s="10"/>
      <c r="C29" s="11" t="s">
        <v>33</v>
      </c>
      <c r="D29" s="11"/>
      <c r="E29" s="12" t="s">
        <v>34</v>
      </c>
      <c r="F29" s="12"/>
    </row>
    <row r="31" customFormat="false" ht="16.15" hidden="false" customHeight="false" outlineLevel="0" collapsed="false">
      <c r="A31" s="13" t="s">
        <v>35</v>
      </c>
    </row>
    <row r="32" customFormat="false" ht="150" hidden="false" customHeight="true" outlineLevel="0" collapsed="false">
      <c r="A32" s="14" t="s">
        <v>36</v>
      </c>
      <c r="B32" s="14"/>
      <c r="C32" s="14"/>
      <c r="D32" s="14"/>
      <c r="E32" s="14"/>
      <c r="F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</row>
  </sheetData>
  <mergeCells count="18">
    <mergeCell ref="A5:F8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A29:B29"/>
    <mergeCell ref="C29:D29"/>
    <mergeCell ref="E29:F29"/>
    <mergeCell ref="A32:F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4.57"/>
    <col collapsed="false" customWidth="true" hidden="false" outlineLevel="0" max="2" min="2" style="0" width="12.74"/>
    <col collapsed="false" customWidth="true" hidden="false" outlineLevel="0" max="3" min="3" style="0" width="9.1"/>
    <col collapsed="false" customWidth="true" hidden="false" outlineLevel="0" max="4" min="4" style="0" width="21.84"/>
    <col collapsed="false" customWidth="true" hidden="false" outlineLevel="0" max="5" min="5" style="0" width="18.2"/>
    <col collapsed="false" customWidth="true" hidden="false" outlineLevel="0" max="6" min="6" style="0" width="10.92"/>
    <col collapsed="false" customWidth="true" hidden="false" outlineLevel="0" max="8" min="7" style="0" width="1.82"/>
  </cols>
  <sheetData>
    <row r="1" customFormat="false" ht="28.35" hidden="false" customHeight="false" outlineLevel="0" collapsed="false">
      <c r="A1" s="15" t="s">
        <v>37</v>
      </c>
    </row>
    <row r="2" customFormat="false" ht="15" hidden="false" customHeight="false" outlineLevel="0" collapsed="false">
      <c r="A2" s="16" t="s">
        <v>38</v>
      </c>
    </row>
    <row r="4" customFormat="false" ht="21.75" hidden="false" customHeight="true" outlineLevel="0" collapsed="false">
      <c r="A4" s="17" t="s">
        <v>39</v>
      </c>
      <c r="B4" s="17"/>
      <c r="C4" s="17"/>
      <c r="D4" s="17"/>
      <c r="E4" s="17"/>
    </row>
    <row r="5" customFormat="false" ht="31.5" hidden="false" customHeight="true" outlineLevel="0" collapsed="false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</row>
    <row r="6" customFormat="false" ht="15" hidden="false" customHeight="false" outlineLevel="0" collapsed="false">
      <c r="A6" s="18" t="s">
        <v>45</v>
      </c>
      <c r="B6" s="19" t="n">
        <f aca="false">需求_全球!B5</f>
        <v>415</v>
      </c>
      <c r="C6" s="20" t="s">
        <v>46</v>
      </c>
      <c r="D6" s="21" t="s">
        <v>47</v>
      </c>
      <c r="E6" s="20" t="s">
        <v>48</v>
      </c>
    </row>
    <row r="7" customFormat="false" ht="15" hidden="false" customHeight="false" outlineLevel="0" collapsed="false">
      <c r="A7" s="18" t="s">
        <v>49</v>
      </c>
      <c r="B7" s="22" t="n">
        <f aca="false">需求_全球!B6</f>
        <v>945</v>
      </c>
      <c r="C7" s="20" t="s">
        <v>46</v>
      </c>
      <c r="D7" s="21" t="s">
        <v>50</v>
      </c>
      <c r="E7" s="20" t="s">
        <v>48</v>
      </c>
    </row>
    <row r="8" customFormat="false" ht="15" hidden="false" customHeight="false" outlineLevel="0" collapsed="false">
      <c r="A8" s="18" t="s">
        <v>51</v>
      </c>
      <c r="B8" s="19" t="n">
        <f aca="false">需求_全球!B7</f>
        <v>1200</v>
      </c>
      <c r="C8" s="20" t="s">
        <v>46</v>
      </c>
      <c r="D8" s="21" t="s">
        <v>50</v>
      </c>
      <c r="E8" s="20" t="s">
        <v>48</v>
      </c>
    </row>
    <row r="9" customFormat="false" ht="15" hidden="false" customHeight="false" outlineLevel="0" collapsed="false">
      <c r="A9" s="23" t="s">
        <v>52</v>
      </c>
      <c r="B9" s="24" t="n">
        <f aca="false">(需求_全球!B6/需求_全球!B5)^(1/6)-1</f>
        <v>0.147001410501109</v>
      </c>
      <c r="C9" s="20" t="s">
        <v>53</v>
      </c>
      <c r="D9" s="25" t="s">
        <v>54</v>
      </c>
      <c r="E9" s="20" t="s">
        <v>48</v>
      </c>
    </row>
    <row r="10" customFormat="false" ht="15" hidden="false" customHeight="false" outlineLevel="0" collapsed="false">
      <c r="A10" s="18" t="s">
        <v>55</v>
      </c>
      <c r="B10" s="19" t="n">
        <f aca="false">需求_区域!C5</f>
        <v>186.75</v>
      </c>
      <c r="C10" s="20" t="s">
        <v>46</v>
      </c>
      <c r="D10" s="25" t="s">
        <v>56</v>
      </c>
      <c r="E10" s="20" t="s">
        <v>48</v>
      </c>
    </row>
    <row r="11" customFormat="false" ht="15" hidden="false" customHeight="false" outlineLevel="0" collapsed="false">
      <c r="A11" s="18" t="s">
        <v>57</v>
      </c>
      <c r="B11" s="22" t="n">
        <f aca="false">需求_区域!E5</f>
        <v>444.15</v>
      </c>
      <c r="C11" s="20" t="s">
        <v>46</v>
      </c>
      <c r="D11" s="25" t="s">
        <v>58</v>
      </c>
      <c r="E11" s="20" t="s">
        <v>48</v>
      </c>
    </row>
    <row r="12" customFormat="false" ht="15" hidden="false" customHeight="false" outlineLevel="0" collapsed="false">
      <c r="A12" s="18" t="s">
        <v>59</v>
      </c>
      <c r="B12" s="24" t="n">
        <f aca="false">B11/假设与情景!C14</f>
        <v>0.100259593679458</v>
      </c>
      <c r="C12" s="20" t="s">
        <v>53</v>
      </c>
      <c r="D12" s="26" t="s">
        <v>60</v>
      </c>
      <c r="E12" s="20" t="s">
        <v>61</v>
      </c>
    </row>
    <row r="13" customFormat="false" ht="15" hidden="false" customHeight="false" outlineLevel="0" collapsed="false">
      <c r="A13" s="18" t="s">
        <v>62</v>
      </c>
      <c r="B13" s="27" t="n">
        <f aca="false">B11-B10</f>
        <v>257.4</v>
      </c>
      <c r="C13" s="20" t="s">
        <v>46</v>
      </c>
      <c r="D13" s="25" t="s">
        <v>63</v>
      </c>
      <c r="E13" s="28" t="s">
        <v>64</v>
      </c>
    </row>
    <row r="14" customFormat="false" ht="15" hidden="false" customHeight="false" outlineLevel="0" collapsed="false">
      <c r="A14" s="23" t="s">
        <v>65</v>
      </c>
      <c r="B14" s="19" t="n">
        <f aca="false">假设与情景!C16</f>
        <v>18.061781</v>
      </c>
      <c r="C14" s="20" t="s">
        <v>46</v>
      </c>
      <c r="D14" s="26" t="s">
        <v>66</v>
      </c>
      <c r="E14" s="20" t="s">
        <v>67</v>
      </c>
    </row>
    <row r="15" customFormat="false" ht="25.35" hidden="false" customHeight="false" outlineLevel="0" collapsed="false">
      <c r="A15" s="23" t="s">
        <v>68</v>
      </c>
      <c r="B15" s="22" t="n">
        <f aca="false">假设与情景!C16*(1+假设与情景!C17)^2</f>
        <v>30.52440989</v>
      </c>
      <c r="C15" s="20" t="s">
        <v>46</v>
      </c>
      <c r="D15" s="21" t="s">
        <v>69</v>
      </c>
      <c r="E15" s="20" t="s">
        <v>67</v>
      </c>
    </row>
    <row r="16" customFormat="false" ht="15" hidden="false" customHeight="false" outlineLevel="0" collapsed="false">
      <c r="A16" s="23" t="s">
        <v>70</v>
      </c>
      <c r="B16" s="29" t="n">
        <f aca="false">B15/B11</f>
        <v>0.0687254528650231</v>
      </c>
      <c r="C16" s="20" t="s">
        <v>53</v>
      </c>
      <c r="D16" s="25" t="s">
        <v>71</v>
      </c>
      <c r="E16" s="28" t="s">
        <v>64</v>
      </c>
    </row>
    <row r="18" customFormat="false" ht="21.75" hidden="false" customHeight="true" outlineLevel="0" collapsed="false">
      <c r="A18" s="17" t="s">
        <v>72</v>
      </c>
      <c r="B18" s="17"/>
      <c r="C18" s="17"/>
      <c r="D18" s="17"/>
      <c r="E18" s="17"/>
      <c r="F18" s="17"/>
    </row>
    <row r="19" customFormat="false" ht="31.5" hidden="false" customHeight="true" outlineLevel="0" collapsed="false">
      <c r="A19" s="5" t="s">
        <v>73</v>
      </c>
      <c r="B19" s="30" t="s">
        <v>74</v>
      </c>
      <c r="C19" s="30" t="s">
        <v>75</v>
      </c>
      <c r="D19" s="30" t="s">
        <v>76</v>
      </c>
      <c r="E19" s="30" t="s">
        <v>77</v>
      </c>
      <c r="F19" s="5" t="s">
        <v>44</v>
      </c>
    </row>
    <row r="20" customFormat="false" ht="15" hidden="false" customHeight="false" outlineLevel="0" collapsed="false">
      <c r="A20" s="28" t="s">
        <v>78</v>
      </c>
      <c r="B20" s="19" t="n">
        <f aca="false">供给结构!E5</f>
        <v>204.309</v>
      </c>
      <c r="C20" s="24" t="n">
        <f aca="false">供给结构!D5</f>
        <v>0.46</v>
      </c>
      <c r="D20" s="19" t="n">
        <f aca="false">供给结构!C5</f>
        <v>74.7</v>
      </c>
      <c r="E20" s="19" t="n">
        <f aca="false">供给结构!F5</f>
        <v>129.609</v>
      </c>
      <c r="F20" s="20" t="s">
        <v>79</v>
      </c>
    </row>
    <row r="21" customFormat="false" ht="15" hidden="false" customHeight="false" outlineLevel="0" collapsed="false">
      <c r="A21" s="28" t="s">
        <v>80</v>
      </c>
      <c r="B21" s="19" t="n">
        <f aca="false">供给结构!E6</f>
        <v>146.5695</v>
      </c>
      <c r="C21" s="24" t="n">
        <f aca="false">供给结构!D6</f>
        <v>0.33</v>
      </c>
      <c r="D21" s="19" t="n">
        <f aca="false">供给结构!C6</f>
        <v>44.82</v>
      </c>
      <c r="E21" s="19" t="n">
        <f aca="false">供给结构!F6</f>
        <v>101.7495</v>
      </c>
      <c r="F21" s="20" t="s">
        <v>79</v>
      </c>
    </row>
    <row r="22" customFormat="false" ht="15" hidden="false" customHeight="false" outlineLevel="0" collapsed="false">
      <c r="A22" s="28" t="s">
        <v>81</v>
      </c>
      <c r="B22" s="19" t="n">
        <f aca="false">供给结构!E7</f>
        <v>88.83</v>
      </c>
      <c r="C22" s="24" t="n">
        <f aca="false">供给结构!D7</f>
        <v>0.2</v>
      </c>
      <c r="D22" s="19" t="n">
        <f aca="false">供给结构!C7</f>
        <v>37.35</v>
      </c>
      <c r="E22" s="19" t="n">
        <f aca="false">供给结构!F7</f>
        <v>51.48</v>
      </c>
      <c r="F22" s="20" t="s">
        <v>79</v>
      </c>
    </row>
    <row r="23" customFormat="false" ht="15" hidden="false" customHeight="false" outlineLevel="0" collapsed="false">
      <c r="A23" s="28" t="s">
        <v>82</v>
      </c>
      <c r="B23" s="19" t="n">
        <f aca="false">供给结构!E8</f>
        <v>4.4415</v>
      </c>
      <c r="C23" s="24" t="n">
        <f aca="false">供给结构!D8</f>
        <v>0.01</v>
      </c>
      <c r="D23" s="19" t="n">
        <f aca="false">供给结构!C8</f>
        <v>28.0125</v>
      </c>
      <c r="E23" s="19" t="n">
        <f aca="false">供给结构!F8</f>
        <v>-23.571</v>
      </c>
      <c r="F23" s="20" t="s">
        <v>79</v>
      </c>
    </row>
    <row r="24" customFormat="false" ht="15" hidden="false" customHeight="false" outlineLevel="0" collapsed="false">
      <c r="A24" s="28" t="s">
        <v>83</v>
      </c>
      <c r="B24" s="19" t="n">
        <f aca="false">供给结构!E9</f>
        <v>0</v>
      </c>
      <c r="C24" s="24" t="n">
        <f aca="false">供给结构!D9</f>
        <v>0</v>
      </c>
      <c r="D24" s="19" t="n">
        <f aca="false">供给结构!C9</f>
        <v>1.8675</v>
      </c>
      <c r="E24" s="19" t="n">
        <f aca="false">供给结构!F9</f>
        <v>-1.8675</v>
      </c>
      <c r="F24" s="20" t="s">
        <v>79</v>
      </c>
    </row>
    <row r="25" customFormat="false" ht="15" hidden="false" customHeight="false" outlineLevel="0" collapsed="false">
      <c r="A25" s="6" t="s">
        <v>84</v>
      </c>
      <c r="B25" s="31" t="n">
        <f aca="false">SUM(B20:B24)</f>
        <v>444.15</v>
      </c>
      <c r="C25" s="32" t="n">
        <f aca="false">SUM(C20:C24)</f>
        <v>1</v>
      </c>
      <c r="D25" s="31" t="n">
        <f aca="false">SUM(D20:D24)</f>
        <v>186.75</v>
      </c>
      <c r="E25" s="31" t="n">
        <f aca="false">SUM(E20:E24)</f>
        <v>257.4</v>
      </c>
    </row>
    <row r="26" customFormat="false" ht="15" hidden="false" customHeight="false" outlineLevel="0" collapsed="false">
      <c r="A26" s="23" t="s">
        <v>85</v>
      </c>
      <c r="B26" s="29" t="n">
        <f aca="false">(B21+B22+B24)/B25</f>
        <v>0.53</v>
      </c>
    </row>
    <row r="28" customFormat="false" ht="21.75" hidden="false" customHeight="true" outlineLevel="0" collapsed="false">
      <c r="A28" s="17" t="s">
        <v>86</v>
      </c>
      <c r="B28" s="17"/>
      <c r="C28" s="17"/>
      <c r="D28" s="17"/>
      <c r="E28" s="17"/>
    </row>
    <row r="29" customFormat="false" ht="31.5" hidden="false" customHeight="true" outlineLevel="0" collapsed="false">
      <c r="A29" s="5" t="s">
        <v>40</v>
      </c>
      <c r="B29" s="5" t="s">
        <v>41</v>
      </c>
      <c r="C29" s="5" t="s">
        <v>42</v>
      </c>
      <c r="D29" s="5" t="s">
        <v>43</v>
      </c>
      <c r="E29" s="5" t="s">
        <v>44</v>
      </c>
    </row>
    <row r="30" customFormat="false" ht="23.1" hidden="false" customHeight="false" outlineLevel="0" collapsed="false">
      <c r="A30" s="18" t="s">
        <v>87</v>
      </c>
      <c r="B30" s="33" t="n">
        <f aca="false">科技巨头_CapEx!D10/100</f>
        <v>8000</v>
      </c>
      <c r="C30" s="28" t="s">
        <v>88</v>
      </c>
      <c r="D30" s="21" t="s">
        <v>89</v>
      </c>
      <c r="E30" s="20" t="s">
        <v>90</v>
      </c>
    </row>
    <row r="31" customFormat="false" ht="15" hidden="false" customHeight="false" outlineLevel="0" collapsed="false">
      <c r="A31" s="23" t="s">
        <v>91</v>
      </c>
      <c r="B31" s="34" t="n">
        <f aca="false">Meta_财务!B21/100</f>
        <v>1350</v>
      </c>
      <c r="C31" s="28" t="s">
        <v>88</v>
      </c>
      <c r="D31" s="25" t="s">
        <v>92</v>
      </c>
      <c r="E31" s="20" t="s">
        <v>93</v>
      </c>
    </row>
    <row r="32" customFormat="false" ht="15" hidden="false" customHeight="false" outlineLevel="0" collapsed="false">
      <c r="A32" s="23" t="s">
        <v>94</v>
      </c>
      <c r="B32" s="34" t="n">
        <f aca="false">Meta_财务!B22/100</f>
        <v>1450</v>
      </c>
      <c r="C32" s="28" t="s">
        <v>88</v>
      </c>
      <c r="D32" s="25" t="s">
        <v>92</v>
      </c>
      <c r="E32" s="20" t="s">
        <v>93</v>
      </c>
    </row>
    <row r="33" customFormat="false" ht="15" hidden="false" customHeight="false" outlineLevel="0" collapsed="false">
      <c r="A33" s="23" t="s">
        <v>95</v>
      </c>
      <c r="B33" s="33" t="n">
        <f aca="false">Meta_财务!B10/100</f>
        <v>349.1</v>
      </c>
      <c r="C33" s="28" t="s">
        <v>88</v>
      </c>
      <c r="D33" s="25" t="s">
        <v>96</v>
      </c>
      <c r="E33" s="20" t="s">
        <v>93</v>
      </c>
    </row>
    <row r="34" customFormat="false" ht="15" hidden="false" customHeight="false" outlineLevel="0" collapsed="false">
      <c r="A34" s="23" t="s">
        <v>97</v>
      </c>
      <c r="B34" s="34" t="n">
        <f aca="false">Meta_财务!D10/100</f>
        <v>858.2</v>
      </c>
      <c r="C34" s="28" t="s">
        <v>88</v>
      </c>
      <c r="D34" s="25" t="s">
        <v>96</v>
      </c>
      <c r="E34" s="20" t="s">
        <v>93</v>
      </c>
    </row>
    <row r="35" customFormat="false" ht="15" hidden="false" customHeight="false" outlineLevel="0" collapsed="false">
      <c r="A35" s="23" t="s">
        <v>98</v>
      </c>
      <c r="B35" s="34" t="n">
        <f aca="false">Meta_财务!B24/100</f>
        <v>491.8</v>
      </c>
      <c r="C35" s="28" t="s">
        <v>88</v>
      </c>
      <c r="D35" s="25" t="s">
        <v>99</v>
      </c>
      <c r="E35" s="20" t="s">
        <v>93</v>
      </c>
    </row>
    <row r="36" customFormat="false" ht="15" hidden="false" customHeight="false" outlineLevel="0" collapsed="false">
      <c r="A36" s="23" t="s">
        <v>100</v>
      </c>
      <c r="B36" s="34" t="n">
        <f aca="false">Meta_财务!B25/100</f>
        <v>591.8</v>
      </c>
      <c r="C36" s="28" t="s">
        <v>88</v>
      </c>
      <c r="D36" s="25" t="s">
        <v>101</v>
      </c>
      <c r="E36" s="20" t="s">
        <v>93</v>
      </c>
    </row>
    <row r="37" customFormat="false" ht="15" hidden="false" customHeight="false" outlineLevel="0" collapsed="false">
      <c r="A37" s="23" t="s">
        <v>102</v>
      </c>
      <c r="B37" s="24" t="n">
        <f aca="false">Meta_财务!B19</f>
        <v>0.540394111546261</v>
      </c>
      <c r="C37" s="20" t="s">
        <v>53</v>
      </c>
      <c r="D37" s="26" t="s">
        <v>103</v>
      </c>
      <c r="E37" s="20" t="s">
        <v>93</v>
      </c>
    </row>
    <row r="38" customFormat="false" ht="15" hidden="false" customHeight="false" outlineLevel="0" collapsed="false">
      <c r="A38" s="23" t="s">
        <v>104</v>
      </c>
      <c r="B38" s="24" t="n">
        <f aca="false">Meta_财务!B20</f>
        <v>0.472285814915911</v>
      </c>
      <c r="C38" s="20" t="s">
        <v>53</v>
      </c>
      <c r="D38" s="26" t="s">
        <v>105</v>
      </c>
      <c r="E38" s="20" t="s">
        <v>93</v>
      </c>
    </row>
    <row r="39" customFormat="false" ht="15" hidden="false" customHeight="false" outlineLevel="0" collapsed="false">
      <c r="A39" s="23" t="s">
        <v>106</v>
      </c>
      <c r="B39" s="33" t="n">
        <f aca="false">Meta_财务!B37/100</f>
        <v>4545.2</v>
      </c>
      <c r="C39" s="28" t="s">
        <v>88</v>
      </c>
      <c r="D39" s="26" t="s">
        <v>107</v>
      </c>
      <c r="E39" s="20" t="s">
        <v>93</v>
      </c>
    </row>
    <row r="40" customFormat="false" ht="15" hidden="false" customHeight="false" outlineLevel="0" collapsed="false">
      <c r="A40" s="23" t="s">
        <v>108</v>
      </c>
      <c r="B40" s="34" t="n">
        <f aca="false">Meta_财务!B38/100</f>
        <v>3557.3</v>
      </c>
      <c r="C40" s="28" t="s">
        <v>88</v>
      </c>
      <c r="D40" s="25" t="s">
        <v>109</v>
      </c>
      <c r="E40" s="20" t="s">
        <v>93</v>
      </c>
    </row>
    <row r="42" customFormat="false" ht="21.75" hidden="false" customHeight="true" outlineLevel="0" collapsed="false">
      <c r="A42" s="17" t="s">
        <v>110</v>
      </c>
      <c r="B42" s="17"/>
      <c r="C42" s="17"/>
      <c r="D42" s="17"/>
      <c r="E42" s="17"/>
    </row>
    <row r="43" customFormat="false" ht="31.5" hidden="false" customHeight="true" outlineLevel="0" collapsed="false">
      <c r="A43" s="5" t="s">
        <v>40</v>
      </c>
      <c r="B43" s="5" t="s">
        <v>41</v>
      </c>
      <c r="C43" s="5" t="s">
        <v>42</v>
      </c>
      <c r="D43" s="5" t="s">
        <v>43</v>
      </c>
      <c r="E43" s="5" t="s">
        <v>44</v>
      </c>
    </row>
    <row r="44" customFormat="false" ht="23.85" hidden="false" customHeight="false" outlineLevel="0" collapsed="false">
      <c r="A44" s="18" t="s">
        <v>111</v>
      </c>
      <c r="B44" s="33" t="n">
        <f aca="false">核电_PPA!E15</f>
        <v>9507</v>
      </c>
      <c r="C44" s="20" t="s">
        <v>112</v>
      </c>
      <c r="D44" s="21" t="s">
        <v>113</v>
      </c>
      <c r="E44" s="20" t="s">
        <v>114</v>
      </c>
    </row>
    <row r="45" customFormat="false" ht="19.4" hidden="false" customHeight="false" outlineLevel="0" collapsed="false">
      <c r="A45" s="23" t="s">
        <v>115</v>
      </c>
      <c r="B45" s="34" t="n">
        <f aca="false">核电_PPA!B33</f>
        <v>5082</v>
      </c>
      <c r="C45" s="20" t="s">
        <v>112</v>
      </c>
      <c r="D45" s="26" t="s">
        <v>116</v>
      </c>
      <c r="E45" s="20" t="s">
        <v>117</v>
      </c>
    </row>
    <row r="46" customFormat="false" ht="15" hidden="false" customHeight="false" outlineLevel="0" collapsed="false">
      <c r="A46" s="23" t="s">
        <v>118</v>
      </c>
      <c r="B46" s="34" t="n">
        <f aca="false">核电_PPA!B32</f>
        <v>7700</v>
      </c>
      <c r="C46" s="20" t="s">
        <v>112</v>
      </c>
      <c r="D46" s="25" t="s">
        <v>119</v>
      </c>
      <c r="E46" s="20" t="s">
        <v>120</v>
      </c>
    </row>
    <row r="47" customFormat="false" ht="15" hidden="false" customHeight="false" outlineLevel="0" collapsed="false">
      <c r="A47" s="18" t="s">
        <v>121</v>
      </c>
      <c r="B47" s="35" t="n">
        <f aca="false">聚变_公司!B17/1000</f>
        <v>14.24</v>
      </c>
      <c r="C47" s="28" t="s">
        <v>122</v>
      </c>
      <c r="D47" s="26" t="s">
        <v>123</v>
      </c>
      <c r="E47" s="20" t="s">
        <v>124</v>
      </c>
    </row>
    <row r="48" customFormat="false" ht="15" hidden="false" customHeight="false" outlineLevel="0" collapsed="false">
      <c r="A48" s="18" t="s">
        <v>125</v>
      </c>
      <c r="B48" s="36" t="n">
        <f aca="false">聚变_公司!B18/1000</f>
        <v>4.48</v>
      </c>
      <c r="C48" s="28" t="s">
        <v>122</v>
      </c>
      <c r="D48" s="26" t="s">
        <v>123</v>
      </c>
      <c r="E48" s="20" t="s">
        <v>124</v>
      </c>
    </row>
    <row r="49" customFormat="false" ht="15" hidden="false" customHeight="false" outlineLevel="0" collapsed="false">
      <c r="A49" s="23" t="s">
        <v>126</v>
      </c>
      <c r="B49" s="36" t="n">
        <f aca="false">聚变_公司!D5/1000</f>
        <v>4</v>
      </c>
      <c r="C49" s="28" t="s">
        <v>122</v>
      </c>
      <c r="D49" s="26" t="s">
        <v>127</v>
      </c>
      <c r="E49" s="20" t="s">
        <v>128</v>
      </c>
    </row>
    <row r="50" customFormat="false" ht="15" hidden="false" customHeight="false" outlineLevel="0" collapsed="false">
      <c r="A50" s="23" t="s">
        <v>129</v>
      </c>
      <c r="B50" s="36" t="n">
        <f aca="false">聚变_公司!D6/1000</f>
        <v>1.5</v>
      </c>
      <c r="C50" s="28" t="s">
        <v>122</v>
      </c>
      <c r="D50" s="26" t="s">
        <v>130</v>
      </c>
      <c r="E50" s="20" t="s">
        <v>131</v>
      </c>
    </row>
    <row r="51" customFormat="false" ht="19.4" hidden="false" customHeight="false" outlineLevel="0" collapsed="false">
      <c r="A51" s="18" t="s">
        <v>132</v>
      </c>
      <c r="B51" s="34" t="n">
        <f aca="false">聚变_公司!H13</f>
        <v>250</v>
      </c>
      <c r="C51" s="20" t="s">
        <v>112</v>
      </c>
      <c r="D51" s="26" t="s">
        <v>133</v>
      </c>
      <c r="E51" s="20" t="s">
        <v>134</v>
      </c>
    </row>
    <row r="52" customFormat="false" ht="15" hidden="false" customHeight="false" outlineLevel="0" collapsed="false">
      <c r="A52" s="18" t="s">
        <v>135</v>
      </c>
      <c r="B52" s="22" t="n">
        <f aca="false">成本_LCOE!D8</f>
        <v>215</v>
      </c>
      <c r="C52" s="28" t="s">
        <v>136</v>
      </c>
      <c r="D52" s="26" t="s">
        <v>137</v>
      </c>
      <c r="E52" s="20" t="s">
        <v>138</v>
      </c>
    </row>
    <row r="53" customFormat="false" ht="15" hidden="false" customHeight="false" outlineLevel="0" collapsed="false">
      <c r="A53" s="18" t="s">
        <v>139</v>
      </c>
      <c r="B53" s="19" t="n">
        <f aca="false">成本_LCOE!D5</f>
        <v>69</v>
      </c>
      <c r="C53" s="28" t="s">
        <v>136</v>
      </c>
      <c r="D53" s="26" t="s">
        <v>137</v>
      </c>
      <c r="E53" s="20" t="s">
        <v>138</v>
      </c>
    </row>
    <row r="54" customFormat="false" ht="15" hidden="false" customHeight="false" outlineLevel="0" collapsed="false">
      <c r="A54" s="23" t="s">
        <v>140</v>
      </c>
      <c r="B54" s="19" t="n">
        <f aca="false">成本_LCOE!B14</f>
        <v>80</v>
      </c>
      <c r="C54" s="28" t="s">
        <v>136</v>
      </c>
      <c r="D54" s="21" t="s">
        <v>141</v>
      </c>
      <c r="E54" s="20" t="s">
        <v>142</v>
      </c>
    </row>
    <row r="56" customFormat="false" ht="21.75" hidden="false" customHeight="true" outlineLevel="0" collapsed="false">
      <c r="A56" s="17" t="s">
        <v>143</v>
      </c>
      <c r="B56" s="17"/>
      <c r="C56" s="17"/>
      <c r="D56" s="17"/>
      <c r="E56" s="17"/>
    </row>
    <row r="57" customFormat="false" ht="42" hidden="false" customHeight="true" outlineLevel="0" collapsed="false">
      <c r="A57" s="14" t="s">
        <v>144</v>
      </c>
      <c r="B57" s="14"/>
      <c r="C57" s="14"/>
      <c r="D57" s="14"/>
      <c r="E57" s="14"/>
    </row>
    <row r="58" customFormat="false" ht="42" hidden="false" customHeight="true" outlineLevel="0" collapsed="false">
      <c r="A58" s="14" t="s">
        <v>145</v>
      </c>
      <c r="B58" s="14"/>
      <c r="C58" s="14"/>
      <c r="D58" s="14"/>
      <c r="E58" s="14"/>
    </row>
    <row r="59" customFormat="false" ht="42" hidden="false" customHeight="true" outlineLevel="0" collapsed="false">
      <c r="A59" s="14" t="s">
        <v>146</v>
      </c>
      <c r="B59" s="14"/>
      <c r="C59" s="14"/>
      <c r="D59" s="14"/>
      <c r="E59" s="14"/>
    </row>
    <row r="60" customFormat="false" ht="42" hidden="false" customHeight="true" outlineLevel="0" collapsed="false">
      <c r="A60" s="14" t="s">
        <v>147</v>
      </c>
      <c r="B60" s="14"/>
      <c r="C60" s="14"/>
      <c r="D60" s="14"/>
      <c r="E60" s="14"/>
    </row>
    <row r="61" customFormat="false" ht="42" hidden="false" customHeight="true" outlineLevel="0" collapsed="false">
      <c r="A61" s="14" t="s">
        <v>148</v>
      </c>
      <c r="B61" s="14"/>
      <c r="C61" s="14"/>
      <c r="D61" s="14"/>
      <c r="E61" s="14"/>
    </row>
    <row r="62" customFormat="false" ht="42" hidden="false" customHeight="true" outlineLevel="0" collapsed="false">
      <c r="A62" s="14" t="s">
        <v>149</v>
      </c>
      <c r="B62" s="14"/>
      <c r="C62" s="14"/>
      <c r="D62" s="14"/>
      <c r="E62" s="14"/>
    </row>
  </sheetData>
  <mergeCells count="11">
    <mergeCell ref="A4:E4"/>
    <mergeCell ref="A18:F18"/>
    <mergeCell ref="A28:E28"/>
    <mergeCell ref="A42:E42"/>
    <mergeCell ref="A56:E56"/>
    <mergeCell ref="A57:E57"/>
    <mergeCell ref="A58:E58"/>
    <mergeCell ref="A59:E59"/>
    <mergeCell ref="A60:E60"/>
    <mergeCell ref="A61:E61"/>
    <mergeCell ref="A62:E6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16.38"/>
    <col collapsed="false" customWidth="true" hidden="false" outlineLevel="0" max="3" min="3" style="0" width="1.82"/>
    <col collapsed="false" customWidth="true" hidden="false" outlineLevel="0" max="5" min="4" style="0" width="16.38"/>
    <col collapsed="false" customWidth="true" hidden="false" outlineLevel="0" max="9" min="6" style="0" width="1.82"/>
    <col collapsed="false" customWidth="true" hidden="false" outlineLevel="0" max="11" min="10" style="0" width="16.38"/>
  </cols>
  <sheetData>
    <row r="1" customFormat="false" ht="22.05" hidden="false" customHeight="false" outlineLevel="0" collapsed="false">
      <c r="A1" s="37" t="s">
        <v>150</v>
      </c>
    </row>
    <row r="2" customFormat="false" ht="15" hidden="false" customHeight="false" outlineLevel="0" collapsed="false">
      <c r="A2" s="16" t="s">
        <v>151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6.37"/>
    <col collapsed="false" customWidth="true" hidden="false" outlineLevel="0" max="2" min="2" style="0" width="32.76"/>
    <col collapsed="false" customWidth="true" hidden="false" outlineLevel="0" max="3" min="3" style="0" width="10.01"/>
    <col collapsed="false" customWidth="true" hidden="false" outlineLevel="0" max="4" min="4" style="0" width="11.83"/>
    <col collapsed="false" customWidth="true" hidden="false" outlineLevel="0" max="5" min="5" style="0" width="7.28"/>
    <col collapsed="false" customWidth="true" hidden="false" outlineLevel="0" max="6" min="6" style="0" width="25.47"/>
    <col collapsed="false" customWidth="true" hidden="false" outlineLevel="0" max="7" min="7" style="0" width="56.41"/>
  </cols>
  <sheetData>
    <row r="1" customFormat="false" ht="22.05" hidden="false" customHeight="false" outlineLevel="0" collapsed="false">
      <c r="A1" s="37" t="s">
        <v>152</v>
      </c>
    </row>
    <row r="2" customFormat="false" ht="15" hidden="false" customHeight="false" outlineLevel="0" collapsed="false">
      <c r="A2" s="16" t="s">
        <v>153</v>
      </c>
    </row>
    <row r="4" customFormat="false" ht="31.5" hidden="false" customHeight="true" outlineLevel="0" collapsed="false">
      <c r="A4" s="5" t="s">
        <v>154</v>
      </c>
      <c r="B4" s="5" t="s">
        <v>155</v>
      </c>
      <c r="C4" s="5" t="s">
        <v>156</v>
      </c>
      <c r="D4" s="5" t="s">
        <v>42</v>
      </c>
      <c r="E4" s="5" t="s">
        <v>157</v>
      </c>
      <c r="F4" s="5" t="s">
        <v>44</v>
      </c>
      <c r="G4" s="5" t="s">
        <v>158</v>
      </c>
    </row>
    <row r="5" customFormat="false" ht="27.75" hidden="false" customHeight="true" outlineLevel="0" collapsed="false">
      <c r="A5" s="20" t="s">
        <v>159</v>
      </c>
      <c r="B5" s="18" t="s">
        <v>160</v>
      </c>
      <c r="C5" s="38" t="n">
        <v>415</v>
      </c>
      <c r="D5" s="20" t="s">
        <v>46</v>
      </c>
      <c r="E5" s="28" t="s">
        <v>161</v>
      </c>
      <c r="F5" s="39" t="s">
        <v>162</v>
      </c>
      <c r="G5" s="21" t="s">
        <v>163</v>
      </c>
    </row>
    <row r="6" customFormat="false" ht="27.75" hidden="false" customHeight="true" outlineLevel="0" collapsed="false">
      <c r="A6" s="20" t="s">
        <v>164</v>
      </c>
      <c r="B6" s="18" t="s">
        <v>165</v>
      </c>
      <c r="C6" s="38" t="n">
        <v>945</v>
      </c>
      <c r="D6" s="20" t="s">
        <v>46</v>
      </c>
      <c r="E6" s="28" t="s">
        <v>161</v>
      </c>
      <c r="F6" s="39" t="s">
        <v>162</v>
      </c>
      <c r="G6" s="21" t="s">
        <v>166</v>
      </c>
    </row>
    <row r="7" customFormat="false" ht="27.75" hidden="false" customHeight="true" outlineLevel="0" collapsed="false">
      <c r="A7" s="20" t="s">
        <v>167</v>
      </c>
      <c r="B7" s="18" t="s">
        <v>168</v>
      </c>
      <c r="C7" s="38" t="n">
        <v>1200</v>
      </c>
      <c r="D7" s="20" t="s">
        <v>46</v>
      </c>
      <c r="E7" s="28" t="s">
        <v>161</v>
      </c>
      <c r="F7" s="39" t="s">
        <v>162</v>
      </c>
      <c r="G7" s="21" t="s">
        <v>50</v>
      </c>
    </row>
    <row r="8" customFormat="false" ht="27.75" hidden="false" customHeight="true" outlineLevel="0" collapsed="false">
      <c r="A8" s="20" t="s">
        <v>169</v>
      </c>
      <c r="B8" s="18" t="s">
        <v>170</v>
      </c>
      <c r="C8" s="38" t="n">
        <v>700</v>
      </c>
      <c r="D8" s="20" t="s">
        <v>46</v>
      </c>
      <c r="E8" s="28" t="s">
        <v>161</v>
      </c>
      <c r="F8" s="39" t="s">
        <v>162</v>
      </c>
      <c r="G8" s="21" t="s">
        <v>171</v>
      </c>
    </row>
    <row r="9" customFormat="false" ht="27.75" hidden="false" customHeight="true" outlineLevel="0" collapsed="false">
      <c r="A9" s="20" t="s">
        <v>172</v>
      </c>
      <c r="B9" s="18" t="s">
        <v>173</v>
      </c>
      <c r="C9" s="38" t="n">
        <v>1700</v>
      </c>
      <c r="D9" s="20" t="s">
        <v>46</v>
      </c>
      <c r="E9" s="28" t="s">
        <v>161</v>
      </c>
      <c r="F9" s="39" t="s">
        <v>162</v>
      </c>
      <c r="G9" s="21" t="s">
        <v>174</v>
      </c>
    </row>
    <row r="10" customFormat="false" ht="27.75" hidden="false" customHeight="true" outlineLevel="0" collapsed="false">
      <c r="A10" s="20" t="s">
        <v>175</v>
      </c>
      <c r="B10" s="18" t="s">
        <v>176</v>
      </c>
      <c r="C10" s="40" t="n">
        <v>0.45</v>
      </c>
      <c r="D10" s="20" t="s">
        <v>53</v>
      </c>
      <c r="E10" s="28" t="s">
        <v>161</v>
      </c>
      <c r="F10" s="39" t="s">
        <v>162</v>
      </c>
      <c r="G10" s="21" t="s">
        <v>177</v>
      </c>
    </row>
    <row r="11" customFormat="false" ht="33.75" hidden="false" customHeight="true" outlineLevel="0" collapsed="false">
      <c r="A11" s="20" t="s">
        <v>178</v>
      </c>
      <c r="B11" s="18" t="s">
        <v>179</v>
      </c>
      <c r="C11" s="40" t="n">
        <v>0.47</v>
      </c>
      <c r="D11" s="20" t="s">
        <v>53</v>
      </c>
      <c r="E11" s="28" t="s">
        <v>180</v>
      </c>
      <c r="F11" s="39" t="s">
        <v>162</v>
      </c>
      <c r="G11" s="25" t="s">
        <v>181</v>
      </c>
    </row>
    <row r="12" customFormat="false" ht="33.75" hidden="false" customHeight="true" outlineLevel="0" collapsed="false">
      <c r="A12" s="20" t="s">
        <v>182</v>
      </c>
      <c r="B12" s="18" t="s">
        <v>183</v>
      </c>
      <c r="C12" s="38" t="n">
        <v>27000</v>
      </c>
      <c r="D12" s="20" t="s">
        <v>46</v>
      </c>
      <c r="E12" s="28" t="s">
        <v>180</v>
      </c>
      <c r="F12" s="39" t="s">
        <v>162</v>
      </c>
      <c r="G12" s="25" t="s">
        <v>184</v>
      </c>
    </row>
    <row r="13" customFormat="false" ht="27.75" hidden="false" customHeight="true" outlineLevel="0" collapsed="false">
      <c r="A13" s="20" t="s">
        <v>185</v>
      </c>
      <c r="B13" s="18" t="s">
        <v>186</v>
      </c>
      <c r="C13" s="38" t="n">
        <v>33000</v>
      </c>
      <c r="D13" s="20" t="s">
        <v>46</v>
      </c>
      <c r="E13" s="28" t="s">
        <v>180</v>
      </c>
      <c r="F13" s="39" t="s">
        <v>162</v>
      </c>
      <c r="G13" s="25" t="s">
        <v>187</v>
      </c>
    </row>
    <row r="14" customFormat="false" ht="27.75" hidden="false" customHeight="true" outlineLevel="0" collapsed="false">
      <c r="A14" s="20" t="s">
        <v>188</v>
      </c>
      <c r="B14" s="18" t="s">
        <v>189</v>
      </c>
      <c r="C14" s="38" t="n">
        <v>4430</v>
      </c>
      <c r="D14" s="20" t="s">
        <v>46</v>
      </c>
      <c r="E14" s="28" t="s">
        <v>161</v>
      </c>
      <c r="F14" s="39" t="s">
        <v>190</v>
      </c>
      <c r="G14" s="21" t="s">
        <v>191</v>
      </c>
    </row>
    <row r="15" customFormat="false" ht="33.75" hidden="false" customHeight="true" outlineLevel="0" collapsed="false">
      <c r="A15" s="20" t="s">
        <v>192</v>
      </c>
      <c r="B15" s="18" t="s">
        <v>193</v>
      </c>
      <c r="C15" s="38" t="n">
        <v>4650</v>
      </c>
      <c r="D15" s="20" t="s">
        <v>46</v>
      </c>
      <c r="E15" s="28" t="s">
        <v>180</v>
      </c>
      <c r="F15" s="39" t="s">
        <v>190</v>
      </c>
      <c r="G15" s="25" t="s">
        <v>194</v>
      </c>
    </row>
    <row r="16" customFormat="false" ht="33.75" hidden="false" customHeight="true" outlineLevel="0" collapsed="false">
      <c r="A16" s="20" t="s">
        <v>195</v>
      </c>
      <c r="B16" s="23" t="s">
        <v>196</v>
      </c>
      <c r="C16" s="41" t="n">
        <v>18.061781</v>
      </c>
      <c r="D16" s="20" t="s">
        <v>46</v>
      </c>
      <c r="E16" s="28" t="s">
        <v>161</v>
      </c>
      <c r="F16" s="39" t="s">
        <v>197</v>
      </c>
      <c r="G16" s="21" t="s">
        <v>198</v>
      </c>
    </row>
    <row r="17" customFormat="false" ht="33.75" hidden="false" customHeight="true" outlineLevel="0" collapsed="false">
      <c r="A17" s="20" t="s">
        <v>199</v>
      </c>
      <c r="B17" s="23" t="s">
        <v>200</v>
      </c>
      <c r="C17" s="40" t="n">
        <v>0.3</v>
      </c>
      <c r="D17" s="20" t="s">
        <v>53</v>
      </c>
      <c r="E17" s="28" t="s">
        <v>180</v>
      </c>
      <c r="F17" s="39" t="s">
        <v>197</v>
      </c>
      <c r="G17" s="25" t="s">
        <v>201</v>
      </c>
    </row>
    <row r="18" customFormat="false" ht="33.75" hidden="false" customHeight="true" outlineLevel="0" collapsed="false">
      <c r="A18" s="20" t="s">
        <v>202</v>
      </c>
      <c r="B18" s="18" t="s">
        <v>203</v>
      </c>
      <c r="C18" s="38" t="n">
        <v>7884</v>
      </c>
      <c r="D18" s="28" t="s">
        <v>204</v>
      </c>
      <c r="E18" s="28" t="s">
        <v>180</v>
      </c>
      <c r="F18" s="39" t="s">
        <v>205</v>
      </c>
      <c r="G18" s="25" t="s">
        <v>206</v>
      </c>
    </row>
    <row r="19" customFormat="false" ht="33.75" hidden="false" customHeight="true" outlineLevel="0" collapsed="false">
      <c r="A19" s="20" t="s">
        <v>207</v>
      </c>
      <c r="B19" s="23" t="s">
        <v>208</v>
      </c>
      <c r="C19" s="42" t="n">
        <f aca="false">1.092+2.1+1.2+0.69</f>
        <v>5.082</v>
      </c>
      <c r="D19" s="20" t="s">
        <v>209</v>
      </c>
      <c r="E19" s="28" t="s">
        <v>64</v>
      </c>
      <c r="F19" s="39" t="s">
        <v>210</v>
      </c>
      <c r="G19" s="21" t="s">
        <v>211</v>
      </c>
    </row>
    <row r="20" customFormat="false" ht="33.75" hidden="false" customHeight="true" outlineLevel="0" collapsed="false">
      <c r="A20" s="20" t="s">
        <v>212</v>
      </c>
      <c r="B20" s="23" t="s">
        <v>213</v>
      </c>
      <c r="C20" s="42" t="n">
        <f aca="false">2.1+0.518</f>
        <v>2.618</v>
      </c>
      <c r="D20" s="20" t="s">
        <v>209</v>
      </c>
      <c r="E20" s="28" t="s">
        <v>64</v>
      </c>
      <c r="F20" s="39" t="s">
        <v>214</v>
      </c>
      <c r="G20" s="21" t="s">
        <v>215</v>
      </c>
    </row>
    <row r="21" customFormat="false" ht="33.75" hidden="false" customHeight="true" outlineLevel="0" collapsed="false">
      <c r="A21" s="20" t="s">
        <v>216</v>
      </c>
      <c r="B21" s="18" t="s">
        <v>217</v>
      </c>
      <c r="C21" s="40" t="n">
        <v>0.4</v>
      </c>
      <c r="D21" s="20" t="s">
        <v>53</v>
      </c>
      <c r="E21" s="28" t="s">
        <v>161</v>
      </c>
      <c r="F21" s="39" t="s">
        <v>218</v>
      </c>
      <c r="G21" s="21" t="s">
        <v>219</v>
      </c>
    </row>
    <row r="22" customFormat="false" ht="27.75" hidden="false" customHeight="true" outlineLevel="0" collapsed="false">
      <c r="A22" s="20" t="s">
        <v>220</v>
      </c>
      <c r="B22" s="18" t="s">
        <v>221</v>
      </c>
      <c r="C22" s="40" t="n">
        <v>0.24</v>
      </c>
      <c r="D22" s="20" t="s">
        <v>53</v>
      </c>
      <c r="E22" s="28" t="s">
        <v>161</v>
      </c>
      <c r="F22" s="39" t="s">
        <v>218</v>
      </c>
      <c r="G22" s="25" t="s">
        <v>222</v>
      </c>
    </row>
    <row r="23" customFormat="false" ht="27.75" hidden="false" customHeight="true" outlineLevel="0" collapsed="false">
      <c r="A23" s="20" t="s">
        <v>223</v>
      </c>
      <c r="B23" s="18" t="s">
        <v>224</v>
      </c>
      <c r="C23" s="40" t="n">
        <v>0.2</v>
      </c>
      <c r="D23" s="20" t="s">
        <v>53</v>
      </c>
      <c r="E23" s="28" t="s">
        <v>161</v>
      </c>
      <c r="F23" s="39" t="s">
        <v>218</v>
      </c>
      <c r="G23" s="25" t="s">
        <v>222</v>
      </c>
    </row>
    <row r="24" customFormat="false" ht="27.75" hidden="false" customHeight="true" outlineLevel="0" collapsed="false">
      <c r="A24" s="20" t="s">
        <v>225</v>
      </c>
      <c r="B24" s="18" t="s">
        <v>226</v>
      </c>
      <c r="C24" s="40" t="n">
        <v>0.15</v>
      </c>
      <c r="D24" s="20" t="s">
        <v>53</v>
      </c>
      <c r="E24" s="28" t="s">
        <v>161</v>
      </c>
      <c r="F24" s="39" t="s">
        <v>218</v>
      </c>
      <c r="G24" s="25" t="s">
        <v>222</v>
      </c>
    </row>
    <row r="25" customFormat="false" ht="27.75" hidden="false" customHeight="true" outlineLevel="0" collapsed="false">
      <c r="A25" s="20" t="s">
        <v>227</v>
      </c>
      <c r="B25" s="18" t="s">
        <v>228</v>
      </c>
      <c r="C25" s="40" t="n">
        <v>0.01</v>
      </c>
      <c r="D25" s="20" t="s">
        <v>53</v>
      </c>
      <c r="E25" s="28" t="s">
        <v>180</v>
      </c>
      <c r="F25" s="39" t="s">
        <v>218</v>
      </c>
      <c r="G25" s="25" t="s">
        <v>229</v>
      </c>
    </row>
    <row r="26" customFormat="false" ht="33.75" hidden="false" customHeight="true" outlineLevel="0" collapsed="false">
      <c r="A26" s="20" t="s">
        <v>230</v>
      </c>
      <c r="B26" s="18" t="s">
        <v>231</v>
      </c>
      <c r="C26" s="40" t="n">
        <v>0.46</v>
      </c>
      <c r="D26" s="20" t="s">
        <v>53</v>
      </c>
      <c r="E26" s="28" t="s">
        <v>180</v>
      </c>
      <c r="F26" s="39" t="s">
        <v>218</v>
      </c>
      <c r="G26" s="25" t="s">
        <v>232</v>
      </c>
    </row>
    <row r="27" customFormat="false" ht="33.75" hidden="false" customHeight="true" outlineLevel="0" collapsed="false">
      <c r="A27" s="20" t="s">
        <v>233</v>
      </c>
      <c r="B27" s="18" t="s">
        <v>234</v>
      </c>
      <c r="C27" s="40" t="n">
        <v>0.33</v>
      </c>
      <c r="D27" s="20" t="s">
        <v>53</v>
      </c>
      <c r="E27" s="28" t="s">
        <v>180</v>
      </c>
      <c r="F27" s="39" t="s">
        <v>218</v>
      </c>
      <c r="G27" s="25" t="s">
        <v>235</v>
      </c>
    </row>
    <row r="28" customFormat="false" ht="33.75" hidden="false" customHeight="true" outlineLevel="0" collapsed="false">
      <c r="A28" s="20" t="s">
        <v>236</v>
      </c>
      <c r="B28" s="18" t="s">
        <v>237</v>
      </c>
      <c r="C28" s="40" t="n">
        <v>0.2</v>
      </c>
      <c r="D28" s="20" t="s">
        <v>53</v>
      </c>
      <c r="E28" s="28" t="s">
        <v>180</v>
      </c>
      <c r="F28" s="39" t="s">
        <v>218</v>
      </c>
      <c r="G28" s="25" t="s">
        <v>238</v>
      </c>
    </row>
    <row r="29" customFormat="false" ht="27.75" hidden="false" customHeight="true" outlineLevel="0" collapsed="false">
      <c r="A29" s="20" t="s">
        <v>239</v>
      </c>
      <c r="B29" s="18" t="s">
        <v>240</v>
      </c>
      <c r="C29" s="40" t="n">
        <v>0.01</v>
      </c>
      <c r="D29" s="20" t="s">
        <v>53</v>
      </c>
      <c r="E29" s="28" t="s">
        <v>180</v>
      </c>
      <c r="F29" s="39" t="s">
        <v>218</v>
      </c>
      <c r="G29" s="25" t="s">
        <v>241</v>
      </c>
    </row>
    <row r="30" customFormat="false" ht="27.75" hidden="false" customHeight="true" outlineLevel="0" collapsed="false">
      <c r="A30" s="20" t="s">
        <v>242</v>
      </c>
      <c r="B30" s="18" t="s">
        <v>243</v>
      </c>
      <c r="C30" s="40" t="n">
        <v>0</v>
      </c>
      <c r="D30" s="20" t="s">
        <v>53</v>
      </c>
      <c r="E30" s="28" t="s">
        <v>180</v>
      </c>
      <c r="F30" s="39" t="s">
        <v>218</v>
      </c>
      <c r="G30" s="25" t="s">
        <v>244</v>
      </c>
    </row>
    <row r="31" customFormat="false" ht="33.75" hidden="false" customHeight="true" outlineLevel="0" collapsed="false">
      <c r="A31" s="20" t="s">
        <v>245</v>
      </c>
      <c r="B31" s="23" t="s">
        <v>246</v>
      </c>
      <c r="C31" s="38" t="n">
        <v>135000</v>
      </c>
      <c r="D31" s="28" t="s">
        <v>247</v>
      </c>
      <c r="E31" s="28" t="s">
        <v>161</v>
      </c>
      <c r="F31" s="39" t="s">
        <v>248</v>
      </c>
      <c r="G31" s="21" t="s">
        <v>249</v>
      </c>
    </row>
    <row r="32" customFormat="false" ht="27.75" hidden="false" customHeight="true" outlineLevel="0" collapsed="false">
      <c r="A32" s="20" t="s">
        <v>250</v>
      </c>
      <c r="B32" s="23" t="s">
        <v>251</v>
      </c>
      <c r="C32" s="38" t="n">
        <v>145000</v>
      </c>
      <c r="D32" s="28" t="s">
        <v>247</v>
      </c>
      <c r="E32" s="28" t="s">
        <v>161</v>
      </c>
      <c r="F32" s="39" t="s">
        <v>248</v>
      </c>
      <c r="G32" s="25" t="s">
        <v>222</v>
      </c>
    </row>
    <row r="33" customFormat="false" ht="33.75" hidden="false" customHeight="true" outlineLevel="0" collapsed="false">
      <c r="A33" s="20" t="s">
        <v>252</v>
      </c>
      <c r="B33" s="23" t="s">
        <v>253</v>
      </c>
      <c r="C33" s="38" t="n">
        <v>10000</v>
      </c>
      <c r="D33" s="28" t="s">
        <v>254</v>
      </c>
      <c r="E33" s="28" t="s">
        <v>161</v>
      </c>
      <c r="F33" s="39" t="s">
        <v>255</v>
      </c>
      <c r="G33" s="21" t="s">
        <v>256</v>
      </c>
    </row>
    <row r="34" customFormat="false" ht="33.75" hidden="false" customHeight="true" outlineLevel="0" collapsed="false">
      <c r="A34" s="20" t="s">
        <v>257</v>
      </c>
      <c r="B34" s="18" t="s">
        <v>258</v>
      </c>
      <c r="C34" s="40" t="n">
        <v>0.5</v>
      </c>
      <c r="D34" s="20" t="s">
        <v>53</v>
      </c>
      <c r="E34" s="28" t="s">
        <v>180</v>
      </c>
      <c r="F34" s="39" t="s">
        <v>248</v>
      </c>
      <c r="G34" s="25" t="s">
        <v>259</v>
      </c>
    </row>
    <row r="35" customFormat="false" ht="27.75" hidden="false" customHeight="true" outlineLevel="0" collapsed="false">
      <c r="A35" s="20" t="s">
        <v>260</v>
      </c>
      <c r="B35" s="18" t="s">
        <v>261</v>
      </c>
      <c r="C35" s="41" t="n">
        <v>1.08</v>
      </c>
      <c r="D35" s="20" t="s">
        <v>262</v>
      </c>
      <c r="E35" s="28" t="s">
        <v>180</v>
      </c>
      <c r="F35" s="39" t="s">
        <v>263</v>
      </c>
      <c r="G35" s="25" t="s">
        <v>264</v>
      </c>
    </row>
    <row r="37" customFormat="false" ht="30" hidden="false" customHeight="true" outlineLevel="0" collapsed="false">
      <c r="A37" s="43" t="s">
        <v>265</v>
      </c>
      <c r="B37" s="43"/>
      <c r="C37" s="43"/>
      <c r="D37" s="43"/>
      <c r="E37" s="43"/>
      <c r="F37" s="43"/>
      <c r="G37" s="43"/>
    </row>
  </sheetData>
  <mergeCells count="1">
    <mergeCell ref="A37:G3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8.2"/>
    <col collapsed="false" customWidth="true" hidden="false" outlineLevel="0" max="4" min="3" style="0" width="12.74"/>
    <col collapsed="false" customWidth="true" hidden="false" outlineLevel="0" max="5" min="5" style="0" width="16.38"/>
    <col collapsed="false" customWidth="true" hidden="false" outlineLevel="0" max="6" min="6" style="0" width="14.56"/>
    <col collapsed="false" customWidth="true" hidden="false" outlineLevel="0" max="7" min="7" style="0" width="10.92"/>
    <col collapsed="false" customWidth="true" hidden="false" outlineLevel="0" max="8" min="8" style="0" width="27.3"/>
    <col collapsed="false" customWidth="true" hidden="false" outlineLevel="0" max="9" min="9" style="0" width="43.67"/>
  </cols>
  <sheetData>
    <row r="1" customFormat="false" ht="28.35" hidden="false" customHeight="false" outlineLevel="0" collapsed="false">
      <c r="A1" s="37" t="s">
        <v>266</v>
      </c>
    </row>
    <row r="2" customFormat="false" ht="15" hidden="false" customHeight="false" outlineLevel="0" collapsed="false">
      <c r="A2" s="16" t="s">
        <v>267</v>
      </c>
    </row>
    <row r="4" customFormat="false" ht="31.5" hidden="false" customHeight="true" outlineLevel="0" collapsed="false">
      <c r="A4" s="5" t="s">
        <v>268</v>
      </c>
      <c r="B4" s="5" t="s">
        <v>269</v>
      </c>
      <c r="C4" s="5" t="s">
        <v>270</v>
      </c>
      <c r="D4" s="5" t="s">
        <v>271</v>
      </c>
      <c r="E4" s="5" t="s">
        <v>272</v>
      </c>
      <c r="F4" s="5" t="s">
        <v>273</v>
      </c>
      <c r="G4" s="5" t="s">
        <v>274</v>
      </c>
      <c r="H4" s="5" t="s">
        <v>44</v>
      </c>
      <c r="I4" s="5" t="s">
        <v>275</v>
      </c>
    </row>
    <row r="5" customFormat="false" ht="33.75" hidden="false" customHeight="true" outlineLevel="0" collapsed="false">
      <c r="A5" s="20" t="n">
        <v>2024</v>
      </c>
      <c r="B5" s="38" t="n">
        <v>415</v>
      </c>
      <c r="C5" s="44" t="s">
        <v>276</v>
      </c>
      <c r="D5" s="44" t="s">
        <v>276</v>
      </c>
      <c r="E5" s="38" t="n">
        <v>27000</v>
      </c>
      <c r="F5" s="29" t="n">
        <f aca="false">B5/E5</f>
        <v>0.0153703703703704</v>
      </c>
      <c r="G5" s="28" t="s">
        <v>276</v>
      </c>
      <c r="H5" s="39" t="s">
        <v>162</v>
      </c>
      <c r="I5" s="25" t="s">
        <v>277</v>
      </c>
    </row>
    <row r="6" customFormat="false" ht="33.75" hidden="false" customHeight="true" outlineLevel="0" collapsed="false">
      <c r="A6" s="28" t="n">
        <v>2030</v>
      </c>
      <c r="B6" s="38" t="n">
        <v>945</v>
      </c>
      <c r="C6" s="44" t="s">
        <v>276</v>
      </c>
      <c r="D6" s="44" t="s">
        <v>276</v>
      </c>
      <c r="E6" s="38" t="n">
        <v>33000</v>
      </c>
      <c r="F6" s="29" t="n">
        <f aca="false">B6/E6</f>
        <v>0.0286363636363636</v>
      </c>
      <c r="G6" s="29" t="n">
        <f aca="false">(B6/B5)^(1/6)-1</f>
        <v>0.147001410501109</v>
      </c>
      <c r="H6" s="39" t="s">
        <v>162</v>
      </c>
      <c r="I6" s="21" t="s">
        <v>278</v>
      </c>
    </row>
    <row r="7" customFormat="false" ht="33.75" hidden="false" customHeight="true" outlineLevel="0" collapsed="false">
      <c r="A7" s="28" t="n">
        <v>2035</v>
      </c>
      <c r="B7" s="38" t="n">
        <v>1200</v>
      </c>
      <c r="C7" s="38" t="n">
        <v>700</v>
      </c>
      <c r="D7" s="38" t="n">
        <v>1700</v>
      </c>
      <c r="E7" s="38" t="n">
        <v>33500</v>
      </c>
      <c r="F7" s="29" t="n">
        <f aca="false">B7/E7</f>
        <v>0.0358208955223881</v>
      </c>
      <c r="G7" s="29" t="n">
        <f aca="false">(B7/B6)^(1/5)-1</f>
        <v>0.0489381656246997</v>
      </c>
      <c r="H7" s="39" t="s">
        <v>162</v>
      </c>
      <c r="I7" s="21" t="s">
        <v>279</v>
      </c>
    </row>
    <row r="9" customFormat="false" ht="30" hidden="false" customHeight="true" outlineLevel="0" collapsed="false">
      <c r="A9" s="43" t="s">
        <v>280</v>
      </c>
      <c r="B9" s="43"/>
      <c r="C9" s="43"/>
      <c r="D9" s="43"/>
      <c r="E9" s="43"/>
      <c r="F9" s="43"/>
      <c r="G9" s="43"/>
      <c r="H9" s="43"/>
      <c r="I9" s="43"/>
    </row>
  </sheetData>
  <mergeCells count="1">
    <mergeCell ref="A9:I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0.01"/>
    <col collapsed="false" customWidth="true" hidden="false" outlineLevel="0" max="3" min="3" style="0" width="10.92"/>
    <col collapsed="false" customWidth="true" hidden="false" outlineLevel="0" max="4" min="4" style="0" width="10.01"/>
    <col collapsed="false" customWidth="true" hidden="false" outlineLevel="0" max="5" min="5" style="0" width="10.92"/>
    <col collapsed="false" customWidth="true" hidden="false" outlineLevel="0" max="6" min="6" style="0" width="18.2"/>
    <col collapsed="false" customWidth="true" hidden="false" outlineLevel="0" max="7" min="7" style="0" width="27.3"/>
    <col collapsed="false" customWidth="true" hidden="false" outlineLevel="0" max="8" min="8" style="0" width="45.49"/>
  </cols>
  <sheetData>
    <row r="1" customFormat="false" ht="22.05" hidden="false" customHeight="false" outlineLevel="0" collapsed="false">
      <c r="A1" s="37" t="s">
        <v>281</v>
      </c>
    </row>
    <row r="2" customFormat="false" ht="15" hidden="false" customHeight="false" outlineLevel="0" collapsed="false">
      <c r="A2" s="2" t="s">
        <v>282</v>
      </c>
    </row>
    <row r="4" customFormat="false" ht="31.5" hidden="false" customHeight="true" outlineLevel="0" collapsed="false">
      <c r="A4" s="5" t="s">
        <v>283</v>
      </c>
      <c r="B4" s="30" t="s">
        <v>284</v>
      </c>
      <c r="C4" s="30" t="s">
        <v>76</v>
      </c>
      <c r="D4" s="30" t="s">
        <v>285</v>
      </c>
      <c r="E4" s="30" t="s">
        <v>74</v>
      </c>
      <c r="F4" s="30" t="s">
        <v>77</v>
      </c>
      <c r="G4" s="5" t="s">
        <v>44</v>
      </c>
      <c r="H4" s="5" t="s">
        <v>286</v>
      </c>
    </row>
    <row r="5" customFormat="false" ht="33.75" hidden="false" customHeight="true" outlineLevel="0" collapsed="false">
      <c r="A5" s="28" t="s">
        <v>287</v>
      </c>
      <c r="B5" s="40" t="n">
        <v>0.45</v>
      </c>
      <c r="C5" s="19" t="n">
        <f aca="false">需求_全球!B5*B5</f>
        <v>186.75</v>
      </c>
      <c r="D5" s="40" t="n">
        <v>0.47</v>
      </c>
      <c r="E5" s="19" t="n">
        <f aca="false">需求_全球!B6*D5</f>
        <v>444.15</v>
      </c>
      <c r="F5" s="27" t="n">
        <f aca="false">E5-C5</f>
        <v>257.4</v>
      </c>
      <c r="G5" s="39" t="s">
        <v>162</v>
      </c>
      <c r="H5" s="21" t="s">
        <v>288</v>
      </c>
    </row>
    <row r="6" customFormat="false" ht="33.75" hidden="false" customHeight="true" outlineLevel="0" collapsed="false">
      <c r="A6" s="28" t="s">
        <v>289</v>
      </c>
      <c r="B6" s="40" t="n">
        <v>0.25</v>
      </c>
      <c r="C6" s="19" t="n">
        <f aca="false">需求_全球!B5*B6</f>
        <v>103.75</v>
      </c>
      <c r="D6" s="40" t="n">
        <v>0.25</v>
      </c>
      <c r="E6" s="19" t="n">
        <f aca="false">需求_全球!B6*D6</f>
        <v>236.25</v>
      </c>
      <c r="F6" s="27" t="n">
        <f aca="false">E6-C6</f>
        <v>132.5</v>
      </c>
      <c r="G6" s="39" t="s">
        <v>162</v>
      </c>
      <c r="H6" s="21" t="s">
        <v>290</v>
      </c>
    </row>
    <row r="7" customFormat="false" ht="33.75" hidden="false" customHeight="true" outlineLevel="0" collapsed="false">
      <c r="A7" s="28" t="s">
        <v>291</v>
      </c>
      <c r="B7" s="40" t="n">
        <v>0.15</v>
      </c>
      <c r="C7" s="19" t="n">
        <f aca="false">需求_全球!B5*B7</f>
        <v>62.25</v>
      </c>
      <c r="D7" s="24" t="n">
        <f aca="false">E7/需求_全球!B6</f>
        <v>0.158730158730159</v>
      </c>
      <c r="E7" s="45" t="n">
        <v>150</v>
      </c>
      <c r="F7" s="27" t="n">
        <f aca="false">E7-C7</f>
        <v>87.75</v>
      </c>
      <c r="G7" s="39" t="s">
        <v>292</v>
      </c>
      <c r="H7" s="21" t="s">
        <v>293</v>
      </c>
    </row>
    <row r="8" customFormat="false" ht="33.75" hidden="false" customHeight="true" outlineLevel="0" collapsed="false">
      <c r="A8" s="28" t="s">
        <v>294</v>
      </c>
      <c r="B8" s="40" t="n">
        <v>0.15</v>
      </c>
      <c r="C8" s="19" t="n">
        <f aca="false">需求_全球!B5*B8</f>
        <v>62.25</v>
      </c>
      <c r="D8" s="29" t="n">
        <f aca="false">1-SUM(D5:D7)</f>
        <v>0.121269841269841</v>
      </c>
      <c r="E8" s="19" t="n">
        <f aca="false">需求_全球!B6-SUM(E5:E7)</f>
        <v>114.6</v>
      </c>
      <c r="F8" s="27" t="n">
        <f aca="false">E8-C8</f>
        <v>52.35</v>
      </c>
      <c r="G8" s="39" t="s">
        <v>162</v>
      </c>
      <c r="H8" s="25" t="s">
        <v>244</v>
      </c>
    </row>
    <row r="9" customFormat="false" ht="15" hidden="false" customHeight="false" outlineLevel="0" collapsed="false">
      <c r="A9" s="6" t="s">
        <v>84</v>
      </c>
      <c r="B9" s="32" t="n">
        <f aca="false">SUM(B5:B8)</f>
        <v>1</v>
      </c>
      <c r="C9" s="31" t="n">
        <f aca="false">SUM(C5:C8)</f>
        <v>415</v>
      </c>
      <c r="D9" s="32" t="n">
        <f aca="false">SUM(D5:D8)</f>
        <v>1</v>
      </c>
      <c r="E9" s="31" t="n">
        <f aca="false">SUM(E5:E8)</f>
        <v>945</v>
      </c>
      <c r="F9" s="31" t="n">
        <f aca="false">SUM(F5:F8)</f>
        <v>530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1.83"/>
    <col collapsed="false" customWidth="true" hidden="false" outlineLevel="0" max="3" min="2" style="0" width="18.2"/>
    <col collapsed="false" customWidth="true" hidden="false" outlineLevel="0" max="4" min="4" style="0" width="16.38"/>
    <col collapsed="false" customWidth="true" hidden="false" outlineLevel="0" max="5" min="5" style="0" width="14.56"/>
    <col collapsed="false" customWidth="true" hidden="false" outlineLevel="0" max="6" min="6" style="0" width="27.3"/>
    <col collapsed="false" customWidth="true" hidden="false" outlineLevel="0" max="7" min="7" style="0" width="10.92"/>
    <col collapsed="false" customWidth="true" hidden="false" outlineLevel="0" max="8" min="8" style="0" width="50.04"/>
  </cols>
  <sheetData>
    <row r="1" customFormat="false" ht="28.35" hidden="false" customHeight="false" outlineLevel="0" collapsed="false">
      <c r="A1" s="37" t="s">
        <v>295</v>
      </c>
    </row>
    <row r="2" customFormat="false" ht="15" hidden="false" customHeight="false" outlineLevel="0" collapsed="false">
      <c r="A2" s="16" t="s">
        <v>296</v>
      </c>
    </row>
    <row r="4" customFormat="false" ht="31.5" hidden="false" customHeight="true" outlineLevel="0" collapsed="false">
      <c r="A4" s="5" t="s">
        <v>297</v>
      </c>
      <c r="B4" s="30" t="s">
        <v>298</v>
      </c>
      <c r="C4" s="30" t="s">
        <v>299</v>
      </c>
      <c r="D4" s="5" t="s">
        <v>300</v>
      </c>
      <c r="E4" s="5" t="s">
        <v>301</v>
      </c>
      <c r="F4" s="5" t="s">
        <v>44</v>
      </c>
      <c r="G4" s="5" t="s">
        <v>302</v>
      </c>
      <c r="H4" s="5" t="s">
        <v>275</v>
      </c>
    </row>
    <row r="5" customFormat="false" ht="37.5" hidden="false" customHeight="true" outlineLevel="0" collapsed="false">
      <c r="A5" s="20" t="s">
        <v>303</v>
      </c>
      <c r="B5" s="38" t="n">
        <v>220000</v>
      </c>
      <c r="C5" s="38" t="n">
        <v>220000</v>
      </c>
      <c r="D5" s="46" t="n">
        <f aca="false">AVERAGE(B5:C5)</f>
        <v>220000</v>
      </c>
      <c r="E5" s="46" t="n">
        <f aca="false">D5/100</f>
        <v>2200</v>
      </c>
      <c r="F5" s="39" t="s">
        <v>304</v>
      </c>
      <c r="G5" s="20" t="s">
        <v>305</v>
      </c>
      <c r="H5" s="21" t="s">
        <v>306</v>
      </c>
    </row>
    <row r="6" customFormat="false" ht="37.5" hidden="false" customHeight="true" outlineLevel="0" collapsed="false">
      <c r="A6" s="20" t="s">
        <v>307</v>
      </c>
      <c r="B6" s="38" t="n">
        <v>190000</v>
      </c>
      <c r="C6" s="38" t="n">
        <v>190000</v>
      </c>
      <c r="D6" s="46" t="n">
        <f aca="false">AVERAGE(B6:C6)</f>
        <v>190000</v>
      </c>
      <c r="E6" s="46" t="n">
        <f aca="false">D6/100</f>
        <v>1900</v>
      </c>
      <c r="F6" s="39" t="s">
        <v>308</v>
      </c>
      <c r="G6" s="20" t="s">
        <v>309</v>
      </c>
      <c r="H6" s="21" t="s">
        <v>310</v>
      </c>
    </row>
    <row r="7" customFormat="false" ht="37.5" hidden="false" customHeight="true" outlineLevel="0" collapsed="false">
      <c r="A7" s="20" t="s">
        <v>311</v>
      </c>
      <c r="B7" s="38" t="n">
        <v>195000</v>
      </c>
      <c r="C7" s="38" t="n">
        <v>205000</v>
      </c>
      <c r="D7" s="46" t="n">
        <f aca="false">AVERAGE(B7:C7)</f>
        <v>200000</v>
      </c>
      <c r="E7" s="46" t="n">
        <f aca="false">D7/100</f>
        <v>2000</v>
      </c>
      <c r="F7" s="39" t="s">
        <v>312</v>
      </c>
      <c r="G7" s="20" t="s">
        <v>313</v>
      </c>
      <c r="H7" s="21" t="s">
        <v>314</v>
      </c>
    </row>
    <row r="8" customFormat="false" ht="37.5" hidden="false" customHeight="true" outlineLevel="0" collapsed="false">
      <c r="A8" s="20" t="s">
        <v>315</v>
      </c>
      <c r="B8" s="38" t="n">
        <v>135000</v>
      </c>
      <c r="C8" s="38" t="n">
        <v>145000</v>
      </c>
      <c r="D8" s="46" t="n">
        <f aca="false">AVERAGE(B8:C8)</f>
        <v>140000</v>
      </c>
      <c r="E8" s="46" t="n">
        <f aca="false">D8/100</f>
        <v>1400</v>
      </c>
      <c r="F8" s="39" t="s">
        <v>248</v>
      </c>
      <c r="G8" s="20" t="s">
        <v>316</v>
      </c>
      <c r="H8" s="21" t="s">
        <v>317</v>
      </c>
    </row>
    <row r="9" customFormat="false" ht="37.5" hidden="false" customHeight="true" outlineLevel="0" collapsed="false">
      <c r="A9" s="20" t="s">
        <v>318</v>
      </c>
      <c r="B9" s="38" t="n">
        <v>50000</v>
      </c>
      <c r="C9" s="38" t="n">
        <v>50000</v>
      </c>
      <c r="D9" s="46" t="n">
        <f aca="false">AVERAGE(B9:C9)</f>
        <v>50000</v>
      </c>
      <c r="E9" s="46" t="n">
        <f aca="false">D9/100</f>
        <v>500</v>
      </c>
      <c r="F9" s="39" t="s">
        <v>308</v>
      </c>
      <c r="G9" s="20" t="s">
        <v>309</v>
      </c>
      <c r="H9" s="21" t="s">
        <v>319</v>
      </c>
    </row>
    <row r="10" customFormat="false" ht="15" hidden="false" customHeight="false" outlineLevel="0" collapsed="false">
      <c r="A10" s="6" t="s">
        <v>320</v>
      </c>
      <c r="B10" s="47" t="n">
        <f aca="false">SUM(B5:B9)</f>
        <v>790000</v>
      </c>
      <c r="C10" s="47" t="n">
        <f aca="false">SUM(C5:C9)</f>
        <v>810000</v>
      </c>
      <c r="D10" s="47" t="n">
        <f aca="false">SUM(D5:D9)</f>
        <v>800000</v>
      </c>
      <c r="E10" s="47" t="n">
        <f aca="false">D10/100</f>
        <v>8000</v>
      </c>
      <c r="H10" s="25" t="s">
        <v>321</v>
      </c>
    </row>
    <row r="12" customFormat="false" ht="21.75" hidden="false" customHeight="true" outlineLevel="0" collapsed="false">
      <c r="A12" s="17" t="s">
        <v>322</v>
      </c>
      <c r="B12" s="17"/>
      <c r="C12" s="17"/>
      <c r="D12" s="17"/>
      <c r="E12" s="17"/>
      <c r="F12" s="17"/>
      <c r="G12" s="17"/>
      <c r="H12" s="17"/>
    </row>
    <row r="13" customFormat="false" ht="31.5" hidden="false" customHeight="true" outlineLevel="0" collapsed="false">
      <c r="A13" s="5" t="s">
        <v>323</v>
      </c>
      <c r="B13" s="5" t="s">
        <v>40</v>
      </c>
      <c r="C13" s="5" t="s">
        <v>324</v>
      </c>
      <c r="D13" s="5" t="s">
        <v>286</v>
      </c>
      <c r="E13" s="5"/>
      <c r="F13" s="5"/>
      <c r="G13" s="5"/>
      <c r="H13" s="5" t="s">
        <v>44</v>
      </c>
    </row>
    <row r="14" customFormat="false" ht="29.85" hidden="false" customHeight="true" outlineLevel="0" collapsed="false">
      <c r="A14" s="20" t="s">
        <v>325</v>
      </c>
      <c r="B14" s="23" t="s">
        <v>326</v>
      </c>
      <c r="C14" s="38" t="n">
        <v>800</v>
      </c>
      <c r="D14" s="25" t="s">
        <v>327</v>
      </c>
      <c r="E14" s="25"/>
      <c r="F14" s="25"/>
      <c r="G14" s="25"/>
      <c r="H14" s="20" t="s">
        <v>328</v>
      </c>
    </row>
    <row r="15" customFormat="false" ht="29.85" hidden="false" customHeight="true" outlineLevel="0" collapsed="false">
      <c r="A15" s="20" t="s">
        <v>325</v>
      </c>
      <c r="B15" s="23" t="s">
        <v>329</v>
      </c>
      <c r="C15" s="38" t="n">
        <v>1100</v>
      </c>
      <c r="D15" s="25" t="s">
        <v>330</v>
      </c>
      <c r="E15" s="25"/>
      <c r="F15" s="25"/>
      <c r="G15" s="25"/>
      <c r="H15" s="20" t="s">
        <v>328</v>
      </c>
    </row>
    <row r="16" customFormat="false" ht="29.85" hidden="false" customHeight="true" outlineLevel="0" collapsed="false">
      <c r="A16" s="20" t="s">
        <v>331</v>
      </c>
      <c r="B16" s="23" t="s">
        <v>332</v>
      </c>
      <c r="C16" s="38" t="n">
        <v>7000</v>
      </c>
      <c r="D16" s="25" t="s">
        <v>333</v>
      </c>
      <c r="E16" s="25"/>
      <c r="F16" s="25"/>
      <c r="G16" s="25"/>
      <c r="H16" s="20" t="s">
        <v>334</v>
      </c>
    </row>
  </sheetData>
  <mergeCells count="4">
    <mergeCell ref="A12:H12"/>
    <mergeCell ref="D14:G14"/>
    <mergeCell ref="D15:G15"/>
    <mergeCell ref="D16:G1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6.39"/>
    <col collapsed="false" customWidth="true" hidden="false" outlineLevel="0" max="2" min="2" style="0" width="16.38"/>
    <col collapsed="false" customWidth="true" hidden="false" outlineLevel="0" max="3" min="3" style="0" width="14.56"/>
    <col collapsed="false" customWidth="true" hidden="false" outlineLevel="0" max="5" min="4" style="0" width="16.38"/>
    <col collapsed="false" customWidth="true" hidden="false" outlineLevel="0" max="6" min="6" style="0" width="27.3"/>
    <col collapsed="false" customWidth="true" hidden="false" outlineLevel="0" max="7" min="7" style="0" width="50.04"/>
  </cols>
  <sheetData>
    <row r="1" customFormat="false" ht="28.35" hidden="false" customHeight="false" outlineLevel="0" collapsed="false">
      <c r="A1" s="15" t="s">
        <v>335</v>
      </c>
    </row>
    <row r="2" customFormat="false" ht="15" hidden="false" customHeight="false" outlineLevel="0" collapsed="false">
      <c r="A2" s="16" t="s">
        <v>336</v>
      </c>
    </row>
    <row r="4" customFormat="false" ht="21.75" hidden="false" customHeight="true" outlineLevel="0" collapsed="false">
      <c r="A4" s="17" t="s">
        <v>337</v>
      </c>
      <c r="B4" s="17"/>
      <c r="C4" s="17"/>
      <c r="D4" s="17"/>
      <c r="E4" s="17"/>
      <c r="F4" s="17"/>
      <c r="G4" s="17"/>
    </row>
    <row r="5" customFormat="false" ht="31.5" hidden="false" customHeight="true" outlineLevel="0" collapsed="false">
      <c r="A5" s="5" t="s">
        <v>40</v>
      </c>
      <c r="B5" s="30" t="s">
        <v>338</v>
      </c>
      <c r="C5" s="30" t="s">
        <v>339</v>
      </c>
      <c r="D5" s="30" t="s">
        <v>340</v>
      </c>
      <c r="E5" s="30" t="s">
        <v>341</v>
      </c>
      <c r="F5" s="5" t="s">
        <v>44</v>
      </c>
      <c r="G5" s="5" t="s">
        <v>286</v>
      </c>
    </row>
    <row r="6" customFormat="false" ht="31.5" hidden="false" customHeight="true" outlineLevel="0" collapsed="false">
      <c r="A6" s="18" t="s">
        <v>342</v>
      </c>
      <c r="B6" s="48" t="n">
        <v>64601</v>
      </c>
      <c r="C6" s="48" t="n">
        <v>51242</v>
      </c>
      <c r="D6" s="48" t="n">
        <v>181712</v>
      </c>
      <c r="E6" s="48" t="n">
        <v>141073</v>
      </c>
      <c r="F6" s="39" t="s">
        <v>248</v>
      </c>
      <c r="G6" s="21" t="s">
        <v>343</v>
      </c>
    </row>
    <row r="7" customFormat="false" ht="31.5" hidden="false" customHeight="true" outlineLevel="0" collapsed="false">
      <c r="A7" s="18" t="s">
        <v>344</v>
      </c>
      <c r="B7" s="48" t="n">
        <v>51613</v>
      </c>
      <c r="C7" s="48" t="n">
        <v>30707</v>
      </c>
      <c r="D7" s="48" t="n">
        <v>127077</v>
      </c>
      <c r="E7" s="48" t="n">
        <v>82542</v>
      </c>
      <c r="F7" s="39" t="s">
        <v>248</v>
      </c>
      <c r="G7" s="21" t="s">
        <v>345</v>
      </c>
    </row>
    <row r="8" customFormat="false" ht="31.5" hidden="false" customHeight="true" outlineLevel="0" collapsed="false">
      <c r="A8" s="18" t="s">
        <v>346</v>
      </c>
      <c r="B8" s="48" t="n">
        <v>12988</v>
      </c>
      <c r="C8" s="48" t="n">
        <v>20535</v>
      </c>
      <c r="D8" s="48" t="n">
        <v>54635</v>
      </c>
      <c r="E8" s="48" t="n">
        <v>58531</v>
      </c>
      <c r="F8" s="39" t="s">
        <v>248</v>
      </c>
      <c r="G8" s="21" t="s">
        <v>347</v>
      </c>
    </row>
    <row r="9" customFormat="false" ht="31.5" hidden="false" customHeight="true" outlineLevel="0" collapsed="false">
      <c r="A9" s="18" t="s">
        <v>348</v>
      </c>
      <c r="B9" s="48" t="n">
        <v>9860</v>
      </c>
      <c r="C9" s="49" t="s">
        <v>276</v>
      </c>
      <c r="D9" s="48" t="n">
        <v>52480</v>
      </c>
      <c r="E9" s="49" t="s">
        <v>276</v>
      </c>
      <c r="F9" s="39" t="s">
        <v>248</v>
      </c>
      <c r="G9" s="21" t="s">
        <v>349</v>
      </c>
    </row>
    <row r="10" customFormat="false" ht="31.5" hidden="false" customHeight="true" outlineLevel="0" collapsed="false">
      <c r="A10" s="18" t="s">
        <v>350</v>
      </c>
      <c r="B10" s="48" t="n">
        <v>34910</v>
      </c>
      <c r="C10" s="49" t="s">
        <v>276</v>
      </c>
      <c r="D10" s="48" t="n">
        <v>85820</v>
      </c>
      <c r="E10" s="49" t="s">
        <v>276</v>
      </c>
      <c r="F10" s="39" t="s">
        <v>248</v>
      </c>
      <c r="G10" s="21" t="s">
        <v>351</v>
      </c>
    </row>
    <row r="11" customFormat="false" ht="31.5" hidden="false" customHeight="true" outlineLevel="0" collapsed="false">
      <c r="A11" s="18" t="s">
        <v>352</v>
      </c>
      <c r="B11" s="49" t="s">
        <v>276</v>
      </c>
      <c r="C11" s="49" t="s">
        <v>276</v>
      </c>
      <c r="D11" s="48" t="n">
        <v>83055</v>
      </c>
      <c r="E11" s="48" t="n">
        <v>48308</v>
      </c>
      <c r="F11" s="39" t="s">
        <v>248</v>
      </c>
      <c r="G11" s="21" t="s">
        <v>353</v>
      </c>
    </row>
    <row r="13" customFormat="false" ht="21.75" hidden="false" customHeight="true" outlineLevel="0" collapsed="false">
      <c r="A13" s="17" t="s">
        <v>354</v>
      </c>
      <c r="B13" s="17"/>
      <c r="C13" s="17"/>
      <c r="D13" s="17"/>
    </row>
    <row r="14" customFormat="false" ht="31.5" hidden="false" customHeight="true" outlineLevel="0" collapsed="false">
      <c r="A14" s="5" t="s">
        <v>40</v>
      </c>
      <c r="B14" s="5" t="s">
        <v>41</v>
      </c>
      <c r="C14" s="5" t="s">
        <v>42</v>
      </c>
      <c r="D14" s="5" t="s">
        <v>355</v>
      </c>
    </row>
    <row r="15" customFormat="false" ht="15" hidden="false" customHeight="false" outlineLevel="0" collapsed="false">
      <c r="A15" s="23" t="s">
        <v>356</v>
      </c>
      <c r="B15" s="29" t="n">
        <f aca="false">B6/C6-1</f>
        <v>0.26070410990984</v>
      </c>
      <c r="C15" s="20" t="s">
        <v>53</v>
      </c>
      <c r="D15" s="26" t="s">
        <v>357</v>
      </c>
    </row>
    <row r="16" customFormat="false" ht="15" hidden="false" customHeight="false" outlineLevel="0" collapsed="false">
      <c r="A16" s="23" t="s">
        <v>358</v>
      </c>
      <c r="B16" s="29" t="n">
        <f aca="false">D6/E6-1</f>
        <v>0.288070715161654</v>
      </c>
      <c r="C16" s="20" t="s">
        <v>53</v>
      </c>
      <c r="D16" s="26" t="s">
        <v>359</v>
      </c>
    </row>
    <row r="17" customFormat="false" ht="15" hidden="false" customHeight="false" outlineLevel="0" collapsed="false">
      <c r="A17" s="23" t="s">
        <v>360</v>
      </c>
      <c r="B17" s="29" t="n">
        <f aca="false">B8/B6</f>
        <v>0.201049519357286</v>
      </c>
      <c r="C17" s="20" t="s">
        <v>53</v>
      </c>
      <c r="D17" s="25" t="s">
        <v>361</v>
      </c>
    </row>
    <row r="18" customFormat="false" ht="15" hidden="false" customHeight="false" outlineLevel="0" collapsed="false">
      <c r="A18" s="23" t="s">
        <v>362</v>
      </c>
      <c r="B18" s="29" t="n">
        <f aca="false">D8/D6</f>
        <v>0.300668090164656</v>
      </c>
      <c r="C18" s="20" t="s">
        <v>53</v>
      </c>
      <c r="D18" s="25" t="s">
        <v>361</v>
      </c>
    </row>
    <row r="19" customFormat="false" ht="25.35" hidden="false" customHeight="false" outlineLevel="0" collapsed="false">
      <c r="A19" s="23" t="s">
        <v>363</v>
      </c>
      <c r="B19" s="29" t="n">
        <f aca="false">B10/B6</f>
        <v>0.540394111546261</v>
      </c>
      <c r="C19" s="20" t="s">
        <v>53</v>
      </c>
      <c r="D19" s="25" t="s">
        <v>364</v>
      </c>
    </row>
    <row r="20" customFormat="false" ht="25.35" hidden="false" customHeight="false" outlineLevel="0" collapsed="false">
      <c r="A20" s="23" t="s">
        <v>365</v>
      </c>
      <c r="B20" s="29" t="n">
        <f aca="false">D10/D6</f>
        <v>0.472285814915911</v>
      </c>
      <c r="C20" s="20" t="s">
        <v>53</v>
      </c>
      <c r="D20" s="25" t="s">
        <v>364</v>
      </c>
    </row>
    <row r="21" customFormat="false" ht="15" hidden="false" customHeight="false" outlineLevel="0" collapsed="false">
      <c r="A21" s="23" t="s">
        <v>366</v>
      </c>
      <c r="B21" s="34" t="n">
        <f aca="false">假设与情景!C31</f>
        <v>135000</v>
      </c>
      <c r="C21" s="28" t="s">
        <v>247</v>
      </c>
      <c r="D21" s="25" t="s">
        <v>367</v>
      </c>
    </row>
    <row r="22" customFormat="false" ht="15" hidden="false" customHeight="false" outlineLevel="0" collapsed="false">
      <c r="A22" s="23" t="s">
        <v>368</v>
      </c>
      <c r="B22" s="34" t="n">
        <f aca="false">假设与情景!C32</f>
        <v>145000</v>
      </c>
      <c r="C22" s="28" t="s">
        <v>247</v>
      </c>
      <c r="D22" s="25" t="s">
        <v>369</v>
      </c>
    </row>
    <row r="23" customFormat="false" ht="15" hidden="false" customHeight="false" outlineLevel="0" collapsed="false">
      <c r="A23" s="23" t="s">
        <v>370</v>
      </c>
      <c r="B23" s="46" t="n">
        <f aca="false">AVERAGE(B21:B22)</f>
        <v>140000</v>
      </c>
      <c r="C23" s="28" t="s">
        <v>247</v>
      </c>
      <c r="D23" s="25" t="s">
        <v>371</v>
      </c>
    </row>
    <row r="24" customFormat="false" ht="15" hidden="false" customHeight="false" outlineLevel="0" collapsed="false">
      <c r="A24" s="23" t="s">
        <v>372</v>
      </c>
      <c r="B24" s="47" t="n">
        <f aca="false">B21-D10</f>
        <v>49180</v>
      </c>
      <c r="C24" s="28" t="s">
        <v>247</v>
      </c>
      <c r="D24" s="25" t="s">
        <v>373</v>
      </c>
    </row>
    <row r="25" customFormat="false" ht="15" hidden="false" customHeight="false" outlineLevel="0" collapsed="false">
      <c r="A25" s="23" t="s">
        <v>374</v>
      </c>
      <c r="B25" s="47" t="n">
        <f aca="false">B22-D10</f>
        <v>59180</v>
      </c>
      <c r="C25" s="28" t="s">
        <v>247</v>
      </c>
      <c r="D25" s="25" t="s">
        <v>375</v>
      </c>
    </row>
    <row r="26" customFormat="false" ht="15" hidden="false" customHeight="false" outlineLevel="0" collapsed="false">
      <c r="A26" s="23" t="s">
        <v>376</v>
      </c>
      <c r="B26" s="29" t="n">
        <f aca="false">B24/B10-1</f>
        <v>0.40876539673446</v>
      </c>
      <c r="C26" s="20" t="s">
        <v>53</v>
      </c>
      <c r="D26" s="21" t="s">
        <v>377</v>
      </c>
    </row>
    <row r="27" customFormat="false" ht="15" hidden="false" customHeight="false" outlineLevel="0" collapsed="false">
      <c r="A27" s="23" t="s">
        <v>378</v>
      </c>
      <c r="B27" s="29" t="n">
        <f aca="false">B25/B10-1</f>
        <v>0.695216270409625</v>
      </c>
      <c r="C27" s="20" t="s">
        <v>53</v>
      </c>
      <c r="D27" s="21" t="s">
        <v>379</v>
      </c>
    </row>
    <row r="28" customFormat="false" ht="15" hidden="false" customHeight="false" outlineLevel="0" collapsed="false">
      <c r="A28" s="23" t="s">
        <v>380</v>
      </c>
      <c r="B28" s="46" t="n">
        <f aca="false">D6*4/3</f>
        <v>242282.666666667</v>
      </c>
      <c r="C28" s="28" t="s">
        <v>247</v>
      </c>
      <c r="D28" s="21" t="s">
        <v>381</v>
      </c>
    </row>
    <row r="29" customFormat="false" ht="15" hidden="false" customHeight="false" outlineLevel="0" collapsed="false">
      <c r="A29" s="18" t="s">
        <v>382</v>
      </c>
      <c r="B29" s="29" t="n">
        <f aca="false">B21/B28</f>
        <v>0.557200405036541</v>
      </c>
      <c r="C29" s="20" t="s">
        <v>53</v>
      </c>
      <c r="D29" s="25" t="s">
        <v>383</v>
      </c>
    </row>
    <row r="30" customFormat="false" ht="15" hidden="false" customHeight="false" outlineLevel="0" collapsed="false">
      <c r="A30" s="18" t="s">
        <v>384</v>
      </c>
      <c r="B30" s="29" t="n">
        <f aca="false">B22/B28</f>
        <v>0.598474509113322</v>
      </c>
      <c r="C30" s="20" t="s">
        <v>53</v>
      </c>
      <c r="D30" s="25" t="s">
        <v>385</v>
      </c>
    </row>
    <row r="31" customFormat="false" ht="15" hidden="false" customHeight="false" outlineLevel="0" collapsed="false">
      <c r="A31" s="18" t="s">
        <v>386</v>
      </c>
      <c r="B31" s="50" t="n">
        <f aca="false">B37/B28</f>
        <v>1.87599057849784</v>
      </c>
      <c r="C31" s="28" t="s">
        <v>387</v>
      </c>
      <c r="D31" s="25" t="s">
        <v>388</v>
      </c>
    </row>
    <row r="32" customFormat="false" ht="15" hidden="false" customHeight="false" outlineLevel="0" collapsed="false">
      <c r="A32" s="18" t="s">
        <v>389</v>
      </c>
      <c r="B32" s="50" t="n">
        <f aca="false">B38/B28</f>
        <v>1.46824370432333</v>
      </c>
      <c r="C32" s="28" t="s">
        <v>387</v>
      </c>
      <c r="D32" s="25" t="s">
        <v>390</v>
      </c>
    </row>
    <row r="33" customFormat="false" ht="21.75" hidden="false" customHeight="true" outlineLevel="0" collapsed="false">
      <c r="A33" s="17" t="s">
        <v>391</v>
      </c>
      <c r="B33" s="17"/>
      <c r="C33" s="17"/>
      <c r="D33" s="17"/>
    </row>
    <row r="34" customFormat="false" ht="31.5" hidden="false" customHeight="true" outlineLevel="0" collapsed="false">
      <c r="A34" s="5" t="s">
        <v>392</v>
      </c>
      <c r="B34" s="5" t="s">
        <v>393</v>
      </c>
      <c r="C34" s="5" t="s">
        <v>44</v>
      </c>
      <c r="D34" s="5" t="s">
        <v>286</v>
      </c>
    </row>
    <row r="35" customFormat="false" ht="15" hidden="false" customHeight="false" outlineLevel="0" collapsed="false">
      <c r="A35" s="18" t="s">
        <v>394</v>
      </c>
      <c r="B35" s="38" t="n">
        <v>82450</v>
      </c>
      <c r="C35" s="20" t="s">
        <v>93</v>
      </c>
      <c r="D35" s="26" t="s">
        <v>107</v>
      </c>
    </row>
    <row r="36" customFormat="false" ht="25.35" hidden="false" customHeight="false" outlineLevel="0" collapsed="false">
      <c r="A36" s="18" t="s">
        <v>395</v>
      </c>
      <c r="B36" s="38" t="n">
        <v>84000</v>
      </c>
      <c r="C36" s="20" t="s">
        <v>93</v>
      </c>
      <c r="D36" s="25" t="s">
        <v>396</v>
      </c>
    </row>
    <row r="37" customFormat="false" ht="37.3" hidden="false" customHeight="false" outlineLevel="0" collapsed="false">
      <c r="A37" s="18" t="s">
        <v>397</v>
      </c>
      <c r="B37" s="38" t="n">
        <v>454520</v>
      </c>
      <c r="C37" s="20" t="s">
        <v>93</v>
      </c>
      <c r="D37" s="25" t="s">
        <v>398</v>
      </c>
    </row>
    <row r="38" customFormat="false" ht="37.3" hidden="false" customHeight="false" outlineLevel="0" collapsed="false">
      <c r="A38" s="18" t="s">
        <v>399</v>
      </c>
      <c r="B38" s="38" t="n">
        <v>355730</v>
      </c>
      <c r="C38" s="20" t="s">
        <v>93</v>
      </c>
      <c r="D38" s="25" t="s">
        <v>400</v>
      </c>
    </row>
    <row r="39" customFormat="false" ht="15" hidden="false" customHeight="false" outlineLevel="0" collapsed="false">
      <c r="A39" s="18" t="s">
        <v>401</v>
      </c>
      <c r="B39" s="38" t="n">
        <v>45850</v>
      </c>
      <c r="C39" s="20" t="s">
        <v>93</v>
      </c>
      <c r="D39" s="25" t="s">
        <v>402</v>
      </c>
    </row>
    <row r="40" customFormat="false" ht="15" hidden="false" customHeight="false" outlineLevel="0" collapsed="false">
      <c r="A40" s="18" t="s">
        <v>403</v>
      </c>
      <c r="B40" s="38" t="n">
        <v>121410</v>
      </c>
      <c r="C40" s="20" t="s">
        <v>93</v>
      </c>
      <c r="D40" s="25" t="s">
        <v>402</v>
      </c>
    </row>
    <row r="41" customFormat="false" ht="25.35" hidden="false" customHeight="false" outlineLevel="0" collapsed="false">
      <c r="A41" s="18" t="s">
        <v>404</v>
      </c>
      <c r="B41" s="38" t="n">
        <v>41493</v>
      </c>
      <c r="C41" s="20" t="s">
        <v>405</v>
      </c>
      <c r="D41" s="21" t="s">
        <v>406</v>
      </c>
    </row>
  </sheetData>
  <mergeCells count="3">
    <mergeCell ref="A4:G4"/>
    <mergeCell ref="A13:D13"/>
    <mergeCell ref="A33:D3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6.39"/>
    <col collapsed="false" customWidth="true" hidden="false" outlineLevel="0" max="2" min="2" style="0" width="18.2"/>
    <col collapsed="false" customWidth="true" hidden="false" outlineLevel="0" max="4" min="3" style="0" width="20.01"/>
    <col collapsed="false" customWidth="true" hidden="false" outlineLevel="0" max="5" min="5" style="0" width="12.74"/>
    <col collapsed="false" customWidth="true" hidden="false" outlineLevel="0" max="6" min="6" style="0" width="8.19"/>
    <col collapsed="false" customWidth="true" hidden="false" outlineLevel="0" max="8" min="7" style="0" width="16.38"/>
    <col collapsed="false" customWidth="true" hidden="false" outlineLevel="0" max="9" min="9" style="0" width="12.74"/>
    <col collapsed="false" customWidth="true" hidden="false" outlineLevel="0" max="10" min="10" style="0" width="23.66"/>
    <col collapsed="false" customWidth="true" hidden="false" outlineLevel="0" max="11" min="11" style="0" width="27.3"/>
    <col collapsed="false" customWidth="true" hidden="false" outlineLevel="0" max="12" min="12" style="0" width="50.04"/>
  </cols>
  <sheetData>
    <row r="1" customFormat="false" ht="28.35" hidden="false" customHeight="false" outlineLevel="0" collapsed="false">
      <c r="A1" s="37" t="s">
        <v>407</v>
      </c>
    </row>
    <row r="2" customFormat="false" ht="15" hidden="false" customHeight="false" outlineLevel="0" collapsed="false">
      <c r="A2" s="16" t="s">
        <v>408</v>
      </c>
    </row>
    <row r="4" customFormat="false" ht="31.5" hidden="false" customHeight="true" outlineLevel="0" collapsed="false">
      <c r="A4" s="5" t="s">
        <v>154</v>
      </c>
      <c r="B4" s="5" t="s">
        <v>409</v>
      </c>
      <c r="C4" s="5" t="s">
        <v>410</v>
      </c>
      <c r="D4" s="5" t="s">
        <v>411</v>
      </c>
      <c r="E4" s="5" t="s">
        <v>412</v>
      </c>
      <c r="F4" s="5" t="s">
        <v>413</v>
      </c>
      <c r="G4" s="5" t="s">
        <v>414</v>
      </c>
      <c r="H4" s="5" t="s">
        <v>415</v>
      </c>
      <c r="I4" s="5" t="s">
        <v>416</v>
      </c>
      <c r="J4" s="5" t="s">
        <v>417</v>
      </c>
      <c r="K4" s="5" t="s">
        <v>44</v>
      </c>
      <c r="L4" s="5" t="s">
        <v>418</v>
      </c>
    </row>
    <row r="5" customFormat="false" ht="43.5" hidden="false" customHeight="true" outlineLevel="0" collapsed="false">
      <c r="A5" s="20" t="s">
        <v>419</v>
      </c>
      <c r="B5" s="20" t="s">
        <v>307</v>
      </c>
      <c r="C5" s="20" t="s">
        <v>420</v>
      </c>
      <c r="D5" s="23" t="s">
        <v>421</v>
      </c>
      <c r="E5" s="38" t="n">
        <v>835</v>
      </c>
      <c r="F5" s="51" t="n">
        <v>20</v>
      </c>
      <c r="G5" s="52" t="s">
        <v>422</v>
      </c>
      <c r="H5" s="25" t="s">
        <v>423</v>
      </c>
      <c r="I5" s="44" t="s">
        <v>276</v>
      </c>
      <c r="J5" s="21" t="s">
        <v>424</v>
      </c>
      <c r="K5" s="39" t="s">
        <v>425</v>
      </c>
      <c r="L5" s="25" t="s">
        <v>426</v>
      </c>
    </row>
    <row r="6" customFormat="false" ht="43.5" hidden="false" customHeight="true" outlineLevel="0" collapsed="false">
      <c r="A6" s="20" t="s">
        <v>427</v>
      </c>
      <c r="B6" s="20" t="s">
        <v>315</v>
      </c>
      <c r="C6" s="20" t="s">
        <v>420</v>
      </c>
      <c r="D6" s="53" t="s">
        <v>428</v>
      </c>
      <c r="E6" s="38" t="n">
        <v>1092</v>
      </c>
      <c r="F6" s="51" t="n">
        <v>20</v>
      </c>
      <c r="G6" s="20" t="s">
        <v>429</v>
      </c>
      <c r="H6" s="25" t="s">
        <v>430</v>
      </c>
      <c r="I6" s="38" t="n">
        <v>80</v>
      </c>
      <c r="J6" s="21" t="s">
        <v>431</v>
      </c>
      <c r="K6" s="39" t="s">
        <v>432</v>
      </c>
      <c r="L6" s="25" t="s">
        <v>433</v>
      </c>
    </row>
    <row r="7" customFormat="false" ht="43.5" hidden="false" customHeight="true" outlineLevel="0" collapsed="false">
      <c r="A7" s="20" t="s">
        <v>434</v>
      </c>
      <c r="B7" s="20" t="s">
        <v>303</v>
      </c>
      <c r="C7" s="20" t="s">
        <v>435</v>
      </c>
      <c r="D7" s="53" t="s">
        <v>436</v>
      </c>
      <c r="E7" s="38" t="n">
        <v>1920</v>
      </c>
      <c r="F7" s="54" t="s">
        <v>276</v>
      </c>
      <c r="G7" s="28" t="s">
        <v>437</v>
      </c>
      <c r="H7" s="25" t="s">
        <v>438</v>
      </c>
      <c r="I7" s="44" t="s">
        <v>276</v>
      </c>
      <c r="J7" s="25" t="s">
        <v>439</v>
      </c>
      <c r="K7" s="39" t="s">
        <v>440</v>
      </c>
      <c r="L7" s="25" t="s">
        <v>441</v>
      </c>
    </row>
    <row r="8" customFormat="false" ht="43.5" hidden="false" customHeight="true" outlineLevel="0" collapsed="false">
      <c r="A8" s="20" t="s">
        <v>442</v>
      </c>
      <c r="B8" s="20" t="s">
        <v>315</v>
      </c>
      <c r="C8" s="20" t="s">
        <v>443</v>
      </c>
      <c r="D8" s="53" t="s">
        <v>444</v>
      </c>
      <c r="E8" s="38" t="n">
        <v>2100</v>
      </c>
      <c r="F8" s="51" t="n">
        <v>20</v>
      </c>
      <c r="G8" s="28" t="s">
        <v>439</v>
      </c>
      <c r="H8" s="25" t="s">
        <v>445</v>
      </c>
      <c r="I8" s="44" t="s">
        <v>276</v>
      </c>
      <c r="J8" s="25" t="s">
        <v>439</v>
      </c>
      <c r="K8" s="39" t="s">
        <v>214</v>
      </c>
      <c r="L8" s="21" t="s">
        <v>446</v>
      </c>
    </row>
    <row r="9" customFormat="false" ht="43.5" hidden="false" customHeight="true" outlineLevel="0" collapsed="false">
      <c r="A9" s="20" t="s">
        <v>447</v>
      </c>
      <c r="B9" s="20" t="s">
        <v>315</v>
      </c>
      <c r="C9" s="20" t="s">
        <v>448</v>
      </c>
      <c r="D9" s="53" t="s">
        <v>449</v>
      </c>
      <c r="E9" s="38" t="n">
        <v>1200</v>
      </c>
      <c r="F9" s="54" t="s">
        <v>276</v>
      </c>
      <c r="G9" s="52" t="s">
        <v>450</v>
      </c>
      <c r="H9" s="25" t="s">
        <v>451</v>
      </c>
      <c r="I9" s="44" t="s">
        <v>276</v>
      </c>
      <c r="J9" s="25" t="s">
        <v>439</v>
      </c>
      <c r="K9" s="39" t="s">
        <v>214</v>
      </c>
      <c r="L9" s="21" t="s">
        <v>452</v>
      </c>
    </row>
    <row r="10" customFormat="false" ht="43.5" hidden="false" customHeight="true" outlineLevel="0" collapsed="false">
      <c r="A10" s="20" t="s">
        <v>453</v>
      </c>
      <c r="B10" s="20" t="s">
        <v>315</v>
      </c>
      <c r="C10" s="20" t="s">
        <v>454</v>
      </c>
      <c r="D10" s="23" t="s">
        <v>455</v>
      </c>
      <c r="E10" s="38" t="n">
        <v>690</v>
      </c>
      <c r="F10" s="54" t="s">
        <v>276</v>
      </c>
      <c r="G10" s="20" t="s">
        <v>456</v>
      </c>
      <c r="H10" s="25" t="s">
        <v>451</v>
      </c>
      <c r="I10" s="44" t="s">
        <v>276</v>
      </c>
      <c r="J10" s="25" t="s">
        <v>439</v>
      </c>
      <c r="K10" s="39" t="s">
        <v>214</v>
      </c>
      <c r="L10" s="21" t="s">
        <v>457</v>
      </c>
    </row>
    <row r="11" customFormat="false" ht="43.5" hidden="false" customHeight="true" outlineLevel="0" collapsed="false">
      <c r="A11" s="20" t="s">
        <v>458</v>
      </c>
      <c r="B11" s="20" t="s">
        <v>459</v>
      </c>
      <c r="C11" s="20" t="s">
        <v>460</v>
      </c>
      <c r="D11" s="23" t="s">
        <v>461</v>
      </c>
      <c r="E11" s="38" t="n">
        <v>500</v>
      </c>
      <c r="F11" s="54" t="s">
        <v>276</v>
      </c>
      <c r="G11" s="52" t="s">
        <v>462</v>
      </c>
      <c r="H11" s="25" t="s">
        <v>451</v>
      </c>
      <c r="I11" s="44" t="s">
        <v>276</v>
      </c>
      <c r="J11" s="25" t="s">
        <v>439</v>
      </c>
      <c r="K11" s="39" t="s">
        <v>463</v>
      </c>
      <c r="L11" s="21" t="s">
        <v>464</v>
      </c>
    </row>
    <row r="12" customFormat="false" ht="43.5" hidden="false" customHeight="true" outlineLevel="0" collapsed="false">
      <c r="A12" s="20" t="s">
        <v>465</v>
      </c>
      <c r="B12" s="20" t="s">
        <v>459</v>
      </c>
      <c r="C12" s="20" t="s">
        <v>466</v>
      </c>
      <c r="D12" s="23" t="s">
        <v>467</v>
      </c>
      <c r="E12" s="38" t="n">
        <v>200</v>
      </c>
      <c r="F12" s="54" t="s">
        <v>276</v>
      </c>
      <c r="G12" s="20" t="s">
        <v>468</v>
      </c>
      <c r="H12" s="25" t="s">
        <v>469</v>
      </c>
      <c r="I12" s="44" t="s">
        <v>276</v>
      </c>
      <c r="J12" s="25" t="s">
        <v>439</v>
      </c>
      <c r="K12" s="39" t="s">
        <v>470</v>
      </c>
      <c r="L12" s="25" t="s">
        <v>471</v>
      </c>
    </row>
    <row r="13" customFormat="false" ht="43.5" hidden="false" customHeight="true" outlineLevel="0" collapsed="false">
      <c r="A13" s="20" t="s">
        <v>472</v>
      </c>
      <c r="B13" s="20" t="s">
        <v>307</v>
      </c>
      <c r="C13" s="20" t="s">
        <v>473</v>
      </c>
      <c r="D13" s="23" t="s">
        <v>474</v>
      </c>
      <c r="E13" s="38" t="n">
        <v>50</v>
      </c>
      <c r="F13" s="54" t="s">
        <v>276</v>
      </c>
      <c r="G13" s="52" t="s">
        <v>475</v>
      </c>
      <c r="H13" s="25" t="s">
        <v>476</v>
      </c>
      <c r="I13" s="44" t="s">
        <v>276</v>
      </c>
      <c r="J13" s="25" t="s">
        <v>439</v>
      </c>
      <c r="K13" s="39" t="s">
        <v>477</v>
      </c>
      <c r="L13" s="25" t="s">
        <v>478</v>
      </c>
    </row>
    <row r="14" customFormat="false" ht="43.5" hidden="false" customHeight="true" outlineLevel="0" collapsed="false">
      <c r="A14" s="20" t="s">
        <v>479</v>
      </c>
      <c r="B14" s="20" t="s">
        <v>315</v>
      </c>
      <c r="C14" s="20" t="s">
        <v>420</v>
      </c>
      <c r="D14" s="18" t="s">
        <v>480</v>
      </c>
      <c r="E14" s="38" t="n">
        <v>920</v>
      </c>
      <c r="F14" s="51" t="n">
        <v>18</v>
      </c>
      <c r="G14" s="20" t="s">
        <v>481</v>
      </c>
      <c r="H14" s="25" t="s">
        <v>445</v>
      </c>
      <c r="I14" s="44" t="s">
        <v>276</v>
      </c>
      <c r="J14" s="25" t="s">
        <v>439</v>
      </c>
      <c r="K14" s="39" t="s">
        <v>482</v>
      </c>
      <c r="L14" s="21" t="s">
        <v>483</v>
      </c>
    </row>
    <row r="15" customFormat="false" ht="15" hidden="false" customHeight="false" outlineLevel="0" collapsed="false">
      <c r="A15" s="6" t="s">
        <v>84</v>
      </c>
      <c r="E15" s="47" t="n">
        <f aca="false">SUM(E5:E14)</f>
        <v>9507</v>
      </c>
      <c r="L15" s="21" t="s">
        <v>484</v>
      </c>
    </row>
    <row r="17" customFormat="false" ht="21.75" hidden="false" customHeight="true" outlineLevel="0" collapsed="false">
      <c r="A17" s="17" t="s">
        <v>485</v>
      </c>
      <c r="B17" s="17"/>
      <c r="C17" s="17"/>
      <c r="D17" s="17"/>
      <c r="E17" s="17"/>
    </row>
    <row r="18" customFormat="false" ht="31.5" hidden="false" customHeight="true" outlineLevel="0" collapsed="false">
      <c r="A18" s="5" t="s">
        <v>409</v>
      </c>
      <c r="B18" s="5" t="s">
        <v>486</v>
      </c>
      <c r="C18" s="5" t="s">
        <v>487</v>
      </c>
      <c r="D18" s="5" t="s">
        <v>286</v>
      </c>
      <c r="E18" s="5" t="s">
        <v>44</v>
      </c>
    </row>
    <row r="19" customFormat="false" ht="25.35" hidden="false" customHeight="false" outlineLevel="0" collapsed="false">
      <c r="A19" s="20" t="s">
        <v>307</v>
      </c>
      <c r="B19" s="46" t="n">
        <f aca="false">SUMIF($B$5:$B$14,A19,$E$5:$E$14)</f>
        <v>885</v>
      </c>
      <c r="C19" s="46" t="n">
        <f aca="false">SUMIF($B$5:$B$14,A19,$E$5:$E$14)</f>
        <v>885</v>
      </c>
      <c r="D19" s="21" t="s">
        <v>488</v>
      </c>
      <c r="E19" s="20" t="s">
        <v>489</v>
      </c>
    </row>
    <row r="20" customFormat="false" ht="32.8" hidden="false" customHeight="false" outlineLevel="0" collapsed="false">
      <c r="A20" s="20" t="s">
        <v>315</v>
      </c>
      <c r="B20" s="46" t="n">
        <f aca="false">SUMIF($B$5:$B$14,A20,$E$5:$E$14)</f>
        <v>6002</v>
      </c>
      <c r="C20" s="46" t="n">
        <f aca="false">SUMIF($B$5:$B$14,A20,$E$5:$E$14)</f>
        <v>6002</v>
      </c>
      <c r="D20" s="21" t="s">
        <v>490</v>
      </c>
      <c r="E20" s="20" t="s">
        <v>491</v>
      </c>
    </row>
    <row r="21" customFormat="false" ht="15" hidden="false" customHeight="false" outlineLevel="0" collapsed="false">
      <c r="A21" s="20" t="s">
        <v>303</v>
      </c>
      <c r="B21" s="46" t="n">
        <f aca="false">SUMIF($B$5:$B$14,A21,$E$5:$E$14)</f>
        <v>1920</v>
      </c>
      <c r="C21" s="46" t="n">
        <f aca="false">SUMIF($B$5:$B$14,A21,$E$5:$E$14)</f>
        <v>1920</v>
      </c>
      <c r="D21" s="26" t="s">
        <v>492</v>
      </c>
      <c r="E21" s="20" t="s">
        <v>493</v>
      </c>
    </row>
    <row r="22" customFormat="false" ht="25.35" hidden="false" customHeight="false" outlineLevel="0" collapsed="false">
      <c r="A22" s="20" t="s">
        <v>459</v>
      </c>
      <c r="B22" s="46" t="n">
        <f aca="false">SUMIF($B$5:$B$14,A22,$E$5:$E$14)</f>
        <v>700</v>
      </c>
      <c r="C22" s="46" t="n">
        <f aca="false">SUMIF($B$5:$B$14,A22,$E$5:$E$14)</f>
        <v>700</v>
      </c>
      <c r="D22" s="21" t="s">
        <v>494</v>
      </c>
      <c r="E22" s="20" t="s">
        <v>495</v>
      </c>
    </row>
    <row r="23" customFormat="false" ht="15" hidden="false" customHeight="false" outlineLevel="0" collapsed="false">
      <c r="A23" s="6" t="s">
        <v>84</v>
      </c>
      <c r="B23" s="47" t="n">
        <f aca="false">SUM(B19:B22)</f>
        <v>9507</v>
      </c>
    </row>
    <row r="25" customFormat="false" ht="21.75" hidden="false" customHeight="true" outlineLevel="0" collapsed="false">
      <c r="A25" s="55" t="s">
        <v>496</v>
      </c>
      <c r="B25" s="55"/>
      <c r="C25" s="55"/>
      <c r="D25" s="55"/>
      <c r="E25" s="55"/>
    </row>
    <row r="26" customFormat="false" ht="31.5" hidden="false" customHeight="true" outlineLevel="0" collapsed="false">
      <c r="A26" s="5" t="s">
        <v>392</v>
      </c>
      <c r="B26" s="30" t="s">
        <v>112</v>
      </c>
      <c r="C26" s="5" t="s">
        <v>415</v>
      </c>
      <c r="D26" s="5" t="s">
        <v>414</v>
      </c>
      <c r="E26" s="5" t="s">
        <v>44</v>
      </c>
    </row>
    <row r="27" customFormat="false" ht="15" hidden="false" customHeight="false" outlineLevel="0" collapsed="false">
      <c r="A27" s="53" t="s">
        <v>497</v>
      </c>
      <c r="B27" s="38" t="n">
        <v>1092</v>
      </c>
      <c r="C27" s="25" t="s">
        <v>498</v>
      </c>
      <c r="D27" s="20" t="s">
        <v>429</v>
      </c>
      <c r="E27" s="20" t="s">
        <v>499</v>
      </c>
    </row>
    <row r="28" customFormat="false" ht="15" hidden="false" customHeight="false" outlineLevel="0" collapsed="false">
      <c r="A28" s="53" t="s">
        <v>500</v>
      </c>
      <c r="B28" s="38" t="n">
        <v>2100</v>
      </c>
      <c r="C28" s="25" t="s">
        <v>501</v>
      </c>
      <c r="D28" s="28" t="s">
        <v>439</v>
      </c>
      <c r="E28" s="20" t="s">
        <v>120</v>
      </c>
    </row>
    <row r="29" customFormat="false" ht="15" hidden="false" customHeight="false" outlineLevel="0" collapsed="false">
      <c r="A29" s="53" t="s">
        <v>502</v>
      </c>
      <c r="B29" s="38" t="n">
        <v>1200</v>
      </c>
      <c r="C29" s="25" t="s">
        <v>503</v>
      </c>
      <c r="D29" s="52" t="s">
        <v>504</v>
      </c>
      <c r="E29" s="20" t="s">
        <v>120</v>
      </c>
    </row>
    <row r="30" customFormat="false" ht="15" hidden="false" customHeight="false" outlineLevel="0" collapsed="false">
      <c r="A30" s="53" t="s">
        <v>505</v>
      </c>
      <c r="B30" s="38" t="n">
        <v>690</v>
      </c>
      <c r="C30" s="25" t="s">
        <v>503</v>
      </c>
      <c r="D30" s="20" t="s">
        <v>456</v>
      </c>
      <c r="E30" s="20" t="s">
        <v>120</v>
      </c>
    </row>
    <row r="31" customFormat="false" ht="15" hidden="false" customHeight="false" outlineLevel="0" collapsed="false">
      <c r="A31" s="23" t="s">
        <v>506</v>
      </c>
      <c r="B31" s="38" t="n">
        <v>2618</v>
      </c>
      <c r="C31" s="25" t="s">
        <v>507</v>
      </c>
      <c r="D31" s="28" t="s">
        <v>508</v>
      </c>
      <c r="E31" s="20" t="s">
        <v>120</v>
      </c>
    </row>
    <row r="32" customFormat="false" ht="15" hidden="false" customHeight="false" outlineLevel="0" collapsed="false">
      <c r="A32" s="56" t="s">
        <v>509</v>
      </c>
      <c r="B32" s="47" t="n">
        <f aca="false">SUM(B27:B31)</f>
        <v>7700</v>
      </c>
    </row>
    <row r="33" customFormat="false" ht="15" hidden="false" customHeight="false" outlineLevel="0" collapsed="false">
      <c r="A33" s="18" t="s">
        <v>510</v>
      </c>
      <c r="B33" s="47" t="n">
        <f aca="false">SUM(B27:B30)</f>
        <v>5082</v>
      </c>
    </row>
    <row r="34" customFormat="false" ht="15" hidden="false" customHeight="false" outlineLevel="0" collapsed="false">
      <c r="A34" s="18" t="s">
        <v>511</v>
      </c>
      <c r="B34" s="19" t="n">
        <f aca="false">B32*假设与情景!C18/1000000</f>
        <v>60.7068</v>
      </c>
    </row>
    <row r="35" customFormat="false" ht="15" hidden="false" customHeight="false" outlineLevel="0" collapsed="false">
      <c r="A35" s="18" t="s">
        <v>512</v>
      </c>
      <c r="B35" s="19" t="n">
        <f aca="false">B33*假设与情景!C18/1000000</f>
        <v>40.066488</v>
      </c>
    </row>
    <row r="36" customFormat="false" ht="15" hidden="false" customHeight="false" outlineLevel="0" collapsed="false">
      <c r="A36" s="18" t="s">
        <v>513</v>
      </c>
      <c r="B36" s="57" t="n">
        <f aca="false">B35/(假设与情景!C16*(1+假设与情景!C17)^2)</f>
        <v>1.31260483476623</v>
      </c>
    </row>
    <row r="37" customFormat="false" ht="15" hidden="false" customHeight="false" outlineLevel="0" collapsed="false">
      <c r="A37" s="18" t="s">
        <v>514</v>
      </c>
      <c r="B37" s="57" t="n">
        <f aca="false">B34/(假设与情景!C16*(1+假设与情景!C17)^2)</f>
        <v>1.98879520419125</v>
      </c>
    </row>
  </sheetData>
  <mergeCells count="2">
    <mergeCell ref="A17:E17"/>
    <mergeCell ref="A25:E2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9.11"/>
    <col collapsed="false" customWidth="true" hidden="false" outlineLevel="0" max="5" min="2" style="0" width="10.92"/>
    <col collapsed="false" customWidth="true" hidden="false" outlineLevel="0" max="6" min="6" style="0" width="18.2"/>
    <col collapsed="false" customWidth="true" hidden="false" outlineLevel="0" max="7" min="7" style="0" width="27.3"/>
    <col collapsed="false" customWidth="true" hidden="false" outlineLevel="0" max="8" min="8" style="0" width="45.49"/>
  </cols>
  <sheetData>
    <row r="1" customFormat="false" ht="28.35" hidden="false" customHeight="false" outlineLevel="0" collapsed="false">
      <c r="A1" s="37" t="s">
        <v>515</v>
      </c>
    </row>
    <row r="2" customFormat="false" ht="15" hidden="false" customHeight="false" outlineLevel="0" collapsed="false">
      <c r="A2" s="2" t="s">
        <v>516</v>
      </c>
    </row>
    <row r="3" customFormat="false" ht="15" hidden="false" customHeight="false" outlineLevel="0" collapsed="false">
      <c r="A3" s="56" t="s">
        <v>517</v>
      </c>
      <c r="B3" s="58" t="s">
        <v>518</v>
      </c>
      <c r="C3" s="22" t="n">
        <f aca="false">需求_区域!C5</f>
        <v>186.75</v>
      </c>
      <c r="D3" s="58" t="s">
        <v>519</v>
      </c>
      <c r="E3" s="22" t="n">
        <f aca="false">需求_区域!E5</f>
        <v>444.15</v>
      </c>
    </row>
    <row r="4" customFormat="false" ht="31.5" hidden="false" customHeight="true" outlineLevel="0" collapsed="false">
      <c r="A4" s="5" t="s">
        <v>73</v>
      </c>
      <c r="B4" s="30" t="s">
        <v>284</v>
      </c>
      <c r="C4" s="30" t="s">
        <v>76</v>
      </c>
      <c r="D4" s="30" t="s">
        <v>285</v>
      </c>
      <c r="E4" s="30" t="s">
        <v>74</v>
      </c>
      <c r="F4" s="30" t="s">
        <v>77</v>
      </c>
      <c r="G4" s="5" t="s">
        <v>44</v>
      </c>
      <c r="H4" s="5" t="s">
        <v>286</v>
      </c>
    </row>
    <row r="5" customFormat="false" ht="27.75" hidden="false" customHeight="true" outlineLevel="0" collapsed="false">
      <c r="A5" s="28" t="s">
        <v>78</v>
      </c>
      <c r="B5" s="24" t="n">
        <f aca="false">假设与情景!C21</f>
        <v>0.4</v>
      </c>
      <c r="C5" s="27" t="n">
        <f aca="false">$C$3*B5</f>
        <v>74.7</v>
      </c>
      <c r="D5" s="24" t="n">
        <f aca="false">假设与情景!C26</f>
        <v>0.46</v>
      </c>
      <c r="E5" s="27" t="n">
        <f aca="false">$E$3*D5</f>
        <v>204.309</v>
      </c>
      <c r="F5" s="27" t="n">
        <f aca="false">E5-C5</f>
        <v>129.609</v>
      </c>
      <c r="G5" s="39" t="s">
        <v>218</v>
      </c>
      <c r="H5" s="21" t="s">
        <v>520</v>
      </c>
    </row>
    <row r="6" customFormat="false" ht="27.75" hidden="false" customHeight="true" outlineLevel="0" collapsed="false">
      <c r="A6" s="28" t="s">
        <v>80</v>
      </c>
      <c r="B6" s="24" t="n">
        <f aca="false">假设与情景!C22</f>
        <v>0.24</v>
      </c>
      <c r="C6" s="27" t="n">
        <f aca="false">$C$3*B6</f>
        <v>44.82</v>
      </c>
      <c r="D6" s="24" t="n">
        <f aca="false">假设与情景!C27</f>
        <v>0.33</v>
      </c>
      <c r="E6" s="27" t="n">
        <f aca="false">$E$3*D6</f>
        <v>146.5695</v>
      </c>
      <c r="F6" s="27" t="n">
        <f aca="false">E6-C6</f>
        <v>101.7495</v>
      </c>
      <c r="G6" s="39" t="s">
        <v>218</v>
      </c>
      <c r="H6" s="21" t="s">
        <v>521</v>
      </c>
    </row>
    <row r="7" customFormat="false" ht="27.75" hidden="false" customHeight="true" outlineLevel="0" collapsed="false">
      <c r="A7" s="28" t="s">
        <v>81</v>
      </c>
      <c r="B7" s="24" t="n">
        <f aca="false">假设与情景!C23</f>
        <v>0.2</v>
      </c>
      <c r="C7" s="27" t="n">
        <f aca="false">$C$3*B7</f>
        <v>37.35</v>
      </c>
      <c r="D7" s="24" t="n">
        <f aca="false">假设与情景!C28</f>
        <v>0.2</v>
      </c>
      <c r="E7" s="27" t="n">
        <f aca="false">$E$3*D7</f>
        <v>88.83</v>
      </c>
      <c r="F7" s="27" t="n">
        <f aca="false">E7-C7</f>
        <v>51.48</v>
      </c>
      <c r="G7" s="39" t="s">
        <v>218</v>
      </c>
      <c r="H7" s="21" t="s">
        <v>522</v>
      </c>
    </row>
    <row r="8" customFormat="false" ht="27.75" hidden="false" customHeight="true" outlineLevel="0" collapsed="false">
      <c r="A8" s="28" t="s">
        <v>82</v>
      </c>
      <c r="B8" s="24" t="n">
        <f aca="false">假设与情景!C24</f>
        <v>0.15</v>
      </c>
      <c r="C8" s="27" t="n">
        <f aca="false">$C$3*B8</f>
        <v>28.0125</v>
      </c>
      <c r="D8" s="24" t="n">
        <f aca="false">假设与情景!C29</f>
        <v>0.01</v>
      </c>
      <c r="E8" s="27" t="n">
        <f aca="false">$E$3*D8</f>
        <v>4.4415</v>
      </c>
      <c r="F8" s="27" t="n">
        <f aca="false">E8-C8</f>
        <v>-23.571</v>
      </c>
      <c r="G8" s="39" t="s">
        <v>218</v>
      </c>
      <c r="H8" s="21" t="s">
        <v>523</v>
      </c>
    </row>
    <row r="9" customFormat="false" ht="27.75" hidden="false" customHeight="true" outlineLevel="0" collapsed="false">
      <c r="A9" s="28" t="s">
        <v>83</v>
      </c>
      <c r="B9" s="24" t="n">
        <f aca="false">假设与情景!C25</f>
        <v>0.01</v>
      </c>
      <c r="C9" s="27" t="n">
        <f aca="false">$C$3*B9</f>
        <v>1.8675</v>
      </c>
      <c r="D9" s="24" t="n">
        <f aca="false">假设与情景!C30</f>
        <v>0</v>
      </c>
      <c r="E9" s="27" t="n">
        <f aca="false">$E$3*D9</f>
        <v>0</v>
      </c>
      <c r="F9" s="27" t="n">
        <f aca="false">E9-C9</f>
        <v>-1.8675</v>
      </c>
      <c r="G9" s="39" t="s">
        <v>218</v>
      </c>
      <c r="H9" s="25" t="s">
        <v>244</v>
      </c>
    </row>
    <row r="10" customFormat="false" ht="15" hidden="false" customHeight="false" outlineLevel="0" collapsed="false">
      <c r="A10" s="6" t="s">
        <v>84</v>
      </c>
      <c r="B10" s="32" t="n">
        <f aca="false">SUM(B5:B9)</f>
        <v>1</v>
      </c>
      <c r="C10" s="31" t="n">
        <f aca="false">SUM(C5:C9)</f>
        <v>186.75</v>
      </c>
      <c r="D10" s="32" t="n">
        <f aca="false">SUM(D5:D9)</f>
        <v>1</v>
      </c>
      <c r="E10" s="31" t="n">
        <f aca="false">SUM(E5:E9)</f>
        <v>444.15</v>
      </c>
      <c r="F10" s="31" t="n">
        <f aca="false">SUM(F5:F9)</f>
        <v>257.4</v>
      </c>
    </row>
    <row r="12" customFormat="false" ht="15" hidden="false" customHeight="false" outlineLevel="0" collapsed="false">
      <c r="A12" s="18" t="s">
        <v>524</v>
      </c>
      <c r="B12" s="29" t="n">
        <f aca="false">B10</f>
        <v>1</v>
      </c>
    </row>
    <row r="13" customFormat="false" ht="15" hidden="false" customHeight="false" outlineLevel="0" collapsed="false">
      <c r="A13" s="18" t="s">
        <v>525</v>
      </c>
      <c r="B13" s="29" t="n">
        <f aca="false">D10</f>
        <v>1</v>
      </c>
    </row>
    <row r="14" customFormat="false" ht="15" hidden="false" customHeight="false" outlineLevel="0" collapsed="false">
      <c r="A14" s="23" t="s">
        <v>85</v>
      </c>
      <c r="B14" s="29" t="n">
        <f aca="false">(E6+E7+E9)/E10</f>
        <v>0.53</v>
      </c>
    </row>
    <row r="15" customFormat="false" ht="15" hidden="false" customHeight="false" outlineLevel="0" collapsed="false">
      <c r="A15" s="18" t="s">
        <v>526</v>
      </c>
      <c r="B15" s="27" t="n">
        <f aca="false">F5</f>
        <v>129.609</v>
      </c>
    </row>
    <row r="16" customFormat="false" ht="15" hidden="false" customHeight="false" outlineLevel="0" collapsed="false">
      <c r="A16" s="18" t="s">
        <v>527</v>
      </c>
      <c r="B16" s="27" t="n">
        <f aca="false">F6</f>
        <v>101.7495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40.94"/>
    <col collapsed="false" customWidth="true" hidden="false" outlineLevel="0" max="3" min="2" style="0" width="16.38"/>
    <col collapsed="false" customWidth="true" hidden="false" outlineLevel="0" max="4" min="4" style="0" width="10.92"/>
    <col collapsed="false" customWidth="true" hidden="false" outlineLevel="0" max="5" min="5" style="0" width="27.3"/>
    <col collapsed="false" customWidth="true" hidden="false" outlineLevel="0" max="6" min="6" style="0" width="54.59"/>
  </cols>
  <sheetData>
    <row r="1" customFormat="false" ht="28.35" hidden="false" customHeight="false" outlineLevel="0" collapsed="false">
      <c r="A1" s="37" t="s">
        <v>528</v>
      </c>
    </row>
    <row r="2" customFormat="false" ht="15" hidden="false" customHeight="false" outlineLevel="0" collapsed="false">
      <c r="A2" s="2" t="s">
        <v>529</v>
      </c>
    </row>
    <row r="4" customFormat="false" ht="31.5" hidden="false" customHeight="true" outlineLevel="0" collapsed="false">
      <c r="A4" s="5" t="s">
        <v>530</v>
      </c>
      <c r="B4" s="5" t="s">
        <v>531</v>
      </c>
      <c r="C4" s="5" t="s">
        <v>532</v>
      </c>
      <c r="D4" s="5" t="s">
        <v>533</v>
      </c>
      <c r="E4" s="5" t="s">
        <v>44</v>
      </c>
      <c r="F4" s="5" t="s">
        <v>286</v>
      </c>
    </row>
    <row r="5" customFormat="false" ht="27.75" hidden="false" customHeight="true" outlineLevel="0" collapsed="false">
      <c r="A5" s="18" t="s">
        <v>534</v>
      </c>
      <c r="B5" s="38" t="n">
        <v>40</v>
      </c>
      <c r="C5" s="38" t="n">
        <v>98</v>
      </c>
      <c r="D5" s="46" t="n">
        <f aca="false">AVERAGE(B5:C5)</f>
        <v>69</v>
      </c>
      <c r="E5" s="39" t="s">
        <v>535</v>
      </c>
      <c r="F5" s="21" t="s">
        <v>536</v>
      </c>
    </row>
    <row r="6" customFormat="false" ht="27.75" hidden="false" customHeight="true" outlineLevel="0" collapsed="false">
      <c r="A6" s="18" t="s">
        <v>537</v>
      </c>
      <c r="B6" s="38" t="n">
        <v>37</v>
      </c>
      <c r="C6" s="38" t="n">
        <v>99</v>
      </c>
      <c r="D6" s="46" t="n">
        <f aca="false">AVERAGE(B6:C6)</f>
        <v>68</v>
      </c>
      <c r="E6" s="39" t="s">
        <v>535</v>
      </c>
      <c r="F6" s="25" t="s">
        <v>222</v>
      </c>
    </row>
    <row r="7" customFormat="false" ht="27.75" hidden="false" customHeight="true" outlineLevel="0" collapsed="false">
      <c r="A7" s="18" t="s">
        <v>538</v>
      </c>
      <c r="B7" s="38" t="n">
        <v>51</v>
      </c>
      <c r="C7" s="38" t="n">
        <v>129</v>
      </c>
      <c r="D7" s="46" t="n">
        <f aca="false">AVERAGE(B7:C7)</f>
        <v>90</v>
      </c>
      <c r="E7" s="39" t="s">
        <v>535</v>
      </c>
      <c r="F7" s="25" t="s">
        <v>539</v>
      </c>
    </row>
    <row r="8" customFormat="false" ht="27.75" hidden="false" customHeight="true" outlineLevel="0" collapsed="false">
      <c r="A8" s="18" t="s">
        <v>540</v>
      </c>
      <c r="B8" s="38" t="n">
        <v>175</v>
      </c>
      <c r="C8" s="38" t="n">
        <v>255</v>
      </c>
      <c r="D8" s="46" t="n">
        <f aca="false">AVERAGE(B8:C8)</f>
        <v>215</v>
      </c>
      <c r="E8" s="39" t="s">
        <v>535</v>
      </c>
      <c r="F8" s="25" t="s">
        <v>541</v>
      </c>
    </row>
    <row r="9" customFormat="false" ht="27.75" hidden="false" customHeight="true" outlineLevel="0" collapsed="false">
      <c r="A9" s="18" t="s">
        <v>542</v>
      </c>
      <c r="B9" s="38" t="n">
        <v>144</v>
      </c>
      <c r="C9" s="38" t="n">
        <v>276</v>
      </c>
      <c r="D9" s="46" t="n">
        <f aca="false">AVERAGE(B9:C9)</f>
        <v>210</v>
      </c>
      <c r="E9" s="39" t="s">
        <v>535</v>
      </c>
      <c r="F9" s="25" t="s">
        <v>222</v>
      </c>
    </row>
    <row r="10" customFormat="false" ht="27.75" hidden="false" customHeight="true" outlineLevel="0" collapsed="false">
      <c r="A10" s="18" t="s">
        <v>82</v>
      </c>
      <c r="B10" s="38" t="n">
        <v>72</v>
      </c>
      <c r="C10" s="38" t="n">
        <v>177</v>
      </c>
      <c r="D10" s="46" t="n">
        <f aca="false">AVERAGE(B10:C10)</f>
        <v>124.5</v>
      </c>
      <c r="E10" s="39" t="s">
        <v>535</v>
      </c>
      <c r="F10" s="25" t="s">
        <v>543</v>
      </c>
    </row>
    <row r="12" customFormat="false" ht="21.75" hidden="false" customHeight="true" outlineLevel="0" collapsed="false">
      <c r="A12" s="17" t="s">
        <v>544</v>
      </c>
      <c r="B12" s="17"/>
      <c r="C12" s="17"/>
      <c r="D12" s="17"/>
      <c r="E12" s="17"/>
    </row>
    <row r="13" customFormat="false" ht="31.5" hidden="false" customHeight="true" outlineLevel="0" collapsed="false">
      <c r="A13" s="5" t="s">
        <v>545</v>
      </c>
      <c r="B13" s="5" t="s">
        <v>416</v>
      </c>
      <c r="C13" s="5" t="s">
        <v>157</v>
      </c>
      <c r="D13" s="5" t="s">
        <v>44</v>
      </c>
      <c r="E13" s="5" t="s">
        <v>286</v>
      </c>
    </row>
    <row r="14" customFormat="false" ht="25.35" hidden="false" customHeight="false" outlineLevel="0" collapsed="false">
      <c r="A14" s="53" t="s">
        <v>546</v>
      </c>
      <c r="B14" s="38" t="n">
        <v>80</v>
      </c>
      <c r="C14" s="28" t="s">
        <v>547</v>
      </c>
      <c r="D14" s="20" t="s">
        <v>142</v>
      </c>
      <c r="E14" s="21" t="s">
        <v>548</v>
      </c>
    </row>
    <row r="15" customFormat="false" ht="25.35" hidden="false" customHeight="false" outlineLevel="0" collapsed="false">
      <c r="A15" s="53" t="s">
        <v>549</v>
      </c>
      <c r="B15" s="38" t="n">
        <v>110</v>
      </c>
      <c r="C15" s="28" t="s">
        <v>550</v>
      </c>
      <c r="D15" s="20" t="s">
        <v>142</v>
      </c>
      <c r="E15" s="21" t="s">
        <v>551</v>
      </c>
    </row>
    <row r="17" customFormat="false" ht="15" hidden="false" customHeight="false" outlineLevel="0" collapsed="false">
      <c r="A17" s="18" t="s">
        <v>552</v>
      </c>
      <c r="B17" s="50" t="n">
        <f aca="false">D8/B14</f>
        <v>2.6875</v>
      </c>
    </row>
    <row r="18" customFormat="false" ht="15" hidden="false" customHeight="false" outlineLevel="0" collapsed="false">
      <c r="A18" s="18" t="s">
        <v>553</v>
      </c>
      <c r="B18" s="46" t="n">
        <f aca="false">D8-B14</f>
        <v>135</v>
      </c>
    </row>
    <row r="19" customFormat="false" ht="15" hidden="false" customHeight="false" outlineLevel="0" collapsed="false">
      <c r="A19" s="18" t="s">
        <v>554</v>
      </c>
      <c r="B19" s="46" t="n">
        <f aca="false">D8-B15</f>
        <v>105</v>
      </c>
    </row>
    <row r="20" customFormat="false" ht="15" hidden="false" customHeight="false" outlineLevel="0" collapsed="false">
      <c r="A20" s="18" t="s">
        <v>555</v>
      </c>
      <c r="B20" s="50" t="n">
        <f aca="false">D5/D8</f>
        <v>0.32093023255814</v>
      </c>
    </row>
  </sheetData>
  <mergeCells count="1">
    <mergeCell ref="A12:E1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9.1"/>
    <col collapsed="false" customWidth="true" hidden="false" outlineLevel="0" max="4" min="3" style="0" width="16.38"/>
    <col collapsed="false" customWidth="true" hidden="false" outlineLevel="0" max="5" min="5" style="0" width="14.56"/>
    <col collapsed="false" customWidth="true" hidden="false" outlineLevel="0" max="6" min="6" style="0" width="12.74"/>
    <col collapsed="false" customWidth="true" hidden="false" outlineLevel="0" max="7" min="7" style="0" width="16.38"/>
    <col collapsed="false" customWidth="true" hidden="false" outlineLevel="0" max="8" min="8" style="0" width="11.83"/>
    <col collapsed="false" customWidth="true" hidden="false" outlineLevel="0" max="9" min="9" style="0" width="27.3"/>
    <col collapsed="false" customWidth="true" hidden="false" outlineLevel="0" max="10" min="10" style="0" width="25.47"/>
    <col collapsed="false" customWidth="true" hidden="false" outlineLevel="0" max="11" min="11" style="0" width="50.04"/>
  </cols>
  <sheetData>
    <row r="1" customFormat="false" ht="22.05" hidden="false" customHeight="false" outlineLevel="0" collapsed="false">
      <c r="A1" s="37" t="s">
        <v>556</v>
      </c>
    </row>
    <row r="2" customFormat="false" ht="15" hidden="false" customHeight="false" outlineLevel="0" collapsed="false">
      <c r="A2" s="16" t="s">
        <v>557</v>
      </c>
    </row>
    <row r="4" customFormat="false" ht="31.5" hidden="false" customHeight="true" outlineLevel="0" collapsed="false">
      <c r="A4" s="5" t="s">
        <v>297</v>
      </c>
      <c r="B4" s="5" t="s">
        <v>558</v>
      </c>
      <c r="C4" s="5" t="s">
        <v>559</v>
      </c>
      <c r="D4" s="5" t="s">
        <v>560</v>
      </c>
      <c r="E4" s="5" t="s">
        <v>561</v>
      </c>
      <c r="F4" s="5" t="s">
        <v>562</v>
      </c>
      <c r="G4" s="5" t="s">
        <v>563</v>
      </c>
      <c r="H4" s="5" t="s">
        <v>564</v>
      </c>
      <c r="I4" s="5" t="s">
        <v>565</v>
      </c>
      <c r="J4" s="5" t="s">
        <v>44</v>
      </c>
      <c r="K4" s="5" t="s">
        <v>286</v>
      </c>
    </row>
    <row r="5" customFormat="false" ht="51.75" hidden="false" customHeight="true" outlineLevel="0" collapsed="false">
      <c r="A5" s="53" t="s">
        <v>566</v>
      </c>
      <c r="B5" s="28" t="s">
        <v>287</v>
      </c>
      <c r="C5" s="18" t="s">
        <v>567</v>
      </c>
      <c r="D5" s="38" t="n">
        <v>4000</v>
      </c>
      <c r="E5" s="44" t="s">
        <v>276</v>
      </c>
      <c r="F5" s="38" t="n">
        <v>400</v>
      </c>
      <c r="G5" s="20" t="s">
        <v>468</v>
      </c>
      <c r="H5" s="38" t="n">
        <v>200</v>
      </c>
      <c r="I5" s="21" t="s">
        <v>568</v>
      </c>
      <c r="J5" s="39" t="s">
        <v>569</v>
      </c>
      <c r="K5" s="21" t="s">
        <v>570</v>
      </c>
    </row>
    <row r="6" customFormat="false" ht="51.75" hidden="false" customHeight="true" outlineLevel="0" collapsed="false">
      <c r="A6" s="53" t="s">
        <v>571</v>
      </c>
      <c r="B6" s="28" t="s">
        <v>287</v>
      </c>
      <c r="C6" s="18" t="s">
        <v>572</v>
      </c>
      <c r="D6" s="38" t="n">
        <v>1500</v>
      </c>
      <c r="E6" s="38" t="n">
        <v>15500</v>
      </c>
      <c r="F6" s="38" t="n">
        <v>50</v>
      </c>
      <c r="G6" s="20" t="s">
        <v>573</v>
      </c>
      <c r="H6" s="38" t="n">
        <v>50</v>
      </c>
      <c r="I6" s="26" t="s">
        <v>574</v>
      </c>
      <c r="J6" s="39" t="s">
        <v>575</v>
      </c>
      <c r="K6" s="21" t="s">
        <v>576</v>
      </c>
    </row>
    <row r="7" customFormat="false" ht="51.75" hidden="false" customHeight="true" outlineLevel="0" collapsed="false">
      <c r="A7" s="53" t="s">
        <v>577</v>
      </c>
      <c r="B7" s="28" t="s">
        <v>287</v>
      </c>
      <c r="C7" s="18" t="s">
        <v>572</v>
      </c>
      <c r="D7" s="38" t="n">
        <v>1300</v>
      </c>
      <c r="E7" s="38" t="n">
        <v>6000</v>
      </c>
      <c r="F7" s="38" t="n">
        <v>50</v>
      </c>
      <c r="G7" s="20" t="s">
        <v>578</v>
      </c>
      <c r="H7" s="38" t="n">
        <v>0</v>
      </c>
      <c r="I7" s="25" t="s">
        <v>579</v>
      </c>
      <c r="J7" s="39" t="s">
        <v>580</v>
      </c>
      <c r="K7" s="21" t="s">
        <v>581</v>
      </c>
    </row>
    <row r="8" customFormat="false" ht="51.75" hidden="false" customHeight="true" outlineLevel="0" collapsed="false">
      <c r="A8" s="53" t="s">
        <v>582</v>
      </c>
      <c r="B8" s="28" t="s">
        <v>287</v>
      </c>
      <c r="C8" s="18" t="s">
        <v>583</v>
      </c>
      <c r="D8" s="38" t="n">
        <v>400</v>
      </c>
      <c r="E8" s="44" t="s">
        <v>276</v>
      </c>
      <c r="F8" s="38" t="n">
        <v>400</v>
      </c>
      <c r="G8" s="20" t="s">
        <v>584</v>
      </c>
      <c r="H8" s="38" t="n">
        <v>0</v>
      </c>
      <c r="I8" s="21" t="s">
        <v>585</v>
      </c>
      <c r="J8" s="39" t="s">
        <v>586</v>
      </c>
      <c r="K8" s="21" t="s">
        <v>587</v>
      </c>
    </row>
    <row r="9" customFormat="false" ht="51.75" hidden="false" customHeight="true" outlineLevel="0" collapsed="false">
      <c r="A9" s="53" t="s">
        <v>588</v>
      </c>
      <c r="B9" s="28" t="s">
        <v>287</v>
      </c>
      <c r="C9" s="18" t="s">
        <v>589</v>
      </c>
      <c r="D9" s="38" t="n">
        <v>900</v>
      </c>
      <c r="E9" s="44" t="s">
        <v>276</v>
      </c>
      <c r="F9" s="44" t="s">
        <v>276</v>
      </c>
      <c r="G9" s="52" t="s">
        <v>590</v>
      </c>
      <c r="H9" s="38" t="n">
        <v>0</v>
      </c>
      <c r="I9" s="25" t="s">
        <v>579</v>
      </c>
      <c r="J9" s="39" t="s">
        <v>580</v>
      </c>
      <c r="K9" s="21" t="s">
        <v>591</v>
      </c>
    </row>
    <row r="10" customFormat="false" ht="51.75" hidden="false" customHeight="true" outlineLevel="0" collapsed="false">
      <c r="A10" s="53" t="s">
        <v>592</v>
      </c>
      <c r="B10" s="28" t="s">
        <v>593</v>
      </c>
      <c r="C10" s="18" t="s">
        <v>594</v>
      </c>
      <c r="D10" s="38" t="n">
        <v>335</v>
      </c>
      <c r="E10" s="44" t="s">
        <v>276</v>
      </c>
      <c r="F10" s="44" t="s">
        <v>276</v>
      </c>
      <c r="G10" s="20" t="s">
        <v>578</v>
      </c>
      <c r="H10" s="38" t="n">
        <v>0</v>
      </c>
      <c r="I10" s="25" t="s">
        <v>579</v>
      </c>
      <c r="J10" s="39" t="s">
        <v>580</v>
      </c>
      <c r="K10" s="21" t="s">
        <v>595</v>
      </c>
    </row>
    <row r="11" customFormat="false" ht="51.75" hidden="false" customHeight="true" outlineLevel="0" collapsed="false">
      <c r="A11" s="53" t="s">
        <v>596</v>
      </c>
      <c r="B11" s="28" t="s">
        <v>597</v>
      </c>
      <c r="C11" s="18" t="s">
        <v>598</v>
      </c>
      <c r="D11" s="38" t="n">
        <v>700</v>
      </c>
      <c r="E11" s="38" t="n">
        <v>2600</v>
      </c>
      <c r="F11" s="44" t="s">
        <v>276</v>
      </c>
      <c r="G11" s="20" t="s">
        <v>468</v>
      </c>
      <c r="H11" s="38" t="n">
        <v>0</v>
      </c>
      <c r="I11" s="21" t="s">
        <v>599</v>
      </c>
      <c r="J11" s="39" t="s">
        <v>580</v>
      </c>
      <c r="K11" s="21" t="s">
        <v>600</v>
      </c>
    </row>
    <row r="12" customFormat="false" ht="51.75" hidden="false" customHeight="true" outlineLevel="0" collapsed="false">
      <c r="A12" s="53" t="s">
        <v>601</v>
      </c>
      <c r="B12" s="28" t="s">
        <v>287</v>
      </c>
      <c r="C12" s="23" t="s">
        <v>602</v>
      </c>
      <c r="D12" s="38" t="n">
        <v>324</v>
      </c>
      <c r="E12" s="44" t="s">
        <v>276</v>
      </c>
      <c r="F12" s="38" t="n">
        <v>50</v>
      </c>
      <c r="G12" s="20" t="s">
        <v>578</v>
      </c>
      <c r="H12" s="38" t="n">
        <v>0</v>
      </c>
      <c r="I12" s="25" t="s">
        <v>579</v>
      </c>
      <c r="J12" s="39" t="s">
        <v>580</v>
      </c>
      <c r="K12" s="21" t="s">
        <v>603</v>
      </c>
    </row>
    <row r="13" customFormat="false" ht="15" hidden="false" customHeight="false" outlineLevel="0" collapsed="false">
      <c r="A13" s="59" t="s">
        <v>604</v>
      </c>
      <c r="D13" s="47" t="n">
        <f aca="false">SUM(D5:D12)</f>
        <v>9459</v>
      </c>
      <c r="H13" s="47" t="n">
        <f aca="false">SUM(H5:H12)</f>
        <v>250</v>
      </c>
      <c r="K13" s="25" t="s">
        <v>605</v>
      </c>
    </row>
    <row r="15" customFormat="false" ht="21.75" hidden="false" customHeight="true" outlineLevel="0" collapsed="false">
      <c r="A15" s="17" t="s">
        <v>606</v>
      </c>
      <c r="B15" s="17"/>
      <c r="C15" s="17"/>
      <c r="D15" s="17"/>
      <c r="E15" s="17"/>
    </row>
    <row r="16" customFormat="false" ht="31.5" hidden="false" customHeight="true" outlineLevel="0" collapsed="false">
      <c r="A16" s="5" t="s">
        <v>40</v>
      </c>
      <c r="B16" s="5" t="s">
        <v>41</v>
      </c>
      <c r="C16" s="5" t="s">
        <v>42</v>
      </c>
      <c r="D16" s="5" t="s">
        <v>44</v>
      </c>
      <c r="E16" s="5" t="s">
        <v>286</v>
      </c>
    </row>
    <row r="17" customFormat="false" ht="25.35" hidden="false" customHeight="false" outlineLevel="0" collapsed="false">
      <c r="A17" s="18" t="s">
        <v>607</v>
      </c>
      <c r="B17" s="38" t="n">
        <v>14240</v>
      </c>
      <c r="C17" s="28" t="s">
        <v>247</v>
      </c>
      <c r="D17" s="20" t="s">
        <v>124</v>
      </c>
      <c r="E17" s="21" t="s">
        <v>608</v>
      </c>
    </row>
    <row r="18" customFormat="false" ht="23.1" hidden="false" customHeight="false" outlineLevel="0" collapsed="false">
      <c r="A18" s="18" t="s">
        <v>609</v>
      </c>
      <c r="B18" s="38" t="n">
        <v>4480</v>
      </c>
      <c r="C18" s="28" t="s">
        <v>247</v>
      </c>
      <c r="D18" s="20" t="s">
        <v>124</v>
      </c>
      <c r="E18" s="25" t="s">
        <v>610</v>
      </c>
    </row>
    <row r="19" customFormat="false" ht="15" hidden="false" customHeight="false" outlineLevel="0" collapsed="false">
      <c r="A19" s="18" t="s">
        <v>611</v>
      </c>
      <c r="B19" s="38" t="n">
        <v>56</v>
      </c>
      <c r="C19" s="28" t="s">
        <v>612</v>
      </c>
      <c r="D19" s="20" t="s">
        <v>124</v>
      </c>
      <c r="E19" s="25"/>
    </row>
    <row r="20" customFormat="false" ht="15" hidden="false" customHeight="false" outlineLevel="0" collapsed="false">
      <c r="A20" s="18" t="s">
        <v>613</v>
      </c>
      <c r="B20" s="38" t="n">
        <v>16000</v>
      </c>
      <c r="C20" s="28" t="s">
        <v>614</v>
      </c>
      <c r="D20" s="20" t="s">
        <v>124</v>
      </c>
      <c r="E20" s="25"/>
    </row>
    <row r="22" customFormat="false" ht="15" hidden="false" customHeight="false" outlineLevel="0" collapsed="false">
      <c r="A22" s="23" t="s">
        <v>615</v>
      </c>
      <c r="B22" s="29" t="n">
        <f aca="false">D5/B17</f>
        <v>0.280898876404494</v>
      </c>
    </row>
    <row r="23" customFormat="false" ht="15" hidden="false" customHeight="false" outlineLevel="0" collapsed="false">
      <c r="A23" s="23" t="s">
        <v>616</v>
      </c>
      <c r="B23" s="29" t="n">
        <f aca="false">D13/B17</f>
        <v>0.664255617977528</v>
      </c>
    </row>
    <row r="24" customFormat="false" ht="15" hidden="false" customHeight="false" outlineLevel="0" collapsed="false">
      <c r="A24" s="18" t="s">
        <v>617</v>
      </c>
      <c r="B24" s="46" t="n">
        <f aca="false">H13</f>
        <v>250</v>
      </c>
    </row>
    <row r="25" customFormat="false" ht="15" hidden="false" customHeight="false" outlineLevel="0" collapsed="false">
      <c r="A25" s="18" t="s">
        <v>618</v>
      </c>
      <c r="B25" s="46" t="n">
        <f aca="false">H5</f>
        <v>200</v>
      </c>
    </row>
    <row r="26" customFormat="false" ht="15" hidden="false" customHeight="false" outlineLevel="0" collapsed="false">
      <c r="A26" s="18" t="s">
        <v>619</v>
      </c>
      <c r="B26" s="46" t="n">
        <f aca="false">H6</f>
        <v>50</v>
      </c>
    </row>
  </sheetData>
  <mergeCells count="1">
    <mergeCell ref="A15:E1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40.94"/>
    <col collapsed="false" customWidth="true" hidden="false" outlineLevel="0" max="2" min="2" style="0" width="12.74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54.59"/>
  </cols>
  <sheetData>
    <row r="1" customFormat="false" ht="22.05" hidden="false" customHeight="false" outlineLevel="0" collapsed="false">
      <c r="A1" s="37" t="s">
        <v>620</v>
      </c>
    </row>
    <row r="2" customFormat="false" ht="15" hidden="false" customHeight="false" outlineLevel="0" collapsed="false">
      <c r="A2" s="16" t="s">
        <v>621</v>
      </c>
    </row>
    <row r="4" customFormat="false" ht="31.5" hidden="false" customHeight="true" outlineLevel="0" collapsed="false">
      <c r="A4" s="5" t="s">
        <v>40</v>
      </c>
      <c r="B4" s="5" t="s">
        <v>41</v>
      </c>
      <c r="C4" s="5" t="s">
        <v>42</v>
      </c>
      <c r="D4" s="5" t="s">
        <v>44</v>
      </c>
      <c r="E4" s="5" t="s">
        <v>286</v>
      </c>
    </row>
    <row r="5" customFormat="false" ht="30" hidden="false" customHeight="true" outlineLevel="0" collapsed="false">
      <c r="A5" s="18" t="s">
        <v>622</v>
      </c>
      <c r="B5" s="38" t="n">
        <v>2061</v>
      </c>
      <c r="C5" s="20" t="s">
        <v>209</v>
      </c>
      <c r="D5" s="39" t="s">
        <v>623</v>
      </c>
      <c r="E5" s="25" t="s">
        <v>624</v>
      </c>
    </row>
    <row r="6" customFormat="false" ht="30" hidden="false" customHeight="true" outlineLevel="0" collapsed="false">
      <c r="A6" s="23" t="s">
        <v>625</v>
      </c>
      <c r="B6" s="38" t="n">
        <v>61</v>
      </c>
      <c r="C6" s="28" t="s">
        <v>626</v>
      </c>
      <c r="D6" s="39" t="s">
        <v>623</v>
      </c>
      <c r="E6" s="21" t="s">
        <v>627</v>
      </c>
    </row>
    <row r="7" customFormat="false" ht="30" hidden="false" customHeight="true" outlineLevel="0" collapsed="false">
      <c r="A7" s="23" t="s">
        <v>628</v>
      </c>
      <c r="B7" s="60" t="n">
        <v>0.19</v>
      </c>
      <c r="C7" s="20" t="s">
        <v>53</v>
      </c>
      <c r="D7" s="39" t="s">
        <v>623</v>
      </c>
      <c r="E7" s="25" t="s">
        <v>629</v>
      </c>
    </row>
    <row r="8" customFormat="false" ht="30" hidden="false" customHeight="true" outlineLevel="0" collapsed="false">
      <c r="A8" s="18" t="s">
        <v>630</v>
      </c>
      <c r="B8" s="38" t="s">
        <v>631</v>
      </c>
      <c r="C8" s="28" t="s">
        <v>626</v>
      </c>
      <c r="D8" s="39" t="s">
        <v>632</v>
      </c>
      <c r="E8" s="21" t="s">
        <v>633</v>
      </c>
    </row>
    <row r="9" customFormat="false" ht="30" hidden="false" customHeight="true" outlineLevel="0" collapsed="false">
      <c r="A9" s="18" t="s">
        <v>634</v>
      </c>
      <c r="B9" s="38" t="s">
        <v>635</v>
      </c>
      <c r="C9" s="20" t="s">
        <v>53</v>
      </c>
      <c r="D9" s="39" t="s">
        <v>632</v>
      </c>
      <c r="E9" s="25" t="s">
        <v>636</v>
      </c>
    </row>
    <row r="10" customFormat="false" ht="30" hidden="false" customHeight="true" outlineLevel="0" collapsed="false">
      <c r="A10" s="23" t="s">
        <v>637</v>
      </c>
      <c r="B10" s="38" t="n">
        <v>116</v>
      </c>
      <c r="C10" s="20" t="s">
        <v>209</v>
      </c>
      <c r="D10" s="39" t="s">
        <v>638</v>
      </c>
      <c r="E10" s="21" t="s">
        <v>639</v>
      </c>
    </row>
    <row r="11" customFormat="false" ht="30" hidden="false" customHeight="true" outlineLevel="0" collapsed="false">
      <c r="A11" s="23" t="s">
        <v>640</v>
      </c>
      <c r="B11" s="38" t="n">
        <v>20</v>
      </c>
      <c r="C11" s="52" t="s">
        <v>641</v>
      </c>
      <c r="D11" s="39" t="s">
        <v>638</v>
      </c>
      <c r="E11" s="21" t="s">
        <v>642</v>
      </c>
    </row>
    <row r="12" customFormat="false" ht="30" hidden="false" customHeight="true" outlineLevel="0" collapsed="false">
      <c r="A12" s="23" t="s">
        <v>643</v>
      </c>
      <c r="B12" s="60" t="n">
        <v>0.2</v>
      </c>
      <c r="C12" s="20" t="s">
        <v>53</v>
      </c>
      <c r="D12" s="39" t="s">
        <v>162</v>
      </c>
      <c r="E12" s="25" t="s">
        <v>644</v>
      </c>
    </row>
    <row r="13" customFormat="false" ht="30" hidden="false" customHeight="true" outlineLevel="0" collapsed="false">
      <c r="A13" s="23" t="s">
        <v>645</v>
      </c>
      <c r="B13" s="38" t="s">
        <v>646</v>
      </c>
      <c r="C13" s="28" t="s">
        <v>647</v>
      </c>
      <c r="D13" s="39" t="s">
        <v>162</v>
      </c>
      <c r="E13" s="25" t="s">
        <v>648</v>
      </c>
    </row>
    <row r="14" customFormat="false" ht="30" hidden="false" customHeight="true" outlineLevel="0" collapsed="false">
      <c r="A14" s="23" t="s">
        <v>649</v>
      </c>
      <c r="B14" s="38" t="n">
        <v>350</v>
      </c>
      <c r="C14" s="28" t="s">
        <v>88</v>
      </c>
      <c r="D14" s="39" t="s">
        <v>650</v>
      </c>
      <c r="E14" s="25" t="s">
        <v>651</v>
      </c>
    </row>
    <row r="15" customFormat="false" ht="30" hidden="false" customHeight="true" outlineLevel="0" collapsed="false">
      <c r="A15" s="23" t="s">
        <v>652</v>
      </c>
      <c r="B15" s="38" t="n">
        <v>7</v>
      </c>
      <c r="C15" s="28" t="s">
        <v>647</v>
      </c>
      <c r="D15" s="39" t="s">
        <v>650</v>
      </c>
      <c r="E15" s="25" t="s">
        <v>653</v>
      </c>
    </row>
    <row r="16" customFormat="false" ht="30" hidden="false" customHeight="true" outlineLevel="0" collapsed="false">
      <c r="A16" s="23" t="s">
        <v>654</v>
      </c>
      <c r="B16" s="38" t="n">
        <v>100</v>
      </c>
      <c r="C16" s="28" t="s">
        <v>655</v>
      </c>
      <c r="D16" s="39" t="s">
        <v>255</v>
      </c>
      <c r="E16" s="21" t="s">
        <v>656</v>
      </c>
    </row>
    <row r="17" customFormat="false" ht="30" hidden="false" customHeight="true" outlineLevel="0" collapsed="false">
      <c r="A17" s="18" t="s">
        <v>657</v>
      </c>
      <c r="B17" s="60" t="n">
        <v>89.63</v>
      </c>
      <c r="C17" s="28" t="s">
        <v>658</v>
      </c>
      <c r="D17" s="39" t="s">
        <v>580</v>
      </c>
      <c r="E17" s="21" t="s">
        <v>659</v>
      </c>
    </row>
    <row r="18" customFormat="false" ht="30" hidden="false" customHeight="true" outlineLevel="0" collapsed="false">
      <c r="A18" s="18" t="s">
        <v>660</v>
      </c>
      <c r="B18" s="38" t="n">
        <v>5000</v>
      </c>
      <c r="C18" s="28" t="s">
        <v>88</v>
      </c>
      <c r="D18" s="39" t="s">
        <v>162</v>
      </c>
      <c r="E18" s="25" t="s">
        <v>661</v>
      </c>
    </row>
    <row r="19" customFormat="false" ht="30" hidden="false" customHeight="true" outlineLevel="0" collapsed="false">
      <c r="A19" s="18" t="s">
        <v>662</v>
      </c>
      <c r="B19" s="38" t="n">
        <v>70000</v>
      </c>
      <c r="C19" s="28" t="s">
        <v>88</v>
      </c>
      <c r="D19" s="39" t="s">
        <v>304</v>
      </c>
      <c r="E19" s="25" t="s">
        <v>663</v>
      </c>
    </row>
    <row r="22" customFormat="false" ht="21.75" hidden="false" customHeight="true" outlineLevel="0" collapsed="false">
      <c r="A22" s="17" t="s">
        <v>664</v>
      </c>
      <c r="B22" s="17"/>
      <c r="C22" s="17"/>
      <c r="D22" s="17"/>
      <c r="E22" s="17"/>
    </row>
    <row r="23" customFormat="false" ht="69.75" hidden="false" customHeight="true" outlineLevel="0" collapsed="false">
      <c r="A23" s="43" t="s">
        <v>665</v>
      </c>
      <c r="B23" s="43"/>
      <c r="C23" s="43"/>
      <c r="D23" s="43"/>
      <c r="E23" s="43"/>
    </row>
  </sheetData>
  <mergeCells count="2">
    <mergeCell ref="A22:E22"/>
    <mergeCell ref="A23:E2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6.37"/>
    <col collapsed="false" customWidth="true" hidden="false" outlineLevel="0" max="2" min="2" style="0" width="30.93"/>
    <col collapsed="false" customWidth="true" hidden="false" outlineLevel="0" max="3" min="3" style="0" width="21.84"/>
    <col collapsed="false" customWidth="true" hidden="false" outlineLevel="0" max="4" min="4" style="0" width="40.03"/>
    <col collapsed="false" customWidth="true" hidden="false" outlineLevel="0" max="5" min="5" style="0" width="10.01"/>
    <col collapsed="false" customWidth="true" hidden="false" outlineLevel="0" max="6" min="6" style="0" width="12.74"/>
    <col collapsed="false" customWidth="true" hidden="false" outlineLevel="0" max="7" min="7" style="0" width="72.79"/>
    <col collapsed="false" customWidth="true" hidden="false" outlineLevel="0" max="8" min="8" style="0" width="10.01"/>
  </cols>
  <sheetData>
    <row r="1" customFormat="false" ht="22.05" hidden="false" customHeight="false" outlineLevel="0" collapsed="false">
      <c r="A1" s="37" t="s">
        <v>666</v>
      </c>
    </row>
    <row r="2" customFormat="false" ht="15" hidden="false" customHeight="false" outlineLevel="0" collapsed="false">
      <c r="A2" s="16" t="s">
        <v>667</v>
      </c>
    </row>
    <row r="4" customFormat="false" ht="31.5" hidden="false" customHeight="true" outlineLevel="0" collapsed="false">
      <c r="A4" s="5" t="s">
        <v>154</v>
      </c>
      <c r="B4" s="5" t="s">
        <v>668</v>
      </c>
      <c r="C4" s="5" t="s">
        <v>669</v>
      </c>
      <c r="D4" s="5" t="s">
        <v>670</v>
      </c>
      <c r="E4" s="5" t="s">
        <v>302</v>
      </c>
      <c r="F4" s="5" t="s">
        <v>157</v>
      </c>
      <c r="G4" s="5" t="s">
        <v>671</v>
      </c>
      <c r="H4" s="5" t="s">
        <v>672</v>
      </c>
    </row>
    <row r="5" customFormat="false" ht="43.5" hidden="false" customHeight="true" outlineLevel="0" collapsed="false">
      <c r="A5" s="20" t="s">
        <v>93</v>
      </c>
      <c r="B5" s="21" t="s">
        <v>673</v>
      </c>
      <c r="C5" s="26" t="s">
        <v>674</v>
      </c>
      <c r="D5" s="26" t="s">
        <v>675</v>
      </c>
      <c r="E5" s="20" t="s">
        <v>316</v>
      </c>
      <c r="F5" s="28" t="s">
        <v>676</v>
      </c>
      <c r="G5" s="61" t="s">
        <v>677</v>
      </c>
      <c r="H5" s="20" t="s">
        <v>678</v>
      </c>
    </row>
    <row r="6" customFormat="false" ht="43.5" hidden="false" customHeight="true" outlineLevel="0" collapsed="false">
      <c r="A6" s="20" t="s">
        <v>679</v>
      </c>
      <c r="B6" s="21" t="s">
        <v>680</v>
      </c>
      <c r="C6" s="26" t="s">
        <v>681</v>
      </c>
      <c r="D6" s="26" t="s">
        <v>682</v>
      </c>
      <c r="E6" s="20" t="s">
        <v>683</v>
      </c>
      <c r="F6" s="28" t="s">
        <v>676</v>
      </c>
      <c r="G6" s="61" t="s">
        <v>684</v>
      </c>
      <c r="H6" s="20" t="s">
        <v>678</v>
      </c>
    </row>
    <row r="7" customFormat="false" ht="43.5" hidden="false" customHeight="true" outlineLevel="0" collapsed="false">
      <c r="A7" s="20" t="s">
        <v>685</v>
      </c>
      <c r="B7" s="21" t="s">
        <v>686</v>
      </c>
      <c r="C7" s="26" t="s">
        <v>681</v>
      </c>
      <c r="D7" s="26" t="s">
        <v>687</v>
      </c>
      <c r="E7" s="20" t="s">
        <v>688</v>
      </c>
      <c r="F7" s="28" t="s">
        <v>676</v>
      </c>
      <c r="G7" s="61" t="s">
        <v>689</v>
      </c>
      <c r="H7" s="20" t="s">
        <v>678</v>
      </c>
    </row>
    <row r="8" customFormat="false" ht="43.5" hidden="false" customHeight="true" outlineLevel="0" collapsed="false">
      <c r="A8" s="20" t="s">
        <v>48</v>
      </c>
      <c r="B8" s="21" t="s">
        <v>690</v>
      </c>
      <c r="C8" s="26" t="s">
        <v>691</v>
      </c>
      <c r="D8" s="26" t="s">
        <v>692</v>
      </c>
      <c r="E8" s="20" t="s">
        <v>693</v>
      </c>
      <c r="F8" s="28" t="s">
        <v>694</v>
      </c>
      <c r="G8" s="62" t="s">
        <v>695</v>
      </c>
      <c r="H8" s="20" t="s">
        <v>678</v>
      </c>
    </row>
    <row r="9" customFormat="false" ht="43.5" hidden="false" customHeight="true" outlineLevel="0" collapsed="false">
      <c r="A9" s="20" t="s">
        <v>79</v>
      </c>
      <c r="B9" s="21" t="s">
        <v>696</v>
      </c>
      <c r="C9" s="26" t="s">
        <v>691</v>
      </c>
      <c r="D9" s="26" t="s">
        <v>697</v>
      </c>
      <c r="E9" s="20" t="s">
        <v>693</v>
      </c>
      <c r="F9" s="28" t="s">
        <v>694</v>
      </c>
      <c r="G9" s="62" t="s">
        <v>698</v>
      </c>
      <c r="H9" s="20" t="s">
        <v>678</v>
      </c>
    </row>
    <row r="10" customFormat="false" ht="43.5" hidden="false" customHeight="true" outlineLevel="0" collapsed="false">
      <c r="A10" s="20" t="s">
        <v>67</v>
      </c>
      <c r="B10" s="21" t="s">
        <v>699</v>
      </c>
      <c r="C10" s="26" t="s">
        <v>674</v>
      </c>
      <c r="D10" s="26" t="s">
        <v>700</v>
      </c>
      <c r="E10" s="20" t="s">
        <v>701</v>
      </c>
      <c r="F10" s="28" t="s">
        <v>702</v>
      </c>
      <c r="G10" s="62" t="s">
        <v>703</v>
      </c>
      <c r="H10" s="20" t="s">
        <v>678</v>
      </c>
    </row>
    <row r="11" customFormat="false" ht="43.5" hidden="false" customHeight="true" outlineLevel="0" collapsed="false">
      <c r="A11" s="20" t="s">
        <v>704</v>
      </c>
      <c r="B11" s="21" t="s">
        <v>705</v>
      </c>
      <c r="C11" s="26" t="s">
        <v>674</v>
      </c>
      <c r="D11" s="26" t="s">
        <v>706</v>
      </c>
      <c r="E11" s="20" t="s">
        <v>707</v>
      </c>
      <c r="F11" s="28" t="s">
        <v>708</v>
      </c>
      <c r="G11" s="62" t="s">
        <v>709</v>
      </c>
      <c r="H11" s="20" t="s">
        <v>678</v>
      </c>
    </row>
    <row r="12" customFormat="false" ht="43.5" hidden="false" customHeight="true" outlineLevel="0" collapsed="false">
      <c r="A12" s="20" t="s">
        <v>710</v>
      </c>
      <c r="B12" s="21" t="s">
        <v>711</v>
      </c>
      <c r="C12" s="26" t="s">
        <v>712</v>
      </c>
      <c r="D12" s="26" t="s">
        <v>713</v>
      </c>
      <c r="E12" s="20" t="s">
        <v>707</v>
      </c>
      <c r="F12" s="28" t="s">
        <v>714</v>
      </c>
      <c r="G12" s="62" t="s">
        <v>715</v>
      </c>
      <c r="H12" s="20" t="s">
        <v>678</v>
      </c>
    </row>
    <row r="13" customFormat="false" ht="43.5" hidden="false" customHeight="true" outlineLevel="0" collapsed="false">
      <c r="A13" s="20" t="s">
        <v>716</v>
      </c>
      <c r="B13" s="21" t="s">
        <v>717</v>
      </c>
      <c r="C13" s="26" t="s">
        <v>681</v>
      </c>
      <c r="D13" s="26" t="s">
        <v>718</v>
      </c>
      <c r="E13" s="20" t="s">
        <v>678</v>
      </c>
      <c r="F13" s="28" t="s">
        <v>719</v>
      </c>
      <c r="G13" s="61" t="s">
        <v>720</v>
      </c>
      <c r="H13" s="20" t="s">
        <v>678</v>
      </c>
    </row>
    <row r="14" customFormat="false" ht="43.5" hidden="false" customHeight="true" outlineLevel="0" collapsed="false">
      <c r="A14" s="20" t="s">
        <v>493</v>
      </c>
      <c r="B14" s="21" t="s">
        <v>721</v>
      </c>
      <c r="C14" s="26" t="s">
        <v>722</v>
      </c>
      <c r="D14" s="26" t="s">
        <v>723</v>
      </c>
      <c r="E14" s="20" t="s">
        <v>724</v>
      </c>
      <c r="F14" s="28" t="s">
        <v>725</v>
      </c>
      <c r="G14" s="62" t="s">
        <v>726</v>
      </c>
      <c r="H14" s="20" t="s">
        <v>678</v>
      </c>
    </row>
    <row r="15" customFormat="false" ht="43.5" hidden="false" customHeight="true" outlineLevel="0" collapsed="false">
      <c r="A15" s="20" t="s">
        <v>727</v>
      </c>
      <c r="B15" s="21" t="s">
        <v>728</v>
      </c>
      <c r="C15" s="26" t="s">
        <v>466</v>
      </c>
      <c r="D15" s="26" t="s">
        <v>729</v>
      </c>
      <c r="E15" s="20" t="s">
        <v>730</v>
      </c>
      <c r="F15" s="28" t="s">
        <v>708</v>
      </c>
      <c r="G15" s="62" t="s">
        <v>731</v>
      </c>
      <c r="H15" s="20" t="s">
        <v>678</v>
      </c>
    </row>
    <row r="16" customFormat="false" ht="43.5" hidden="false" customHeight="true" outlineLevel="0" collapsed="false">
      <c r="A16" s="20" t="s">
        <v>128</v>
      </c>
      <c r="B16" s="21" t="s">
        <v>732</v>
      </c>
      <c r="C16" s="26" t="s">
        <v>733</v>
      </c>
      <c r="D16" s="26" t="s">
        <v>734</v>
      </c>
      <c r="E16" s="20" t="s">
        <v>735</v>
      </c>
      <c r="F16" s="28" t="s">
        <v>714</v>
      </c>
      <c r="G16" s="61" t="s">
        <v>736</v>
      </c>
      <c r="H16" s="20" t="s">
        <v>678</v>
      </c>
    </row>
    <row r="17" customFormat="false" ht="43.5" hidden="false" customHeight="true" outlineLevel="0" collapsed="false">
      <c r="A17" s="20" t="s">
        <v>131</v>
      </c>
      <c r="B17" s="21" t="s">
        <v>737</v>
      </c>
      <c r="C17" s="26" t="s">
        <v>571</v>
      </c>
      <c r="D17" s="26" t="s">
        <v>738</v>
      </c>
      <c r="E17" s="20" t="s">
        <v>739</v>
      </c>
      <c r="F17" s="28" t="s">
        <v>708</v>
      </c>
      <c r="G17" s="61" t="s">
        <v>740</v>
      </c>
      <c r="H17" s="20" t="s">
        <v>678</v>
      </c>
    </row>
    <row r="18" customFormat="false" ht="43.5" hidden="false" customHeight="true" outlineLevel="0" collapsed="false">
      <c r="A18" s="20" t="s">
        <v>741</v>
      </c>
      <c r="B18" s="21" t="s">
        <v>742</v>
      </c>
      <c r="C18" s="26" t="s">
        <v>743</v>
      </c>
      <c r="D18" s="26" t="s">
        <v>744</v>
      </c>
      <c r="E18" s="20" t="s">
        <v>745</v>
      </c>
      <c r="F18" s="28" t="s">
        <v>746</v>
      </c>
      <c r="G18" s="62" t="s">
        <v>747</v>
      </c>
      <c r="H18" s="20" t="s">
        <v>678</v>
      </c>
    </row>
    <row r="19" customFormat="false" ht="43.5" hidden="false" customHeight="true" outlineLevel="0" collapsed="false">
      <c r="A19" s="20" t="s">
        <v>748</v>
      </c>
      <c r="B19" s="21" t="s">
        <v>749</v>
      </c>
      <c r="C19" s="26" t="s">
        <v>460</v>
      </c>
      <c r="D19" s="26" t="s">
        <v>750</v>
      </c>
      <c r="E19" s="20" t="s">
        <v>751</v>
      </c>
      <c r="F19" s="28" t="s">
        <v>708</v>
      </c>
      <c r="G19" s="62" t="s">
        <v>752</v>
      </c>
      <c r="H19" s="20" t="s">
        <v>678</v>
      </c>
    </row>
    <row r="20" customFormat="false" ht="43.5" hidden="false" customHeight="true" outlineLevel="0" collapsed="false">
      <c r="A20" s="20" t="s">
        <v>138</v>
      </c>
      <c r="B20" s="21" t="s">
        <v>753</v>
      </c>
      <c r="C20" s="26" t="s">
        <v>754</v>
      </c>
      <c r="D20" s="26" t="s">
        <v>755</v>
      </c>
      <c r="E20" s="20" t="s">
        <v>130</v>
      </c>
      <c r="F20" s="28" t="s">
        <v>756</v>
      </c>
      <c r="G20" s="61" t="s">
        <v>757</v>
      </c>
      <c r="H20" s="20" t="s">
        <v>678</v>
      </c>
    </row>
    <row r="21" customFormat="false" ht="43.5" hidden="false" customHeight="true" outlineLevel="0" collapsed="false">
      <c r="A21" s="20" t="s">
        <v>61</v>
      </c>
      <c r="B21" s="21" t="s">
        <v>758</v>
      </c>
      <c r="C21" s="26" t="s">
        <v>759</v>
      </c>
      <c r="D21" s="26" t="s">
        <v>760</v>
      </c>
      <c r="E21" s="20" t="s">
        <v>761</v>
      </c>
      <c r="F21" s="28" t="s">
        <v>762</v>
      </c>
      <c r="G21" s="62" t="s">
        <v>763</v>
      </c>
      <c r="H21" s="20" t="s">
        <v>678</v>
      </c>
    </row>
    <row r="22" customFormat="false" ht="43.5" hidden="false" customHeight="true" outlineLevel="0" collapsed="false">
      <c r="A22" s="20" t="s">
        <v>764</v>
      </c>
      <c r="B22" s="26" t="s">
        <v>765</v>
      </c>
      <c r="C22" s="26" t="s">
        <v>766</v>
      </c>
      <c r="D22" s="26" t="s">
        <v>767</v>
      </c>
      <c r="E22" s="20" t="s">
        <v>130</v>
      </c>
      <c r="F22" s="28" t="s">
        <v>768</v>
      </c>
      <c r="G22" s="61" t="s">
        <v>769</v>
      </c>
      <c r="H22" s="20" t="s">
        <v>678</v>
      </c>
    </row>
    <row r="23" customFormat="false" ht="43.5" hidden="false" customHeight="true" outlineLevel="0" collapsed="false">
      <c r="A23" s="20" t="s">
        <v>770</v>
      </c>
      <c r="B23" s="21" t="s">
        <v>771</v>
      </c>
      <c r="C23" s="26" t="s">
        <v>772</v>
      </c>
      <c r="D23" s="26" t="s">
        <v>773</v>
      </c>
      <c r="E23" s="20" t="s">
        <v>774</v>
      </c>
      <c r="F23" s="28" t="s">
        <v>708</v>
      </c>
      <c r="G23" s="61" t="s">
        <v>775</v>
      </c>
      <c r="H23" s="20" t="s">
        <v>678</v>
      </c>
    </row>
    <row r="24" customFormat="false" ht="43.5" hidden="false" customHeight="true" outlineLevel="0" collapsed="false">
      <c r="A24" s="20" t="s">
        <v>776</v>
      </c>
      <c r="B24" s="21" t="s">
        <v>777</v>
      </c>
      <c r="C24" s="26" t="s">
        <v>778</v>
      </c>
      <c r="D24" s="26" t="s">
        <v>779</v>
      </c>
      <c r="E24" s="20" t="s">
        <v>688</v>
      </c>
      <c r="F24" s="28" t="s">
        <v>714</v>
      </c>
      <c r="G24" s="61" t="s">
        <v>780</v>
      </c>
      <c r="H24" s="20" t="s">
        <v>678</v>
      </c>
    </row>
    <row r="25" customFormat="false" ht="43.5" hidden="false" customHeight="true" outlineLevel="0" collapsed="false">
      <c r="A25" s="20" t="s">
        <v>781</v>
      </c>
      <c r="B25" s="25" t="s">
        <v>782</v>
      </c>
      <c r="C25" s="21" t="s">
        <v>783</v>
      </c>
      <c r="D25" s="26" t="s">
        <v>784</v>
      </c>
      <c r="E25" s="20" t="s">
        <v>785</v>
      </c>
      <c r="F25" s="28" t="s">
        <v>714</v>
      </c>
      <c r="G25" s="61" t="s">
        <v>786</v>
      </c>
      <c r="H25" s="20" t="s">
        <v>678</v>
      </c>
    </row>
    <row r="26" customFormat="false" ht="43.5" hidden="false" customHeight="true" outlineLevel="0" collapsed="false">
      <c r="A26" s="20" t="s">
        <v>787</v>
      </c>
      <c r="B26" s="21" t="s">
        <v>788</v>
      </c>
      <c r="C26" s="26" t="s">
        <v>789</v>
      </c>
      <c r="D26" s="26" t="s">
        <v>790</v>
      </c>
      <c r="E26" s="20" t="s">
        <v>791</v>
      </c>
      <c r="F26" s="28" t="s">
        <v>714</v>
      </c>
      <c r="G26" s="61" t="s">
        <v>792</v>
      </c>
      <c r="H26" s="20" t="s">
        <v>678</v>
      </c>
    </row>
    <row r="27" customFormat="false" ht="43.5" hidden="false" customHeight="true" outlineLevel="0" collapsed="false">
      <c r="A27" s="20" t="s">
        <v>142</v>
      </c>
      <c r="B27" s="21" t="s">
        <v>793</v>
      </c>
      <c r="C27" s="26" t="s">
        <v>794</v>
      </c>
      <c r="D27" s="26" t="s">
        <v>795</v>
      </c>
      <c r="E27" s="20" t="s">
        <v>796</v>
      </c>
      <c r="F27" s="28" t="s">
        <v>547</v>
      </c>
      <c r="G27" s="62" t="s">
        <v>797</v>
      </c>
      <c r="H27" s="20" t="s">
        <v>678</v>
      </c>
    </row>
    <row r="28" customFormat="false" ht="43.5" hidden="false" customHeight="true" outlineLevel="0" collapsed="false">
      <c r="A28" s="20" t="s">
        <v>124</v>
      </c>
      <c r="B28" s="21" t="s">
        <v>798</v>
      </c>
      <c r="C28" s="26" t="s">
        <v>799</v>
      </c>
      <c r="D28" s="26" t="s">
        <v>800</v>
      </c>
      <c r="E28" s="20" t="s">
        <v>127</v>
      </c>
      <c r="F28" s="28" t="s">
        <v>801</v>
      </c>
      <c r="G28" s="61" t="s">
        <v>802</v>
      </c>
      <c r="H28" s="20" t="s">
        <v>678</v>
      </c>
    </row>
    <row r="29" customFormat="false" ht="43.5" hidden="false" customHeight="true" outlineLevel="0" collapsed="false">
      <c r="A29" s="20" t="s">
        <v>803</v>
      </c>
      <c r="B29" s="21" t="s">
        <v>804</v>
      </c>
      <c r="C29" s="26" t="s">
        <v>805</v>
      </c>
      <c r="D29" s="26" t="s">
        <v>806</v>
      </c>
      <c r="E29" s="20" t="s">
        <v>678</v>
      </c>
      <c r="F29" s="28" t="s">
        <v>807</v>
      </c>
      <c r="G29" s="61" t="s">
        <v>808</v>
      </c>
      <c r="H29" s="20" t="s">
        <v>678</v>
      </c>
    </row>
    <row r="30" customFormat="false" ht="43.5" hidden="false" customHeight="true" outlineLevel="0" collapsed="false">
      <c r="A30" s="20" t="s">
        <v>809</v>
      </c>
      <c r="B30" s="21" t="s">
        <v>810</v>
      </c>
      <c r="C30" s="26" t="s">
        <v>811</v>
      </c>
      <c r="D30" s="26" t="s">
        <v>812</v>
      </c>
      <c r="E30" s="20" t="s">
        <v>813</v>
      </c>
      <c r="F30" s="28" t="s">
        <v>714</v>
      </c>
      <c r="G30" s="62" t="s">
        <v>814</v>
      </c>
      <c r="H30" s="20" t="s">
        <v>678</v>
      </c>
    </row>
    <row r="31" customFormat="false" ht="43.5" hidden="false" customHeight="true" outlineLevel="0" collapsed="false">
      <c r="A31" s="20" t="s">
        <v>328</v>
      </c>
      <c r="B31" s="21" t="s">
        <v>815</v>
      </c>
      <c r="C31" s="26" t="s">
        <v>816</v>
      </c>
      <c r="D31" s="21" t="s">
        <v>817</v>
      </c>
      <c r="E31" s="20" t="s">
        <v>309</v>
      </c>
      <c r="F31" s="28" t="s">
        <v>714</v>
      </c>
      <c r="G31" s="62" t="s">
        <v>818</v>
      </c>
      <c r="H31" s="20" t="s">
        <v>678</v>
      </c>
    </row>
    <row r="32" customFormat="false" ht="43.5" hidden="false" customHeight="true" outlineLevel="0" collapsed="false">
      <c r="A32" s="20" t="s">
        <v>334</v>
      </c>
      <c r="B32" s="21" t="s">
        <v>819</v>
      </c>
      <c r="C32" s="26" t="s">
        <v>820</v>
      </c>
      <c r="D32" s="26" t="s">
        <v>821</v>
      </c>
      <c r="E32" s="20" t="s">
        <v>305</v>
      </c>
      <c r="F32" s="28" t="s">
        <v>714</v>
      </c>
      <c r="G32" s="62" t="s">
        <v>822</v>
      </c>
      <c r="H32" s="20" t="s">
        <v>678</v>
      </c>
    </row>
    <row r="33" customFormat="false" ht="43.5" hidden="false" customHeight="true" outlineLevel="0" collapsed="false">
      <c r="A33" s="20" t="s">
        <v>823</v>
      </c>
      <c r="B33" s="21" t="s">
        <v>824</v>
      </c>
      <c r="C33" s="26" t="s">
        <v>825</v>
      </c>
      <c r="D33" s="26" t="s">
        <v>826</v>
      </c>
      <c r="E33" s="20" t="s">
        <v>313</v>
      </c>
      <c r="F33" s="28" t="s">
        <v>714</v>
      </c>
      <c r="G33" s="62" t="s">
        <v>827</v>
      </c>
      <c r="H33" s="20" t="s">
        <v>678</v>
      </c>
    </row>
    <row r="34" customFormat="false" ht="43.5" hidden="false" customHeight="true" outlineLevel="0" collapsed="false">
      <c r="A34" s="20" t="s">
        <v>828</v>
      </c>
      <c r="B34" s="21" t="s">
        <v>829</v>
      </c>
      <c r="C34" s="26" t="s">
        <v>830</v>
      </c>
      <c r="D34" s="26" t="s">
        <v>831</v>
      </c>
      <c r="E34" s="20" t="s">
        <v>832</v>
      </c>
      <c r="F34" s="28" t="s">
        <v>714</v>
      </c>
      <c r="G34" s="62" t="s">
        <v>833</v>
      </c>
      <c r="H34" s="20" t="s">
        <v>678</v>
      </c>
    </row>
    <row r="35" customFormat="false" ht="43.5" hidden="false" customHeight="true" outlineLevel="0" collapsed="false">
      <c r="A35" s="20" t="s">
        <v>834</v>
      </c>
      <c r="B35" s="25" t="s">
        <v>835</v>
      </c>
      <c r="C35" s="25" t="s">
        <v>836</v>
      </c>
      <c r="D35" s="25" t="s">
        <v>837</v>
      </c>
      <c r="E35" s="20" t="s">
        <v>838</v>
      </c>
      <c r="F35" s="28" t="s">
        <v>839</v>
      </c>
      <c r="G35" s="61" t="s">
        <v>840</v>
      </c>
      <c r="H35" s="20" t="s">
        <v>678</v>
      </c>
    </row>
    <row r="36" customFormat="false" ht="43.5" hidden="false" customHeight="true" outlineLevel="0" collapsed="false">
      <c r="A36" s="20" t="s">
        <v>841</v>
      </c>
      <c r="B36" s="21" t="s">
        <v>842</v>
      </c>
      <c r="C36" s="26" t="s">
        <v>843</v>
      </c>
      <c r="D36" s="26" t="s">
        <v>844</v>
      </c>
      <c r="E36" s="20" t="s">
        <v>845</v>
      </c>
      <c r="F36" s="28" t="s">
        <v>846</v>
      </c>
      <c r="G36" s="61" t="s">
        <v>847</v>
      </c>
      <c r="H36" s="20" t="s">
        <v>678</v>
      </c>
    </row>
    <row r="37" customFormat="false" ht="43.5" hidden="false" customHeight="true" outlineLevel="0" collapsed="false">
      <c r="A37" s="20" t="s">
        <v>848</v>
      </c>
      <c r="B37" s="25" t="s">
        <v>849</v>
      </c>
      <c r="C37" s="21" t="s">
        <v>850</v>
      </c>
      <c r="D37" s="26" t="s">
        <v>851</v>
      </c>
      <c r="E37" s="20" t="s">
        <v>852</v>
      </c>
      <c r="F37" s="28" t="s">
        <v>853</v>
      </c>
      <c r="G37" s="62" t="s">
        <v>854</v>
      </c>
      <c r="H37" s="20" t="s">
        <v>678</v>
      </c>
    </row>
    <row r="38" customFormat="false" ht="43.5" hidden="false" customHeight="true" outlineLevel="0" collapsed="false">
      <c r="A38" s="20" t="s">
        <v>405</v>
      </c>
      <c r="B38" s="21" t="s">
        <v>855</v>
      </c>
      <c r="C38" s="26" t="s">
        <v>674</v>
      </c>
      <c r="D38" s="26" t="s">
        <v>856</v>
      </c>
      <c r="E38" s="20" t="s">
        <v>316</v>
      </c>
      <c r="F38" s="28" t="s">
        <v>676</v>
      </c>
      <c r="G38" s="62" t="s">
        <v>857</v>
      </c>
      <c r="H38" s="20" t="s">
        <v>678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2026-10-22T20:57:43Z</dcterms:created>
  <dc:creator>研究分析</dc:creator>
  <dc:description>数据截至 2026-10-22；研究与展示用途，不构成投资建议。</dc:description>
  <dc:language>zh-CN</dc:language>
  <cp:lastModifiedBy/>
  <dcterms:modified xsi:type="dcterms:W3CDTF">2026-10-22T20:57:44Z</dcterms:modified>
  <cp:revision>0</cp:revision>
  <dc:subject>数据中心电力需求、供给结构、核电 PPA、聚变</dc:subject>
  <dc:title>AI 的电从哪来 · 数据表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