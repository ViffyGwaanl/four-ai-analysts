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5" activeTab="4"/>
  </bookViews>
  <sheets>
    <sheet name="明细" sheetId="1" r:id="rId1"/>
    <sheet name="假设" sheetId="2" r:id="rId2"/>
    <sheet name="模型" sheetId="3" r:id="rId3"/>
    <sheet name="电力流向" sheetId="4" r:id="rId4"/>
    <sheet name="汇总" sheetId="5" r:id="rId5"/>
    <sheet name="来源索引" sheetId="6" r:id="rId6"/>
  </sheets>
  <definedNames>
    <definedName name="_xlnm._FilterDatabase" localSheetId="0" hidden="1">明细!$A$4:$M$86</definedName>
    <definedName name="_xlnm.Print_Area" localSheetId="4">汇总!$A$1:$E$66</definedName>
    <definedName name="_xlnm.Print_Titles" localSheetId="1">假设!$1:$4</definedName>
    <definedName name="_xlnm.Print_Titles" localSheetId="0">明细!$1:$4</definedName>
    <definedName name="_xlnm.Print_Titles" localSheetId="5">来源索引!$1:$4</definedName>
    <definedName name="_xlnm.Print_Titles" localSheetId="2">模型!$1:$4</definedName>
    <definedName name="_xlnm.Print_Titles" localSheetId="4">汇总!$1:$4</definedName>
    <definedName name="_xlnm.Print_Titles" localSheetId="3">电力流向!$1:$4</definedName>
  </definedNames>
  <calcPr calcId="124519" fullCalcOnLoad="1"/>
</workbook>
</file>

<file path=xl/sharedStrings.xml><?xml version="1.0" encoding="utf-8"?>
<sst xmlns="http://schemas.openxmlformats.org/spreadsheetml/2006/main" count="1535" uniqueCount="696">
  <si>
    <t>披露与统计 · 数据明细</t>
  </si>
  <si>
    <t>蓝色数值 = 来源输入；绿色 = 公式；橙色 = 假设。所有金额统一为百万美元；美元支出用正值表示。发布日期、口径和定位均随行保存。</t>
  </si>
  <si>
    <t>ID</t>
  </si>
  <si>
    <t>分类</t>
  </si>
  <si>
    <t>指标</t>
  </si>
  <si>
    <t>期间</t>
  </si>
  <si>
    <t>数值</t>
  </si>
  <si>
    <t>单位</t>
  </si>
  <si>
    <t>性质</t>
  </si>
  <si>
    <t>来源ID</t>
  </si>
  <si>
    <t>来源名称</t>
  </si>
  <si>
    <t>发布日期</t>
  </si>
  <si>
    <t>访问/读取日</t>
  </si>
  <si>
    <t>文件/网址及定位</t>
  </si>
  <si>
    <t>口径说明</t>
  </si>
  <si>
    <t>D01</t>
  </si>
  <si>
    <t>用电</t>
  </si>
  <si>
    <t>全球数据中心终端用电</t>
  </si>
  <si>
    <t>2024</t>
  </si>
  <si>
    <t>TWh</t>
  </si>
  <si>
    <t>IEA估计</t>
  </si>
  <si>
    <t>S1</t>
  </si>
  <si>
    <t>IEA · Energy and AI / Demand &amp; Executive summary</t>
  </si>
  <si>
    <t>2025-04-10</t>
  </si>
  <si>
    <t>2026-10-22</t>
  </si>
  <si>
    <t>https://www.iea.org/reports/energy-and-ai | Global outlook</t>
  </si>
  <si>
    <t>不是AI独占；不含加密货币挖矿；包含设施用电。</t>
  </si>
  <si>
    <t>D02</t>
  </si>
  <si>
    <t>2030</t>
  </si>
  <si>
    <t>IEA预测·旧版</t>
  </si>
  <si>
    <t>https://www.iea.org/reports/energy-and-ai | Base Case</t>
  </si>
  <si>
    <t>2025版预测，保留用于版本比较。</t>
  </si>
  <si>
    <t>D03</t>
  </si>
  <si>
    <t>2025</t>
  </si>
  <si>
    <t>S3</t>
  </si>
  <si>
    <t>IEA · Key Questions on Energy and AI</t>
  </si>
  <si>
    <t>2026-04-16</t>
  </si>
  <si>
    <t>https://www.iea.org/reports/key-questions-on-energy-and-ai/executive-summary | Updated demand outlook</t>
  </si>
  <si>
    <t>使用摘要约数；最新完整年度估计。</t>
  </si>
  <si>
    <t>D04</t>
  </si>
  <si>
    <t>IEA预测·新版</t>
  </si>
  <si>
    <t>使用摘要约数；基准预测不是确定结果。</t>
  </si>
  <si>
    <t>D05</t>
  </si>
  <si>
    <t>全球电力消费占比</t>
  </si>
  <si>
    <t>%</t>
  </si>
  <si>
    <t>D06</t>
  </si>
  <si>
    <t>约3%。</t>
  </si>
  <si>
    <t>D07</t>
  </si>
  <si>
    <t>数据中心用电同比增长</t>
  </si>
  <si>
    <t>https://www.iea.org/reports/key-questions-on-energy-and-ai/executive-summary | Energy consumption</t>
  </si>
  <si>
    <t>D08</t>
  </si>
  <si>
    <t>AI-focused数据中心用电同比增长</t>
  </si>
  <si>
    <t>AI-focused分类不等于逐任务计量。</t>
  </si>
  <si>
    <t>D09</t>
  </si>
  <si>
    <t>AI-focused用电增长倍数</t>
  </si>
  <si>
    <t>2025—2030</t>
  </si>
  <si>
    <t>倍</t>
  </si>
  <si>
    <t>IEA预测</t>
  </si>
  <si>
    <t>D10</t>
  </si>
  <si>
    <t>供电</t>
  </si>
  <si>
    <t>服务数据中心的发电量</t>
  </si>
  <si>
    <t>S2</t>
  </si>
  <si>
    <t>IEA · Energy and AI / Supply</t>
  </si>
  <si>
    <t>https://www.iea.org/reports/energy-and-ai/energy-supply-for-ai | Global supply</t>
  </si>
  <si>
    <t>发电端；与415终端用电存在系统损耗等口径差异，不能相加。</t>
  </si>
  <si>
    <t>D11</t>
  </si>
  <si>
    <t>供电结构</t>
  </si>
  <si>
    <t>煤电</t>
  </si>
  <si>
    <t>IEA约数</t>
  </si>
  <si>
    <t>https://www.iea.org/reports/energy-and-ai/energy-supply-for-ai | Global electricity supply</t>
  </si>
  <si>
    <t>物理供电来源而非合同或绿证结构；本文将比例用于终端用电分摊示意。</t>
  </si>
  <si>
    <t>D12</t>
  </si>
  <si>
    <t>燃气</t>
  </si>
  <si>
    <t>D13</t>
  </si>
  <si>
    <t>核裂变</t>
  </si>
  <si>
    <t>D14</t>
  </si>
  <si>
    <t>可再生能源</t>
  </si>
  <si>
    <t>D15</t>
  </si>
  <si>
    <t>区域</t>
  </si>
  <si>
    <t>美国在全球数据中心用电中的份额</t>
  </si>
  <si>
    <t>https://www.iea.org/reports/energy-and-ai | Executive summary / Data centres electricity consumption</t>
  </si>
  <si>
    <t>D16</t>
  </si>
  <si>
    <t>瓶颈</t>
  </si>
  <si>
    <t>现场燃气发电相对负荷超配下限</t>
  </si>
  <si>
    <t>2030前</t>
  </si>
  <si>
    <t>IEA分析</t>
  </si>
  <si>
    <t>https://www.iea.org/reports/key-questions-on-energy-and-ai/executive-summary | Onsite natural gas</t>
  </si>
  <si>
    <t>D17</t>
  </si>
  <si>
    <t>现场燃气发电相对负荷超配上限</t>
  </si>
  <si>
    <t>M01</t>
  </si>
  <si>
    <t>Meta</t>
  </si>
  <si>
    <t>购建固定资产现金支出</t>
  </si>
  <si>
    <t>2026前九个月</t>
  </si>
  <si>
    <t>百万美元</t>
  </si>
  <si>
    <t>文件披露</t>
  </si>
  <si>
    <t>F1</t>
  </si>
  <si>
    <t>Meta 2026Q3 Form 10-Q</t>
  </si>
  <si>
    <t>2026-10-21</t>
  </si>
  <si>
    <t>材料/Meta_2026Q3季报__meta-20260930.htm | 现金流量表 p.10</t>
  </si>
  <si>
    <t>正值列示支出；非完整Capex。</t>
  </si>
  <si>
    <t>M02</t>
  </si>
  <si>
    <t>融资租赁本金支付</t>
  </si>
  <si>
    <t>与购建固定资产相加可得含租赁本金Capex。</t>
  </si>
  <si>
    <t>M03</t>
  </si>
  <si>
    <t>2025前九个月</t>
  </si>
  <si>
    <t>同期比较。</t>
  </si>
  <si>
    <t>M04</t>
  </si>
  <si>
    <t>M05</t>
  </si>
  <si>
    <t>资本开支（含租赁本金）</t>
  </si>
  <si>
    <t>2026Q3</t>
  </si>
  <si>
    <t>材料/Meta_2026Q3季报__meta-20260930.htm | MD&amp;A / Executive Overview</t>
  </si>
  <si>
    <t>公司四舍五入至0.01十亿美元。</t>
  </si>
  <si>
    <t>M06</t>
  </si>
  <si>
    <t>全年资本开支指引下限</t>
  </si>
  <si>
    <t>2026</t>
  </si>
  <si>
    <t>公司指引</t>
  </si>
  <si>
    <t>材料/Meta_2026Q3季报__meta-20260930.htm | MD&amp;A / Liquidity and Capital Resources</t>
  </si>
  <si>
    <t>管理层指引，不是实际。</t>
  </si>
  <si>
    <t>M07</t>
  </si>
  <si>
    <t>全年资本开支指引上限</t>
  </si>
  <si>
    <t>M08</t>
  </si>
  <si>
    <t>经营活动现金流</t>
  </si>
  <si>
    <t>合并口径。</t>
  </si>
  <si>
    <t>M09</t>
  </si>
  <si>
    <t>在建工程</t>
  </si>
  <si>
    <t>2026-09-30</t>
  </si>
  <si>
    <t>材料/Meta_2026Q3季报__meta-20260930.htm | Note 6 / Property and Equipment</t>
  </si>
  <si>
    <t>主要为数据中心、服务器和网络基础设施；并非已通电容量。</t>
  </si>
  <si>
    <t>M10</t>
  </si>
  <si>
    <t>2025-12-31</t>
  </si>
  <si>
    <t>期末存量。</t>
  </si>
  <si>
    <t>M11</t>
  </si>
  <si>
    <t>服务器与网络资产原值</t>
  </si>
  <si>
    <t>未扣累计折旧。</t>
  </si>
  <si>
    <t>M12</t>
  </si>
  <si>
    <t>M13</t>
  </si>
  <si>
    <t>资本开支中现金流表购建资产与租赁本金合计（披露约数）</t>
  </si>
  <si>
    <t>用于与85824精确求和核对；差额为披露四舍五入。</t>
  </si>
  <si>
    <t>M14</t>
  </si>
  <si>
    <t>营收</t>
  </si>
  <si>
    <t>材料/Meta_2026Q3季报__meta-20260930.htm | 利润表 p.7</t>
  </si>
  <si>
    <t>并非AI收入。</t>
  </si>
  <si>
    <t>M15</t>
  </si>
  <si>
    <t>Louisiana Venture预计总开发成本</t>
  </si>
  <si>
    <t>项目全周期</t>
  </si>
  <si>
    <t>材料/Meta_2026Q3季报__meta-20260930.htm | Note 5 / Data Center Ventures pp.17–18</t>
  </si>
  <si>
    <t>合资项目全部成本，不等于Meta当期现金流。</t>
  </si>
  <si>
    <t>M16</t>
  </si>
  <si>
    <t>Texas Venture预计总开发成本</t>
  </si>
  <si>
    <t>不可直接与Capex相加。</t>
  </si>
  <si>
    <t>M17</t>
  </si>
  <si>
    <t>两个数据中心合资项目各自持股比例</t>
  </si>
  <si>
    <t>材料/Meta_2026Q3季报__meta-20260930.htm | Note 5 / Data Center Ventures</t>
  </si>
  <si>
    <t>不代表最大风险敞口；另有租约等义务。</t>
  </si>
  <si>
    <t>T01</t>
  </si>
  <si>
    <t>美国科技巨头</t>
  </si>
  <si>
    <t>Alphabet购建固定资产</t>
  </si>
  <si>
    <t>2026Q2</t>
  </si>
  <si>
    <t>公司披露</t>
  </si>
  <si>
    <t>S4</t>
  </si>
  <si>
    <t>Alphabet · 2026Q2 earnings release</t>
  </si>
  <si>
    <t>2026-07-22</t>
  </si>
  <si>
    <t>https://www.sec.gov/Archives/edgar/data/1652044/000165204426000066/googexhibit991q22026.htm | Consolidated Statements of Cash Flows</t>
  </si>
  <si>
    <t>现金支出；不含非现金融资租赁新增。</t>
  </si>
  <si>
    <t>T02</t>
  </si>
  <si>
    <t>2026H1</t>
  </si>
  <si>
    <t>全公司口径。</t>
  </si>
  <si>
    <t>T03</t>
  </si>
  <si>
    <t>Microsoft购建固定资产</t>
  </si>
  <si>
    <t>FY2026Q4 / 2026Q2</t>
  </si>
  <si>
    <t>S5</t>
  </si>
  <si>
    <t>Microsoft · FY2026Q4 earnings release</t>
  </si>
  <si>
    <t>2026-07-29</t>
  </si>
  <si>
    <t>https://www.microsoft.com/en-us/investor/earnings/fy-2026-q4/press-release-webcast | Cash Flows / Additions to property and equipment</t>
  </si>
  <si>
    <t>现金口径；不同于管理层含融资租赁口径。</t>
  </si>
  <si>
    <t>T04</t>
  </si>
  <si>
    <t>FY2026截至2026-06-30</t>
  </si>
  <si>
    <t>https://www.microsoft.com/en-us/investor/earnings/fy-2026-q4/press-release-webcast | Cash Flows</t>
  </si>
  <si>
    <t>财年并非自然年。</t>
  </si>
  <si>
    <t>T05</t>
  </si>
  <si>
    <t>Amazon经营活动现金流</t>
  </si>
  <si>
    <t>TTM截至2026-06-30</t>
  </si>
  <si>
    <t>S6</t>
  </si>
  <si>
    <t>Amazon · 2026Q2 earnings release</t>
  </si>
  <si>
    <t>2026-07-30</t>
  </si>
  <si>
    <t>https://www.aboutamazon.com/news/company-news/amazon-earnings-q2-2026-report | Financial highlights</t>
  </si>
  <si>
    <t>摘要约数。</t>
  </si>
  <si>
    <t>T06</t>
  </si>
  <si>
    <t>Amazon自由现金流</t>
  </si>
  <si>
    <t>负值为流出；摘要约数。</t>
  </si>
  <si>
    <t>C01</t>
  </si>
  <si>
    <t>Constellation</t>
  </si>
  <si>
    <t>F2</t>
  </si>
  <si>
    <t>Constellation 2025 Form 10-K</t>
  </si>
  <si>
    <t>2026-02-24</t>
  </si>
  <si>
    <t>材料/Constellation_2025年报__ceg-20251231.htm | MD&amp;A / Operating revenues</t>
  </si>
  <si>
    <t>CEG Parent合并；非AI单独收入。</t>
  </si>
  <si>
    <t>C02</t>
  </si>
  <si>
    <t>资本开支</t>
  </si>
  <si>
    <t>材料/Constellation_2025年报__ceg-20251231.htm | CEG Parent Consolidated Statements of Cash Flows</t>
  </si>
  <si>
    <t>现金支出。</t>
  </si>
  <si>
    <t>C03</t>
  </si>
  <si>
    <t>营运资金波动会影响现金流。</t>
  </si>
  <si>
    <t>C04</t>
  </si>
  <si>
    <t>核电发电量</t>
  </si>
  <si>
    <t>GWh</t>
  </si>
  <si>
    <t>材料/Constellation_2025年报__ceg-20251231.htm | MD&amp;A / Sales and Supply Sources p.65</t>
  </si>
  <si>
    <t>按持有比例，含非自营Salem及STP。</t>
  </si>
  <si>
    <t>C05</t>
  </si>
  <si>
    <t>自营核电容量因子</t>
  </si>
  <si>
    <t>材料/Constellation_2025年报__ceg-20251231.htm | MD&amp;A / Nuclear Fleet Capacity Factor p.66</t>
  </si>
  <si>
    <t>按持有比例，排除Salem和STP。</t>
  </si>
  <si>
    <t>C06</t>
  </si>
  <si>
    <t>F3</t>
  </si>
  <si>
    <t>Constellation 2026Q2 Form 10-Q</t>
  </si>
  <si>
    <t>2026-08-06</t>
  </si>
  <si>
    <t>材料/Constellation_2026Q2季报__ceg-20260630.htm | CEG Parent Statements of Operations</t>
  </si>
  <si>
    <t>包含2026-01-07后Calpine业绩。</t>
  </si>
  <si>
    <t>C07</t>
  </si>
  <si>
    <t>2025H1</t>
  </si>
  <si>
    <t>未并表Calpine。</t>
  </si>
  <si>
    <t>C08</t>
  </si>
  <si>
    <t>材料/Constellation_2026Q2季报__ceg-20260630.htm | CEG Parent Statements of Cash Flows</t>
  </si>
  <si>
    <t>含Crane重启、Calpine和共址基础设施投入。</t>
  </si>
  <si>
    <t>C09</t>
  </si>
  <si>
    <t>C10</t>
  </si>
  <si>
    <t>材料/Constellation_2026Q2季报__ceg-20260630.htm | MD&amp;A / Sales and Supply Sources</t>
  </si>
  <si>
    <t>按持有比例；同比基数90753。</t>
  </si>
  <si>
    <t>C11</t>
  </si>
  <si>
    <t>C12</t>
  </si>
  <si>
    <t>材料/Constellation_2026Q2季报__ceg-20260630.htm | MD&amp;A / Nuclear Fleet Capacity Factor</t>
  </si>
  <si>
    <t>排除Salem和STP。</t>
  </si>
  <si>
    <t>C13</t>
  </si>
  <si>
    <t>同口径比较。</t>
  </si>
  <si>
    <t>C14</t>
  </si>
  <si>
    <t>Crane重启后预计容量</t>
  </si>
  <si>
    <t>重启后</t>
  </si>
  <si>
    <t>MW</t>
  </si>
  <si>
    <t>材料/Constellation_2025年报__ceg-20251231.htm | Item 1 / Nuclear Facilities</t>
  </si>
  <si>
    <t>披露约数；并非现时可用容量。</t>
  </si>
  <si>
    <t>C15</t>
  </si>
  <si>
    <t>Crane–Microsoft PPA期限</t>
  </si>
  <si>
    <t>2024签署</t>
  </si>
  <si>
    <t>年</t>
  </si>
  <si>
    <t>能源、容量及无排放属性；不代表现场直连。</t>
  </si>
  <si>
    <t>P01</t>
  </si>
  <si>
    <t>核电协议</t>
  </si>
  <si>
    <t>Clinton–Meta容量</t>
  </si>
  <si>
    <t>2027-06开始</t>
  </si>
  <si>
    <t>协议披露</t>
  </si>
  <si>
    <t>S7</t>
  </si>
  <si>
    <t>Constellation · Meta / Clinton PPA</t>
  </si>
  <si>
    <t>2025-06-03</t>
  </si>
  <si>
    <t>https://investors.constellationenergy.com/news-releases/news-release-details/constellation-meta-sign-20-year-deal-clean-reliable-nuclear | 公告正文</t>
  </si>
  <si>
    <t>包含增容；主要是存量核电保留。Meta购买清洁能源属性，电力继续流入当地电网。</t>
  </si>
  <si>
    <t>P02</t>
  </si>
  <si>
    <t>Clinton–Meta期限</t>
  </si>
  <si>
    <t>2027起</t>
  </si>
  <si>
    <t>长期承购支持换证和继续运行。</t>
  </si>
  <si>
    <t>P03</t>
  </si>
  <si>
    <t>Clinton增容</t>
  </si>
  <si>
    <t>未来</t>
  </si>
  <si>
    <t>公司计划</t>
  </si>
  <si>
    <t>不是新增1121MW。</t>
  </si>
  <si>
    <t>P04</t>
  </si>
  <si>
    <t>Susquehanna–AWS最大合约容量</t>
  </si>
  <si>
    <t>爬坡至全部合约量</t>
  </si>
  <si>
    <t>S8</t>
  </si>
  <si>
    <t>Talen · Amazon PPA expansion</t>
  </si>
  <si>
    <t>2025-06-11</t>
  </si>
  <si>
    <t>https://ir.talenenergy.com/news-releases/news-release-details/talen-energy-expands-nuclear-energy-relationship-amazon | 公告正文</t>
  </si>
  <si>
    <t>front-of-the-meter；并非全部即时交付。</t>
  </si>
  <si>
    <t>P05</t>
  </si>
  <si>
    <t>Talen–AWS协议到期年份</t>
  </si>
  <si>
    <t>原始期限</t>
  </si>
  <si>
    <t>另有延长期权。</t>
  </si>
  <si>
    <t>U01</t>
  </si>
  <si>
    <t>聚变融资</t>
  </si>
  <si>
    <t>CFS Series B2单轮</t>
  </si>
  <si>
    <t>2025-08</t>
  </si>
  <si>
    <t>公司融资披露</t>
  </si>
  <si>
    <t>S9</t>
  </si>
  <si>
    <t>CFS · Series B2 funding</t>
  </si>
  <si>
    <t>2025-08-28</t>
  </si>
  <si>
    <t>https://www.cfs.energy/news-and-media/commonwealth-fusion-systems-raises-863-million-series-b2-round-to-accelerate-the-commercialization-of-fusion-energy/ | 公告正文</t>
  </si>
  <si>
    <t>不是累计融资。</t>
  </si>
  <si>
    <t>U02</t>
  </si>
  <si>
    <t>CFS累计融资约数</t>
  </si>
  <si>
    <t>截至2025-08</t>
  </si>
  <si>
    <t>公司融资披露·接近</t>
  </si>
  <si>
    <t>接近30亿美元，不作为精确值求和。</t>
  </si>
  <si>
    <t>U03</t>
  </si>
  <si>
    <t>聚变购电</t>
  </si>
  <si>
    <t>CFS–Google承购</t>
  </si>
  <si>
    <t>2030年代初目标</t>
  </si>
  <si>
    <t>协议披露·待实现</t>
  </si>
  <si>
    <t>S10</t>
  </si>
  <si>
    <t>CFS · Google power agreement</t>
  </si>
  <si>
    <t>2025-06-30</t>
  </si>
  <si>
    <t>https://www.cfs.energy/news-and-media/google-and-commonwealth-fusion-systems-sign-strategic-partnership/ | 公告正文</t>
  </si>
  <si>
    <t>PPA锚定SPARC达到Q&gt;1；条款未全部公开。</t>
  </si>
  <si>
    <t>U04</t>
  </si>
  <si>
    <t>聚变装置</t>
  </si>
  <si>
    <t>ARC净电功率设计</t>
  </si>
  <si>
    <t>公司设计目标</t>
  </si>
  <si>
    <t>不同于聚变热功率；未实现发电。</t>
  </si>
  <si>
    <t>U05</t>
  </si>
  <si>
    <t>Helion Series G初次关闭</t>
  </si>
  <si>
    <t>2026-06</t>
  </si>
  <si>
    <t>S11</t>
  </si>
  <si>
    <t>Helion · Series G funding</t>
  </si>
  <si>
    <t>2026-06-04；更新2026-09（日未披露）</t>
  </si>
  <si>
    <t>https://www.helionenergy.com/newsroom/helion-raises-465-million-series-g-funding-round-to-meet-surging-global-demand-for-power | 公告正文</t>
  </si>
  <si>
    <t>被9月最终金额更新，不与500相加。</t>
  </si>
  <si>
    <t>U06</t>
  </si>
  <si>
    <t>Helion Series G最终关闭</t>
  </si>
  <si>
    <t>2026-09</t>
  </si>
  <si>
    <t>网页更新，具体更新日未披露。</t>
  </si>
  <si>
    <t>U07</t>
  </si>
  <si>
    <t>Helion累计融资（六月时点）</t>
  </si>
  <si>
    <t>截至2026-06</t>
  </si>
  <si>
    <t>公司融资披露·约数</t>
  </si>
  <si>
    <t>六月口径，不能视为九月精确累计。</t>
  </si>
  <si>
    <t>U08</t>
  </si>
  <si>
    <t>Helion–Microsoft目标电功率下限</t>
  </si>
  <si>
    <t>2028上线并爬坡一年后</t>
  </si>
  <si>
    <t>公司目标·下限</t>
  </si>
  <si>
    <t>S12</t>
  </si>
  <si>
    <t>Helion · Microsoft fusion PPA</t>
  </si>
  <si>
    <t>2023-05-10</t>
  </si>
  <si>
    <t>https://www.helionenergy.com/newsroom/helion-announces-worlds-first-fusion-ppa-with-microsoft | 公告正文</t>
  </si>
  <si>
    <t>50MW或以上是在一年爬坡后；不是2028全年保证电量。</t>
  </si>
  <si>
    <t>U09</t>
  </si>
  <si>
    <t>聚变时间表</t>
  </si>
  <si>
    <t>Helion电厂上线目标</t>
  </si>
  <si>
    <t>公司2023声明</t>
  </si>
  <si>
    <t>公司目标</t>
  </si>
  <si>
    <t>未核实净上网与商业连续运行。</t>
  </si>
  <si>
    <t>U10</t>
  </si>
  <si>
    <t>Helion目标爬坡期</t>
  </si>
  <si>
    <t>上线之后</t>
  </si>
  <si>
    <t>上线与稳定功率必须区分。</t>
  </si>
  <si>
    <t>U11</t>
  </si>
  <si>
    <t>TAE新一轮股权融资下限</t>
  </si>
  <si>
    <t>2025-06</t>
  </si>
  <si>
    <t>公司披露·超过</t>
  </si>
  <si>
    <t>S13</t>
  </si>
  <si>
    <t>TAE · latest equity funding</t>
  </si>
  <si>
    <t>2025-06-02</t>
  </si>
  <si>
    <t>https://tae.com/tae-technologies-raises-150-million-in-latest-funding-round/ | 公告正文</t>
  </si>
  <si>
    <t>超过1.5亿美元，非精确额。</t>
  </si>
  <si>
    <t>U12</t>
  </si>
  <si>
    <t>TAE累计股权融资下限</t>
  </si>
  <si>
    <t>截至2025-06</t>
  </si>
  <si>
    <t>超过13亿美元；不混入并购估值。</t>
  </si>
  <si>
    <t>U13</t>
  </si>
  <si>
    <t>Type One Series B</t>
  </si>
  <si>
    <t>2026-10</t>
  </si>
  <si>
    <t>S15</t>
  </si>
  <si>
    <t>Type One Energy · Series B</t>
  </si>
  <si>
    <t>2026-10-06</t>
  </si>
  <si>
    <t>https://typeoneenergy.com/insights-announcements/type-one-energy-completes-200m-series-b-financing/ | 公告正文</t>
  </si>
  <si>
    <t>单轮；未披露统一最新累计金额。</t>
  </si>
  <si>
    <t>U14</t>
  </si>
  <si>
    <t>Type One Infinity Two商业运行目标</t>
  </si>
  <si>
    <t>公司2026声明</t>
  </si>
  <si>
    <t>S16</t>
  </si>
  <si>
    <t>Type One Energy · UK Infinity consortium</t>
  </si>
  <si>
    <t>2026-05-06</t>
  </si>
  <si>
    <t>https://typeoneenergy.com/insights-announcements/uk-infinity-fusion-consortium/ | 公告正文</t>
  </si>
  <si>
    <t>未在所核查公告中发现科技公司有约束力PPA。</t>
  </si>
  <si>
    <t>E01</t>
  </si>
  <si>
    <t>成本</t>
  </si>
  <si>
    <t>全球新增陆上风电加权平均LCOE</t>
  </si>
  <si>
    <t>美元/MWh</t>
  </si>
  <si>
    <t>IRENA统计</t>
  </si>
  <si>
    <t>S17</t>
  </si>
  <si>
    <t>IRENA · Renewable Power Generation Costs in 2024</t>
  </si>
  <si>
    <t>2025-07-22</t>
  </si>
  <si>
    <t>https://www.irena.org/News/pressreleases/2025/Jul/91-Percent-of-New-Renewable-Projects-Now-Cheaper-Than-Fossil-Fuels-Alternatives | 公告正文</t>
  </si>
  <si>
    <t>由0.034美元/kWh单位换算；不含数据中心交付与保供全成本。</t>
  </si>
  <si>
    <t>E02</t>
  </si>
  <si>
    <t>全球新增光伏加权平均LCOE</t>
  </si>
  <si>
    <t>由0.043美元/kWh单位换算；不能直接当美国24/7到户电价。</t>
  </si>
  <si>
    <t>C19</t>
  </si>
  <si>
    <t>合并净利润</t>
  </si>
  <si>
    <t>材料/Constellation_2025年报__ceg-20251231.htm | CEG Parent Consolidated Statements of Cash Flows / Net income</t>
  </si>
  <si>
    <t>含非控股权益前的合并净利润，非AI项目单独利润。</t>
  </si>
  <si>
    <t>C16</t>
  </si>
  <si>
    <t>项目事件</t>
  </si>
  <si>
    <t>PJM研究所含部分输电升级可能最晚完工日</t>
  </si>
  <si>
    <t>Crane重启</t>
  </si>
  <si>
    <t>2030-12</t>
  </si>
  <si>
    <t>年月</t>
  </si>
  <si>
    <t>材料/Constellation_2026Q2季报__ceg-20260630.htm | Note 3 / Capacity Interconnection Rights for Crane</t>
  </si>
  <si>
    <t>研究中的或有升级日期，不是Crane确定投运日。</t>
  </si>
  <si>
    <t>C17</t>
  </si>
  <si>
    <t>FERC批准容量接入权转移豁免</t>
  </si>
  <si>
    <t>不代表所有重启审批完成。</t>
  </si>
  <si>
    <t>C18</t>
  </si>
  <si>
    <t>Calpine收购完成并表日</t>
  </si>
  <si>
    <t>2026-01-07</t>
  </si>
  <si>
    <t>日期</t>
  </si>
  <si>
    <t>材料/Constellation_2026Q2季报__ceg-20260630.htm | Note 2 / Acquisition of Calpine</t>
  </si>
  <si>
    <t>收入、资产与现金流比较须考虑组合变化。</t>
  </si>
  <si>
    <t>U15</t>
  </si>
  <si>
    <t>TAE Copernicus净能量目标</t>
  </si>
  <si>
    <t>2025年公司声明</t>
  </si>
  <si>
    <t>2020年代结束前</t>
  </si>
  <si>
    <t>目标时段</t>
  </si>
  <si>
    <t>净能量不等于净电输出；不保证兑现。</t>
  </si>
  <si>
    <t>U16</t>
  </si>
  <si>
    <t>TAE Da Vinci原型电厂目标</t>
  </si>
  <si>
    <t>2030年代初</t>
  </si>
  <si>
    <t>后续拟议并购与融资可能影响进度；非保证。</t>
  </si>
  <si>
    <t>可调整假设 · 输入面板</t>
  </si>
  <si>
    <t>橙色数值可以调整；模型、汇总和图表自动重算。2030供电结构为研究假设；“其他”取残差，超过100%将显示检查失败。历史估计不可当成精确测量。</t>
  </si>
  <si>
    <t>假设名称</t>
  </si>
  <si>
    <t>来源</t>
  </si>
  <si>
    <t>设定日期</t>
  </si>
  <si>
    <t>口径/用途</t>
  </si>
  <si>
    <t>A01</t>
  </si>
  <si>
    <t>2030用电基准倍数</t>
  </si>
  <si>
    <t>假设</t>
  </si>
  <si>
    <t>研究模型自设</t>
  </si>
  <si>
    <t>作用于IEA 950TWh基准；改变后流向与汇总同步。</t>
  </si>
  <si>
    <t>A02</t>
  </si>
  <si>
    <t>低需求情景倍数</t>
  </si>
  <si>
    <t>非IEA官方情景，围绕基准的敏感性测试。</t>
  </si>
  <si>
    <t>A03</t>
  </si>
  <si>
    <t>高需求情景倍数</t>
  </si>
  <si>
    <t>非IEA官方情景。</t>
  </si>
  <si>
    <t>A04</t>
  </si>
  <si>
    <t>2030煤电份额</t>
  </si>
  <si>
    <t>研究展示分摊假设，不是IEA逐燃料预测；其他为残差，合计必须为100%。</t>
  </si>
  <si>
    <t>A05</t>
  </si>
  <si>
    <t>2030燃气份额</t>
  </si>
  <si>
    <t>A06</t>
  </si>
  <si>
    <t>2030核裂变份额</t>
  </si>
  <si>
    <t>A07</t>
  </si>
  <si>
    <t>2030可再生能源份额</t>
  </si>
  <si>
    <t>A08</t>
  </si>
  <si>
    <t>2030聚变份额</t>
  </si>
  <si>
    <t>A09</t>
  </si>
  <si>
    <t>示例数据中心IT名义功率</t>
  </si>
  <si>
    <t>GW</t>
  </si>
  <si>
    <t>独立示例，不对应任何公司或已公告园区。</t>
  </si>
  <si>
    <t>A10</t>
  </si>
  <si>
    <t>IT平均负载率</t>
  </si>
  <si>
    <t>已含利用率；PUE再计设施额外用电，不能重复算利用率。</t>
  </si>
  <si>
    <t>A11</t>
  </si>
  <si>
    <t>PUE</t>
  </si>
  <si>
    <t>设施总用电/IT用电；峰值估算也采用同一PUE作为简化。</t>
  </si>
  <si>
    <t>A12</t>
  </si>
  <si>
    <t>全年小时数</t>
  </si>
  <si>
    <t>小时</t>
  </si>
  <si>
    <t>按非闰年标准化，不是2024年实际小时。</t>
  </si>
  <si>
    <t>A13</t>
  </si>
  <si>
    <t>到户电价低情景</t>
  </si>
  <si>
    <t>示意合并电费，不是PPA报价或预测。</t>
  </si>
  <si>
    <t>A14</t>
  </si>
  <si>
    <t>到户电价基准情景</t>
  </si>
  <si>
    <t>含交付保供的总电价敏感性假设；不与LCOE直接比较。</t>
  </si>
  <si>
    <t>A15</t>
  </si>
  <si>
    <t>到户电价高情景</t>
  </si>
  <si>
    <t>纯电费；不含服务器折旧、税、土地、水费、人员。</t>
  </si>
  <si>
    <t>A16</t>
  </si>
  <si>
    <t>PPA年化电量核电容量因子</t>
  </si>
  <si>
    <t>纯年化算术，非合同交付承诺；不沿用公司机组实际容量因子。</t>
  </si>
  <si>
    <t>A17</t>
  </si>
  <si>
    <t>示例光伏容量因子</t>
  </si>
  <si>
    <t>仅用于年电量等效，不能表示全天候保供。</t>
  </si>
  <si>
    <t>A18</t>
  </si>
  <si>
    <t>现场燃气超配比例</t>
  </si>
  <si>
    <t>取IEA30%–70%范围内示意值；非工程设计。</t>
  </si>
  <si>
    <t>计算与校验 · 从输入到结论</t>
  </si>
  <si>
    <t>绿色单元格均为公式。网页读取“电力流向”导出快照；调整Excel后，保存重算结果，再运行工作底稿/同步网页.py。</t>
  </si>
  <si>
    <t>模型ID</t>
  </si>
  <si>
    <t>计算指标</t>
  </si>
  <si>
    <t>结果</t>
  </si>
  <si>
    <t>计算口径/来源</t>
  </si>
  <si>
    <t>发布日期/性质</t>
  </si>
  <si>
    <t>K01</t>
  </si>
  <si>
    <t>Meta 前九个月资本开支</t>
  </si>
  <si>
    <t>购建固定资产＋融资租赁本金；现金流表精确求和。</t>
  </si>
  <si>
    <t>F1 / 2026-10-21</t>
  </si>
  <si>
    <t>K02</t>
  </si>
  <si>
    <t>Meta 上年同期资本开支</t>
  </si>
  <si>
    <t>同口径。</t>
  </si>
  <si>
    <t>K03</t>
  </si>
  <si>
    <t>Meta 资本开支同比</t>
  </si>
  <si>
    <t>含融资租赁本金。</t>
  </si>
  <si>
    <t>F1 / 2026-10-21；计算</t>
  </si>
  <si>
    <t>K04</t>
  </si>
  <si>
    <t>Meta 指引隐含Q4资本开支下限</t>
  </si>
  <si>
    <t>全年指引减去前三季度实际；不是单独Q4指引。</t>
  </si>
  <si>
    <t>K05</t>
  </si>
  <si>
    <t>Meta 指引隐含Q4资本开支上限</t>
  </si>
  <si>
    <t>同上。</t>
  </si>
  <si>
    <t>K06</t>
  </si>
  <si>
    <t>Meta 资本开支/经营现金流</t>
  </si>
  <si>
    <t>前三季度合并现金口径；不是资本回报率。</t>
  </si>
  <si>
    <t>K07</t>
  </si>
  <si>
    <t>Meta 经营现金流减资本开支</t>
  </si>
  <si>
    <t>研究简化剩余现金，不是净利润；未扣其他投资和分红。</t>
  </si>
  <si>
    <t>K08</t>
  </si>
  <si>
    <t>Meta 在建工程较年末增幅</t>
  </si>
  <si>
    <t>存量增长不能推导当期用电增长。</t>
  </si>
  <si>
    <t>K09</t>
  </si>
  <si>
    <t>Meta Capex精确和与披露约数差</t>
  </si>
  <si>
    <t>差额4百万美元是858.24与858.20亿美元的舍入差。</t>
  </si>
  <si>
    <t>K10</t>
  </si>
  <si>
    <t>Amazon TTM净购建固定资产推导</t>
  </si>
  <si>
    <t>经营现金流－自由现金流；净额包括出售与激励抵减；摘要约数。</t>
  </si>
  <si>
    <t>S6 / 2026-07-30；推导</t>
  </si>
  <si>
    <t>K11</t>
  </si>
  <si>
    <t>Constellation H1收入增幅</t>
  </si>
  <si>
    <t>并表Calpine，不能作为AI有机增长。</t>
  </si>
  <si>
    <t>F3 / 2026-08-06；计算</t>
  </si>
  <si>
    <t>K12</t>
  </si>
  <si>
    <t>Constellation H1资本开支增幅</t>
  </si>
  <si>
    <t>组合边界发生变化。</t>
  </si>
  <si>
    <t>K13</t>
  </si>
  <si>
    <t>Constellation H1核电量同比</t>
  </si>
  <si>
    <t>按持有比例的发电量。</t>
  </si>
  <si>
    <t>K14</t>
  </si>
  <si>
    <t>全球2030基准用电</t>
  </si>
  <si>
    <t>IEA新版基准×研究倍数假设。</t>
  </si>
  <si>
    <t>S3 / 2026-04-16 + A01假设</t>
  </si>
  <si>
    <t>K15</t>
  </si>
  <si>
    <t>全球2030低需求敏感性</t>
  </si>
  <si>
    <t>2026-10-22；假设计算</t>
  </si>
  <si>
    <t>K16</t>
  </si>
  <si>
    <t>全球2030高需求敏感性</t>
  </si>
  <si>
    <t>K17</t>
  </si>
  <si>
    <t>2025至2030用电年均增速</t>
  </si>
  <si>
    <t>5年复合增速；基于约数。</t>
  </si>
  <si>
    <t>S3 + A01；计算</t>
  </si>
  <si>
    <t>K18</t>
  </si>
  <si>
    <t>2030等效平均功率</t>
  </si>
  <si>
    <t>不是峰值接入容量。</t>
  </si>
  <si>
    <t>S3 + A01/A12；计算</t>
  </si>
  <si>
    <t>K19</t>
  </si>
  <si>
    <t>美国2024用电近似推导</t>
  </si>
  <si>
    <t>全球用电×美国约45%；双重约数，仅数量级。</t>
  </si>
  <si>
    <t>S1 / 2025-04-10；计算</t>
  </si>
  <si>
    <t>K20</t>
  </si>
  <si>
    <t>1GW IT示例年用电</t>
  </si>
  <si>
    <t>IT功率×负载率×PUE×小时/1000；独立假设算例。</t>
  </si>
  <si>
    <t>2026-10-22；假设</t>
  </si>
  <si>
    <t>K21</t>
  </si>
  <si>
    <t>示例年电费·低</t>
  </si>
  <si>
    <t>TWh×美元/MWh = 百万美元；仅电费。</t>
  </si>
  <si>
    <t>K22</t>
  </si>
  <si>
    <t>示例年电费·基准</t>
  </si>
  <si>
    <t>K23</t>
  </si>
  <si>
    <t>示例年电费·高</t>
  </si>
  <si>
    <t>K24</t>
  </si>
  <si>
    <t>示例设施峰值功率</t>
  </si>
  <si>
    <t>简化采用相同PUE；不含电力冗余。</t>
  </si>
  <si>
    <t>K25</t>
  </si>
  <si>
    <t>示例核电年电量等效容量</t>
  </si>
  <si>
    <t>只匹配年电量；检修和瞬时功率仍需其他保供。</t>
  </si>
  <si>
    <t>K26</t>
  </si>
  <si>
    <t>示例光伏年电量等效容量</t>
  </si>
  <si>
    <t>只匹配年电量；不含储能与夜间保供。</t>
  </si>
  <si>
    <t>K27</t>
  </si>
  <si>
    <t>示例现场燃气名义容量</t>
  </si>
  <si>
    <t>峰值负荷×(1+超配比例)，非工程建议。</t>
  </si>
  <si>
    <t>S3背景 + A18；假设</t>
  </si>
  <si>
    <t>K28</t>
  </si>
  <si>
    <t>Crane满运行年电量示意</t>
  </si>
  <si>
    <t>容量×90%容量因子×8760小时；非实际交付、非合同承诺；不同起始年份。</t>
  </si>
  <si>
    <t>原始容量披露 + A16/A12假设</t>
  </si>
  <si>
    <t>K29</t>
  </si>
  <si>
    <t>Clinton满运行年电量示意</t>
  </si>
  <si>
    <t>K30</t>
  </si>
  <si>
    <t>Talen合约满量年电量示意</t>
  </si>
  <si>
    <t>K31</t>
  </si>
  <si>
    <t>2030其余来源份额</t>
  </si>
  <si>
    <t>残差，不额外计入电网或储能。</t>
  </si>
  <si>
    <t>K32</t>
  </si>
  <si>
    <t>2030份额校验</t>
  </si>
  <si>
    <t>状态</t>
  </si>
  <si>
    <t>若失败，请调低假设份额；不得把负残差视为电量。</t>
  </si>
  <si>
    <t>研究模型</t>
  </si>
  <si>
    <t>K33</t>
  </si>
  <si>
    <t>2024其余来源份额</t>
  </si>
  <si>
    <t>IEA已列份额约数之和为98%；残差包括其他来源及舍入。</t>
  </si>
  <si>
    <t>S2；分摊计算</t>
  </si>
  <si>
    <t>电力流向 · 网页同源模型</t>
  </si>
  <si>
    <t>全表为终端用电的来源分摊；电网是输送层，储能是时间转移，均不重复加总。2030结构为研究假设。聚变默认零贡献。</t>
  </si>
  <si>
    <t>2024份额</t>
  </si>
  <si>
    <t>2024 TWh</t>
  </si>
  <si>
    <t>2030份额(假设)</t>
  </si>
  <si>
    <t>2030基准 TWh</t>
  </si>
  <si>
    <t>2030低 TWh</t>
  </si>
  <si>
    <t>2030高 TWh</t>
  </si>
  <si>
    <t>依据及日期</t>
  </si>
  <si>
    <t>2024：IEA 2025-04-10约数分摊；2030：研究假设 2026-10-22。</t>
  </si>
  <si>
    <t>其他</t>
  </si>
  <si>
    <t>聚变</t>
  </si>
  <si>
    <t>零贡献为谨慎建模假设，不是断言2030无任何聚变示范。</t>
  </si>
  <si>
    <t>合计</t>
  </si>
  <si>
    <t>守恒校验</t>
  </si>
  <si>
    <t>应为0；允许浮点计算尾差。</t>
  </si>
  <si>
    <t>AI 的电从哪来</t>
  </si>
  <si>
    <t>研究日期 2026-10-22 ｜ 绿色数值直接引用明细或模型；图表引用本页或电力流向。各公司支出期间与租赁口径不同，不做总量排名或相加。</t>
  </si>
  <si>
    <t>解释</t>
  </si>
  <si>
    <t>来源/发布日期</t>
  </si>
  <si>
    <t>全球数据中心用电 2024</t>
  </si>
  <si>
    <t>IEA估计；包含非AI负荷</t>
  </si>
  <si>
    <t>S1 / 2025-04-10</t>
  </si>
  <si>
    <t>全球数据中心用电 2025</t>
  </si>
  <si>
    <t>最新完整年度估计</t>
  </si>
  <si>
    <t>S3 / 2026-04-16</t>
  </si>
  <si>
    <t>2030基准预测/情景</t>
  </si>
  <si>
    <t>IEA 2026版×可调倍数</t>
  </si>
  <si>
    <t>见模型 K14 的来源列</t>
  </si>
  <si>
    <t>2030低需求敏感性</t>
  </si>
  <si>
    <t>研究假设：基准×80%</t>
  </si>
  <si>
    <t>见模型 K15 的来源列</t>
  </si>
  <si>
    <t>2030高需求敏感性</t>
  </si>
  <si>
    <t>研究假设：基准×120%</t>
  </si>
  <si>
    <t>见模型 K16 的来源列</t>
  </si>
  <si>
    <t>2025—2030年均增速</t>
  </si>
  <si>
    <t>约数计算</t>
  </si>
  <si>
    <t>见模型 K17 的来源列</t>
  </si>
  <si>
    <t>Meta 2026前九个月Capex</t>
  </si>
  <si>
    <t>含融资租赁本金</t>
  </si>
  <si>
    <t>见模型 K01 的来源列</t>
  </si>
  <si>
    <t>Meta Capex同比</t>
  </si>
  <si>
    <t>同为前九个月</t>
  </si>
  <si>
    <t>见模型 K03 的来源列</t>
  </si>
  <si>
    <t>Meta Q4隐含支出下限</t>
  </si>
  <si>
    <t>全年指引减前三季度</t>
  </si>
  <si>
    <t>见模型 K04 的来源列</t>
  </si>
  <si>
    <t>Meta Q4隐含支出上限</t>
  </si>
  <si>
    <t>计算值不是Q4管理层单独指引</t>
  </si>
  <si>
    <t>见模型 K05 的来源列</t>
  </si>
  <si>
    <t>85%负载率，PUE1.2，假设</t>
  </si>
  <si>
    <t>见模型 K20 的来源列</t>
  </si>
  <si>
    <t>90美元/MWh，假设</t>
  </si>
  <si>
    <t>见模型 K22 的来源列</t>
  </si>
  <si>
    <t>Constellation 2025核电量</t>
  </si>
  <si>
    <t>持有比例口径</t>
  </si>
  <si>
    <t>F2 / 2026-02-24</t>
  </si>
  <si>
    <t>Constellation 2026H1核电量同比</t>
  </si>
  <si>
    <t>包含相同比例口径</t>
  </si>
  <si>
    <t>见模型 K13 的来源列</t>
  </si>
  <si>
    <t>2030结构校验</t>
  </si>
  <si>
    <t>份额调整后必须通过</t>
  </si>
  <si>
    <t>见模型 K32 的来源列</t>
  </si>
  <si>
    <t>2030基准（假设结构）</t>
  </si>
  <si>
    <t>来源索引与证据边界</t>
  </si>
  <si>
    <t>访问日期统一为2026-10-22；本地文件发布日期取签署日。网页链接保留于报告和Excel，3D网页只显示来源名称与日期。</t>
  </si>
  <si>
    <t>文件路径或URL</t>
  </si>
  <si>
    <t>说明</t>
  </si>
  <si>
    <t>材料/Meta_2026Q3季报__meta-20260930.htm</t>
  </si>
  <si>
    <t>日期采用文件签署日；财务数字完全按用户提供原件，未另行验证其与在线申报的同一性。</t>
  </si>
  <si>
    <t>材料/Constellation_2025年报__ceg-20251231.htm</t>
  </si>
  <si>
    <t>日期采用文件签署日；CEG Parent 合并口径。</t>
  </si>
  <si>
    <t>材料/Constellation_2026Q2季报__ceg-20260630.htm</t>
  </si>
  <si>
    <t>日期采用文件签署日；2026年已并表Calpine，不能将全部增长归于AI。</t>
  </si>
  <si>
    <t>https://www.iea.org/reports/energy-and-ai</t>
  </si>
  <si>
    <t>https://www.iea.org/reports/energy-and-ai/energy-supply-for-ai</t>
  </si>
  <si>
    <t>https://www.iea.org/reports/key-questions-on-energy-and-ai/executive-summary</t>
  </si>
  <si>
    <t>最新总量采用此版本；不得与2025版发电量不加调整混用。</t>
  </si>
  <si>
    <t>https://www.sec.gov/Archives/edgar/data/1652044/000165204426000066/googexhibit991q22026.htm</t>
  </si>
  <si>
    <t>https://www.microsoft.com/en-us/investor/earnings/fy-2026-q4/press-release-webcast</t>
  </si>
  <si>
    <t>https://www.aboutamazon.com/news/company-news/amazon-earnings-q2-2026-report</t>
  </si>
  <si>
    <t>https://investors.constellationenergy.com/news-releases/news-release-details/constellation-meta-sign-20-year-deal-clean-reliable-nuclear</t>
  </si>
  <si>
    <t>https://ir.talenenergy.com/news-releases/news-release-details/talen-energy-expands-nuclear-energy-relationship-amazon</t>
  </si>
  <si>
    <t>https://www.cfs.energy/news-and-media/commonwealth-fusion-systems-raises-863-million-series-b2-round-to-accelerate-the-commercialization-of-fusion-energy/</t>
  </si>
  <si>
    <t>https://www.cfs.energy/news-and-media/google-and-commonwealth-fusion-systems-sign-strategic-partnership/</t>
  </si>
  <si>
    <t>https://www.helionenergy.com/newsroom/helion-raises-465-million-series-g-funding-round-to-meet-surging-global-demand-for-power</t>
  </si>
  <si>
    <t>原公告465百万美元；网页新增注释说明2026年9月最终关闭为500百万美元。</t>
  </si>
  <si>
    <t>https://www.helionenergy.com/newsroom/helion-announces-worlds-first-fusion-ppa-with-microsoft</t>
  </si>
  <si>
    <t>https://tae.com/tae-technologies-raises-150-million-in-latest-funding-round/</t>
  </si>
  <si>
    <t>S14</t>
  </si>
  <si>
    <t>TMTG / TAE · proposed merger update</t>
  </si>
  <si>
    <t>https://www.sec.gov/Archives/edgar/data/1849635/000143774926031535/ex_1020869.htm</t>
  </si>
  <si>
    <t>用于说明交易进度；不是完成融资或商业发电证明。</t>
  </si>
  <si>
    <t>https://typeoneenergy.com/insights-announcements/type-one-energy-completes-200m-series-b-financing/</t>
  </si>
  <si>
    <t>https://typeoneenergy.com/insights-announcements/uk-infinity-fusion-consortium/</t>
  </si>
  <si>
    <t>商业运行2034年为公司目标。</t>
  </si>
  <si>
    <t>https://www.irena.org/News/pressreleases/2025/Jul/91-Percent-of-New-Renewable-Projects-Now-Cheaper-Than-Fossil-Fuels-Alternatives</t>
  </si>
  <si>
    <t>S18</t>
  </si>
  <si>
    <t>ITER · The tokamak / components</t>
  </si>
  <si>
    <t>未标注发布日期</t>
  </si>
  <si>
    <t>https://www.iter.org/components</t>
  </si>
  <si>
    <t>仅用于部件原理；网页为概念化D-T托卡马克，不是ITER或ARC工程复刻。</t>
  </si>
  <si>
    <t>S19</t>
  </si>
  <si>
    <t>ITER · Blanket</t>
  </si>
  <si>
    <t>https://www.iter.org/machine/blanket</t>
  </si>
  <si>
    <t>ITER屏蔽包层与未来商业增殖包层应区分；本图显示商业D-T概念。</t>
  </si>
</sst>
</file>

<file path=xl/styles.xml><?xml version="1.0" encoding="utf-8"?>
<styleSheet xmlns="http://schemas.openxmlformats.org/spreadsheetml/2006/main">
  <numFmts count="2">
    <numFmt numFmtId="164" formatCode="#,##0.00;[Red](#,##0.00);0.00"/>
    <numFmt numFmtId="165" formatCode="0.0%"/>
  </numFmts>
  <fonts count="9">
    <font>
      <sz val="11"/>
      <color theme="1"/>
      <name val="Calibri"/>
      <family val="2"/>
      <scheme val="minor"/>
    </font>
    <font>
      <b/>
      <sz val="23"/>
      <color rgb="FF132F43"/>
      <name val="等线"/>
      <family val="2"/>
    </font>
    <font>
      <sz val="10"/>
      <color rgb="FF536976"/>
      <name val="等线"/>
      <family val="2"/>
    </font>
    <font>
      <b/>
      <sz val="11"/>
      <color rgb="FFFFFFFF"/>
      <name val="等线"/>
      <family val="2"/>
    </font>
    <font>
      <sz val="10"/>
      <color rgb="FF132F43"/>
      <name val="等线"/>
      <family val="2"/>
    </font>
    <font>
      <sz val="11"/>
      <color rgb="FF1155A7"/>
      <name val="等线"/>
      <family val="2"/>
    </font>
    <font>
      <sz val="11"/>
      <color rgb="FF9C661B"/>
      <name val="等线"/>
      <family val="2"/>
    </font>
    <font>
      <sz val="11"/>
      <color rgb="FF156647"/>
      <name val="等线"/>
      <family val="2"/>
    </font>
    <font>
      <sz val="10"/>
      <color rgb="FF156647"/>
      <name val="等线"/>
      <family val="2"/>
    </font>
  </fonts>
  <fills count="7">
    <fill>
      <patternFill patternType="none"/>
    </fill>
    <fill>
      <patternFill patternType="gray125"/>
    </fill>
    <fill>
      <patternFill patternType="solid">
        <fgColor rgb="FF132F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0D8"/>
        <bgColor indexed="64"/>
      </patternFill>
    </fill>
    <fill>
      <patternFill patternType="solid">
        <fgColor rgb="FFE9F5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9E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vertical="center"/>
    </xf>
    <xf numFmtId="165" fontId="6" fillId="5" borderId="1" xfId="0" applyNumberFormat="1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vertical="center"/>
    </xf>
    <xf numFmtId="165" fontId="7" fillId="6" borderId="1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用电规模与2030敏感性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全球终端用电</c:v>
          </c:tx>
          <c:spPr>
            <a:solidFill>
              <a:srgbClr val="196DDB"/>
            </a:solidFill>
            <a:ln>
              <a:noFill/>
            </a:ln>
          </c:spPr>
          <c:dLbls>
            <c:numFmt formatCode="0" sourceLinked="0"/>
            <c:showVal val="1"/>
          </c:dLbls>
          <c:cat>
            <c:strRef>
              <c:f>'汇总'!$A$5:$A$9</c:f>
              <c:strCache>
                <c:ptCount val="5"/>
                <c:pt idx="0">
                  <c:v>全球数据中心用电 2024</c:v>
                </c:pt>
                <c:pt idx="1">
                  <c:v>全球数据中心用电 2025</c:v>
                </c:pt>
                <c:pt idx="2">
                  <c:v>2030基准预测/情景</c:v>
                </c:pt>
                <c:pt idx="3">
                  <c:v>2030低需求敏感性</c:v>
                </c:pt>
                <c:pt idx="4">
                  <c:v>2030高需求敏感性</c:v>
                </c:pt>
              </c:strCache>
            </c:strRef>
          </c:cat>
          <c:val>
            <c:numRef>
              <c:f>'汇总'!$B$5:$B$9</c:f>
              <c:numCache>
                <c:formatCode>General</c:formatCode>
                <c:ptCount val="5"/>
                <c:pt idx="0">
                  <c:v>415</c:v>
                </c:pt>
                <c:pt idx="1">
                  <c:v>485</c:v>
                </c:pt>
                <c:pt idx="2">
                  <c:v>950</c:v>
                </c:pt>
                <c:pt idx="3">
                  <c:v>760.0</c:v>
                </c:pt>
                <c:pt idx="4">
                  <c:v>1140.0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8EE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TWh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终端用电的来源分摊 · 2030结构为假设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'汇总'!$A$43</c:f>
              <c:strCache>
                <c:ptCount val="1"/>
                <c:pt idx="0">
                  <c:v>煤电</c:v>
                </c:pt>
              </c:strCache>
            </c:strRef>
          </c:tx>
          <c:spPr>
            <a:solidFill>
              <a:srgbClr val="A58D76"/>
            </a:solidFill>
            <a:ln>
              <a:noFill/>
            </a:ln>
          </c:spPr>
          <c:cat>
            <c:strRef>
              <c:f>'汇总'!$B$42:$C$42</c:f>
              <c:strCache>
                <c:ptCount val="2"/>
                <c:pt idx="0">
                  <c:v>2024</c:v>
                </c:pt>
                <c:pt idx="1">
                  <c:v>2030基准（假设结构）</c:v>
                </c:pt>
              </c:strCache>
            </c:strRef>
          </c:cat>
          <c:val>
            <c:numRef>
              <c:f>'汇总'!$B$43:$C$43</c:f>
              <c:numCache>
                <c:formatCode>General</c:formatCode>
                <c:ptCount val="2"/>
                <c:pt idx="0">
                  <c:v>124.5</c:v>
                </c:pt>
                <c:pt idx="1">
                  <c:v>171.0</c:v>
                </c:pt>
              </c:numCache>
            </c:numRef>
          </c:val>
        </c:ser>
        <c:ser>
          <c:idx val="1"/>
          <c:order val="1"/>
          <c:tx>
            <c:strRef>
              <c:f>'汇总'!$A$44</c:f>
              <c:strCache>
                <c:ptCount val="1"/>
                <c:pt idx="0">
                  <c:v>燃气</c:v>
                </c:pt>
              </c:strCache>
            </c:strRef>
          </c:tx>
          <c:spPr>
            <a:solidFill>
              <a:srgbClr val="DF9E4B"/>
            </a:solidFill>
            <a:ln>
              <a:noFill/>
            </a:ln>
          </c:spPr>
          <c:cat>
            <c:strRef>
              <c:f>'汇总'!$B$42:$C$42</c:f>
              <c:strCache>
                <c:ptCount val="2"/>
                <c:pt idx="0">
                  <c:v>2024</c:v>
                </c:pt>
                <c:pt idx="1">
                  <c:v>2030基准（假设结构）</c:v>
                </c:pt>
              </c:strCache>
            </c:strRef>
          </c:cat>
          <c:val>
            <c:numRef>
              <c:f>'汇总'!$B$44:$C$44</c:f>
              <c:numCache>
                <c:formatCode>General</c:formatCode>
                <c:ptCount val="2"/>
                <c:pt idx="0">
                  <c:v>107.9</c:v>
                </c:pt>
                <c:pt idx="1">
                  <c:v>247.0</c:v>
                </c:pt>
              </c:numCache>
            </c:numRef>
          </c:val>
        </c:ser>
        <c:ser>
          <c:idx val="2"/>
          <c:order val="2"/>
          <c:tx>
            <c:strRef>
              <c:f>'汇总'!$A$45</c:f>
              <c:strCache>
                <c:ptCount val="1"/>
                <c:pt idx="0">
                  <c:v>核裂变</c:v>
                </c:pt>
              </c:strCache>
            </c:strRef>
          </c:tx>
          <c:spPr>
            <a:solidFill>
              <a:srgbClr val="497CE8"/>
            </a:solidFill>
            <a:ln>
              <a:noFill/>
            </a:ln>
          </c:spPr>
          <c:cat>
            <c:strRef>
              <c:f>'汇总'!$B$42:$C$42</c:f>
              <c:strCache>
                <c:ptCount val="2"/>
                <c:pt idx="0">
                  <c:v>2024</c:v>
                </c:pt>
                <c:pt idx="1">
                  <c:v>2030基准（假设结构）</c:v>
                </c:pt>
              </c:strCache>
            </c:strRef>
          </c:cat>
          <c:val>
            <c:numRef>
              <c:f>'汇总'!$B$45:$C$45</c:f>
              <c:numCache>
                <c:formatCode>General</c:formatCode>
                <c:ptCount val="2"/>
                <c:pt idx="0">
                  <c:v>62.25</c:v>
                </c:pt>
                <c:pt idx="1">
                  <c:v>133.0</c:v>
                </c:pt>
              </c:numCache>
            </c:numRef>
          </c:val>
        </c:ser>
        <c:ser>
          <c:idx val="3"/>
          <c:order val="3"/>
          <c:tx>
            <c:strRef>
              <c:f>'汇总'!$A$46</c:f>
              <c:strCache>
                <c:ptCount val="1"/>
                <c:pt idx="0">
                  <c:v>可再生能源</c:v>
                </c:pt>
              </c:strCache>
            </c:strRef>
          </c:tx>
          <c:spPr>
            <a:solidFill>
              <a:srgbClr val="26A88B"/>
            </a:solidFill>
            <a:ln>
              <a:noFill/>
            </a:ln>
          </c:spPr>
          <c:cat>
            <c:strRef>
              <c:f>'汇总'!$B$42:$C$42</c:f>
              <c:strCache>
                <c:ptCount val="2"/>
                <c:pt idx="0">
                  <c:v>2024</c:v>
                </c:pt>
                <c:pt idx="1">
                  <c:v>2030基准（假设结构）</c:v>
                </c:pt>
              </c:strCache>
            </c:strRef>
          </c:cat>
          <c:val>
            <c:numRef>
              <c:f>'汇总'!$B$46:$C$46</c:f>
              <c:numCache>
                <c:formatCode>General</c:formatCode>
                <c:ptCount val="2"/>
                <c:pt idx="0">
                  <c:v>112.05000000000001</c:v>
                </c:pt>
                <c:pt idx="1">
                  <c:v>380.0</c:v>
                </c:pt>
              </c:numCache>
            </c:numRef>
          </c:val>
        </c:ser>
        <c:ser>
          <c:idx val="4"/>
          <c:order val="4"/>
          <c:tx>
            <c:strRef>
              <c:f>'汇总'!$A$47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rgbClr val="A6A7C6"/>
            </a:solidFill>
            <a:ln>
              <a:noFill/>
            </a:ln>
          </c:spPr>
          <c:cat>
            <c:strRef>
              <c:f>'汇总'!$B$42:$C$42</c:f>
              <c:strCache>
                <c:ptCount val="2"/>
                <c:pt idx="0">
                  <c:v>2024</c:v>
                </c:pt>
                <c:pt idx="1">
                  <c:v>2030基准（假设结构）</c:v>
                </c:pt>
              </c:strCache>
            </c:strRef>
          </c:cat>
          <c:val>
            <c:numRef>
              <c:f>'汇总'!$B$47:$C$47</c:f>
              <c:numCache>
                <c:formatCode>General</c:formatCode>
                <c:ptCount val="2"/>
                <c:pt idx="0">
                  <c:v>8.3</c:v>
                </c:pt>
                <c:pt idx="1">
                  <c:v>19.0</c:v>
                </c:pt>
              </c:numCache>
            </c:numRef>
          </c:val>
        </c:ser>
        <c:ser>
          <c:idx val="5"/>
          <c:order val="5"/>
          <c:tx>
            <c:strRef>
              <c:f>'汇总'!$A$48</c:f>
              <c:strCache>
                <c:ptCount val="1"/>
                <c:pt idx="0">
                  <c:v>聚变</c:v>
                </c:pt>
              </c:strCache>
            </c:strRef>
          </c:tx>
          <c:spPr>
            <a:solidFill>
              <a:srgbClr val="CA78D7"/>
            </a:solidFill>
            <a:ln>
              <a:noFill/>
            </a:ln>
          </c:spPr>
          <c:cat>
            <c:strRef>
              <c:f>'汇总'!$B$42:$C$42</c:f>
              <c:strCache>
                <c:ptCount val="2"/>
                <c:pt idx="0">
                  <c:v>2024</c:v>
                </c:pt>
                <c:pt idx="1">
                  <c:v>2030基准（假设结构）</c:v>
                </c:pt>
              </c:strCache>
            </c:strRef>
          </c:cat>
          <c:val>
            <c:numRef>
              <c:f>'汇总'!$B$48:$C$48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TWh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3</xdr:col>
      <xdr:colOff>1381125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3</xdr:col>
      <xdr:colOff>1381125</xdr:colOff>
      <xdr:row>57</xdr:row>
      <xdr:rowOff>247650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ea.org/reports/energy-and-ai%20|%20Global%20outlook" TargetMode="External"/><Relationship Id="rId2" Type="http://schemas.openxmlformats.org/officeDocument/2006/relationships/hyperlink" Target="https://www.iea.org/reports/energy-and-ai%20|%20Base%20Case" TargetMode="External"/><Relationship Id="rId3" Type="http://schemas.openxmlformats.org/officeDocument/2006/relationships/hyperlink" Target="https://www.iea.org/reports/key-questions-on-energy-and-ai/executive-summary%20|%20Updated%20demand%20outlook" TargetMode="External"/><Relationship Id="rId4" Type="http://schemas.openxmlformats.org/officeDocument/2006/relationships/hyperlink" Target="https://www.iea.org/reports/key-questions-on-energy-and-ai/executive-summary%20|%20Updated%20demand%20outlook" TargetMode="External"/><Relationship Id="rId5" Type="http://schemas.openxmlformats.org/officeDocument/2006/relationships/hyperlink" Target="https://www.iea.org/reports/energy-and-ai%20|%20Global%20outlook" TargetMode="External"/><Relationship Id="rId6" Type="http://schemas.openxmlformats.org/officeDocument/2006/relationships/hyperlink" Target="https://www.iea.org/reports/key-questions-on-energy-and-ai/executive-summary%20|%20Updated%20demand%20outlook" TargetMode="External"/><Relationship Id="rId7" Type="http://schemas.openxmlformats.org/officeDocument/2006/relationships/hyperlink" Target="https://www.iea.org/reports/key-questions-on-energy-and-ai/executive-summary%20|%20Energy%20consumption" TargetMode="External"/><Relationship Id="rId8" Type="http://schemas.openxmlformats.org/officeDocument/2006/relationships/hyperlink" Target="https://www.iea.org/reports/key-questions-on-energy-and-ai/executive-summary%20|%20Energy%20consumption" TargetMode="External"/><Relationship Id="rId9" Type="http://schemas.openxmlformats.org/officeDocument/2006/relationships/hyperlink" Target="https://www.iea.org/reports/key-questions-on-energy-and-ai/executive-summary%20|%20Updated%20demand%20outlook" TargetMode="External"/><Relationship Id="rId10" Type="http://schemas.openxmlformats.org/officeDocument/2006/relationships/hyperlink" Target="https://www.iea.org/reports/energy-and-ai/energy-supply-for-ai%20|%20Global%20supply" TargetMode="External"/><Relationship Id="rId11" Type="http://schemas.openxmlformats.org/officeDocument/2006/relationships/hyperlink" Target="https://www.iea.org/reports/energy-and-ai/energy-supply-for-ai%20|%20Global%20electricity%20supply" TargetMode="External"/><Relationship Id="rId12" Type="http://schemas.openxmlformats.org/officeDocument/2006/relationships/hyperlink" Target="https://www.iea.org/reports/energy-and-ai/energy-supply-for-ai%20|%20Global%20electricity%20supply" TargetMode="External"/><Relationship Id="rId13" Type="http://schemas.openxmlformats.org/officeDocument/2006/relationships/hyperlink" Target="https://www.iea.org/reports/energy-and-ai/energy-supply-for-ai%20|%20Global%20electricity%20supply" TargetMode="External"/><Relationship Id="rId14" Type="http://schemas.openxmlformats.org/officeDocument/2006/relationships/hyperlink" Target="https://www.iea.org/reports/energy-and-ai/energy-supply-for-ai%20|%20Global%20electricity%20supply" TargetMode="External"/><Relationship Id="rId15" Type="http://schemas.openxmlformats.org/officeDocument/2006/relationships/hyperlink" Target="https://www.iea.org/reports/energy-and-ai%20|%20Executive%20summary%20/%20Data%20centres%20electricity%20consumption" TargetMode="External"/><Relationship Id="rId16" Type="http://schemas.openxmlformats.org/officeDocument/2006/relationships/hyperlink" Target="https://www.iea.org/reports/key-questions-on-energy-and-ai/executive-summary%20|%20Onsite%20natural%20gas" TargetMode="External"/><Relationship Id="rId17" Type="http://schemas.openxmlformats.org/officeDocument/2006/relationships/hyperlink" Target="https://www.iea.org/reports/key-questions-on-energy-and-ai/executive-summary%20|%20Onsite%20natural%20gas" TargetMode="External"/><Relationship Id="rId18" Type="http://schemas.openxmlformats.org/officeDocument/2006/relationships/hyperlink" Target="https://www.sec.gov/Archives/edgar/data/1652044/000165204426000066/googexhibit991q22026.htm%20|%20Consolidated%20Statements%20of%20Cash%20Flows" TargetMode="External"/><Relationship Id="rId19" Type="http://schemas.openxmlformats.org/officeDocument/2006/relationships/hyperlink" Target="https://www.sec.gov/Archives/edgar/data/1652044/000165204426000066/googexhibit991q22026.htm%20|%20Consolidated%20Statements%20of%20Cash%20Flows" TargetMode="External"/><Relationship Id="rId20" Type="http://schemas.openxmlformats.org/officeDocument/2006/relationships/hyperlink" Target="https://www.microsoft.com/en-us/investor/earnings/fy-2026-q4/press-release-webcast%20|%20Cash%20Flows%20/%20Additions%20to%20property%20and%20equipment" TargetMode="External"/><Relationship Id="rId21" Type="http://schemas.openxmlformats.org/officeDocument/2006/relationships/hyperlink" Target="https://www.microsoft.com/en-us/investor/earnings/fy-2026-q4/press-release-webcast%20|%20Cash%20Flows" TargetMode="External"/><Relationship Id="rId22" Type="http://schemas.openxmlformats.org/officeDocument/2006/relationships/hyperlink" Target="https://www.aboutamazon.com/news/company-news/amazon-earnings-q2-2026-report%20|%20Financial%20highlights" TargetMode="External"/><Relationship Id="rId23" Type="http://schemas.openxmlformats.org/officeDocument/2006/relationships/hyperlink" Target="https://www.aboutamazon.com/news/company-news/amazon-earnings-q2-2026-report%20|%20Financial%20highlights" TargetMode="External"/><Relationship Id="rId24" Type="http://schemas.openxmlformats.org/officeDocument/2006/relationships/hyperlink" Target="https://investors.constellationenergy.com/news-releases/news-release-details/constellation-meta-sign-20-year-deal-clean-reliable-nuclear%20|%20&#20844;&#21578;&#27491;&#25991;" TargetMode="External"/><Relationship Id="rId25" Type="http://schemas.openxmlformats.org/officeDocument/2006/relationships/hyperlink" Target="https://investors.constellationenergy.com/news-releases/news-release-details/constellation-meta-sign-20-year-deal-clean-reliable-nuclear%20|%20&#20844;&#21578;&#27491;&#25991;" TargetMode="External"/><Relationship Id="rId26" Type="http://schemas.openxmlformats.org/officeDocument/2006/relationships/hyperlink" Target="https://investors.constellationenergy.com/news-releases/news-release-details/constellation-meta-sign-20-year-deal-clean-reliable-nuclear%20|%20&#20844;&#21578;&#27491;&#25991;" TargetMode="External"/><Relationship Id="rId27" Type="http://schemas.openxmlformats.org/officeDocument/2006/relationships/hyperlink" Target="https://ir.talenenergy.com/news-releases/news-release-details/talen-energy-expands-nuclear-energy-relationship-amazon%20|%20&#20844;&#21578;&#27491;&#25991;" TargetMode="External"/><Relationship Id="rId28" Type="http://schemas.openxmlformats.org/officeDocument/2006/relationships/hyperlink" Target="https://ir.talenenergy.com/news-releases/news-release-details/talen-energy-expands-nuclear-energy-relationship-amazon%20|%20&#20844;&#21578;&#27491;&#25991;" TargetMode="External"/><Relationship Id="rId29" Type="http://schemas.openxmlformats.org/officeDocument/2006/relationships/hyperlink" Target="https://www.cfs.energy/news-and-media/commonwealth-fusion-systems-raises-863-million-series-b2-round-to-accelerate-the-commercialization-of-fusion-energy/%20|%20&#20844;&#21578;&#27491;&#25991;" TargetMode="External"/><Relationship Id="rId30" Type="http://schemas.openxmlformats.org/officeDocument/2006/relationships/hyperlink" Target="https://www.cfs.energy/news-and-media/commonwealth-fusion-systems-raises-863-million-series-b2-round-to-accelerate-the-commercialization-of-fusion-energy/%20|%20&#20844;&#21578;&#27491;&#25991;" TargetMode="External"/><Relationship Id="rId31" Type="http://schemas.openxmlformats.org/officeDocument/2006/relationships/hyperlink" Target="https://www.cfs.energy/news-and-media/google-and-commonwealth-fusion-systems-sign-strategic-partnership/%20|%20&#20844;&#21578;&#27491;&#25991;" TargetMode="External"/><Relationship Id="rId32" Type="http://schemas.openxmlformats.org/officeDocument/2006/relationships/hyperlink" Target="https://www.cfs.energy/news-and-media/google-and-commonwealth-fusion-systems-sign-strategic-partnership/%20|%20&#20844;&#21578;&#27491;&#25991;" TargetMode="External"/><Relationship Id="rId33" Type="http://schemas.openxmlformats.org/officeDocument/2006/relationships/hyperlink" Target="https://www.helionenergy.com/newsroom/helion-raises-465-million-series-g-funding-round-to-meet-surging-global-demand-for-power%20|%20&#20844;&#21578;&#27491;&#25991;" TargetMode="External"/><Relationship Id="rId34" Type="http://schemas.openxmlformats.org/officeDocument/2006/relationships/hyperlink" Target="https://www.helionenergy.com/newsroom/helion-raises-465-million-series-g-funding-round-to-meet-surging-global-demand-for-power%20|%20&#20844;&#21578;&#27491;&#25991;" TargetMode="External"/><Relationship Id="rId35" Type="http://schemas.openxmlformats.org/officeDocument/2006/relationships/hyperlink" Target="https://www.helionenergy.com/newsroom/helion-raises-465-million-series-g-funding-round-to-meet-surging-global-demand-for-power%20|%20&#20844;&#21578;&#27491;&#25991;" TargetMode="External"/><Relationship Id="rId36" Type="http://schemas.openxmlformats.org/officeDocument/2006/relationships/hyperlink" Target="https://www.helionenergy.com/newsroom/helion-announces-worlds-first-fusion-ppa-with-microsoft%20|%20&#20844;&#21578;&#27491;&#25991;" TargetMode="External"/><Relationship Id="rId37" Type="http://schemas.openxmlformats.org/officeDocument/2006/relationships/hyperlink" Target="https://www.helionenergy.com/newsroom/helion-announces-worlds-first-fusion-ppa-with-microsoft%20|%20&#20844;&#21578;&#27491;&#25991;" TargetMode="External"/><Relationship Id="rId38" Type="http://schemas.openxmlformats.org/officeDocument/2006/relationships/hyperlink" Target="https://www.helionenergy.com/newsroom/helion-announces-worlds-first-fusion-ppa-with-microsoft%20|%20&#20844;&#21578;&#27491;&#25991;" TargetMode="External"/><Relationship Id="rId39" Type="http://schemas.openxmlformats.org/officeDocument/2006/relationships/hyperlink" Target="https://tae.com/tae-technologies-raises-150-million-in-latest-funding-round/%20|%20&#20844;&#21578;&#27491;&#25991;" TargetMode="External"/><Relationship Id="rId40" Type="http://schemas.openxmlformats.org/officeDocument/2006/relationships/hyperlink" Target="https://tae.com/tae-technologies-raises-150-million-in-latest-funding-round/%20|%20&#20844;&#21578;&#27491;&#25991;" TargetMode="External"/><Relationship Id="rId41" Type="http://schemas.openxmlformats.org/officeDocument/2006/relationships/hyperlink" Target="https://typeoneenergy.com/insights-announcements/type-one-energy-completes-200m-series-b-financing/%20|%20&#20844;&#21578;&#27491;&#25991;" TargetMode="External"/><Relationship Id="rId42" Type="http://schemas.openxmlformats.org/officeDocument/2006/relationships/hyperlink" Target="https://typeoneenergy.com/insights-announcements/uk-infinity-fusion-consortium/%20|%20&#20844;&#21578;&#27491;&#25991;" TargetMode="External"/><Relationship Id="rId43" Type="http://schemas.openxmlformats.org/officeDocument/2006/relationships/hyperlink" Target="https://www.irena.org/News/pressreleases/2025/Jul/91-Percent-of-New-Renewable-Projects-Now-Cheaper-Than-Fossil-Fuels-Alternatives%20|%20&#20844;&#21578;&#27491;&#25991;" TargetMode="External"/><Relationship Id="rId44" Type="http://schemas.openxmlformats.org/officeDocument/2006/relationships/hyperlink" Target="https://www.irena.org/News/pressreleases/2025/Jul/91-Percent-of-New-Renewable-Projects-Now-Cheaper-Than-Fossil-Fuels-Alternatives%20|%20&#20844;&#21578;&#27491;&#25991;" TargetMode="External"/><Relationship Id="rId45" Type="http://schemas.openxmlformats.org/officeDocument/2006/relationships/hyperlink" Target="https://tae.com/tae-technologies-raises-150-million-in-latest-funding-round/%20|%20&#20844;&#21578;&#27491;&#25991;" TargetMode="External"/><Relationship Id="rId46" Type="http://schemas.openxmlformats.org/officeDocument/2006/relationships/hyperlink" Target="https://tae.com/tae-technologies-raises-150-million-in-latest-funding-round/%20|%20&#20844;&#21578;&#27491;&#25991;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ea.org/reports/energy-and-ai" TargetMode="External"/><Relationship Id="rId2" Type="http://schemas.openxmlformats.org/officeDocument/2006/relationships/hyperlink" Target="https://www.iea.org/reports/energy-and-ai/energy-supply-for-ai" TargetMode="External"/><Relationship Id="rId3" Type="http://schemas.openxmlformats.org/officeDocument/2006/relationships/hyperlink" Target="https://www.iea.org/reports/key-questions-on-energy-and-ai/executive-summary" TargetMode="External"/><Relationship Id="rId4" Type="http://schemas.openxmlformats.org/officeDocument/2006/relationships/hyperlink" Target="https://www.sec.gov/Archives/edgar/data/1652044/000165204426000066/googexhibit991q22026.htm" TargetMode="External"/><Relationship Id="rId5" Type="http://schemas.openxmlformats.org/officeDocument/2006/relationships/hyperlink" Target="https://www.microsoft.com/en-us/investor/earnings/fy-2026-q4/press-release-webcast" TargetMode="External"/><Relationship Id="rId6" Type="http://schemas.openxmlformats.org/officeDocument/2006/relationships/hyperlink" Target="https://www.aboutamazon.com/news/company-news/amazon-earnings-q2-2026-report" TargetMode="External"/><Relationship Id="rId7" Type="http://schemas.openxmlformats.org/officeDocument/2006/relationships/hyperlink" Target="https://investors.constellationenergy.com/news-releases/news-release-details/constellation-meta-sign-20-year-deal-clean-reliable-nuclear" TargetMode="External"/><Relationship Id="rId8" Type="http://schemas.openxmlformats.org/officeDocument/2006/relationships/hyperlink" Target="https://ir.talenenergy.com/news-releases/news-release-details/talen-energy-expands-nuclear-energy-relationship-amazon" TargetMode="External"/><Relationship Id="rId9" Type="http://schemas.openxmlformats.org/officeDocument/2006/relationships/hyperlink" Target="https://www.cfs.energy/news-and-media/commonwealth-fusion-systems-raises-863-million-series-b2-round-to-accelerate-the-commercialization-of-fusion-energy/" TargetMode="External"/><Relationship Id="rId10" Type="http://schemas.openxmlformats.org/officeDocument/2006/relationships/hyperlink" Target="https://www.cfs.energy/news-and-media/google-and-commonwealth-fusion-systems-sign-strategic-partnership/" TargetMode="External"/><Relationship Id="rId11" Type="http://schemas.openxmlformats.org/officeDocument/2006/relationships/hyperlink" Target="https://www.helionenergy.com/newsroom/helion-raises-465-million-series-g-funding-round-to-meet-surging-global-demand-for-power" TargetMode="External"/><Relationship Id="rId12" Type="http://schemas.openxmlformats.org/officeDocument/2006/relationships/hyperlink" Target="https://www.helionenergy.com/newsroom/helion-announces-worlds-first-fusion-ppa-with-microsoft" TargetMode="External"/><Relationship Id="rId13" Type="http://schemas.openxmlformats.org/officeDocument/2006/relationships/hyperlink" Target="https://tae.com/tae-technologies-raises-150-million-in-latest-funding-round/" TargetMode="External"/><Relationship Id="rId14" Type="http://schemas.openxmlformats.org/officeDocument/2006/relationships/hyperlink" Target="https://www.sec.gov/Archives/edgar/data/1849635/000143774926031535/ex_1020869.htm" TargetMode="External"/><Relationship Id="rId15" Type="http://schemas.openxmlformats.org/officeDocument/2006/relationships/hyperlink" Target="https://typeoneenergy.com/insights-announcements/type-one-energy-completes-200m-series-b-financing/" TargetMode="External"/><Relationship Id="rId16" Type="http://schemas.openxmlformats.org/officeDocument/2006/relationships/hyperlink" Target="https://typeoneenergy.com/insights-announcements/uk-infinity-fusion-consortium/" TargetMode="External"/><Relationship Id="rId17" Type="http://schemas.openxmlformats.org/officeDocument/2006/relationships/hyperlink" Target="https://www.irena.org/News/pressreleases/2025/Jul/91-Percent-of-New-Renewable-Projects-Now-Cheaper-Than-Fossil-Fuels-Alternatives" TargetMode="External"/><Relationship Id="rId18" Type="http://schemas.openxmlformats.org/officeDocument/2006/relationships/hyperlink" Target="https://www.iter.org/components" TargetMode="External"/><Relationship Id="rId19" Type="http://schemas.openxmlformats.org/officeDocument/2006/relationships/hyperlink" Target="https://www.iter.org/machine/blan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8B84"/>
    <pageSetUpPr fitToPage="1"/>
  </sheetPr>
  <dimension ref="A1:M86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2.25" customHeight="1"/>
  <cols>
    <col min="1" max="1" width="10.7109375" customWidth="1"/>
    <col min="2" max="2" width="15.7109375" customWidth="1"/>
    <col min="3" max="3" width="38.7109375" customWidth="1"/>
    <col min="4" max="4" width="24.7109375" customWidth="1"/>
    <col min="5" max="5" width="18.7109375" customWidth="1"/>
    <col min="6" max="6" width="16.7109375" customWidth="1"/>
    <col min="7" max="7" width="23.7109375" customWidth="1"/>
    <col min="8" max="8" width="10.7109375" customWidth="1"/>
    <col min="9" max="9" width="35.7109375" customWidth="1"/>
    <col min="10" max="10" width="25.7109375" customWidth="1"/>
    <col min="11" max="11" width="16.7109375" customWidth="1"/>
    <col min="12" max="13" width="65.7109375" customWidth="1"/>
  </cols>
  <sheetData>
    <row r="1" spans="1:13" ht="4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56.25" customHeight="1">
      <c r="A5" s="4" t="s">
        <v>15</v>
      </c>
      <c r="B5" s="4" t="s">
        <v>16</v>
      </c>
      <c r="C5" s="4" t="s">
        <v>17</v>
      </c>
      <c r="D5" s="4" t="s">
        <v>18</v>
      </c>
      <c r="E5" s="5">
        <v>415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</row>
    <row r="6" spans="1:13" ht="56.25" customHeight="1">
      <c r="A6" s="4" t="s">
        <v>27</v>
      </c>
      <c r="B6" s="4" t="s">
        <v>16</v>
      </c>
      <c r="C6" s="4" t="s">
        <v>17</v>
      </c>
      <c r="D6" s="4" t="s">
        <v>28</v>
      </c>
      <c r="E6" s="5">
        <v>945</v>
      </c>
      <c r="F6" s="4" t="s">
        <v>19</v>
      </c>
      <c r="G6" s="4" t="s">
        <v>29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30</v>
      </c>
      <c r="M6" s="4" t="s">
        <v>31</v>
      </c>
    </row>
    <row r="7" spans="1:13" ht="56.25" customHeight="1">
      <c r="A7" s="4" t="s">
        <v>32</v>
      </c>
      <c r="B7" s="4" t="s">
        <v>16</v>
      </c>
      <c r="C7" s="4" t="s">
        <v>17</v>
      </c>
      <c r="D7" s="4" t="s">
        <v>33</v>
      </c>
      <c r="E7" s="5">
        <v>485</v>
      </c>
      <c r="F7" s="4" t="s">
        <v>19</v>
      </c>
      <c r="G7" s="4" t="s">
        <v>20</v>
      </c>
      <c r="H7" s="4" t="s">
        <v>34</v>
      </c>
      <c r="I7" s="4" t="s">
        <v>35</v>
      </c>
      <c r="J7" s="4" t="s">
        <v>36</v>
      </c>
      <c r="K7" s="4" t="s">
        <v>24</v>
      </c>
      <c r="L7" s="4" t="s">
        <v>37</v>
      </c>
      <c r="M7" s="4" t="s">
        <v>38</v>
      </c>
    </row>
    <row r="8" spans="1:13" ht="56.25" customHeight="1">
      <c r="A8" s="4" t="s">
        <v>39</v>
      </c>
      <c r="B8" s="4" t="s">
        <v>16</v>
      </c>
      <c r="C8" s="4" t="s">
        <v>17</v>
      </c>
      <c r="D8" s="4" t="s">
        <v>28</v>
      </c>
      <c r="E8" s="5">
        <v>950</v>
      </c>
      <c r="F8" s="4" t="s">
        <v>19</v>
      </c>
      <c r="G8" s="4" t="s">
        <v>40</v>
      </c>
      <c r="H8" s="4" t="s">
        <v>34</v>
      </c>
      <c r="I8" s="4" t="s">
        <v>35</v>
      </c>
      <c r="J8" s="4" t="s">
        <v>36</v>
      </c>
      <c r="K8" s="4" t="s">
        <v>24</v>
      </c>
      <c r="L8" s="4" t="s">
        <v>37</v>
      </c>
      <c r="M8" s="4" t="s">
        <v>41</v>
      </c>
    </row>
    <row r="9" spans="1:13" ht="56.25" customHeight="1">
      <c r="A9" s="4" t="s">
        <v>42</v>
      </c>
      <c r="B9" s="4" t="s">
        <v>16</v>
      </c>
      <c r="C9" s="4" t="s">
        <v>43</v>
      </c>
      <c r="D9" s="4" t="s">
        <v>18</v>
      </c>
      <c r="E9" s="6">
        <v>0.015</v>
      </c>
      <c r="F9" s="4" t="s">
        <v>44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24</v>
      </c>
      <c r="L9" s="4" t="s">
        <v>25</v>
      </c>
      <c r="M9" s="4"/>
    </row>
    <row r="10" spans="1:13" ht="56.25" customHeight="1">
      <c r="A10" s="4" t="s">
        <v>45</v>
      </c>
      <c r="B10" s="4" t="s">
        <v>16</v>
      </c>
      <c r="C10" s="4" t="s">
        <v>43</v>
      </c>
      <c r="D10" s="4" t="s">
        <v>28</v>
      </c>
      <c r="E10" s="6">
        <v>0.03</v>
      </c>
      <c r="F10" s="4" t="s">
        <v>44</v>
      </c>
      <c r="G10" s="4" t="s">
        <v>40</v>
      </c>
      <c r="H10" s="4" t="s">
        <v>34</v>
      </c>
      <c r="I10" s="4" t="s">
        <v>35</v>
      </c>
      <c r="J10" s="4" t="s">
        <v>36</v>
      </c>
      <c r="K10" s="4" t="s">
        <v>24</v>
      </c>
      <c r="L10" s="4" t="s">
        <v>37</v>
      </c>
      <c r="M10" s="4" t="s">
        <v>46</v>
      </c>
    </row>
    <row r="11" spans="1:13" ht="56.25" customHeight="1">
      <c r="A11" s="4" t="s">
        <v>47</v>
      </c>
      <c r="B11" s="4" t="s">
        <v>16</v>
      </c>
      <c r="C11" s="4" t="s">
        <v>48</v>
      </c>
      <c r="D11" s="4" t="s">
        <v>33</v>
      </c>
      <c r="E11" s="6">
        <v>0.17</v>
      </c>
      <c r="F11" s="4" t="s">
        <v>44</v>
      </c>
      <c r="G11" s="4" t="s">
        <v>20</v>
      </c>
      <c r="H11" s="4" t="s">
        <v>34</v>
      </c>
      <c r="I11" s="4" t="s">
        <v>35</v>
      </c>
      <c r="J11" s="4" t="s">
        <v>36</v>
      </c>
      <c r="K11" s="4" t="s">
        <v>24</v>
      </c>
      <c r="L11" s="4" t="s">
        <v>49</v>
      </c>
      <c r="M11" s="4"/>
    </row>
    <row r="12" spans="1:13" ht="56.25" customHeight="1">
      <c r="A12" s="4" t="s">
        <v>50</v>
      </c>
      <c r="B12" s="4" t="s">
        <v>16</v>
      </c>
      <c r="C12" s="4" t="s">
        <v>51</v>
      </c>
      <c r="D12" s="4" t="s">
        <v>33</v>
      </c>
      <c r="E12" s="6">
        <v>0.5</v>
      </c>
      <c r="F12" s="4" t="s">
        <v>44</v>
      </c>
      <c r="G12" s="4" t="s">
        <v>20</v>
      </c>
      <c r="H12" s="4" t="s">
        <v>34</v>
      </c>
      <c r="I12" s="4" t="s">
        <v>35</v>
      </c>
      <c r="J12" s="4" t="s">
        <v>36</v>
      </c>
      <c r="K12" s="4" t="s">
        <v>24</v>
      </c>
      <c r="L12" s="4" t="s">
        <v>49</v>
      </c>
      <c r="M12" s="4" t="s">
        <v>52</v>
      </c>
    </row>
    <row r="13" spans="1:13" ht="56.25" customHeight="1">
      <c r="A13" s="4" t="s">
        <v>53</v>
      </c>
      <c r="B13" s="4" t="s">
        <v>16</v>
      </c>
      <c r="C13" s="4" t="s">
        <v>54</v>
      </c>
      <c r="D13" s="4" t="s">
        <v>55</v>
      </c>
      <c r="E13" s="5">
        <v>3</v>
      </c>
      <c r="F13" s="4" t="s">
        <v>56</v>
      </c>
      <c r="G13" s="4" t="s">
        <v>57</v>
      </c>
      <c r="H13" s="4" t="s">
        <v>34</v>
      </c>
      <c r="I13" s="4" t="s">
        <v>35</v>
      </c>
      <c r="J13" s="4" t="s">
        <v>36</v>
      </c>
      <c r="K13" s="4" t="s">
        <v>24</v>
      </c>
      <c r="L13" s="4" t="s">
        <v>37</v>
      </c>
      <c r="M13" s="4"/>
    </row>
    <row r="14" spans="1:13" ht="56.25" customHeight="1">
      <c r="A14" s="4" t="s">
        <v>58</v>
      </c>
      <c r="B14" s="4" t="s">
        <v>59</v>
      </c>
      <c r="C14" s="4" t="s">
        <v>60</v>
      </c>
      <c r="D14" s="4" t="s">
        <v>18</v>
      </c>
      <c r="E14" s="5">
        <v>460</v>
      </c>
      <c r="F14" s="4" t="s">
        <v>19</v>
      </c>
      <c r="G14" s="4" t="s">
        <v>20</v>
      </c>
      <c r="H14" s="4" t="s">
        <v>61</v>
      </c>
      <c r="I14" s="4" t="s">
        <v>62</v>
      </c>
      <c r="J14" s="4" t="s">
        <v>23</v>
      </c>
      <c r="K14" s="4" t="s">
        <v>24</v>
      </c>
      <c r="L14" s="4" t="s">
        <v>63</v>
      </c>
      <c r="M14" s="4" t="s">
        <v>64</v>
      </c>
    </row>
    <row r="15" spans="1:13" ht="56.25" customHeight="1">
      <c r="A15" s="4" t="s">
        <v>65</v>
      </c>
      <c r="B15" s="4" t="s">
        <v>66</v>
      </c>
      <c r="C15" s="4" t="s">
        <v>67</v>
      </c>
      <c r="D15" s="4" t="s">
        <v>18</v>
      </c>
      <c r="E15" s="6">
        <v>0.3</v>
      </c>
      <c r="F15" s="4" t="s">
        <v>44</v>
      </c>
      <c r="G15" s="4" t="s">
        <v>68</v>
      </c>
      <c r="H15" s="4" t="s">
        <v>61</v>
      </c>
      <c r="I15" s="4" t="s">
        <v>62</v>
      </c>
      <c r="J15" s="4" t="s">
        <v>23</v>
      </c>
      <c r="K15" s="4" t="s">
        <v>24</v>
      </c>
      <c r="L15" s="4" t="s">
        <v>69</v>
      </c>
      <c r="M15" s="4" t="s">
        <v>70</v>
      </c>
    </row>
    <row r="16" spans="1:13" ht="56.25" customHeight="1">
      <c r="A16" s="4" t="s">
        <v>71</v>
      </c>
      <c r="B16" s="4" t="s">
        <v>66</v>
      </c>
      <c r="C16" s="4" t="s">
        <v>72</v>
      </c>
      <c r="D16" s="4" t="s">
        <v>18</v>
      </c>
      <c r="E16" s="6">
        <v>0.26</v>
      </c>
      <c r="F16" s="4" t="s">
        <v>44</v>
      </c>
      <c r="G16" s="4" t="s">
        <v>68</v>
      </c>
      <c r="H16" s="4" t="s">
        <v>61</v>
      </c>
      <c r="I16" s="4" t="s">
        <v>62</v>
      </c>
      <c r="J16" s="4" t="s">
        <v>23</v>
      </c>
      <c r="K16" s="4" t="s">
        <v>24</v>
      </c>
      <c r="L16" s="4" t="s">
        <v>69</v>
      </c>
      <c r="M16" s="4" t="s">
        <v>70</v>
      </c>
    </row>
    <row r="17" spans="1:13" ht="56.25" customHeight="1">
      <c r="A17" s="4" t="s">
        <v>73</v>
      </c>
      <c r="B17" s="4" t="s">
        <v>66</v>
      </c>
      <c r="C17" s="4" t="s">
        <v>74</v>
      </c>
      <c r="D17" s="4" t="s">
        <v>18</v>
      </c>
      <c r="E17" s="6">
        <v>0.15</v>
      </c>
      <c r="F17" s="4" t="s">
        <v>44</v>
      </c>
      <c r="G17" s="4" t="s">
        <v>68</v>
      </c>
      <c r="H17" s="4" t="s">
        <v>61</v>
      </c>
      <c r="I17" s="4" t="s">
        <v>62</v>
      </c>
      <c r="J17" s="4" t="s">
        <v>23</v>
      </c>
      <c r="K17" s="4" t="s">
        <v>24</v>
      </c>
      <c r="L17" s="4" t="s">
        <v>69</v>
      </c>
      <c r="M17" s="4" t="s">
        <v>70</v>
      </c>
    </row>
    <row r="18" spans="1:13" ht="56.25" customHeight="1">
      <c r="A18" s="4" t="s">
        <v>75</v>
      </c>
      <c r="B18" s="4" t="s">
        <v>66</v>
      </c>
      <c r="C18" s="4" t="s">
        <v>76</v>
      </c>
      <c r="D18" s="4" t="s">
        <v>18</v>
      </c>
      <c r="E18" s="6">
        <v>0.27</v>
      </c>
      <c r="F18" s="4" t="s">
        <v>44</v>
      </c>
      <c r="G18" s="4" t="s">
        <v>68</v>
      </c>
      <c r="H18" s="4" t="s">
        <v>61</v>
      </c>
      <c r="I18" s="4" t="s">
        <v>62</v>
      </c>
      <c r="J18" s="4" t="s">
        <v>23</v>
      </c>
      <c r="K18" s="4" t="s">
        <v>24</v>
      </c>
      <c r="L18" s="4" t="s">
        <v>69</v>
      </c>
      <c r="M18" s="4" t="s">
        <v>70</v>
      </c>
    </row>
    <row r="19" spans="1:13" ht="56.25" customHeight="1">
      <c r="A19" s="4" t="s">
        <v>77</v>
      </c>
      <c r="B19" s="4" t="s">
        <v>78</v>
      </c>
      <c r="C19" s="4" t="s">
        <v>79</v>
      </c>
      <c r="D19" s="4" t="s">
        <v>18</v>
      </c>
      <c r="E19" s="6">
        <v>0.45</v>
      </c>
      <c r="F19" s="4" t="s">
        <v>44</v>
      </c>
      <c r="G19" s="4" t="s">
        <v>68</v>
      </c>
      <c r="H19" s="4" t="s">
        <v>21</v>
      </c>
      <c r="I19" s="4" t="s">
        <v>22</v>
      </c>
      <c r="J19" s="4" t="s">
        <v>23</v>
      </c>
      <c r="K19" s="4" t="s">
        <v>24</v>
      </c>
      <c r="L19" s="4" t="s">
        <v>80</v>
      </c>
      <c r="M19" s="4"/>
    </row>
    <row r="20" spans="1:13" ht="56.25" customHeight="1">
      <c r="A20" s="4" t="s">
        <v>81</v>
      </c>
      <c r="B20" s="4" t="s">
        <v>82</v>
      </c>
      <c r="C20" s="4" t="s">
        <v>83</v>
      </c>
      <c r="D20" s="4" t="s">
        <v>84</v>
      </c>
      <c r="E20" s="6">
        <v>0.3</v>
      </c>
      <c r="F20" s="4" t="s">
        <v>44</v>
      </c>
      <c r="G20" s="4" t="s">
        <v>85</v>
      </c>
      <c r="H20" s="4" t="s">
        <v>34</v>
      </c>
      <c r="I20" s="4" t="s">
        <v>35</v>
      </c>
      <c r="J20" s="4" t="s">
        <v>36</v>
      </c>
      <c r="K20" s="4" t="s">
        <v>24</v>
      </c>
      <c r="L20" s="4" t="s">
        <v>86</v>
      </c>
      <c r="M20" s="4"/>
    </row>
    <row r="21" spans="1:13" ht="56.25" customHeight="1">
      <c r="A21" s="4" t="s">
        <v>87</v>
      </c>
      <c r="B21" s="4" t="s">
        <v>82</v>
      </c>
      <c r="C21" s="4" t="s">
        <v>88</v>
      </c>
      <c r="D21" s="4" t="s">
        <v>84</v>
      </c>
      <c r="E21" s="6">
        <v>0.7</v>
      </c>
      <c r="F21" s="4" t="s">
        <v>44</v>
      </c>
      <c r="G21" s="4" t="s">
        <v>85</v>
      </c>
      <c r="H21" s="4" t="s">
        <v>34</v>
      </c>
      <c r="I21" s="4" t="s">
        <v>35</v>
      </c>
      <c r="J21" s="4" t="s">
        <v>36</v>
      </c>
      <c r="K21" s="4" t="s">
        <v>24</v>
      </c>
      <c r="L21" s="4" t="s">
        <v>86</v>
      </c>
      <c r="M21" s="4"/>
    </row>
    <row r="22" spans="1:13" ht="56.25" customHeight="1">
      <c r="A22" s="4" t="s">
        <v>89</v>
      </c>
      <c r="B22" s="4" t="s">
        <v>90</v>
      </c>
      <c r="C22" s="4" t="s">
        <v>91</v>
      </c>
      <c r="D22" s="4" t="s">
        <v>92</v>
      </c>
      <c r="E22" s="5">
        <v>83055</v>
      </c>
      <c r="F22" s="4" t="s">
        <v>93</v>
      </c>
      <c r="G22" s="4" t="s">
        <v>94</v>
      </c>
      <c r="H22" s="4" t="s">
        <v>95</v>
      </c>
      <c r="I22" s="4" t="s">
        <v>96</v>
      </c>
      <c r="J22" s="4" t="s">
        <v>97</v>
      </c>
      <c r="K22" s="4" t="s">
        <v>24</v>
      </c>
      <c r="L22" s="4" t="s">
        <v>98</v>
      </c>
      <c r="M22" s="4" t="s">
        <v>99</v>
      </c>
    </row>
    <row r="23" spans="1:13" ht="56.25" customHeight="1">
      <c r="A23" s="4" t="s">
        <v>100</v>
      </c>
      <c r="B23" s="4" t="s">
        <v>90</v>
      </c>
      <c r="C23" s="4" t="s">
        <v>101</v>
      </c>
      <c r="D23" s="4" t="s">
        <v>92</v>
      </c>
      <c r="E23" s="5">
        <v>2769</v>
      </c>
      <c r="F23" s="4" t="s">
        <v>93</v>
      </c>
      <c r="G23" s="4" t="s">
        <v>94</v>
      </c>
      <c r="H23" s="4" t="s">
        <v>95</v>
      </c>
      <c r="I23" s="4" t="s">
        <v>96</v>
      </c>
      <c r="J23" s="4" t="s">
        <v>97</v>
      </c>
      <c r="K23" s="4" t="s">
        <v>24</v>
      </c>
      <c r="L23" s="4" t="s">
        <v>98</v>
      </c>
      <c r="M23" s="4" t="s">
        <v>102</v>
      </c>
    </row>
    <row r="24" spans="1:13" ht="56.25" customHeight="1">
      <c r="A24" s="4" t="s">
        <v>103</v>
      </c>
      <c r="B24" s="4" t="s">
        <v>90</v>
      </c>
      <c r="C24" s="4" t="s">
        <v>91</v>
      </c>
      <c r="D24" s="4" t="s">
        <v>104</v>
      </c>
      <c r="E24" s="5">
        <v>48308</v>
      </c>
      <c r="F24" s="4" t="s">
        <v>93</v>
      </c>
      <c r="G24" s="4" t="s">
        <v>94</v>
      </c>
      <c r="H24" s="4" t="s">
        <v>95</v>
      </c>
      <c r="I24" s="4" t="s">
        <v>96</v>
      </c>
      <c r="J24" s="4" t="s">
        <v>97</v>
      </c>
      <c r="K24" s="4" t="s">
        <v>24</v>
      </c>
      <c r="L24" s="4" t="s">
        <v>98</v>
      </c>
      <c r="M24" s="4" t="s">
        <v>105</v>
      </c>
    </row>
    <row r="25" spans="1:13" ht="56.25" customHeight="1">
      <c r="A25" s="4" t="s">
        <v>106</v>
      </c>
      <c r="B25" s="4" t="s">
        <v>90</v>
      </c>
      <c r="C25" s="4" t="s">
        <v>101</v>
      </c>
      <c r="D25" s="4" t="s">
        <v>104</v>
      </c>
      <c r="E25" s="5">
        <v>1770</v>
      </c>
      <c r="F25" s="4" t="s">
        <v>93</v>
      </c>
      <c r="G25" s="4" t="s">
        <v>94</v>
      </c>
      <c r="H25" s="4" t="s">
        <v>95</v>
      </c>
      <c r="I25" s="4" t="s">
        <v>96</v>
      </c>
      <c r="J25" s="4" t="s">
        <v>97</v>
      </c>
      <c r="K25" s="4" t="s">
        <v>24</v>
      </c>
      <c r="L25" s="4" t="s">
        <v>98</v>
      </c>
      <c r="M25" s="4" t="s">
        <v>105</v>
      </c>
    </row>
    <row r="26" spans="1:13" ht="56.25" customHeight="1">
      <c r="A26" s="4" t="s">
        <v>107</v>
      </c>
      <c r="B26" s="4" t="s">
        <v>90</v>
      </c>
      <c r="C26" s="4" t="s">
        <v>108</v>
      </c>
      <c r="D26" s="4" t="s">
        <v>109</v>
      </c>
      <c r="E26" s="5">
        <v>34910</v>
      </c>
      <c r="F26" s="4" t="s">
        <v>93</v>
      </c>
      <c r="G26" s="4" t="s">
        <v>94</v>
      </c>
      <c r="H26" s="4" t="s">
        <v>95</v>
      </c>
      <c r="I26" s="4" t="s">
        <v>96</v>
      </c>
      <c r="J26" s="4" t="s">
        <v>97</v>
      </c>
      <c r="K26" s="4" t="s">
        <v>24</v>
      </c>
      <c r="L26" s="4" t="s">
        <v>110</v>
      </c>
      <c r="M26" s="4" t="s">
        <v>111</v>
      </c>
    </row>
    <row r="27" spans="1:13" ht="56.25" customHeight="1">
      <c r="A27" s="4" t="s">
        <v>112</v>
      </c>
      <c r="B27" s="4" t="s">
        <v>90</v>
      </c>
      <c r="C27" s="4" t="s">
        <v>113</v>
      </c>
      <c r="D27" s="4" t="s">
        <v>114</v>
      </c>
      <c r="E27" s="5">
        <v>135000</v>
      </c>
      <c r="F27" s="4" t="s">
        <v>93</v>
      </c>
      <c r="G27" s="4" t="s">
        <v>115</v>
      </c>
      <c r="H27" s="4" t="s">
        <v>95</v>
      </c>
      <c r="I27" s="4" t="s">
        <v>96</v>
      </c>
      <c r="J27" s="4" t="s">
        <v>97</v>
      </c>
      <c r="K27" s="4" t="s">
        <v>24</v>
      </c>
      <c r="L27" s="4" t="s">
        <v>116</v>
      </c>
      <c r="M27" s="4" t="s">
        <v>117</v>
      </c>
    </row>
    <row r="28" spans="1:13" ht="56.25" customHeight="1">
      <c r="A28" s="4" t="s">
        <v>118</v>
      </c>
      <c r="B28" s="4" t="s">
        <v>90</v>
      </c>
      <c r="C28" s="4" t="s">
        <v>119</v>
      </c>
      <c r="D28" s="4" t="s">
        <v>114</v>
      </c>
      <c r="E28" s="5">
        <v>145000</v>
      </c>
      <c r="F28" s="4" t="s">
        <v>93</v>
      </c>
      <c r="G28" s="4" t="s">
        <v>115</v>
      </c>
      <c r="H28" s="4" t="s">
        <v>95</v>
      </c>
      <c r="I28" s="4" t="s">
        <v>96</v>
      </c>
      <c r="J28" s="4" t="s">
        <v>97</v>
      </c>
      <c r="K28" s="4" t="s">
        <v>24</v>
      </c>
      <c r="L28" s="4" t="s">
        <v>116</v>
      </c>
      <c r="M28" s="4" t="s">
        <v>117</v>
      </c>
    </row>
    <row r="29" spans="1:13" ht="56.25" customHeight="1">
      <c r="A29" s="4" t="s">
        <v>120</v>
      </c>
      <c r="B29" s="4" t="s">
        <v>90</v>
      </c>
      <c r="C29" s="4" t="s">
        <v>121</v>
      </c>
      <c r="D29" s="4" t="s">
        <v>92</v>
      </c>
      <c r="E29" s="5">
        <v>96873</v>
      </c>
      <c r="F29" s="4" t="s">
        <v>93</v>
      </c>
      <c r="G29" s="4" t="s">
        <v>94</v>
      </c>
      <c r="H29" s="4" t="s">
        <v>95</v>
      </c>
      <c r="I29" s="4" t="s">
        <v>96</v>
      </c>
      <c r="J29" s="4" t="s">
        <v>97</v>
      </c>
      <c r="K29" s="4" t="s">
        <v>24</v>
      </c>
      <c r="L29" s="4" t="s">
        <v>98</v>
      </c>
      <c r="M29" s="4" t="s">
        <v>122</v>
      </c>
    </row>
    <row r="30" spans="1:13" ht="56.25" customHeight="1">
      <c r="A30" s="4" t="s">
        <v>123</v>
      </c>
      <c r="B30" s="4" t="s">
        <v>90</v>
      </c>
      <c r="C30" s="4" t="s">
        <v>124</v>
      </c>
      <c r="D30" s="4" t="s">
        <v>125</v>
      </c>
      <c r="E30" s="5">
        <v>89499</v>
      </c>
      <c r="F30" s="4" t="s">
        <v>93</v>
      </c>
      <c r="G30" s="4" t="s">
        <v>94</v>
      </c>
      <c r="H30" s="4" t="s">
        <v>95</v>
      </c>
      <c r="I30" s="4" t="s">
        <v>96</v>
      </c>
      <c r="J30" s="4" t="s">
        <v>97</v>
      </c>
      <c r="K30" s="4" t="s">
        <v>24</v>
      </c>
      <c r="L30" s="4" t="s">
        <v>126</v>
      </c>
      <c r="M30" s="4" t="s">
        <v>127</v>
      </c>
    </row>
    <row r="31" spans="1:13" ht="56.25" customHeight="1">
      <c r="A31" s="4" t="s">
        <v>128</v>
      </c>
      <c r="B31" s="4" t="s">
        <v>90</v>
      </c>
      <c r="C31" s="4" t="s">
        <v>124</v>
      </c>
      <c r="D31" s="4" t="s">
        <v>129</v>
      </c>
      <c r="E31" s="5">
        <v>50521</v>
      </c>
      <c r="F31" s="4" t="s">
        <v>93</v>
      </c>
      <c r="G31" s="4" t="s">
        <v>94</v>
      </c>
      <c r="H31" s="4" t="s">
        <v>95</v>
      </c>
      <c r="I31" s="4" t="s">
        <v>96</v>
      </c>
      <c r="J31" s="4" t="s">
        <v>97</v>
      </c>
      <c r="K31" s="4" t="s">
        <v>24</v>
      </c>
      <c r="L31" s="4" t="s">
        <v>126</v>
      </c>
      <c r="M31" s="4" t="s">
        <v>130</v>
      </c>
    </row>
    <row r="32" spans="1:13" ht="56.25" customHeight="1">
      <c r="A32" s="4" t="s">
        <v>131</v>
      </c>
      <c r="B32" s="4" t="s">
        <v>90</v>
      </c>
      <c r="C32" s="4" t="s">
        <v>132</v>
      </c>
      <c r="D32" s="4" t="s">
        <v>125</v>
      </c>
      <c r="E32" s="5">
        <v>133626</v>
      </c>
      <c r="F32" s="4" t="s">
        <v>93</v>
      </c>
      <c r="G32" s="4" t="s">
        <v>94</v>
      </c>
      <c r="H32" s="4" t="s">
        <v>95</v>
      </c>
      <c r="I32" s="4" t="s">
        <v>96</v>
      </c>
      <c r="J32" s="4" t="s">
        <v>97</v>
      </c>
      <c r="K32" s="4" t="s">
        <v>24</v>
      </c>
      <c r="L32" s="4" t="s">
        <v>126</v>
      </c>
      <c r="M32" s="4" t="s">
        <v>133</v>
      </c>
    </row>
    <row r="33" spans="1:13" ht="56.25" customHeight="1">
      <c r="A33" s="4" t="s">
        <v>134</v>
      </c>
      <c r="B33" s="4" t="s">
        <v>90</v>
      </c>
      <c r="C33" s="4" t="s">
        <v>132</v>
      </c>
      <c r="D33" s="4" t="s">
        <v>129</v>
      </c>
      <c r="E33" s="5">
        <v>98040</v>
      </c>
      <c r="F33" s="4" t="s">
        <v>93</v>
      </c>
      <c r="G33" s="4" t="s">
        <v>94</v>
      </c>
      <c r="H33" s="4" t="s">
        <v>95</v>
      </c>
      <c r="I33" s="4" t="s">
        <v>96</v>
      </c>
      <c r="J33" s="4" t="s">
        <v>97</v>
      </c>
      <c r="K33" s="4" t="s">
        <v>24</v>
      </c>
      <c r="L33" s="4" t="s">
        <v>126</v>
      </c>
      <c r="M33" s="4" t="s">
        <v>133</v>
      </c>
    </row>
    <row r="34" spans="1:13" ht="56.25" customHeight="1">
      <c r="A34" s="4" t="s">
        <v>135</v>
      </c>
      <c r="B34" s="4" t="s">
        <v>90</v>
      </c>
      <c r="C34" s="4" t="s">
        <v>136</v>
      </c>
      <c r="D34" s="4" t="s">
        <v>92</v>
      </c>
      <c r="E34" s="5">
        <v>85820</v>
      </c>
      <c r="F34" s="4" t="s">
        <v>93</v>
      </c>
      <c r="G34" s="4" t="s">
        <v>94</v>
      </c>
      <c r="H34" s="4" t="s">
        <v>95</v>
      </c>
      <c r="I34" s="4" t="s">
        <v>96</v>
      </c>
      <c r="J34" s="4" t="s">
        <v>97</v>
      </c>
      <c r="K34" s="4" t="s">
        <v>24</v>
      </c>
      <c r="L34" s="4" t="s">
        <v>116</v>
      </c>
      <c r="M34" s="4" t="s">
        <v>137</v>
      </c>
    </row>
    <row r="35" spans="1:13" ht="56.25" customHeight="1">
      <c r="A35" s="4" t="s">
        <v>138</v>
      </c>
      <c r="B35" s="4" t="s">
        <v>90</v>
      </c>
      <c r="C35" s="4" t="s">
        <v>139</v>
      </c>
      <c r="D35" s="4" t="s">
        <v>92</v>
      </c>
      <c r="E35" s="5">
        <v>181712</v>
      </c>
      <c r="F35" s="4" t="s">
        <v>93</v>
      </c>
      <c r="G35" s="4" t="s">
        <v>94</v>
      </c>
      <c r="H35" s="4" t="s">
        <v>95</v>
      </c>
      <c r="I35" s="4" t="s">
        <v>96</v>
      </c>
      <c r="J35" s="4" t="s">
        <v>97</v>
      </c>
      <c r="K35" s="4" t="s">
        <v>24</v>
      </c>
      <c r="L35" s="4" t="s">
        <v>140</v>
      </c>
      <c r="M35" s="4" t="s">
        <v>141</v>
      </c>
    </row>
    <row r="36" spans="1:13" ht="56.25" customHeight="1">
      <c r="A36" s="4" t="s">
        <v>142</v>
      </c>
      <c r="B36" s="4" t="s">
        <v>90</v>
      </c>
      <c r="C36" s="4" t="s">
        <v>143</v>
      </c>
      <c r="D36" s="4" t="s">
        <v>144</v>
      </c>
      <c r="E36" s="5">
        <v>27000</v>
      </c>
      <c r="F36" s="4" t="s">
        <v>93</v>
      </c>
      <c r="G36" s="4" t="s">
        <v>115</v>
      </c>
      <c r="H36" s="4" t="s">
        <v>95</v>
      </c>
      <c r="I36" s="4" t="s">
        <v>96</v>
      </c>
      <c r="J36" s="4" t="s">
        <v>97</v>
      </c>
      <c r="K36" s="4" t="s">
        <v>24</v>
      </c>
      <c r="L36" s="4" t="s">
        <v>145</v>
      </c>
      <c r="M36" s="4" t="s">
        <v>146</v>
      </c>
    </row>
    <row r="37" spans="1:13" ht="56.25" customHeight="1">
      <c r="A37" s="4" t="s">
        <v>147</v>
      </c>
      <c r="B37" s="4" t="s">
        <v>90</v>
      </c>
      <c r="C37" s="4" t="s">
        <v>148</v>
      </c>
      <c r="D37" s="4" t="s">
        <v>144</v>
      </c>
      <c r="E37" s="5">
        <v>14000</v>
      </c>
      <c r="F37" s="4" t="s">
        <v>93</v>
      </c>
      <c r="G37" s="4" t="s">
        <v>115</v>
      </c>
      <c r="H37" s="4" t="s">
        <v>95</v>
      </c>
      <c r="I37" s="4" t="s">
        <v>96</v>
      </c>
      <c r="J37" s="4" t="s">
        <v>97</v>
      </c>
      <c r="K37" s="4" t="s">
        <v>24</v>
      </c>
      <c r="L37" s="4" t="s">
        <v>145</v>
      </c>
      <c r="M37" s="4" t="s">
        <v>149</v>
      </c>
    </row>
    <row r="38" spans="1:13" ht="56.25" customHeight="1">
      <c r="A38" s="4" t="s">
        <v>150</v>
      </c>
      <c r="B38" s="4" t="s">
        <v>90</v>
      </c>
      <c r="C38" s="4" t="s">
        <v>151</v>
      </c>
      <c r="D38" s="4" t="s">
        <v>125</v>
      </c>
      <c r="E38" s="6">
        <v>0.2</v>
      </c>
      <c r="F38" s="4" t="s">
        <v>44</v>
      </c>
      <c r="G38" s="4" t="s">
        <v>94</v>
      </c>
      <c r="H38" s="4" t="s">
        <v>95</v>
      </c>
      <c r="I38" s="4" t="s">
        <v>96</v>
      </c>
      <c r="J38" s="4" t="s">
        <v>97</v>
      </c>
      <c r="K38" s="4" t="s">
        <v>24</v>
      </c>
      <c r="L38" s="4" t="s">
        <v>152</v>
      </c>
      <c r="M38" s="4" t="s">
        <v>153</v>
      </c>
    </row>
    <row r="39" spans="1:13" ht="56.25" customHeight="1">
      <c r="A39" s="4" t="s">
        <v>154</v>
      </c>
      <c r="B39" s="4" t="s">
        <v>155</v>
      </c>
      <c r="C39" s="4" t="s">
        <v>156</v>
      </c>
      <c r="D39" s="4" t="s">
        <v>157</v>
      </c>
      <c r="E39" s="5">
        <v>44924</v>
      </c>
      <c r="F39" s="4" t="s">
        <v>93</v>
      </c>
      <c r="G39" s="4" t="s">
        <v>158</v>
      </c>
      <c r="H39" s="4" t="s">
        <v>159</v>
      </c>
      <c r="I39" s="4" t="s">
        <v>160</v>
      </c>
      <c r="J39" s="4" t="s">
        <v>161</v>
      </c>
      <c r="K39" s="4" t="s">
        <v>24</v>
      </c>
      <c r="L39" s="4" t="s">
        <v>162</v>
      </c>
      <c r="M39" s="4" t="s">
        <v>163</v>
      </c>
    </row>
    <row r="40" spans="1:13" ht="56.25" customHeight="1">
      <c r="A40" s="4" t="s">
        <v>164</v>
      </c>
      <c r="B40" s="4" t="s">
        <v>155</v>
      </c>
      <c r="C40" s="4" t="s">
        <v>156</v>
      </c>
      <c r="D40" s="4" t="s">
        <v>165</v>
      </c>
      <c r="E40" s="5">
        <v>80598</v>
      </c>
      <c r="F40" s="4" t="s">
        <v>93</v>
      </c>
      <c r="G40" s="4" t="s">
        <v>158</v>
      </c>
      <c r="H40" s="4" t="s">
        <v>159</v>
      </c>
      <c r="I40" s="4" t="s">
        <v>160</v>
      </c>
      <c r="J40" s="4" t="s">
        <v>161</v>
      </c>
      <c r="K40" s="4" t="s">
        <v>24</v>
      </c>
      <c r="L40" s="4" t="s">
        <v>162</v>
      </c>
      <c r="M40" s="4" t="s">
        <v>166</v>
      </c>
    </row>
    <row r="41" spans="1:13" ht="56.25" customHeight="1">
      <c r="A41" s="4" t="s">
        <v>167</v>
      </c>
      <c r="B41" s="4" t="s">
        <v>155</v>
      </c>
      <c r="C41" s="4" t="s">
        <v>168</v>
      </c>
      <c r="D41" s="4" t="s">
        <v>169</v>
      </c>
      <c r="E41" s="5">
        <v>35802</v>
      </c>
      <c r="F41" s="4" t="s">
        <v>93</v>
      </c>
      <c r="G41" s="4" t="s">
        <v>158</v>
      </c>
      <c r="H41" s="4" t="s">
        <v>170</v>
      </c>
      <c r="I41" s="4" t="s">
        <v>171</v>
      </c>
      <c r="J41" s="4" t="s">
        <v>172</v>
      </c>
      <c r="K41" s="4" t="s">
        <v>24</v>
      </c>
      <c r="L41" s="4" t="s">
        <v>173</v>
      </c>
      <c r="M41" s="4" t="s">
        <v>174</v>
      </c>
    </row>
    <row r="42" spans="1:13" ht="56.25" customHeight="1">
      <c r="A42" s="4" t="s">
        <v>175</v>
      </c>
      <c r="B42" s="4" t="s">
        <v>155</v>
      </c>
      <c r="C42" s="4" t="s">
        <v>168</v>
      </c>
      <c r="D42" s="4" t="s">
        <v>176</v>
      </c>
      <c r="E42" s="5">
        <v>115948</v>
      </c>
      <c r="F42" s="4" t="s">
        <v>93</v>
      </c>
      <c r="G42" s="4" t="s">
        <v>158</v>
      </c>
      <c r="H42" s="4" t="s">
        <v>170</v>
      </c>
      <c r="I42" s="4" t="s">
        <v>171</v>
      </c>
      <c r="J42" s="4" t="s">
        <v>172</v>
      </c>
      <c r="K42" s="4" t="s">
        <v>24</v>
      </c>
      <c r="L42" s="4" t="s">
        <v>177</v>
      </c>
      <c r="M42" s="4" t="s">
        <v>178</v>
      </c>
    </row>
    <row r="43" spans="1:13" ht="56.25" customHeight="1">
      <c r="A43" s="4" t="s">
        <v>179</v>
      </c>
      <c r="B43" s="4" t="s">
        <v>155</v>
      </c>
      <c r="C43" s="4" t="s">
        <v>180</v>
      </c>
      <c r="D43" s="4" t="s">
        <v>181</v>
      </c>
      <c r="E43" s="5">
        <v>161400</v>
      </c>
      <c r="F43" s="4" t="s">
        <v>93</v>
      </c>
      <c r="G43" s="4" t="s">
        <v>158</v>
      </c>
      <c r="H43" s="4" t="s">
        <v>182</v>
      </c>
      <c r="I43" s="4" t="s">
        <v>183</v>
      </c>
      <c r="J43" s="4" t="s">
        <v>184</v>
      </c>
      <c r="K43" s="4" t="s">
        <v>24</v>
      </c>
      <c r="L43" s="4" t="s">
        <v>185</v>
      </c>
      <c r="M43" s="4" t="s">
        <v>186</v>
      </c>
    </row>
    <row r="44" spans="1:13" ht="56.25" customHeight="1">
      <c r="A44" s="4" t="s">
        <v>187</v>
      </c>
      <c r="B44" s="4" t="s">
        <v>155</v>
      </c>
      <c r="C44" s="4" t="s">
        <v>188</v>
      </c>
      <c r="D44" s="4" t="s">
        <v>181</v>
      </c>
      <c r="E44" s="5">
        <v>-7600</v>
      </c>
      <c r="F44" s="4" t="s">
        <v>93</v>
      </c>
      <c r="G44" s="4" t="s">
        <v>158</v>
      </c>
      <c r="H44" s="4" t="s">
        <v>182</v>
      </c>
      <c r="I44" s="4" t="s">
        <v>183</v>
      </c>
      <c r="J44" s="4" t="s">
        <v>184</v>
      </c>
      <c r="K44" s="4" t="s">
        <v>24</v>
      </c>
      <c r="L44" s="4" t="s">
        <v>185</v>
      </c>
      <c r="M44" s="4" t="s">
        <v>189</v>
      </c>
    </row>
    <row r="45" spans="1:13" ht="56.25" customHeight="1">
      <c r="A45" s="4" t="s">
        <v>190</v>
      </c>
      <c r="B45" s="4" t="s">
        <v>191</v>
      </c>
      <c r="C45" s="4" t="s">
        <v>139</v>
      </c>
      <c r="D45" s="4" t="s">
        <v>33</v>
      </c>
      <c r="E45" s="5">
        <v>25533</v>
      </c>
      <c r="F45" s="4" t="s">
        <v>93</v>
      </c>
      <c r="G45" s="4" t="s">
        <v>94</v>
      </c>
      <c r="H45" s="4" t="s">
        <v>192</v>
      </c>
      <c r="I45" s="4" t="s">
        <v>193</v>
      </c>
      <c r="J45" s="4" t="s">
        <v>194</v>
      </c>
      <c r="K45" s="4" t="s">
        <v>24</v>
      </c>
      <c r="L45" s="4" t="s">
        <v>195</v>
      </c>
      <c r="M45" s="4" t="s">
        <v>196</v>
      </c>
    </row>
    <row r="46" spans="1:13" ht="56.25" customHeight="1">
      <c r="A46" s="4" t="s">
        <v>197</v>
      </c>
      <c r="B46" s="4" t="s">
        <v>191</v>
      </c>
      <c r="C46" s="4" t="s">
        <v>198</v>
      </c>
      <c r="D46" s="4" t="s">
        <v>33</v>
      </c>
      <c r="E46" s="5">
        <v>2949</v>
      </c>
      <c r="F46" s="4" t="s">
        <v>93</v>
      </c>
      <c r="G46" s="4" t="s">
        <v>94</v>
      </c>
      <c r="H46" s="4" t="s">
        <v>192</v>
      </c>
      <c r="I46" s="4" t="s">
        <v>193</v>
      </c>
      <c r="J46" s="4" t="s">
        <v>194</v>
      </c>
      <c r="K46" s="4" t="s">
        <v>24</v>
      </c>
      <c r="L46" s="4" t="s">
        <v>199</v>
      </c>
      <c r="M46" s="4" t="s">
        <v>200</v>
      </c>
    </row>
    <row r="47" spans="1:13" ht="56.25" customHeight="1">
      <c r="A47" s="4" t="s">
        <v>201</v>
      </c>
      <c r="B47" s="4" t="s">
        <v>191</v>
      </c>
      <c r="C47" s="4" t="s">
        <v>121</v>
      </c>
      <c r="D47" s="4" t="s">
        <v>33</v>
      </c>
      <c r="E47" s="5">
        <v>4237</v>
      </c>
      <c r="F47" s="4" t="s">
        <v>93</v>
      </c>
      <c r="G47" s="4" t="s">
        <v>94</v>
      </c>
      <c r="H47" s="4" t="s">
        <v>192</v>
      </c>
      <c r="I47" s="4" t="s">
        <v>193</v>
      </c>
      <c r="J47" s="4" t="s">
        <v>194</v>
      </c>
      <c r="K47" s="4" t="s">
        <v>24</v>
      </c>
      <c r="L47" s="4" t="s">
        <v>199</v>
      </c>
      <c r="M47" s="4" t="s">
        <v>202</v>
      </c>
    </row>
    <row r="48" spans="1:13" ht="56.25" customHeight="1">
      <c r="A48" s="4" t="s">
        <v>203</v>
      </c>
      <c r="B48" s="4" t="s">
        <v>191</v>
      </c>
      <c r="C48" s="4" t="s">
        <v>204</v>
      </c>
      <c r="D48" s="4" t="s">
        <v>33</v>
      </c>
      <c r="E48" s="5">
        <v>182690</v>
      </c>
      <c r="F48" s="4" t="s">
        <v>205</v>
      </c>
      <c r="G48" s="4" t="s">
        <v>94</v>
      </c>
      <c r="H48" s="4" t="s">
        <v>192</v>
      </c>
      <c r="I48" s="4" t="s">
        <v>193</v>
      </c>
      <c r="J48" s="4" t="s">
        <v>194</v>
      </c>
      <c r="K48" s="4" t="s">
        <v>24</v>
      </c>
      <c r="L48" s="4" t="s">
        <v>206</v>
      </c>
      <c r="M48" s="4" t="s">
        <v>207</v>
      </c>
    </row>
    <row r="49" spans="1:13" ht="56.25" customHeight="1">
      <c r="A49" s="4" t="s">
        <v>208</v>
      </c>
      <c r="B49" s="4" t="s">
        <v>191</v>
      </c>
      <c r="C49" s="4" t="s">
        <v>209</v>
      </c>
      <c r="D49" s="4" t="s">
        <v>33</v>
      </c>
      <c r="E49" s="6">
        <v>0.947</v>
      </c>
      <c r="F49" s="4" t="s">
        <v>44</v>
      </c>
      <c r="G49" s="4" t="s">
        <v>94</v>
      </c>
      <c r="H49" s="4" t="s">
        <v>192</v>
      </c>
      <c r="I49" s="4" t="s">
        <v>193</v>
      </c>
      <c r="J49" s="4" t="s">
        <v>194</v>
      </c>
      <c r="K49" s="4" t="s">
        <v>24</v>
      </c>
      <c r="L49" s="4" t="s">
        <v>210</v>
      </c>
      <c r="M49" s="4" t="s">
        <v>211</v>
      </c>
    </row>
    <row r="50" spans="1:13" ht="56.25" customHeight="1">
      <c r="A50" s="4" t="s">
        <v>212</v>
      </c>
      <c r="B50" s="4" t="s">
        <v>191</v>
      </c>
      <c r="C50" s="4" t="s">
        <v>139</v>
      </c>
      <c r="D50" s="4" t="s">
        <v>165</v>
      </c>
      <c r="E50" s="5">
        <v>18626</v>
      </c>
      <c r="F50" s="4" t="s">
        <v>93</v>
      </c>
      <c r="G50" s="4" t="s">
        <v>94</v>
      </c>
      <c r="H50" s="4" t="s">
        <v>213</v>
      </c>
      <c r="I50" s="4" t="s">
        <v>214</v>
      </c>
      <c r="J50" s="4" t="s">
        <v>215</v>
      </c>
      <c r="K50" s="4" t="s">
        <v>24</v>
      </c>
      <c r="L50" s="4" t="s">
        <v>216</v>
      </c>
      <c r="M50" s="4" t="s">
        <v>217</v>
      </c>
    </row>
    <row r="51" spans="1:13" ht="56.25" customHeight="1">
      <c r="A51" s="4" t="s">
        <v>218</v>
      </c>
      <c r="B51" s="4" t="s">
        <v>191</v>
      </c>
      <c r="C51" s="4" t="s">
        <v>139</v>
      </c>
      <c r="D51" s="4" t="s">
        <v>219</v>
      </c>
      <c r="E51" s="5">
        <v>12889</v>
      </c>
      <c r="F51" s="4" t="s">
        <v>93</v>
      </c>
      <c r="G51" s="4" t="s">
        <v>94</v>
      </c>
      <c r="H51" s="4" t="s">
        <v>213</v>
      </c>
      <c r="I51" s="4" t="s">
        <v>214</v>
      </c>
      <c r="J51" s="4" t="s">
        <v>215</v>
      </c>
      <c r="K51" s="4" t="s">
        <v>24</v>
      </c>
      <c r="L51" s="4" t="s">
        <v>216</v>
      </c>
      <c r="M51" s="4" t="s">
        <v>220</v>
      </c>
    </row>
    <row r="52" spans="1:13" ht="56.25" customHeight="1">
      <c r="A52" s="4" t="s">
        <v>221</v>
      </c>
      <c r="B52" s="4" t="s">
        <v>191</v>
      </c>
      <c r="C52" s="4" t="s">
        <v>198</v>
      </c>
      <c r="D52" s="4" t="s">
        <v>165</v>
      </c>
      <c r="E52" s="5">
        <v>2521</v>
      </c>
      <c r="F52" s="4" t="s">
        <v>93</v>
      </c>
      <c r="G52" s="4" t="s">
        <v>94</v>
      </c>
      <c r="H52" s="4" t="s">
        <v>213</v>
      </c>
      <c r="I52" s="4" t="s">
        <v>214</v>
      </c>
      <c r="J52" s="4" t="s">
        <v>215</v>
      </c>
      <c r="K52" s="4" t="s">
        <v>24</v>
      </c>
      <c r="L52" s="4" t="s">
        <v>222</v>
      </c>
      <c r="M52" s="4" t="s">
        <v>223</v>
      </c>
    </row>
    <row r="53" spans="1:13" ht="56.25" customHeight="1">
      <c r="A53" s="4" t="s">
        <v>224</v>
      </c>
      <c r="B53" s="4" t="s">
        <v>191</v>
      </c>
      <c r="C53" s="4" t="s">
        <v>198</v>
      </c>
      <c r="D53" s="4" t="s">
        <v>219</v>
      </c>
      <c r="E53" s="5">
        <v>1573</v>
      </c>
      <c r="F53" s="4" t="s">
        <v>93</v>
      </c>
      <c r="G53" s="4" t="s">
        <v>94</v>
      </c>
      <c r="H53" s="4" t="s">
        <v>213</v>
      </c>
      <c r="I53" s="4" t="s">
        <v>214</v>
      </c>
      <c r="J53" s="4" t="s">
        <v>215</v>
      </c>
      <c r="K53" s="4" t="s">
        <v>24</v>
      </c>
      <c r="L53" s="4" t="s">
        <v>222</v>
      </c>
      <c r="M53" s="4" t="s">
        <v>105</v>
      </c>
    </row>
    <row r="54" spans="1:13" ht="56.25" customHeight="1">
      <c r="A54" s="4" t="s">
        <v>225</v>
      </c>
      <c r="B54" s="4" t="s">
        <v>191</v>
      </c>
      <c r="C54" s="4" t="s">
        <v>204</v>
      </c>
      <c r="D54" s="4" t="s">
        <v>165</v>
      </c>
      <c r="E54" s="5">
        <v>88827</v>
      </c>
      <c r="F54" s="4" t="s">
        <v>205</v>
      </c>
      <c r="G54" s="4" t="s">
        <v>94</v>
      </c>
      <c r="H54" s="4" t="s">
        <v>213</v>
      </c>
      <c r="I54" s="4" t="s">
        <v>214</v>
      </c>
      <c r="J54" s="4" t="s">
        <v>215</v>
      </c>
      <c r="K54" s="4" t="s">
        <v>24</v>
      </c>
      <c r="L54" s="4" t="s">
        <v>226</v>
      </c>
      <c r="M54" s="4" t="s">
        <v>227</v>
      </c>
    </row>
    <row r="55" spans="1:13" ht="56.25" customHeight="1">
      <c r="A55" s="4" t="s">
        <v>228</v>
      </c>
      <c r="B55" s="4" t="s">
        <v>191</v>
      </c>
      <c r="C55" s="4" t="s">
        <v>204</v>
      </c>
      <c r="D55" s="4" t="s">
        <v>219</v>
      </c>
      <c r="E55" s="5">
        <v>90753</v>
      </c>
      <c r="F55" s="4" t="s">
        <v>205</v>
      </c>
      <c r="G55" s="4" t="s">
        <v>94</v>
      </c>
      <c r="H55" s="4" t="s">
        <v>213</v>
      </c>
      <c r="I55" s="4" t="s">
        <v>214</v>
      </c>
      <c r="J55" s="4" t="s">
        <v>215</v>
      </c>
      <c r="K55" s="4" t="s">
        <v>24</v>
      </c>
      <c r="L55" s="4" t="s">
        <v>226</v>
      </c>
      <c r="M55" s="4" t="s">
        <v>105</v>
      </c>
    </row>
    <row r="56" spans="1:13" ht="56.25" customHeight="1">
      <c r="A56" s="4" t="s">
        <v>229</v>
      </c>
      <c r="B56" s="4" t="s">
        <v>191</v>
      </c>
      <c r="C56" s="4" t="s">
        <v>209</v>
      </c>
      <c r="D56" s="4" t="s">
        <v>165</v>
      </c>
      <c r="E56" s="6">
        <v>0.927</v>
      </c>
      <c r="F56" s="4" t="s">
        <v>44</v>
      </c>
      <c r="G56" s="4" t="s">
        <v>94</v>
      </c>
      <c r="H56" s="4" t="s">
        <v>213</v>
      </c>
      <c r="I56" s="4" t="s">
        <v>214</v>
      </c>
      <c r="J56" s="4" t="s">
        <v>215</v>
      </c>
      <c r="K56" s="4" t="s">
        <v>24</v>
      </c>
      <c r="L56" s="4" t="s">
        <v>230</v>
      </c>
      <c r="M56" s="4" t="s">
        <v>231</v>
      </c>
    </row>
    <row r="57" spans="1:13" ht="56.25" customHeight="1">
      <c r="A57" s="4" t="s">
        <v>232</v>
      </c>
      <c r="B57" s="4" t="s">
        <v>191</v>
      </c>
      <c r="C57" s="4" t="s">
        <v>209</v>
      </c>
      <c r="D57" s="4" t="s">
        <v>219</v>
      </c>
      <c r="E57" s="6">
        <v>0.945</v>
      </c>
      <c r="F57" s="4" t="s">
        <v>44</v>
      </c>
      <c r="G57" s="4" t="s">
        <v>94</v>
      </c>
      <c r="H57" s="4" t="s">
        <v>213</v>
      </c>
      <c r="I57" s="4" t="s">
        <v>214</v>
      </c>
      <c r="J57" s="4" t="s">
        <v>215</v>
      </c>
      <c r="K57" s="4" t="s">
        <v>24</v>
      </c>
      <c r="L57" s="4" t="s">
        <v>230</v>
      </c>
      <c r="M57" s="4" t="s">
        <v>233</v>
      </c>
    </row>
    <row r="58" spans="1:13" ht="56.25" customHeight="1">
      <c r="A58" s="4" t="s">
        <v>234</v>
      </c>
      <c r="B58" s="4" t="s">
        <v>191</v>
      </c>
      <c r="C58" s="4" t="s">
        <v>235</v>
      </c>
      <c r="D58" s="4" t="s">
        <v>236</v>
      </c>
      <c r="E58" s="5">
        <v>835</v>
      </c>
      <c r="F58" s="4" t="s">
        <v>237</v>
      </c>
      <c r="G58" s="4" t="s">
        <v>94</v>
      </c>
      <c r="H58" s="4" t="s">
        <v>192</v>
      </c>
      <c r="I58" s="4" t="s">
        <v>193</v>
      </c>
      <c r="J58" s="4" t="s">
        <v>194</v>
      </c>
      <c r="K58" s="4" t="s">
        <v>24</v>
      </c>
      <c r="L58" s="4" t="s">
        <v>238</v>
      </c>
      <c r="M58" s="4" t="s">
        <v>239</v>
      </c>
    </row>
    <row r="59" spans="1:13" ht="56.25" customHeight="1">
      <c r="A59" s="4" t="s">
        <v>240</v>
      </c>
      <c r="B59" s="4" t="s">
        <v>191</v>
      </c>
      <c r="C59" s="4" t="s">
        <v>241</v>
      </c>
      <c r="D59" s="4" t="s">
        <v>242</v>
      </c>
      <c r="E59" s="5">
        <v>20</v>
      </c>
      <c r="F59" s="4" t="s">
        <v>243</v>
      </c>
      <c r="G59" s="4" t="s">
        <v>94</v>
      </c>
      <c r="H59" s="4" t="s">
        <v>192</v>
      </c>
      <c r="I59" s="4" t="s">
        <v>193</v>
      </c>
      <c r="J59" s="4" t="s">
        <v>194</v>
      </c>
      <c r="K59" s="4" t="s">
        <v>24</v>
      </c>
      <c r="L59" s="4" t="s">
        <v>238</v>
      </c>
      <c r="M59" s="4" t="s">
        <v>244</v>
      </c>
    </row>
    <row r="60" spans="1:13" ht="56.25" customHeight="1">
      <c r="A60" s="4" t="s">
        <v>245</v>
      </c>
      <c r="B60" s="4" t="s">
        <v>246</v>
      </c>
      <c r="C60" s="4" t="s">
        <v>247</v>
      </c>
      <c r="D60" s="4" t="s">
        <v>248</v>
      </c>
      <c r="E60" s="5">
        <v>1121</v>
      </c>
      <c r="F60" s="4" t="s">
        <v>237</v>
      </c>
      <c r="G60" s="4" t="s">
        <v>249</v>
      </c>
      <c r="H60" s="4" t="s">
        <v>250</v>
      </c>
      <c r="I60" s="4" t="s">
        <v>251</v>
      </c>
      <c r="J60" s="4" t="s">
        <v>252</v>
      </c>
      <c r="K60" s="4" t="s">
        <v>24</v>
      </c>
      <c r="L60" s="4" t="s">
        <v>253</v>
      </c>
      <c r="M60" s="4" t="s">
        <v>254</v>
      </c>
    </row>
    <row r="61" spans="1:13" ht="56.25" customHeight="1">
      <c r="A61" s="4" t="s">
        <v>255</v>
      </c>
      <c r="B61" s="4" t="s">
        <v>246</v>
      </c>
      <c r="C61" s="4" t="s">
        <v>256</v>
      </c>
      <c r="D61" s="4" t="s">
        <v>257</v>
      </c>
      <c r="E61" s="5">
        <v>20</v>
      </c>
      <c r="F61" s="4" t="s">
        <v>243</v>
      </c>
      <c r="G61" s="4" t="s">
        <v>249</v>
      </c>
      <c r="H61" s="4" t="s">
        <v>250</v>
      </c>
      <c r="I61" s="4" t="s">
        <v>251</v>
      </c>
      <c r="J61" s="4" t="s">
        <v>252</v>
      </c>
      <c r="K61" s="4" t="s">
        <v>24</v>
      </c>
      <c r="L61" s="4" t="s">
        <v>253</v>
      </c>
      <c r="M61" s="4" t="s">
        <v>258</v>
      </c>
    </row>
    <row r="62" spans="1:13" ht="56.25" customHeight="1">
      <c r="A62" s="4" t="s">
        <v>259</v>
      </c>
      <c r="B62" s="4" t="s">
        <v>246</v>
      </c>
      <c r="C62" s="4" t="s">
        <v>260</v>
      </c>
      <c r="D62" s="4" t="s">
        <v>261</v>
      </c>
      <c r="E62" s="5">
        <v>30</v>
      </c>
      <c r="F62" s="4" t="s">
        <v>237</v>
      </c>
      <c r="G62" s="4" t="s">
        <v>262</v>
      </c>
      <c r="H62" s="4" t="s">
        <v>250</v>
      </c>
      <c r="I62" s="4" t="s">
        <v>251</v>
      </c>
      <c r="J62" s="4" t="s">
        <v>252</v>
      </c>
      <c r="K62" s="4" t="s">
        <v>24</v>
      </c>
      <c r="L62" s="4" t="s">
        <v>253</v>
      </c>
      <c r="M62" s="4" t="s">
        <v>263</v>
      </c>
    </row>
    <row r="63" spans="1:13" ht="56.25" customHeight="1">
      <c r="A63" s="4" t="s">
        <v>264</v>
      </c>
      <c r="B63" s="4" t="s">
        <v>246</v>
      </c>
      <c r="C63" s="4" t="s">
        <v>265</v>
      </c>
      <c r="D63" s="4" t="s">
        <v>266</v>
      </c>
      <c r="E63" s="5">
        <v>1920</v>
      </c>
      <c r="F63" s="4" t="s">
        <v>237</v>
      </c>
      <c r="G63" s="4" t="s">
        <v>249</v>
      </c>
      <c r="H63" s="4" t="s">
        <v>267</v>
      </c>
      <c r="I63" s="4" t="s">
        <v>268</v>
      </c>
      <c r="J63" s="4" t="s">
        <v>269</v>
      </c>
      <c r="K63" s="4" t="s">
        <v>24</v>
      </c>
      <c r="L63" s="4" t="s">
        <v>270</v>
      </c>
      <c r="M63" s="4" t="s">
        <v>271</v>
      </c>
    </row>
    <row r="64" spans="1:13" ht="56.25" customHeight="1">
      <c r="A64" s="4" t="s">
        <v>272</v>
      </c>
      <c r="B64" s="4" t="s">
        <v>246</v>
      </c>
      <c r="C64" s="4" t="s">
        <v>273</v>
      </c>
      <c r="D64" s="4" t="s">
        <v>274</v>
      </c>
      <c r="E64" s="5">
        <v>2042</v>
      </c>
      <c r="F64" s="4" t="s">
        <v>243</v>
      </c>
      <c r="G64" s="4" t="s">
        <v>249</v>
      </c>
      <c r="H64" s="4" t="s">
        <v>267</v>
      </c>
      <c r="I64" s="4" t="s">
        <v>268</v>
      </c>
      <c r="J64" s="4" t="s">
        <v>269</v>
      </c>
      <c r="K64" s="4" t="s">
        <v>24</v>
      </c>
      <c r="L64" s="4" t="s">
        <v>270</v>
      </c>
      <c r="M64" s="4" t="s">
        <v>275</v>
      </c>
    </row>
    <row r="65" spans="1:13" ht="56.25" customHeight="1">
      <c r="A65" s="4" t="s">
        <v>276</v>
      </c>
      <c r="B65" s="4" t="s">
        <v>277</v>
      </c>
      <c r="C65" s="4" t="s">
        <v>278</v>
      </c>
      <c r="D65" s="4" t="s">
        <v>279</v>
      </c>
      <c r="E65" s="5">
        <v>863</v>
      </c>
      <c r="F65" s="4" t="s">
        <v>93</v>
      </c>
      <c r="G65" s="4" t="s">
        <v>280</v>
      </c>
      <c r="H65" s="4" t="s">
        <v>281</v>
      </c>
      <c r="I65" s="4" t="s">
        <v>282</v>
      </c>
      <c r="J65" s="4" t="s">
        <v>283</v>
      </c>
      <c r="K65" s="4" t="s">
        <v>24</v>
      </c>
      <c r="L65" s="4" t="s">
        <v>284</v>
      </c>
      <c r="M65" s="4" t="s">
        <v>285</v>
      </c>
    </row>
    <row r="66" spans="1:13" ht="56.25" customHeight="1">
      <c r="A66" s="4" t="s">
        <v>286</v>
      </c>
      <c r="B66" s="4" t="s">
        <v>277</v>
      </c>
      <c r="C66" s="4" t="s">
        <v>287</v>
      </c>
      <c r="D66" s="4" t="s">
        <v>288</v>
      </c>
      <c r="E66" s="5">
        <v>3000</v>
      </c>
      <c r="F66" s="4" t="s">
        <v>93</v>
      </c>
      <c r="G66" s="4" t="s">
        <v>289</v>
      </c>
      <c r="H66" s="4" t="s">
        <v>281</v>
      </c>
      <c r="I66" s="4" t="s">
        <v>282</v>
      </c>
      <c r="J66" s="4" t="s">
        <v>283</v>
      </c>
      <c r="K66" s="4" t="s">
        <v>24</v>
      </c>
      <c r="L66" s="4" t="s">
        <v>284</v>
      </c>
      <c r="M66" s="4" t="s">
        <v>290</v>
      </c>
    </row>
    <row r="67" spans="1:13" ht="56.25" customHeight="1">
      <c r="A67" s="4" t="s">
        <v>291</v>
      </c>
      <c r="B67" s="4" t="s">
        <v>292</v>
      </c>
      <c r="C67" s="4" t="s">
        <v>293</v>
      </c>
      <c r="D67" s="4" t="s">
        <v>294</v>
      </c>
      <c r="E67" s="5">
        <v>200</v>
      </c>
      <c r="F67" s="4" t="s">
        <v>237</v>
      </c>
      <c r="G67" s="4" t="s">
        <v>295</v>
      </c>
      <c r="H67" s="4" t="s">
        <v>296</v>
      </c>
      <c r="I67" s="4" t="s">
        <v>297</v>
      </c>
      <c r="J67" s="4" t="s">
        <v>298</v>
      </c>
      <c r="K67" s="4" t="s">
        <v>24</v>
      </c>
      <c r="L67" s="4" t="s">
        <v>299</v>
      </c>
      <c r="M67" s="4" t="s">
        <v>300</v>
      </c>
    </row>
    <row r="68" spans="1:13" ht="56.25" customHeight="1">
      <c r="A68" s="4" t="s">
        <v>301</v>
      </c>
      <c r="B68" s="4" t="s">
        <v>302</v>
      </c>
      <c r="C68" s="4" t="s">
        <v>303</v>
      </c>
      <c r="D68" s="4" t="s">
        <v>294</v>
      </c>
      <c r="E68" s="5">
        <v>400</v>
      </c>
      <c r="F68" s="4" t="s">
        <v>237</v>
      </c>
      <c r="G68" s="4" t="s">
        <v>304</v>
      </c>
      <c r="H68" s="4" t="s">
        <v>296</v>
      </c>
      <c r="I68" s="4" t="s">
        <v>297</v>
      </c>
      <c r="J68" s="4" t="s">
        <v>298</v>
      </c>
      <c r="K68" s="4" t="s">
        <v>24</v>
      </c>
      <c r="L68" s="4" t="s">
        <v>299</v>
      </c>
      <c r="M68" s="4" t="s">
        <v>305</v>
      </c>
    </row>
    <row r="69" spans="1:13" ht="56.25" customHeight="1">
      <c r="A69" s="4" t="s">
        <v>306</v>
      </c>
      <c r="B69" s="4" t="s">
        <v>277</v>
      </c>
      <c r="C69" s="4" t="s">
        <v>307</v>
      </c>
      <c r="D69" s="4" t="s">
        <v>308</v>
      </c>
      <c r="E69" s="5">
        <v>465</v>
      </c>
      <c r="F69" s="4" t="s">
        <v>93</v>
      </c>
      <c r="G69" s="4" t="s">
        <v>280</v>
      </c>
      <c r="H69" s="4" t="s">
        <v>309</v>
      </c>
      <c r="I69" s="4" t="s">
        <v>310</v>
      </c>
      <c r="J69" s="4" t="s">
        <v>311</v>
      </c>
      <c r="K69" s="4" t="s">
        <v>24</v>
      </c>
      <c r="L69" s="4" t="s">
        <v>312</v>
      </c>
      <c r="M69" s="4" t="s">
        <v>313</v>
      </c>
    </row>
    <row r="70" spans="1:13" ht="56.25" customHeight="1">
      <c r="A70" s="4" t="s">
        <v>314</v>
      </c>
      <c r="B70" s="4" t="s">
        <v>277</v>
      </c>
      <c r="C70" s="4" t="s">
        <v>315</v>
      </c>
      <c r="D70" s="4" t="s">
        <v>316</v>
      </c>
      <c r="E70" s="5">
        <v>500</v>
      </c>
      <c r="F70" s="4" t="s">
        <v>93</v>
      </c>
      <c r="G70" s="4" t="s">
        <v>280</v>
      </c>
      <c r="H70" s="4" t="s">
        <v>309</v>
      </c>
      <c r="I70" s="4" t="s">
        <v>310</v>
      </c>
      <c r="J70" s="4" t="s">
        <v>311</v>
      </c>
      <c r="K70" s="4" t="s">
        <v>24</v>
      </c>
      <c r="L70" s="4" t="s">
        <v>312</v>
      </c>
      <c r="M70" s="4" t="s">
        <v>317</v>
      </c>
    </row>
    <row r="71" spans="1:13" ht="56.25" customHeight="1">
      <c r="A71" s="4" t="s">
        <v>318</v>
      </c>
      <c r="B71" s="4" t="s">
        <v>277</v>
      </c>
      <c r="C71" s="4" t="s">
        <v>319</v>
      </c>
      <c r="D71" s="4" t="s">
        <v>320</v>
      </c>
      <c r="E71" s="5">
        <v>1500</v>
      </c>
      <c r="F71" s="4" t="s">
        <v>93</v>
      </c>
      <c r="G71" s="4" t="s">
        <v>321</v>
      </c>
      <c r="H71" s="4" t="s">
        <v>309</v>
      </c>
      <c r="I71" s="4" t="s">
        <v>310</v>
      </c>
      <c r="J71" s="4" t="s">
        <v>311</v>
      </c>
      <c r="K71" s="4" t="s">
        <v>24</v>
      </c>
      <c r="L71" s="4" t="s">
        <v>312</v>
      </c>
      <c r="M71" s="4" t="s">
        <v>322</v>
      </c>
    </row>
    <row r="72" spans="1:13" ht="56.25" customHeight="1">
      <c r="A72" s="4" t="s">
        <v>323</v>
      </c>
      <c r="B72" s="4" t="s">
        <v>292</v>
      </c>
      <c r="C72" s="4" t="s">
        <v>324</v>
      </c>
      <c r="D72" s="4" t="s">
        <v>325</v>
      </c>
      <c r="E72" s="5">
        <v>50</v>
      </c>
      <c r="F72" s="4" t="s">
        <v>237</v>
      </c>
      <c r="G72" s="4" t="s">
        <v>326</v>
      </c>
      <c r="H72" s="4" t="s">
        <v>327</v>
      </c>
      <c r="I72" s="4" t="s">
        <v>328</v>
      </c>
      <c r="J72" s="4" t="s">
        <v>329</v>
      </c>
      <c r="K72" s="4" t="s">
        <v>24</v>
      </c>
      <c r="L72" s="4" t="s">
        <v>330</v>
      </c>
      <c r="M72" s="4" t="s">
        <v>331</v>
      </c>
    </row>
    <row r="73" spans="1:13" ht="56.25" customHeight="1">
      <c r="A73" s="4" t="s">
        <v>332</v>
      </c>
      <c r="B73" s="4" t="s">
        <v>333</v>
      </c>
      <c r="C73" s="4" t="s">
        <v>334</v>
      </c>
      <c r="D73" s="4" t="s">
        <v>335</v>
      </c>
      <c r="E73" s="5">
        <v>2028</v>
      </c>
      <c r="F73" s="4" t="s">
        <v>243</v>
      </c>
      <c r="G73" s="4" t="s">
        <v>336</v>
      </c>
      <c r="H73" s="4" t="s">
        <v>327</v>
      </c>
      <c r="I73" s="4" t="s">
        <v>328</v>
      </c>
      <c r="J73" s="4" t="s">
        <v>329</v>
      </c>
      <c r="K73" s="4" t="s">
        <v>24</v>
      </c>
      <c r="L73" s="4" t="s">
        <v>330</v>
      </c>
      <c r="M73" s="4" t="s">
        <v>337</v>
      </c>
    </row>
    <row r="74" spans="1:13" ht="56.25" customHeight="1">
      <c r="A74" s="4" t="s">
        <v>338</v>
      </c>
      <c r="B74" s="4" t="s">
        <v>333</v>
      </c>
      <c r="C74" s="4" t="s">
        <v>339</v>
      </c>
      <c r="D74" s="4" t="s">
        <v>340</v>
      </c>
      <c r="E74" s="5">
        <v>1</v>
      </c>
      <c r="F74" s="4" t="s">
        <v>243</v>
      </c>
      <c r="G74" s="4" t="s">
        <v>336</v>
      </c>
      <c r="H74" s="4" t="s">
        <v>327</v>
      </c>
      <c r="I74" s="4" t="s">
        <v>328</v>
      </c>
      <c r="J74" s="4" t="s">
        <v>329</v>
      </c>
      <c r="K74" s="4" t="s">
        <v>24</v>
      </c>
      <c r="L74" s="4" t="s">
        <v>330</v>
      </c>
      <c r="M74" s="4" t="s">
        <v>341</v>
      </c>
    </row>
    <row r="75" spans="1:13" ht="56.25" customHeight="1">
      <c r="A75" s="4" t="s">
        <v>342</v>
      </c>
      <c r="B75" s="4" t="s">
        <v>277</v>
      </c>
      <c r="C75" s="4" t="s">
        <v>343</v>
      </c>
      <c r="D75" s="4" t="s">
        <v>344</v>
      </c>
      <c r="E75" s="5">
        <v>150</v>
      </c>
      <c r="F75" s="4" t="s">
        <v>93</v>
      </c>
      <c r="G75" s="4" t="s">
        <v>345</v>
      </c>
      <c r="H75" s="4" t="s">
        <v>346</v>
      </c>
      <c r="I75" s="4" t="s">
        <v>347</v>
      </c>
      <c r="J75" s="4" t="s">
        <v>348</v>
      </c>
      <c r="K75" s="4" t="s">
        <v>24</v>
      </c>
      <c r="L75" s="4" t="s">
        <v>349</v>
      </c>
      <c r="M75" s="4" t="s">
        <v>350</v>
      </c>
    </row>
    <row r="76" spans="1:13" ht="56.25" customHeight="1">
      <c r="A76" s="4" t="s">
        <v>351</v>
      </c>
      <c r="B76" s="4" t="s">
        <v>277</v>
      </c>
      <c r="C76" s="4" t="s">
        <v>352</v>
      </c>
      <c r="D76" s="4" t="s">
        <v>353</v>
      </c>
      <c r="E76" s="5">
        <v>1300</v>
      </c>
      <c r="F76" s="4" t="s">
        <v>93</v>
      </c>
      <c r="G76" s="4" t="s">
        <v>345</v>
      </c>
      <c r="H76" s="4" t="s">
        <v>346</v>
      </c>
      <c r="I76" s="4" t="s">
        <v>347</v>
      </c>
      <c r="J76" s="4" t="s">
        <v>348</v>
      </c>
      <c r="K76" s="4" t="s">
        <v>24</v>
      </c>
      <c r="L76" s="4" t="s">
        <v>349</v>
      </c>
      <c r="M76" s="4" t="s">
        <v>354</v>
      </c>
    </row>
    <row r="77" spans="1:13" ht="56.25" customHeight="1">
      <c r="A77" s="4" t="s">
        <v>355</v>
      </c>
      <c r="B77" s="4" t="s">
        <v>277</v>
      </c>
      <c r="C77" s="4" t="s">
        <v>356</v>
      </c>
      <c r="D77" s="4" t="s">
        <v>357</v>
      </c>
      <c r="E77" s="5">
        <v>200</v>
      </c>
      <c r="F77" s="4" t="s">
        <v>93</v>
      </c>
      <c r="G77" s="4" t="s">
        <v>280</v>
      </c>
      <c r="H77" s="4" t="s">
        <v>358</v>
      </c>
      <c r="I77" s="4" t="s">
        <v>359</v>
      </c>
      <c r="J77" s="4" t="s">
        <v>360</v>
      </c>
      <c r="K77" s="4" t="s">
        <v>24</v>
      </c>
      <c r="L77" s="4" t="s">
        <v>361</v>
      </c>
      <c r="M77" s="4" t="s">
        <v>362</v>
      </c>
    </row>
    <row r="78" spans="1:13" ht="56.25" customHeight="1">
      <c r="A78" s="4" t="s">
        <v>363</v>
      </c>
      <c r="B78" s="4" t="s">
        <v>333</v>
      </c>
      <c r="C78" s="4" t="s">
        <v>364</v>
      </c>
      <c r="D78" s="4" t="s">
        <v>365</v>
      </c>
      <c r="E78" s="5">
        <v>2034</v>
      </c>
      <c r="F78" s="4" t="s">
        <v>243</v>
      </c>
      <c r="G78" s="4" t="s">
        <v>336</v>
      </c>
      <c r="H78" s="4" t="s">
        <v>366</v>
      </c>
      <c r="I78" s="4" t="s">
        <v>367</v>
      </c>
      <c r="J78" s="4" t="s">
        <v>368</v>
      </c>
      <c r="K78" s="4" t="s">
        <v>24</v>
      </c>
      <c r="L78" s="4" t="s">
        <v>369</v>
      </c>
      <c r="M78" s="4" t="s">
        <v>370</v>
      </c>
    </row>
    <row r="79" spans="1:13" ht="56.25" customHeight="1">
      <c r="A79" s="4" t="s">
        <v>371</v>
      </c>
      <c r="B79" s="4" t="s">
        <v>372</v>
      </c>
      <c r="C79" s="4" t="s">
        <v>373</v>
      </c>
      <c r="D79" s="4" t="s">
        <v>18</v>
      </c>
      <c r="E79" s="5">
        <v>34</v>
      </c>
      <c r="F79" s="4" t="s">
        <v>374</v>
      </c>
      <c r="G79" s="4" t="s">
        <v>375</v>
      </c>
      <c r="H79" s="4" t="s">
        <v>376</v>
      </c>
      <c r="I79" s="4" t="s">
        <v>377</v>
      </c>
      <c r="J79" s="4" t="s">
        <v>378</v>
      </c>
      <c r="K79" s="4" t="s">
        <v>24</v>
      </c>
      <c r="L79" s="4" t="s">
        <v>379</v>
      </c>
      <c r="M79" s="4" t="s">
        <v>380</v>
      </c>
    </row>
    <row r="80" spans="1:13" ht="56.25" customHeight="1">
      <c r="A80" s="4" t="s">
        <v>381</v>
      </c>
      <c r="B80" s="4" t="s">
        <v>372</v>
      </c>
      <c r="C80" s="4" t="s">
        <v>382</v>
      </c>
      <c r="D80" s="4" t="s">
        <v>18</v>
      </c>
      <c r="E80" s="5">
        <v>43</v>
      </c>
      <c r="F80" s="4" t="s">
        <v>374</v>
      </c>
      <c r="G80" s="4" t="s">
        <v>375</v>
      </c>
      <c r="H80" s="4" t="s">
        <v>376</v>
      </c>
      <c r="I80" s="4" t="s">
        <v>377</v>
      </c>
      <c r="J80" s="4" t="s">
        <v>378</v>
      </c>
      <c r="K80" s="4" t="s">
        <v>24</v>
      </c>
      <c r="L80" s="4" t="s">
        <v>379</v>
      </c>
      <c r="M80" s="4" t="s">
        <v>383</v>
      </c>
    </row>
    <row r="81" spans="1:13" ht="56.25" customHeight="1">
      <c r="A81" s="4" t="s">
        <v>384</v>
      </c>
      <c r="B81" s="4" t="s">
        <v>191</v>
      </c>
      <c r="C81" s="4" t="s">
        <v>385</v>
      </c>
      <c r="D81" s="4" t="s">
        <v>33</v>
      </c>
      <c r="E81" s="5">
        <v>2323</v>
      </c>
      <c r="F81" s="4" t="s">
        <v>93</v>
      </c>
      <c r="G81" s="4" t="s">
        <v>94</v>
      </c>
      <c r="H81" s="4" t="s">
        <v>192</v>
      </c>
      <c r="I81" s="4" t="s">
        <v>193</v>
      </c>
      <c r="J81" s="4" t="s">
        <v>194</v>
      </c>
      <c r="K81" s="4" t="s">
        <v>24</v>
      </c>
      <c r="L81" s="4" t="s">
        <v>386</v>
      </c>
      <c r="M81" s="4" t="s">
        <v>387</v>
      </c>
    </row>
    <row r="82" spans="1:13" ht="56.25" customHeight="1">
      <c r="A82" s="4" t="s">
        <v>388</v>
      </c>
      <c r="B82" s="4" t="s">
        <v>389</v>
      </c>
      <c r="C82" s="4" t="s">
        <v>390</v>
      </c>
      <c r="D82" s="4" t="s">
        <v>391</v>
      </c>
      <c r="E82" s="5" t="s">
        <v>392</v>
      </c>
      <c r="F82" s="4" t="s">
        <v>393</v>
      </c>
      <c r="G82" s="4" t="s">
        <v>94</v>
      </c>
      <c r="H82" s="4" t="s">
        <v>213</v>
      </c>
      <c r="I82" s="4" t="s">
        <v>214</v>
      </c>
      <c r="J82" s="4" t="s">
        <v>215</v>
      </c>
      <c r="K82" s="4" t="s">
        <v>24</v>
      </c>
      <c r="L82" s="4" t="s">
        <v>394</v>
      </c>
      <c r="M82" s="4" t="s">
        <v>395</v>
      </c>
    </row>
    <row r="83" spans="1:13" ht="56.25" customHeight="1">
      <c r="A83" s="4" t="s">
        <v>396</v>
      </c>
      <c r="B83" s="4" t="s">
        <v>389</v>
      </c>
      <c r="C83" s="4" t="s">
        <v>397</v>
      </c>
      <c r="D83" s="4" t="s">
        <v>391</v>
      </c>
      <c r="E83" s="5" t="s">
        <v>308</v>
      </c>
      <c r="F83" s="4" t="s">
        <v>393</v>
      </c>
      <c r="G83" s="4" t="s">
        <v>94</v>
      </c>
      <c r="H83" s="4" t="s">
        <v>213</v>
      </c>
      <c r="I83" s="4" t="s">
        <v>214</v>
      </c>
      <c r="J83" s="4" t="s">
        <v>215</v>
      </c>
      <c r="K83" s="4" t="s">
        <v>24</v>
      </c>
      <c r="L83" s="4" t="s">
        <v>394</v>
      </c>
      <c r="M83" s="4" t="s">
        <v>398</v>
      </c>
    </row>
    <row r="84" spans="1:13" ht="56.25" customHeight="1">
      <c r="A84" s="4" t="s">
        <v>399</v>
      </c>
      <c r="B84" s="4" t="s">
        <v>389</v>
      </c>
      <c r="C84" s="4" t="s">
        <v>400</v>
      </c>
      <c r="D84" s="4" t="s">
        <v>191</v>
      </c>
      <c r="E84" s="5" t="s">
        <v>401</v>
      </c>
      <c r="F84" s="4" t="s">
        <v>402</v>
      </c>
      <c r="G84" s="4" t="s">
        <v>94</v>
      </c>
      <c r="H84" s="4" t="s">
        <v>213</v>
      </c>
      <c r="I84" s="4" t="s">
        <v>214</v>
      </c>
      <c r="J84" s="4" t="s">
        <v>215</v>
      </c>
      <c r="K84" s="4" t="s">
        <v>24</v>
      </c>
      <c r="L84" s="4" t="s">
        <v>403</v>
      </c>
      <c r="M84" s="4" t="s">
        <v>404</v>
      </c>
    </row>
    <row r="85" spans="1:13" ht="56.25" customHeight="1">
      <c r="A85" s="4" t="s">
        <v>405</v>
      </c>
      <c r="B85" s="4" t="s">
        <v>333</v>
      </c>
      <c r="C85" s="4" t="s">
        <v>406</v>
      </c>
      <c r="D85" s="4" t="s">
        <v>407</v>
      </c>
      <c r="E85" s="5" t="s">
        <v>408</v>
      </c>
      <c r="F85" s="4" t="s">
        <v>409</v>
      </c>
      <c r="G85" s="4" t="s">
        <v>336</v>
      </c>
      <c r="H85" s="4" t="s">
        <v>346</v>
      </c>
      <c r="I85" s="4" t="s">
        <v>347</v>
      </c>
      <c r="J85" s="4" t="s">
        <v>348</v>
      </c>
      <c r="K85" s="4" t="s">
        <v>24</v>
      </c>
      <c r="L85" s="4" t="s">
        <v>349</v>
      </c>
      <c r="M85" s="4" t="s">
        <v>410</v>
      </c>
    </row>
    <row r="86" spans="1:13" ht="56.25" customHeight="1">
      <c r="A86" s="4" t="s">
        <v>411</v>
      </c>
      <c r="B86" s="4" t="s">
        <v>333</v>
      </c>
      <c r="C86" s="4" t="s">
        <v>412</v>
      </c>
      <c r="D86" s="4" t="s">
        <v>407</v>
      </c>
      <c r="E86" s="5" t="s">
        <v>413</v>
      </c>
      <c r="F86" s="4" t="s">
        <v>409</v>
      </c>
      <c r="G86" s="4" t="s">
        <v>336</v>
      </c>
      <c r="H86" s="4" t="s">
        <v>346</v>
      </c>
      <c r="I86" s="4" t="s">
        <v>347</v>
      </c>
      <c r="J86" s="4" t="s">
        <v>348</v>
      </c>
      <c r="K86" s="4" t="s">
        <v>24</v>
      </c>
      <c r="L86" s="4" t="s">
        <v>349</v>
      </c>
      <c r="M86" s="4" t="s">
        <v>414</v>
      </c>
    </row>
  </sheetData>
  <autoFilter ref="A4:M86"/>
  <mergeCells count="2">
    <mergeCell ref="A1:M1"/>
    <mergeCell ref="A2:M3"/>
  </mergeCells>
  <hyperlinks>
    <hyperlink ref="L5" r:id="rId1"/>
    <hyperlink ref="L6" r:id="rId2"/>
    <hyperlink ref="L7" r:id="rId3"/>
    <hyperlink ref="L8" r:id="rId4"/>
    <hyperlink ref="L9" r:id="rId5"/>
    <hyperlink ref="L10" r:id="rId6"/>
    <hyperlink ref="L11" r:id="rId7"/>
    <hyperlink ref="L12" r:id="rId8"/>
    <hyperlink ref="L13" r:id="rId9"/>
    <hyperlink ref="L14" r:id="rId10"/>
    <hyperlink ref="L15" r:id="rId11"/>
    <hyperlink ref="L16" r:id="rId12"/>
    <hyperlink ref="L17" r:id="rId13"/>
    <hyperlink ref="L18" r:id="rId14"/>
    <hyperlink ref="L19" r:id="rId15"/>
    <hyperlink ref="L20" r:id="rId16"/>
    <hyperlink ref="L21" r:id="rId17"/>
    <hyperlink ref="L39" r:id="rId18"/>
    <hyperlink ref="L40" r:id="rId19"/>
    <hyperlink ref="L41" r:id="rId20"/>
    <hyperlink ref="L42" r:id="rId21"/>
    <hyperlink ref="L43" r:id="rId22"/>
    <hyperlink ref="L44" r:id="rId23"/>
    <hyperlink ref="L60" r:id="rId24"/>
    <hyperlink ref="L61" r:id="rId25"/>
    <hyperlink ref="L62" r:id="rId26"/>
    <hyperlink ref="L63" r:id="rId27"/>
    <hyperlink ref="L64" r:id="rId28"/>
    <hyperlink ref="L65" r:id="rId29"/>
    <hyperlink ref="L66" r:id="rId30"/>
    <hyperlink ref="L67" r:id="rId31"/>
    <hyperlink ref="L68" r:id="rId32"/>
    <hyperlink ref="L69" r:id="rId33"/>
    <hyperlink ref="L70" r:id="rId34"/>
    <hyperlink ref="L71" r:id="rId35"/>
    <hyperlink ref="L72" r:id="rId36"/>
    <hyperlink ref="L73" r:id="rId37"/>
    <hyperlink ref="L74" r:id="rId38"/>
    <hyperlink ref="L75" r:id="rId39"/>
    <hyperlink ref="L76" r:id="rId40"/>
    <hyperlink ref="L77" r:id="rId41"/>
    <hyperlink ref="L78" r:id="rId42"/>
    <hyperlink ref="L79" r:id="rId43"/>
    <hyperlink ref="L80" r:id="rId44"/>
    <hyperlink ref="L85" r:id="rId45"/>
    <hyperlink ref="L86" r:id="rId46"/>
  </hyperlinks>
  <pageMargins left="0.7" right="0.7" top="0.75" bottom="0.75" header="0.3" footer="0.3"/>
  <pageSetup paperSize="9" fitToHeight="0" orientation="landscape"/>
  <headerFooter>
    <oddFooter>&amp;L能源与科技研究&amp;C2026-10-22&amp;R第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8B84"/>
    <pageSetUpPr fitToPage="1"/>
  </sheetPr>
  <dimension ref="A1:H22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2.25" customHeight="1"/>
  <cols>
    <col min="1" max="1" width="10.7109375" customWidth="1"/>
    <col min="2" max="2" width="40.7109375" customWidth="1"/>
    <col min="3" max="3" width="18.7109375" customWidth="1"/>
    <col min="4" max="4" width="20.7109375" customWidth="1"/>
    <col min="5" max="5" width="13.7109375" customWidth="1"/>
    <col min="6" max="6" width="26.7109375" customWidth="1"/>
    <col min="7" max="7" width="18.7109375" customWidth="1"/>
    <col min="8" max="8" width="90.7109375" customWidth="1"/>
  </cols>
  <sheetData>
    <row r="1" spans="1:8" ht="44.25" customHeight="1">
      <c r="A1" s="1" t="s">
        <v>415</v>
      </c>
      <c r="B1" s="1"/>
      <c r="C1" s="1"/>
      <c r="D1" s="1"/>
      <c r="E1" s="1"/>
      <c r="F1" s="1"/>
      <c r="G1" s="1"/>
      <c r="H1" s="1"/>
    </row>
    <row r="2" spans="1:8" ht="24" customHeight="1">
      <c r="A2" s="2" t="s">
        <v>416</v>
      </c>
      <c r="B2" s="2"/>
      <c r="C2" s="2"/>
      <c r="D2" s="2"/>
      <c r="E2" s="2"/>
      <c r="F2" s="2"/>
      <c r="G2" s="2"/>
      <c r="H2" s="2"/>
    </row>
    <row r="3" spans="1:8" ht="24" customHeight="1">
      <c r="A3" s="2"/>
      <c r="B3" s="2"/>
      <c r="C3" s="2"/>
      <c r="D3" s="2"/>
      <c r="E3" s="2"/>
      <c r="F3" s="2"/>
      <c r="G3" s="2"/>
      <c r="H3" s="2"/>
    </row>
    <row r="4" spans="1:8" ht="30" customHeight="1">
      <c r="A4" s="3" t="s">
        <v>2</v>
      </c>
      <c r="B4" s="3" t="s">
        <v>417</v>
      </c>
      <c r="C4" s="3" t="s">
        <v>6</v>
      </c>
      <c r="D4" s="3" t="s">
        <v>7</v>
      </c>
      <c r="E4" s="3" t="s">
        <v>8</v>
      </c>
      <c r="F4" s="3" t="s">
        <v>418</v>
      </c>
      <c r="G4" s="3" t="s">
        <v>419</v>
      </c>
      <c r="H4" s="3" t="s">
        <v>420</v>
      </c>
    </row>
    <row r="5" spans="1:8" ht="45" customHeight="1">
      <c r="A5" s="4" t="s">
        <v>421</v>
      </c>
      <c r="B5" s="4" t="s">
        <v>422</v>
      </c>
      <c r="C5" s="7">
        <v>1</v>
      </c>
      <c r="D5" s="4" t="s">
        <v>56</v>
      </c>
      <c r="E5" s="4" t="s">
        <v>423</v>
      </c>
      <c r="F5" s="4" t="s">
        <v>424</v>
      </c>
      <c r="G5" s="4" t="s">
        <v>24</v>
      </c>
      <c r="H5" s="4" t="s">
        <v>425</v>
      </c>
    </row>
    <row r="6" spans="1:8" ht="45" customHeight="1">
      <c r="A6" s="4" t="s">
        <v>426</v>
      </c>
      <c r="B6" s="4" t="s">
        <v>427</v>
      </c>
      <c r="C6" s="7">
        <v>0.8</v>
      </c>
      <c r="D6" s="4" t="s">
        <v>56</v>
      </c>
      <c r="E6" s="4" t="s">
        <v>423</v>
      </c>
      <c r="F6" s="4" t="s">
        <v>424</v>
      </c>
      <c r="G6" s="4" t="s">
        <v>24</v>
      </c>
      <c r="H6" s="4" t="s">
        <v>428</v>
      </c>
    </row>
    <row r="7" spans="1:8" ht="45" customHeight="1">
      <c r="A7" s="4" t="s">
        <v>429</v>
      </c>
      <c r="B7" s="4" t="s">
        <v>430</v>
      </c>
      <c r="C7" s="7">
        <v>1.2</v>
      </c>
      <c r="D7" s="4" t="s">
        <v>56</v>
      </c>
      <c r="E7" s="4" t="s">
        <v>423</v>
      </c>
      <c r="F7" s="4" t="s">
        <v>424</v>
      </c>
      <c r="G7" s="4" t="s">
        <v>24</v>
      </c>
      <c r="H7" s="4" t="s">
        <v>431</v>
      </c>
    </row>
    <row r="8" spans="1:8" ht="45" customHeight="1">
      <c r="A8" s="4" t="s">
        <v>432</v>
      </c>
      <c r="B8" s="4" t="s">
        <v>433</v>
      </c>
      <c r="C8" s="8">
        <v>0.18</v>
      </c>
      <c r="D8" s="4" t="s">
        <v>44</v>
      </c>
      <c r="E8" s="4" t="s">
        <v>423</v>
      </c>
      <c r="F8" s="4" t="s">
        <v>424</v>
      </c>
      <c r="G8" s="4" t="s">
        <v>24</v>
      </c>
      <c r="H8" s="4" t="s">
        <v>434</v>
      </c>
    </row>
    <row r="9" spans="1:8" ht="45" customHeight="1">
      <c r="A9" s="4" t="s">
        <v>435</v>
      </c>
      <c r="B9" s="4" t="s">
        <v>436</v>
      </c>
      <c r="C9" s="8">
        <v>0.26</v>
      </c>
      <c r="D9" s="4" t="s">
        <v>44</v>
      </c>
      <c r="E9" s="4" t="s">
        <v>423</v>
      </c>
      <c r="F9" s="4" t="s">
        <v>424</v>
      </c>
      <c r="G9" s="4" t="s">
        <v>24</v>
      </c>
      <c r="H9" s="4" t="s">
        <v>434</v>
      </c>
    </row>
    <row r="10" spans="1:8" ht="45" customHeight="1">
      <c r="A10" s="4" t="s">
        <v>437</v>
      </c>
      <c r="B10" s="4" t="s">
        <v>438</v>
      </c>
      <c r="C10" s="8">
        <v>0.14</v>
      </c>
      <c r="D10" s="4" t="s">
        <v>44</v>
      </c>
      <c r="E10" s="4" t="s">
        <v>423</v>
      </c>
      <c r="F10" s="4" t="s">
        <v>424</v>
      </c>
      <c r="G10" s="4" t="s">
        <v>24</v>
      </c>
      <c r="H10" s="4" t="s">
        <v>434</v>
      </c>
    </row>
    <row r="11" spans="1:8" ht="45" customHeight="1">
      <c r="A11" s="4" t="s">
        <v>439</v>
      </c>
      <c r="B11" s="4" t="s">
        <v>440</v>
      </c>
      <c r="C11" s="8">
        <v>0.4</v>
      </c>
      <c r="D11" s="4" t="s">
        <v>44</v>
      </c>
      <c r="E11" s="4" t="s">
        <v>423</v>
      </c>
      <c r="F11" s="4" t="s">
        <v>424</v>
      </c>
      <c r="G11" s="4" t="s">
        <v>24</v>
      </c>
      <c r="H11" s="4" t="s">
        <v>434</v>
      </c>
    </row>
    <row r="12" spans="1:8" ht="45" customHeight="1">
      <c r="A12" s="4" t="s">
        <v>441</v>
      </c>
      <c r="B12" s="4" t="s">
        <v>442</v>
      </c>
      <c r="C12" s="8">
        <v>0</v>
      </c>
      <c r="D12" s="4" t="s">
        <v>44</v>
      </c>
      <c r="E12" s="4" t="s">
        <v>423</v>
      </c>
      <c r="F12" s="4" t="s">
        <v>424</v>
      </c>
      <c r="G12" s="4" t="s">
        <v>24</v>
      </c>
      <c r="H12" s="4" t="s">
        <v>434</v>
      </c>
    </row>
    <row r="13" spans="1:8" ht="45" customHeight="1">
      <c r="A13" s="4" t="s">
        <v>443</v>
      </c>
      <c r="B13" s="4" t="s">
        <v>444</v>
      </c>
      <c r="C13" s="7">
        <v>1</v>
      </c>
      <c r="D13" s="4" t="s">
        <v>445</v>
      </c>
      <c r="E13" s="4" t="s">
        <v>423</v>
      </c>
      <c r="F13" s="4" t="s">
        <v>424</v>
      </c>
      <c r="G13" s="4" t="s">
        <v>24</v>
      </c>
      <c r="H13" s="4" t="s">
        <v>446</v>
      </c>
    </row>
    <row r="14" spans="1:8" ht="45" customHeight="1">
      <c r="A14" s="4" t="s">
        <v>447</v>
      </c>
      <c r="B14" s="4" t="s">
        <v>448</v>
      </c>
      <c r="C14" s="8">
        <v>0.85</v>
      </c>
      <c r="D14" s="4" t="s">
        <v>44</v>
      </c>
      <c r="E14" s="4" t="s">
        <v>423</v>
      </c>
      <c r="F14" s="4" t="s">
        <v>424</v>
      </c>
      <c r="G14" s="4" t="s">
        <v>24</v>
      </c>
      <c r="H14" s="4" t="s">
        <v>449</v>
      </c>
    </row>
    <row r="15" spans="1:8" ht="45" customHeight="1">
      <c r="A15" s="4" t="s">
        <v>450</v>
      </c>
      <c r="B15" s="4" t="s">
        <v>451</v>
      </c>
      <c r="C15" s="7">
        <v>1.2</v>
      </c>
      <c r="D15" s="4" t="s">
        <v>56</v>
      </c>
      <c r="E15" s="4" t="s">
        <v>423</v>
      </c>
      <c r="F15" s="4" t="s">
        <v>424</v>
      </c>
      <c r="G15" s="4" t="s">
        <v>24</v>
      </c>
      <c r="H15" s="4" t="s">
        <v>452</v>
      </c>
    </row>
    <row r="16" spans="1:8" ht="45" customHeight="1">
      <c r="A16" s="4" t="s">
        <v>453</v>
      </c>
      <c r="B16" s="4" t="s">
        <v>454</v>
      </c>
      <c r="C16" s="7">
        <v>8760</v>
      </c>
      <c r="D16" s="4" t="s">
        <v>455</v>
      </c>
      <c r="E16" s="4" t="s">
        <v>423</v>
      </c>
      <c r="F16" s="4" t="s">
        <v>424</v>
      </c>
      <c r="G16" s="4" t="s">
        <v>24</v>
      </c>
      <c r="H16" s="4" t="s">
        <v>456</v>
      </c>
    </row>
    <row r="17" spans="1:8" ht="45" customHeight="1">
      <c r="A17" s="4" t="s">
        <v>457</v>
      </c>
      <c r="B17" s="4" t="s">
        <v>458</v>
      </c>
      <c r="C17" s="7">
        <v>60</v>
      </c>
      <c r="D17" s="4" t="s">
        <v>374</v>
      </c>
      <c r="E17" s="4" t="s">
        <v>423</v>
      </c>
      <c r="F17" s="4" t="s">
        <v>424</v>
      </c>
      <c r="G17" s="4" t="s">
        <v>24</v>
      </c>
      <c r="H17" s="4" t="s">
        <v>459</v>
      </c>
    </row>
    <row r="18" spans="1:8" ht="45" customHeight="1">
      <c r="A18" s="4" t="s">
        <v>460</v>
      </c>
      <c r="B18" s="4" t="s">
        <v>461</v>
      </c>
      <c r="C18" s="7">
        <v>90</v>
      </c>
      <c r="D18" s="4" t="s">
        <v>374</v>
      </c>
      <c r="E18" s="4" t="s">
        <v>423</v>
      </c>
      <c r="F18" s="4" t="s">
        <v>424</v>
      </c>
      <c r="G18" s="4" t="s">
        <v>24</v>
      </c>
      <c r="H18" s="4" t="s">
        <v>462</v>
      </c>
    </row>
    <row r="19" spans="1:8" ht="45" customHeight="1">
      <c r="A19" s="4" t="s">
        <v>463</v>
      </c>
      <c r="B19" s="4" t="s">
        <v>464</v>
      </c>
      <c r="C19" s="7">
        <v>120</v>
      </c>
      <c r="D19" s="4" t="s">
        <v>374</v>
      </c>
      <c r="E19" s="4" t="s">
        <v>423</v>
      </c>
      <c r="F19" s="4" t="s">
        <v>424</v>
      </c>
      <c r="G19" s="4" t="s">
        <v>24</v>
      </c>
      <c r="H19" s="4" t="s">
        <v>465</v>
      </c>
    </row>
    <row r="20" spans="1:8" ht="45" customHeight="1">
      <c r="A20" s="4" t="s">
        <v>466</v>
      </c>
      <c r="B20" s="4" t="s">
        <v>467</v>
      </c>
      <c r="C20" s="8">
        <v>0.9</v>
      </c>
      <c r="D20" s="4" t="s">
        <v>44</v>
      </c>
      <c r="E20" s="4" t="s">
        <v>423</v>
      </c>
      <c r="F20" s="4" t="s">
        <v>424</v>
      </c>
      <c r="G20" s="4" t="s">
        <v>24</v>
      </c>
      <c r="H20" s="4" t="s">
        <v>468</v>
      </c>
    </row>
    <row r="21" spans="1:8" ht="45" customHeight="1">
      <c r="A21" s="4" t="s">
        <v>469</v>
      </c>
      <c r="B21" s="4" t="s">
        <v>470</v>
      </c>
      <c r="C21" s="8">
        <v>0.25</v>
      </c>
      <c r="D21" s="4" t="s">
        <v>44</v>
      </c>
      <c r="E21" s="4" t="s">
        <v>423</v>
      </c>
      <c r="F21" s="4" t="s">
        <v>424</v>
      </c>
      <c r="G21" s="4" t="s">
        <v>24</v>
      </c>
      <c r="H21" s="4" t="s">
        <v>471</v>
      </c>
    </row>
    <row r="22" spans="1:8" ht="45" customHeight="1">
      <c r="A22" s="4" t="s">
        <v>472</v>
      </c>
      <c r="B22" s="4" t="s">
        <v>473</v>
      </c>
      <c r="C22" s="8">
        <v>0.35</v>
      </c>
      <c r="D22" s="4" t="s">
        <v>44</v>
      </c>
      <c r="E22" s="4" t="s">
        <v>423</v>
      </c>
      <c r="F22" s="4" t="s">
        <v>424</v>
      </c>
      <c r="G22" s="4" t="s">
        <v>24</v>
      </c>
      <c r="H22" s="4" t="s">
        <v>474</v>
      </c>
    </row>
  </sheetData>
  <mergeCells count="2">
    <mergeCell ref="A1:H1"/>
    <mergeCell ref="A2:H3"/>
  </mergeCells>
  <dataValidations count="19">
    <dataValidation type="decimal" allowBlank="1" showInputMessage="1" showErrorMessage="1" promptTitle="研究假设" prompt="调整后请检查“模型”与“电力流向”的校验。" sqref="C5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6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7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8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9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10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11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12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13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14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15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16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17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18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19">
      <formula1>0.0001</formula1>
      <formula2>1000000</formula2>
    </dataValidation>
    <dataValidation type="decimal" allowBlank="1" showInputMessage="1" showErrorMessage="1" promptTitle="研究假设" prompt="调整后请检查“模型”与“电力流向”的校验。" sqref="C20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21">
      <formula1>0</formula1>
      <formula2>1</formula2>
    </dataValidation>
    <dataValidation type="decimal" allowBlank="1" showInputMessage="1" showErrorMessage="1" promptTitle="研究假设" prompt="调整后请检查“模型”与“电力流向”的校验。" sqref="C22">
      <formula1>0</formula1>
      <formula2>1</formula2>
    </dataValidation>
    <dataValidation type="decimal" operator="greaterThanOrEqual" allowBlank="1" showInputMessage="1" showErrorMessage="1" sqref="C15">
      <formula1>1</formula1>
    </dataValidation>
  </dataValidations>
  <pageMargins left="0.7" right="0.7" top="0.75" bottom="0.75" header="0.3" footer="0.3"/>
  <pageSetup paperSize="9" fitToHeight="0" orientation="landscape"/>
  <headerFooter>
    <oddFooter>&amp;L能源与科技研究&amp;C2026-10-22&amp;R第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8B84"/>
    <pageSetUpPr fitToPage="1"/>
  </sheetPr>
  <dimension ref="A1:F37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2.25" customHeight="1"/>
  <cols>
    <col min="1" max="1" width="12.7109375" customWidth="1"/>
    <col min="2" max="2" width="43.7109375" customWidth="1"/>
    <col min="3" max="4" width="22.7109375" customWidth="1"/>
    <col min="5" max="5" width="85.7109375" customWidth="1"/>
    <col min="6" max="6" width="28.7109375" customWidth="1"/>
  </cols>
  <sheetData>
    <row r="1" spans="1:6" ht="44.25" customHeight="1">
      <c r="A1" s="1" t="s">
        <v>475</v>
      </c>
      <c r="B1" s="1"/>
      <c r="C1" s="1"/>
      <c r="D1" s="1"/>
      <c r="E1" s="1"/>
      <c r="F1" s="1"/>
    </row>
    <row r="2" spans="1:6" ht="24" customHeight="1">
      <c r="A2" s="2" t="s">
        <v>476</v>
      </c>
      <c r="B2" s="2"/>
      <c r="C2" s="2"/>
      <c r="D2" s="2"/>
      <c r="E2" s="2"/>
      <c r="F2" s="2"/>
    </row>
    <row r="3" spans="1:6" ht="24" customHeight="1">
      <c r="A3" s="2"/>
      <c r="B3" s="2"/>
      <c r="C3" s="2"/>
      <c r="D3" s="2"/>
      <c r="E3" s="2"/>
      <c r="F3" s="2"/>
    </row>
    <row r="4" spans="1:6" ht="30" customHeight="1">
      <c r="A4" s="3" t="s">
        <v>477</v>
      </c>
      <c r="B4" s="3" t="s">
        <v>478</v>
      </c>
      <c r="C4" s="3" t="s">
        <v>479</v>
      </c>
      <c r="D4" s="3" t="s">
        <v>7</v>
      </c>
      <c r="E4" s="3" t="s">
        <v>480</v>
      </c>
      <c r="F4" s="3" t="s">
        <v>481</v>
      </c>
    </row>
    <row r="5" spans="1:6" ht="45" customHeight="1">
      <c r="A5" s="4" t="s">
        <v>482</v>
      </c>
      <c r="B5" s="4" t="s">
        <v>483</v>
      </c>
      <c r="C5" s="9">
        <f>'明细'!E22+'明细'!E23</f>
        <v>85824</v>
      </c>
      <c r="D5" s="4" t="s">
        <v>93</v>
      </c>
      <c r="E5" s="4" t="s">
        <v>484</v>
      </c>
      <c r="F5" s="4" t="s">
        <v>485</v>
      </c>
    </row>
    <row r="6" spans="1:6" ht="45" customHeight="1">
      <c r="A6" s="4" t="s">
        <v>486</v>
      </c>
      <c r="B6" s="4" t="s">
        <v>487</v>
      </c>
      <c r="C6" s="9">
        <f>'明细'!E24+'明细'!E25</f>
        <v>50078</v>
      </c>
      <c r="D6" s="4" t="s">
        <v>93</v>
      </c>
      <c r="E6" s="4" t="s">
        <v>488</v>
      </c>
      <c r="F6" s="4" t="s">
        <v>485</v>
      </c>
    </row>
    <row r="7" spans="1:6" ht="45" customHeight="1">
      <c r="A7" s="4" t="s">
        <v>489</v>
      </c>
      <c r="B7" s="4" t="s">
        <v>490</v>
      </c>
      <c r="C7" s="10">
        <f>'模型'!C5/'模型'!C6-1</f>
        <v>0.7138064619194058</v>
      </c>
      <c r="D7" s="4" t="s">
        <v>44</v>
      </c>
      <c r="E7" s="4" t="s">
        <v>491</v>
      </c>
      <c r="F7" s="4" t="s">
        <v>492</v>
      </c>
    </row>
    <row r="8" spans="1:6" ht="45" customHeight="1">
      <c r="A8" s="4" t="s">
        <v>493</v>
      </c>
      <c r="B8" s="4" t="s">
        <v>494</v>
      </c>
      <c r="C8" s="9">
        <f>'明细'!E27-'模型'!C5</f>
        <v>49176</v>
      </c>
      <c r="D8" s="4" t="s">
        <v>93</v>
      </c>
      <c r="E8" s="4" t="s">
        <v>495</v>
      </c>
      <c r="F8" s="4" t="s">
        <v>492</v>
      </c>
    </row>
    <row r="9" spans="1:6" ht="45" customHeight="1">
      <c r="A9" s="4" t="s">
        <v>496</v>
      </c>
      <c r="B9" s="4" t="s">
        <v>497</v>
      </c>
      <c r="C9" s="9">
        <f>'明细'!E28-'模型'!C5</f>
        <v>59176</v>
      </c>
      <c r="D9" s="4" t="s">
        <v>93</v>
      </c>
      <c r="E9" s="4" t="s">
        <v>498</v>
      </c>
      <c r="F9" s="4" t="s">
        <v>492</v>
      </c>
    </row>
    <row r="10" spans="1:6" ht="45" customHeight="1">
      <c r="A10" s="4" t="s">
        <v>499</v>
      </c>
      <c r="B10" s="4" t="s">
        <v>500</v>
      </c>
      <c r="C10" s="10">
        <f>'模型'!C5/'明细'!E29</f>
        <v>0.8859434517357778</v>
      </c>
      <c r="D10" s="4" t="s">
        <v>44</v>
      </c>
      <c r="E10" s="4" t="s">
        <v>501</v>
      </c>
      <c r="F10" s="4" t="s">
        <v>492</v>
      </c>
    </row>
    <row r="11" spans="1:6" ht="45" customHeight="1">
      <c r="A11" s="4" t="s">
        <v>502</v>
      </c>
      <c r="B11" s="4" t="s">
        <v>503</v>
      </c>
      <c r="C11" s="9">
        <f>'明细'!E29-'模型'!C5</f>
        <v>11049</v>
      </c>
      <c r="D11" s="4" t="s">
        <v>93</v>
      </c>
      <c r="E11" s="4" t="s">
        <v>504</v>
      </c>
      <c r="F11" s="4" t="s">
        <v>492</v>
      </c>
    </row>
    <row r="12" spans="1:6" ht="45" customHeight="1">
      <c r="A12" s="4" t="s">
        <v>505</v>
      </c>
      <c r="B12" s="4" t="s">
        <v>506</v>
      </c>
      <c r="C12" s="10">
        <f>'明细'!E30/'明细'!E31-1</f>
        <v>0.771520753745967</v>
      </c>
      <c r="D12" s="4" t="s">
        <v>44</v>
      </c>
      <c r="E12" s="4" t="s">
        <v>507</v>
      </c>
      <c r="F12" s="4" t="s">
        <v>492</v>
      </c>
    </row>
    <row r="13" spans="1:6" ht="45" customHeight="1">
      <c r="A13" s="4" t="s">
        <v>508</v>
      </c>
      <c r="B13" s="4" t="s">
        <v>509</v>
      </c>
      <c r="C13" s="9">
        <f>'模型'!C5-'明细'!E34</f>
        <v>4</v>
      </c>
      <c r="D13" s="4" t="s">
        <v>93</v>
      </c>
      <c r="E13" s="4" t="s">
        <v>510</v>
      </c>
      <c r="F13" s="4" t="s">
        <v>492</v>
      </c>
    </row>
    <row r="14" spans="1:6" ht="45" customHeight="1">
      <c r="A14" s="4" t="s">
        <v>511</v>
      </c>
      <c r="B14" s="4" t="s">
        <v>512</v>
      </c>
      <c r="C14" s="9">
        <f>'明细'!E43-'明细'!E44</f>
        <v>169000</v>
      </c>
      <c r="D14" s="4" t="s">
        <v>93</v>
      </c>
      <c r="E14" s="4" t="s">
        <v>513</v>
      </c>
      <c r="F14" s="4" t="s">
        <v>514</v>
      </c>
    </row>
    <row r="15" spans="1:6" ht="45" customHeight="1">
      <c r="A15" s="4" t="s">
        <v>515</v>
      </c>
      <c r="B15" s="4" t="s">
        <v>516</v>
      </c>
      <c r="C15" s="10">
        <f>'明细'!E50/'明细'!E51-1</f>
        <v>0.4451082318255877</v>
      </c>
      <c r="D15" s="4" t="s">
        <v>44</v>
      </c>
      <c r="E15" s="4" t="s">
        <v>517</v>
      </c>
      <c r="F15" s="4" t="s">
        <v>518</v>
      </c>
    </row>
    <row r="16" spans="1:6" ht="45" customHeight="1">
      <c r="A16" s="4" t="s">
        <v>519</v>
      </c>
      <c r="B16" s="4" t="s">
        <v>520</v>
      </c>
      <c r="C16" s="10">
        <f>'明细'!E52/'明细'!E53-1</f>
        <v>0.6026700572155117</v>
      </c>
      <c r="D16" s="4" t="s">
        <v>44</v>
      </c>
      <c r="E16" s="4" t="s">
        <v>521</v>
      </c>
      <c r="F16" s="4" t="s">
        <v>518</v>
      </c>
    </row>
    <row r="17" spans="1:6" ht="45" customHeight="1">
      <c r="A17" s="4" t="s">
        <v>522</v>
      </c>
      <c r="B17" s="4" t="s">
        <v>523</v>
      </c>
      <c r="C17" s="10">
        <f>'明细'!E54/'明细'!E55-1</f>
        <v>-0.021222438927638754</v>
      </c>
      <c r="D17" s="4" t="s">
        <v>44</v>
      </c>
      <c r="E17" s="4" t="s">
        <v>524</v>
      </c>
      <c r="F17" s="4" t="s">
        <v>518</v>
      </c>
    </row>
    <row r="18" spans="1:6" ht="45" customHeight="1">
      <c r="A18" s="4" t="s">
        <v>525</v>
      </c>
      <c r="B18" s="4" t="s">
        <v>526</v>
      </c>
      <c r="C18" s="9">
        <f>'明细'!E8*'假设'!C5</f>
        <v>950</v>
      </c>
      <c r="D18" s="4" t="s">
        <v>19</v>
      </c>
      <c r="E18" s="4" t="s">
        <v>527</v>
      </c>
      <c r="F18" s="4" t="s">
        <v>528</v>
      </c>
    </row>
    <row r="19" spans="1:6" ht="45" customHeight="1">
      <c r="A19" s="4" t="s">
        <v>529</v>
      </c>
      <c r="B19" s="4" t="s">
        <v>530</v>
      </c>
      <c r="C19" s="9">
        <f>'模型'!C18*'假设'!C6</f>
        <v>760.0</v>
      </c>
      <c r="D19" s="4" t="s">
        <v>19</v>
      </c>
      <c r="E19" s="4" t="s">
        <v>431</v>
      </c>
      <c r="F19" s="4" t="s">
        <v>531</v>
      </c>
    </row>
    <row r="20" spans="1:6" ht="45" customHeight="1">
      <c r="A20" s="4" t="s">
        <v>532</v>
      </c>
      <c r="B20" s="4" t="s">
        <v>533</v>
      </c>
      <c r="C20" s="9">
        <f>'模型'!C18*'假设'!C7</f>
        <v>1140.0</v>
      </c>
      <c r="D20" s="4" t="s">
        <v>19</v>
      </c>
      <c r="E20" s="4" t="s">
        <v>431</v>
      </c>
      <c r="F20" s="4" t="s">
        <v>531</v>
      </c>
    </row>
    <row r="21" spans="1:6" ht="45" customHeight="1">
      <c r="A21" s="4" t="s">
        <v>534</v>
      </c>
      <c r="B21" s="4" t="s">
        <v>535</v>
      </c>
      <c r="C21" s="10">
        <f>('模型'!C18/'明细'!E7)^(1/5)-1</f>
        <v>0.14392189695148683</v>
      </c>
      <c r="D21" s="4" t="s">
        <v>44</v>
      </c>
      <c r="E21" s="4" t="s">
        <v>536</v>
      </c>
      <c r="F21" s="4" t="s">
        <v>537</v>
      </c>
    </row>
    <row r="22" spans="1:6" ht="45" customHeight="1">
      <c r="A22" s="4" t="s">
        <v>538</v>
      </c>
      <c r="B22" s="4" t="s">
        <v>539</v>
      </c>
      <c r="C22" s="9">
        <f>'模型'!C18*1000/'假设'!C16</f>
        <v>108.44748858447488</v>
      </c>
      <c r="D22" s="4" t="s">
        <v>445</v>
      </c>
      <c r="E22" s="4" t="s">
        <v>540</v>
      </c>
      <c r="F22" s="4" t="s">
        <v>541</v>
      </c>
    </row>
    <row r="23" spans="1:6" ht="45" customHeight="1">
      <c r="A23" s="4" t="s">
        <v>542</v>
      </c>
      <c r="B23" s="4" t="s">
        <v>543</v>
      </c>
      <c r="C23" s="9">
        <f>'明细'!E5*'明细'!E19</f>
        <v>186.75</v>
      </c>
      <c r="D23" s="4" t="s">
        <v>19</v>
      </c>
      <c r="E23" s="4" t="s">
        <v>544</v>
      </c>
      <c r="F23" s="4" t="s">
        <v>545</v>
      </c>
    </row>
    <row r="24" spans="1:6" ht="45" customHeight="1">
      <c r="A24" s="4" t="s">
        <v>546</v>
      </c>
      <c r="B24" s="4" t="s">
        <v>547</v>
      </c>
      <c r="C24" s="9">
        <f>'假设'!C13*'假设'!C14*'假设'!C15*'假设'!C16/1000</f>
        <v>8.9352</v>
      </c>
      <c r="D24" s="4" t="s">
        <v>19</v>
      </c>
      <c r="E24" s="4" t="s">
        <v>548</v>
      </c>
      <c r="F24" s="4" t="s">
        <v>549</v>
      </c>
    </row>
    <row r="25" spans="1:6" ht="45" customHeight="1">
      <c r="A25" s="4" t="s">
        <v>550</v>
      </c>
      <c r="B25" s="4" t="s">
        <v>551</v>
      </c>
      <c r="C25" s="9">
        <f>'模型'!C24*'假设'!C17</f>
        <v>536.112</v>
      </c>
      <c r="D25" s="4" t="s">
        <v>93</v>
      </c>
      <c r="E25" s="4" t="s">
        <v>552</v>
      </c>
      <c r="F25" s="4" t="s">
        <v>549</v>
      </c>
    </row>
    <row r="26" spans="1:6" ht="45" customHeight="1">
      <c r="A26" s="4" t="s">
        <v>553</v>
      </c>
      <c r="B26" s="4" t="s">
        <v>554</v>
      </c>
      <c r="C26" s="9">
        <f>'模型'!C24*'假设'!C18</f>
        <v>804.168</v>
      </c>
      <c r="D26" s="4" t="s">
        <v>93</v>
      </c>
      <c r="E26" s="4" t="s">
        <v>552</v>
      </c>
      <c r="F26" s="4" t="s">
        <v>549</v>
      </c>
    </row>
    <row r="27" spans="1:6" ht="45" customHeight="1">
      <c r="A27" s="4" t="s">
        <v>555</v>
      </c>
      <c r="B27" s="4" t="s">
        <v>556</v>
      </c>
      <c r="C27" s="9">
        <f>'模型'!C24*'假设'!C19</f>
        <v>1072.224</v>
      </c>
      <c r="D27" s="4" t="s">
        <v>93</v>
      </c>
      <c r="E27" s="4" t="s">
        <v>552</v>
      </c>
      <c r="F27" s="4" t="s">
        <v>549</v>
      </c>
    </row>
    <row r="28" spans="1:6" ht="45" customHeight="1">
      <c r="A28" s="4" t="s">
        <v>557</v>
      </c>
      <c r="B28" s="4" t="s">
        <v>558</v>
      </c>
      <c r="C28" s="9">
        <f>'假设'!C13*'假设'!C15</f>
        <v>1.2</v>
      </c>
      <c r="D28" s="4" t="s">
        <v>445</v>
      </c>
      <c r="E28" s="4" t="s">
        <v>559</v>
      </c>
      <c r="F28" s="4" t="s">
        <v>549</v>
      </c>
    </row>
    <row r="29" spans="1:6" ht="45" customHeight="1">
      <c r="A29" s="4" t="s">
        <v>560</v>
      </c>
      <c r="B29" s="4" t="s">
        <v>561</v>
      </c>
      <c r="C29" s="9">
        <f>'模型'!C24*1000/'假设'!C16/'假设'!C20</f>
        <v>1.1333333333333333</v>
      </c>
      <c r="D29" s="4" t="s">
        <v>445</v>
      </c>
      <c r="E29" s="4" t="s">
        <v>562</v>
      </c>
      <c r="F29" s="4" t="s">
        <v>549</v>
      </c>
    </row>
    <row r="30" spans="1:6" ht="45" customHeight="1">
      <c r="A30" s="4" t="s">
        <v>563</v>
      </c>
      <c r="B30" s="4" t="s">
        <v>564</v>
      </c>
      <c r="C30" s="9">
        <f>'模型'!C24*1000/'假设'!C16/'假设'!C21</f>
        <v>4.08</v>
      </c>
      <c r="D30" s="4" t="s">
        <v>445</v>
      </c>
      <c r="E30" s="4" t="s">
        <v>565</v>
      </c>
      <c r="F30" s="4" t="s">
        <v>549</v>
      </c>
    </row>
    <row r="31" spans="1:6" ht="45" customHeight="1">
      <c r="A31" s="4" t="s">
        <v>566</v>
      </c>
      <c r="B31" s="4" t="s">
        <v>567</v>
      </c>
      <c r="C31" s="9">
        <f>'模型'!C28*(1+'假设'!C22)</f>
        <v>1.62</v>
      </c>
      <c r="D31" s="4" t="s">
        <v>445</v>
      </c>
      <c r="E31" s="4" t="s">
        <v>568</v>
      </c>
      <c r="F31" s="4" t="s">
        <v>569</v>
      </c>
    </row>
    <row r="32" spans="1:6" ht="45" customHeight="1">
      <c r="A32" s="4" t="s">
        <v>570</v>
      </c>
      <c r="B32" s="4" t="s">
        <v>571</v>
      </c>
      <c r="C32" s="9">
        <f>'明细'!E58*'假设'!C20*'假设'!C16/1000000</f>
        <v>6.58314</v>
      </c>
      <c r="D32" s="4" t="s">
        <v>19</v>
      </c>
      <c r="E32" s="4" t="s">
        <v>572</v>
      </c>
      <c r="F32" s="4" t="s">
        <v>573</v>
      </c>
    </row>
    <row r="33" spans="1:6" ht="45" customHeight="1">
      <c r="A33" s="4" t="s">
        <v>574</v>
      </c>
      <c r="B33" s="4" t="s">
        <v>575</v>
      </c>
      <c r="C33" s="9">
        <f>'明细'!E60*'假设'!C20*'假设'!C16/1000000</f>
        <v>8.837964</v>
      </c>
      <c r="D33" s="4" t="s">
        <v>19</v>
      </c>
      <c r="E33" s="4" t="s">
        <v>572</v>
      </c>
      <c r="F33" s="4" t="s">
        <v>573</v>
      </c>
    </row>
    <row r="34" spans="1:6" ht="45" customHeight="1">
      <c r="A34" s="4" t="s">
        <v>576</v>
      </c>
      <c r="B34" s="4" t="s">
        <v>577</v>
      </c>
      <c r="C34" s="9">
        <f>'明细'!E63*'假设'!C20*'假设'!C16/1000000</f>
        <v>15.13728</v>
      </c>
      <c r="D34" s="4" t="s">
        <v>19</v>
      </c>
      <c r="E34" s="4" t="s">
        <v>572</v>
      </c>
      <c r="F34" s="4" t="s">
        <v>573</v>
      </c>
    </row>
    <row r="35" spans="1:6" ht="45" customHeight="1">
      <c r="A35" s="4" t="s">
        <v>578</v>
      </c>
      <c r="B35" s="4" t="s">
        <v>579</v>
      </c>
      <c r="C35" s="10">
        <f>1-SUM('假设'!C8,'假设'!C9,'假设'!C10,'假设'!C11,'假设'!C12)</f>
        <v>0.020000000000000018</v>
      </c>
      <c r="D35" s="4" t="s">
        <v>44</v>
      </c>
      <c r="E35" s="4" t="s">
        <v>580</v>
      </c>
      <c r="F35" s="4" t="s">
        <v>531</v>
      </c>
    </row>
    <row r="36" spans="1:6" ht="45" customHeight="1">
      <c r="A36" s="4" t="s">
        <v>581</v>
      </c>
      <c r="B36" s="4" t="s">
        <v>582</v>
      </c>
      <c r="C36" s="11" t="str">
        <f>IF(AND('模型'!C35&gt;-0.0000001,'模型'!C35&lt;=1),"通过","失败：份额超过100%")</f>
        <v>通过</v>
      </c>
      <c r="D36" s="4" t="s">
        <v>583</v>
      </c>
      <c r="E36" s="4" t="s">
        <v>584</v>
      </c>
      <c r="F36" s="4" t="s">
        <v>585</v>
      </c>
    </row>
    <row r="37" spans="1:6" ht="45" customHeight="1">
      <c r="A37" s="4" t="s">
        <v>586</v>
      </c>
      <c r="B37" s="4" t="s">
        <v>587</v>
      </c>
      <c r="C37" s="10">
        <f>1-SUM('明细'!E15,'明细'!E16,'明细'!E17,'明细'!E18)</f>
        <v>0.02</v>
      </c>
      <c r="D37" s="4" t="s">
        <v>44</v>
      </c>
      <c r="E37" s="4" t="s">
        <v>588</v>
      </c>
      <c r="F37" s="4" t="s">
        <v>589</v>
      </c>
    </row>
  </sheetData>
  <mergeCells count="2">
    <mergeCell ref="A1:F1"/>
    <mergeCell ref="A2:F3"/>
  </mergeCells>
  <conditionalFormatting sqref="C36">
    <cfRule type="containsText" dxfId="0" priority="1" operator="containsText" text="失败">
      <formula>NOT(ISERROR(SEARCH("失败",C36)))</formula>
    </cfRule>
  </conditionalFormatting>
  <pageMargins left="0.7" right="0.7" top="0.75" bottom="0.75" header="0.3" footer="0.3"/>
  <pageSetup paperSize="9" fitToHeight="0" orientation="landscape"/>
  <headerFooter>
    <oddFooter>&amp;L能源与科技研究&amp;C2026-10-22&amp;R第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8B84"/>
    <pageSetUpPr fitToPage="1"/>
  </sheetPr>
  <dimension ref="A1:H12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2.25" customHeight="1"/>
  <cols>
    <col min="1" max="1" width="20.7109375" customWidth="1"/>
    <col min="2" max="2" width="18.7109375" customWidth="1"/>
    <col min="3" max="3" width="20.7109375" customWidth="1"/>
    <col min="4" max="4" width="24.7109375" customWidth="1"/>
    <col min="5" max="7" width="22.7109375" customWidth="1"/>
    <col min="8" max="8" width="70.7109375" customWidth="1"/>
  </cols>
  <sheetData>
    <row r="1" spans="1:8" ht="44.25" customHeight="1">
      <c r="A1" s="1" t="s">
        <v>590</v>
      </c>
      <c r="B1" s="1"/>
      <c r="C1" s="1"/>
      <c r="D1" s="1"/>
      <c r="E1" s="1"/>
      <c r="F1" s="1"/>
      <c r="G1" s="1"/>
      <c r="H1" s="1"/>
    </row>
    <row r="2" spans="1:8" ht="24" customHeight="1">
      <c r="A2" s="2" t="s">
        <v>591</v>
      </c>
      <c r="B2" s="2"/>
      <c r="C2" s="2"/>
      <c r="D2" s="2"/>
      <c r="E2" s="2"/>
      <c r="F2" s="2"/>
      <c r="G2" s="2"/>
      <c r="H2" s="2"/>
    </row>
    <row r="3" spans="1:8" ht="24" customHeight="1">
      <c r="A3" s="2"/>
      <c r="B3" s="2"/>
      <c r="C3" s="2"/>
      <c r="D3" s="2"/>
      <c r="E3" s="2"/>
      <c r="F3" s="2"/>
      <c r="G3" s="2"/>
      <c r="H3" s="2"/>
    </row>
    <row r="4" spans="1:8" ht="30" customHeight="1">
      <c r="A4" s="3" t="s">
        <v>418</v>
      </c>
      <c r="B4" s="3" t="s">
        <v>592</v>
      </c>
      <c r="C4" s="3" t="s">
        <v>593</v>
      </c>
      <c r="D4" s="3" t="s">
        <v>594</v>
      </c>
      <c r="E4" s="3" t="s">
        <v>595</v>
      </c>
      <c r="F4" s="3" t="s">
        <v>596</v>
      </c>
      <c r="G4" s="3" t="s">
        <v>597</v>
      </c>
      <c r="H4" s="3" t="s">
        <v>598</v>
      </c>
    </row>
    <row r="5" spans="1:8" ht="51.75" customHeight="1">
      <c r="A5" s="4" t="s">
        <v>67</v>
      </c>
      <c r="B5" s="10">
        <f>'明细'!E15</f>
        <v>0.3</v>
      </c>
      <c r="C5" s="9">
        <f>B5*'明细'!E5</f>
        <v>124.5</v>
      </c>
      <c r="D5" s="10">
        <f>'假设'!C8</f>
        <v>0.18</v>
      </c>
      <c r="E5" s="9">
        <f>D5*'模型'!C18</f>
        <v>171.0</v>
      </c>
      <c r="F5" s="9">
        <f>D5*'模型'!C19</f>
        <v>136.79999999999998</v>
      </c>
      <c r="G5" s="9">
        <f>D5*'模型'!C20</f>
        <v>205.2</v>
      </c>
      <c r="H5" s="4" t="s">
        <v>599</v>
      </c>
    </row>
    <row r="6" spans="1:8" ht="51.75" customHeight="1">
      <c r="A6" s="4" t="s">
        <v>72</v>
      </c>
      <c r="B6" s="10">
        <f>'明细'!E16</f>
        <v>0.26</v>
      </c>
      <c r="C6" s="9">
        <f>B6*'明细'!E5</f>
        <v>107.9</v>
      </c>
      <c r="D6" s="10">
        <f>'假设'!C9</f>
        <v>0.26</v>
      </c>
      <c r="E6" s="9">
        <f>D6*'模型'!C18</f>
        <v>247.0</v>
      </c>
      <c r="F6" s="9">
        <f>D6*'模型'!C19</f>
        <v>197.6</v>
      </c>
      <c r="G6" s="9">
        <f>D6*'模型'!C20</f>
        <v>296.40000000000003</v>
      </c>
      <c r="H6" s="4" t="s">
        <v>599</v>
      </c>
    </row>
    <row r="7" spans="1:8" ht="51.75" customHeight="1">
      <c r="A7" s="4" t="s">
        <v>74</v>
      </c>
      <c r="B7" s="10">
        <f>'明细'!E17</f>
        <v>0.15</v>
      </c>
      <c r="C7" s="9">
        <f>B7*'明细'!E5</f>
        <v>62.25</v>
      </c>
      <c r="D7" s="10">
        <f>'假设'!C10</f>
        <v>0.14</v>
      </c>
      <c r="E7" s="9">
        <f>D7*'模型'!C18</f>
        <v>133.0</v>
      </c>
      <c r="F7" s="9">
        <f>D7*'模型'!C19</f>
        <v>106.4</v>
      </c>
      <c r="G7" s="9">
        <f>D7*'模型'!C20</f>
        <v>159.60000000000002</v>
      </c>
      <c r="H7" s="4" t="s">
        <v>599</v>
      </c>
    </row>
    <row r="8" spans="1:8" ht="51.75" customHeight="1">
      <c r="A8" s="4" t="s">
        <v>76</v>
      </c>
      <c r="B8" s="10">
        <f>'明细'!E18</f>
        <v>0.27</v>
      </c>
      <c r="C8" s="9">
        <f>B8*'明细'!E5</f>
        <v>112.05000000000001</v>
      </c>
      <c r="D8" s="10">
        <f>'假设'!C11</f>
        <v>0.4</v>
      </c>
      <c r="E8" s="9">
        <f>D8*'模型'!C18</f>
        <v>380.0</v>
      </c>
      <c r="F8" s="9">
        <f>D8*'模型'!C19</f>
        <v>304.0</v>
      </c>
      <c r="G8" s="9">
        <f>D8*'模型'!C20</f>
        <v>456.0</v>
      </c>
      <c r="H8" s="4" t="s">
        <v>599</v>
      </c>
    </row>
    <row r="9" spans="1:8" ht="51.75" customHeight="1">
      <c r="A9" s="4" t="s">
        <v>600</v>
      </c>
      <c r="B9" s="10">
        <f>'模型'!C37</f>
        <v>0.02</v>
      </c>
      <c r="C9" s="9">
        <f>B9*'明细'!E5</f>
        <v>8.3</v>
      </c>
      <c r="D9" s="10">
        <f>'模型'!C35</f>
        <v>0.020000000000000018</v>
      </c>
      <c r="E9" s="9">
        <f>D9*'模型'!C18</f>
        <v>19.000000000000018</v>
      </c>
      <c r="F9" s="9">
        <f>D9*'模型'!C19</f>
        <v>15.200000000000014</v>
      </c>
      <c r="G9" s="9">
        <f>D9*'模型'!C20</f>
        <v>22.80000000000002</v>
      </c>
      <c r="H9" s="4" t="s">
        <v>599</v>
      </c>
    </row>
    <row r="10" spans="1:8" ht="51.75" customHeight="1">
      <c r="A10" s="4" t="s">
        <v>601</v>
      </c>
      <c r="B10" s="10">
        <f>0</f>
        <v>0</v>
      </c>
      <c r="C10" s="9">
        <f>B10*'明细'!E5</f>
        <v>0</v>
      </c>
      <c r="D10" s="10">
        <f>'假设'!C12</f>
        <v>0</v>
      </c>
      <c r="E10" s="9">
        <f>D10*'模型'!C18</f>
        <v>0</v>
      </c>
      <c r="F10" s="9">
        <f>D10*'模型'!C19</f>
        <v>0.0</v>
      </c>
      <c r="G10" s="9">
        <f>D10*'模型'!C20</f>
        <v>0.0</v>
      </c>
      <c r="H10" s="4" t="s">
        <v>602</v>
      </c>
    </row>
    <row r="11" spans="1:8" ht="32.25" customHeight="1">
      <c r="A11" s="3" t="s">
        <v>603</v>
      </c>
      <c r="B11" s="10">
        <f>SUM(B5:B10)</f>
        <v>1</v>
      </c>
      <c r="C11" s="9">
        <f>SUM(C5:C10)</f>
        <v>415</v>
      </c>
      <c r="D11" s="10">
        <f>SUM(D5:D10)</f>
        <v>1</v>
      </c>
      <c r="E11" s="9">
        <f>SUM(E5:E10)</f>
        <v>950</v>
      </c>
      <c r="F11" s="9">
        <f>SUM(F5:F10)</f>
        <v>760.0</v>
      </c>
      <c r="G11" s="9">
        <f>SUM(G5:G10)</f>
        <v>1140.0</v>
      </c>
    </row>
    <row r="12" spans="1:8" ht="32.25" customHeight="1">
      <c r="A12" s="3" t="s">
        <v>604</v>
      </c>
      <c r="C12" s="9">
        <f>C11-'明细'!E5</f>
        <v>0</v>
      </c>
      <c r="E12" s="9">
        <f>E11-'模型'!C18</f>
        <v>0</v>
      </c>
      <c r="H12" s="4" t="s">
        <v>605</v>
      </c>
    </row>
  </sheetData>
  <mergeCells count="2">
    <mergeCell ref="A1:H1"/>
    <mergeCell ref="A2:H3"/>
  </mergeCells>
  <pageMargins left="0.7" right="0.7" top="0.75" bottom="0.75" header="0.3" footer="0.3"/>
  <pageSetup paperSize="9" fitToHeight="0" orientation="landscape"/>
  <headerFooter>
    <oddFooter>&amp;L能源与科技研究&amp;C2026-10-22&amp;R第 &amp;P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96DDB"/>
    <pageSetUpPr fitToPage="1"/>
  </sheetPr>
  <dimension ref="A1:E48"/>
  <sheetViews>
    <sheetView showGridLines="0"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2.25" customHeight="1"/>
  <cols>
    <col min="1" max="1" width="45.7109375" customWidth="1"/>
    <col min="2" max="2" width="23.7109375" customWidth="1"/>
    <col min="3" max="3" width="22.7109375" customWidth="1"/>
    <col min="4" max="4" width="65.7109375" customWidth="1"/>
    <col min="5" max="5" width="40.7109375" customWidth="1"/>
  </cols>
  <sheetData>
    <row r="1" spans="1:5" ht="44.25" customHeight="1">
      <c r="A1" s="1" t="s">
        <v>606</v>
      </c>
      <c r="B1" s="1"/>
      <c r="C1" s="1"/>
      <c r="D1" s="1"/>
      <c r="E1" s="1"/>
    </row>
    <row r="2" spans="1:5" ht="24" customHeight="1">
      <c r="A2" s="2" t="s">
        <v>607</v>
      </c>
      <c r="B2" s="2"/>
      <c r="C2" s="2"/>
      <c r="D2" s="2"/>
      <c r="E2" s="2"/>
    </row>
    <row r="3" spans="1:5" ht="24" customHeight="1">
      <c r="A3" s="2"/>
      <c r="B3" s="2"/>
      <c r="C3" s="2"/>
      <c r="D3" s="2"/>
      <c r="E3" s="2"/>
    </row>
    <row r="4" spans="1:5" ht="30" customHeight="1">
      <c r="A4" s="3" t="s">
        <v>4</v>
      </c>
      <c r="B4" s="3" t="s">
        <v>479</v>
      </c>
      <c r="C4" s="3" t="s">
        <v>7</v>
      </c>
      <c r="D4" s="3" t="s">
        <v>608</v>
      </c>
      <c r="E4" s="3" t="s">
        <v>609</v>
      </c>
    </row>
    <row r="5" spans="1:5" ht="35.25" customHeight="1">
      <c r="A5" s="4" t="s">
        <v>610</v>
      </c>
      <c r="B5" s="9">
        <f>'明细'!E5</f>
        <v>415</v>
      </c>
      <c r="C5" s="4" t="s">
        <v>19</v>
      </c>
      <c r="D5" s="4" t="s">
        <v>611</v>
      </c>
      <c r="E5" s="4" t="s">
        <v>612</v>
      </c>
    </row>
    <row r="6" spans="1:5" ht="35.25" customHeight="1">
      <c r="A6" s="4" t="s">
        <v>613</v>
      </c>
      <c r="B6" s="9">
        <f>'明细'!E7</f>
        <v>485</v>
      </c>
      <c r="C6" s="4" t="s">
        <v>19</v>
      </c>
      <c r="D6" s="4" t="s">
        <v>614</v>
      </c>
      <c r="E6" s="4" t="s">
        <v>615</v>
      </c>
    </row>
    <row r="7" spans="1:5" ht="35.25" customHeight="1">
      <c r="A7" s="4" t="s">
        <v>616</v>
      </c>
      <c r="B7" s="9">
        <f>'模型'!C18</f>
        <v>950</v>
      </c>
      <c r="C7" s="4" t="s">
        <v>19</v>
      </c>
      <c r="D7" s="4" t="s">
        <v>617</v>
      </c>
      <c r="E7" s="4" t="s">
        <v>618</v>
      </c>
    </row>
    <row r="8" spans="1:5" ht="35.25" customHeight="1">
      <c r="A8" s="4" t="s">
        <v>619</v>
      </c>
      <c r="B8" s="9">
        <f>'模型'!C19</f>
        <v>760.0</v>
      </c>
      <c r="C8" s="4" t="s">
        <v>19</v>
      </c>
      <c r="D8" s="4" t="s">
        <v>620</v>
      </c>
      <c r="E8" s="4" t="s">
        <v>621</v>
      </c>
    </row>
    <row r="9" spans="1:5" ht="35.25" customHeight="1">
      <c r="A9" s="4" t="s">
        <v>622</v>
      </c>
      <c r="B9" s="9">
        <f>'模型'!C20</f>
        <v>1140.0</v>
      </c>
      <c r="C9" s="4" t="s">
        <v>19</v>
      </c>
      <c r="D9" s="4" t="s">
        <v>623</v>
      </c>
      <c r="E9" s="4" t="s">
        <v>624</v>
      </c>
    </row>
    <row r="10" spans="1:5" ht="35.25" customHeight="1">
      <c r="A10" s="4" t="s">
        <v>625</v>
      </c>
      <c r="B10" s="10">
        <f>'模型'!C21</f>
        <v>0.14392189695148683</v>
      </c>
      <c r="C10" s="4" t="s">
        <v>44</v>
      </c>
      <c r="D10" s="4" t="s">
        <v>626</v>
      </c>
      <c r="E10" s="4" t="s">
        <v>627</v>
      </c>
    </row>
    <row r="11" spans="1:5" ht="35.25" customHeight="1">
      <c r="A11" s="4" t="s">
        <v>628</v>
      </c>
      <c r="B11" s="9">
        <f>'模型'!C5</f>
        <v>85824</v>
      </c>
      <c r="C11" s="4" t="s">
        <v>93</v>
      </c>
      <c r="D11" s="4" t="s">
        <v>629</v>
      </c>
      <c r="E11" s="4" t="s">
        <v>630</v>
      </c>
    </row>
    <row r="12" spans="1:5" ht="35.25" customHeight="1">
      <c r="A12" s="4" t="s">
        <v>631</v>
      </c>
      <c r="B12" s="10">
        <f>'模型'!C7</f>
        <v>0.7138064619194058</v>
      </c>
      <c r="C12" s="4" t="s">
        <v>44</v>
      </c>
      <c r="D12" s="4" t="s">
        <v>632</v>
      </c>
      <c r="E12" s="4" t="s">
        <v>633</v>
      </c>
    </row>
    <row r="13" spans="1:5" ht="35.25" customHeight="1">
      <c r="A13" s="4" t="s">
        <v>634</v>
      </c>
      <c r="B13" s="9">
        <f>'模型'!C8</f>
        <v>49176</v>
      </c>
      <c r="C13" s="4" t="s">
        <v>93</v>
      </c>
      <c r="D13" s="4" t="s">
        <v>635</v>
      </c>
      <c r="E13" s="4" t="s">
        <v>636</v>
      </c>
    </row>
    <row r="14" spans="1:5" ht="35.25" customHeight="1">
      <c r="A14" s="4" t="s">
        <v>637</v>
      </c>
      <c r="B14" s="9">
        <f>'模型'!C9</f>
        <v>59176</v>
      </c>
      <c r="C14" s="4" t="s">
        <v>93</v>
      </c>
      <c r="D14" s="4" t="s">
        <v>638</v>
      </c>
      <c r="E14" s="4" t="s">
        <v>639</v>
      </c>
    </row>
    <row r="15" spans="1:5" ht="35.25" customHeight="1">
      <c r="A15" s="4" t="s">
        <v>547</v>
      </c>
      <c r="B15" s="9">
        <f>'模型'!C24</f>
        <v>8.9352</v>
      </c>
      <c r="C15" s="4" t="s">
        <v>19</v>
      </c>
      <c r="D15" s="4" t="s">
        <v>640</v>
      </c>
      <c r="E15" s="4" t="s">
        <v>641</v>
      </c>
    </row>
    <row r="16" spans="1:5" ht="35.25" customHeight="1">
      <c r="A16" s="4" t="s">
        <v>554</v>
      </c>
      <c r="B16" s="9">
        <f>'模型'!C26</f>
        <v>804.168</v>
      </c>
      <c r="C16" s="4" t="s">
        <v>93</v>
      </c>
      <c r="D16" s="4" t="s">
        <v>642</v>
      </c>
      <c r="E16" s="4" t="s">
        <v>643</v>
      </c>
    </row>
    <row r="17" spans="1:5" ht="35.25" customHeight="1">
      <c r="A17" s="4" t="s">
        <v>644</v>
      </c>
      <c r="B17" s="9">
        <f>'明细'!E48</f>
        <v>182690</v>
      </c>
      <c r="C17" s="4" t="s">
        <v>205</v>
      </c>
      <c r="D17" s="4" t="s">
        <v>645</v>
      </c>
      <c r="E17" s="4" t="s">
        <v>646</v>
      </c>
    </row>
    <row r="18" spans="1:5" ht="35.25" customHeight="1">
      <c r="A18" s="4" t="s">
        <v>647</v>
      </c>
      <c r="B18" s="10">
        <f>'模型'!C17</f>
        <v>-0.021222438927638754</v>
      </c>
      <c r="C18" s="4" t="s">
        <v>44</v>
      </c>
      <c r="D18" s="4" t="s">
        <v>648</v>
      </c>
      <c r="E18" s="4" t="s">
        <v>649</v>
      </c>
    </row>
    <row r="19" spans="1:5" ht="35.25" customHeight="1">
      <c r="A19" s="4" t="s">
        <v>650</v>
      </c>
      <c r="B19" s="11" t="str">
        <f>'模型'!C36</f>
        <v>通过</v>
      </c>
      <c r="C19" s="4" t="s">
        <v>583</v>
      </c>
      <c r="D19" s="4" t="s">
        <v>651</v>
      </c>
      <c r="E19" s="4" t="s">
        <v>652</v>
      </c>
    </row>
    <row r="42" spans="1:3" ht="32.25" customHeight="1">
      <c r="A42" s="3" t="s">
        <v>418</v>
      </c>
      <c r="B42" s="3" t="s">
        <v>18</v>
      </c>
      <c r="C42" s="3" t="s">
        <v>653</v>
      </c>
    </row>
    <row r="43" spans="1:3" ht="32.25" customHeight="1">
      <c r="A43" s="4" t="s">
        <v>67</v>
      </c>
      <c r="B43" s="9">
        <f>'电力流向'!C5</f>
        <v>124.5</v>
      </c>
      <c r="C43" s="9">
        <f>'电力流向'!E5</f>
        <v>171.0</v>
      </c>
    </row>
    <row r="44" spans="1:3" ht="32.25" customHeight="1">
      <c r="A44" s="4" t="s">
        <v>72</v>
      </c>
      <c r="B44" s="9">
        <f>'电力流向'!C6</f>
        <v>107.9</v>
      </c>
      <c r="C44" s="9">
        <f>'电力流向'!E6</f>
        <v>247.0</v>
      </c>
    </row>
    <row r="45" spans="1:3" ht="32.25" customHeight="1">
      <c r="A45" s="4" t="s">
        <v>74</v>
      </c>
      <c r="B45" s="9">
        <f>'电力流向'!C7</f>
        <v>62.25</v>
      </c>
      <c r="C45" s="9">
        <f>'电力流向'!E7</f>
        <v>133.0</v>
      </c>
    </row>
    <row r="46" spans="1:3" ht="32.25" customHeight="1">
      <c r="A46" s="4" t="s">
        <v>76</v>
      </c>
      <c r="B46" s="9">
        <f>'电力流向'!C8</f>
        <v>112.05000000000001</v>
      </c>
      <c r="C46" s="9">
        <f>'电力流向'!E8</f>
        <v>380.0</v>
      </c>
    </row>
    <row r="47" spans="1:3" ht="32.25" customHeight="1">
      <c r="A47" s="4" t="s">
        <v>600</v>
      </c>
      <c r="B47" s="9">
        <f>'电力流向'!C9</f>
        <v>8.3</v>
      </c>
      <c r="C47" s="9">
        <f>'电力流向'!E9</f>
        <v>19.0</v>
      </c>
    </row>
    <row r="48" spans="1:3" ht="32.25" customHeight="1">
      <c r="A48" s="4" t="s">
        <v>601</v>
      </c>
      <c r="B48" s="9">
        <f>'电力流向'!C10</f>
        <v>0</v>
      </c>
      <c r="C48" s="9">
        <f>'电力流向'!E10</f>
        <v>0</v>
      </c>
    </row>
  </sheetData>
  <mergeCells count="2">
    <mergeCell ref="A1:E1"/>
    <mergeCell ref="A2:E3"/>
  </mergeCells>
  <pageMargins left="0.7" right="0.7" top="0.75" bottom="0.75" header="0.3" footer="0.3"/>
  <pageSetup paperSize="9" fitToHeight="0" orientation="landscape"/>
  <headerFooter>
    <oddFooter>&amp;L能源与科技研究&amp;C2026-10-22&amp;R第 &amp;P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8B84"/>
    <pageSetUpPr fitToPage="1"/>
  </sheetPr>
  <dimension ref="A1:F26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2.25" customHeight="1"/>
  <cols>
    <col min="1" max="1" width="10.7109375" customWidth="1"/>
    <col min="2" max="2" width="46.7109375" customWidth="1"/>
    <col min="3" max="3" width="33.7109375" customWidth="1"/>
    <col min="4" max="4" width="20.7109375" customWidth="1"/>
    <col min="5" max="5" width="110.7109375" customWidth="1"/>
    <col min="6" max="6" width="80.7109375" customWidth="1"/>
  </cols>
  <sheetData>
    <row r="1" spans="1:6" ht="44.25" customHeight="1">
      <c r="A1" s="1" t="s">
        <v>654</v>
      </c>
      <c r="B1" s="1"/>
      <c r="C1" s="1"/>
      <c r="D1" s="1"/>
      <c r="E1" s="1"/>
      <c r="F1" s="1"/>
    </row>
    <row r="2" spans="1:6" ht="24" customHeight="1">
      <c r="A2" s="2" t="s">
        <v>655</v>
      </c>
      <c r="B2" s="2"/>
      <c r="C2" s="2"/>
      <c r="D2" s="2"/>
      <c r="E2" s="2"/>
      <c r="F2" s="2"/>
    </row>
    <row r="3" spans="1:6" ht="24" customHeight="1">
      <c r="A3" s="2"/>
      <c r="B3" s="2"/>
      <c r="C3" s="2"/>
      <c r="D3" s="2"/>
      <c r="E3" s="2"/>
      <c r="F3" s="2"/>
    </row>
    <row r="4" spans="1:6" ht="30" customHeight="1">
      <c r="A4" s="3" t="s">
        <v>2</v>
      </c>
      <c r="B4" s="3" t="s">
        <v>10</v>
      </c>
      <c r="C4" s="3" t="s">
        <v>11</v>
      </c>
      <c r="D4" s="3" t="s">
        <v>12</v>
      </c>
      <c r="E4" s="3" t="s">
        <v>656</v>
      </c>
      <c r="F4" s="3" t="s">
        <v>657</v>
      </c>
    </row>
    <row r="5" spans="1:6" ht="60" customHeight="1">
      <c r="A5" s="4" t="s">
        <v>95</v>
      </c>
      <c r="B5" s="4" t="s">
        <v>96</v>
      </c>
      <c r="C5" s="4" t="s">
        <v>97</v>
      </c>
      <c r="D5" s="4" t="s">
        <v>24</v>
      </c>
      <c r="E5" s="4" t="s">
        <v>658</v>
      </c>
      <c r="F5" s="4" t="s">
        <v>659</v>
      </c>
    </row>
    <row r="6" spans="1:6" ht="60" customHeight="1">
      <c r="A6" s="4" t="s">
        <v>192</v>
      </c>
      <c r="B6" s="4" t="s">
        <v>193</v>
      </c>
      <c r="C6" s="4" t="s">
        <v>194</v>
      </c>
      <c r="D6" s="4" t="s">
        <v>24</v>
      </c>
      <c r="E6" s="4" t="s">
        <v>660</v>
      </c>
      <c r="F6" s="4" t="s">
        <v>661</v>
      </c>
    </row>
    <row r="7" spans="1:6" ht="60" customHeight="1">
      <c r="A7" s="4" t="s">
        <v>213</v>
      </c>
      <c r="B7" s="4" t="s">
        <v>214</v>
      </c>
      <c r="C7" s="4" t="s">
        <v>215</v>
      </c>
      <c r="D7" s="4" t="s">
        <v>24</v>
      </c>
      <c r="E7" s="4" t="s">
        <v>662</v>
      </c>
      <c r="F7" s="4" t="s">
        <v>663</v>
      </c>
    </row>
    <row r="8" spans="1:6" ht="60" customHeight="1">
      <c r="A8" s="4" t="s">
        <v>21</v>
      </c>
      <c r="B8" s="4" t="s">
        <v>22</v>
      </c>
      <c r="C8" s="4" t="s">
        <v>23</v>
      </c>
      <c r="D8" s="4" t="s">
        <v>24</v>
      </c>
      <c r="E8" s="4" t="s">
        <v>664</v>
      </c>
      <c r="F8" s="4"/>
    </row>
    <row r="9" spans="1:6" ht="60" customHeight="1">
      <c r="A9" s="4" t="s">
        <v>61</v>
      </c>
      <c r="B9" s="4" t="s">
        <v>62</v>
      </c>
      <c r="C9" s="4" t="s">
        <v>23</v>
      </c>
      <c r="D9" s="4" t="s">
        <v>24</v>
      </c>
      <c r="E9" s="4" t="s">
        <v>665</v>
      </c>
      <c r="F9" s="4"/>
    </row>
    <row r="10" spans="1:6" ht="60" customHeight="1">
      <c r="A10" s="4" t="s">
        <v>34</v>
      </c>
      <c r="B10" s="4" t="s">
        <v>35</v>
      </c>
      <c r="C10" s="4" t="s">
        <v>36</v>
      </c>
      <c r="D10" s="4" t="s">
        <v>24</v>
      </c>
      <c r="E10" s="4" t="s">
        <v>666</v>
      </c>
      <c r="F10" s="4" t="s">
        <v>667</v>
      </c>
    </row>
    <row r="11" spans="1:6" ht="60" customHeight="1">
      <c r="A11" s="4" t="s">
        <v>159</v>
      </c>
      <c r="B11" s="4" t="s">
        <v>160</v>
      </c>
      <c r="C11" s="4" t="s">
        <v>161</v>
      </c>
      <c r="D11" s="4" t="s">
        <v>24</v>
      </c>
      <c r="E11" s="4" t="s">
        <v>668</v>
      </c>
      <c r="F11" s="4"/>
    </row>
    <row r="12" spans="1:6" ht="60" customHeight="1">
      <c r="A12" s="4" t="s">
        <v>170</v>
      </c>
      <c r="B12" s="4" t="s">
        <v>171</v>
      </c>
      <c r="C12" s="4" t="s">
        <v>172</v>
      </c>
      <c r="D12" s="4" t="s">
        <v>24</v>
      </c>
      <c r="E12" s="4" t="s">
        <v>669</v>
      </c>
      <c r="F12" s="4"/>
    </row>
    <row r="13" spans="1:6" ht="60" customHeight="1">
      <c r="A13" s="4" t="s">
        <v>182</v>
      </c>
      <c r="B13" s="4" t="s">
        <v>183</v>
      </c>
      <c r="C13" s="4" t="s">
        <v>184</v>
      </c>
      <c r="D13" s="4" t="s">
        <v>24</v>
      </c>
      <c r="E13" s="4" t="s">
        <v>670</v>
      </c>
      <c r="F13" s="4"/>
    </row>
    <row r="14" spans="1:6" ht="60" customHeight="1">
      <c r="A14" s="4" t="s">
        <v>250</v>
      </c>
      <c r="B14" s="4" t="s">
        <v>251</v>
      </c>
      <c r="C14" s="4" t="s">
        <v>252</v>
      </c>
      <c r="D14" s="4" t="s">
        <v>24</v>
      </c>
      <c r="E14" s="4" t="s">
        <v>671</v>
      </c>
      <c r="F14" s="4"/>
    </row>
    <row r="15" spans="1:6" ht="60" customHeight="1">
      <c r="A15" s="4" t="s">
        <v>267</v>
      </c>
      <c r="B15" s="4" t="s">
        <v>268</v>
      </c>
      <c r="C15" s="4" t="s">
        <v>269</v>
      </c>
      <c r="D15" s="4" t="s">
        <v>24</v>
      </c>
      <c r="E15" s="4" t="s">
        <v>672</v>
      </c>
      <c r="F15" s="4"/>
    </row>
    <row r="16" spans="1:6" ht="60" customHeight="1">
      <c r="A16" s="4" t="s">
        <v>281</v>
      </c>
      <c r="B16" s="4" t="s">
        <v>282</v>
      </c>
      <c r="C16" s="4" t="s">
        <v>283</v>
      </c>
      <c r="D16" s="4" t="s">
        <v>24</v>
      </c>
      <c r="E16" s="4" t="s">
        <v>673</v>
      </c>
      <c r="F16" s="4"/>
    </row>
    <row r="17" spans="1:6" ht="60" customHeight="1">
      <c r="A17" s="4" t="s">
        <v>296</v>
      </c>
      <c r="B17" s="4" t="s">
        <v>297</v>
      </c>
      <c r="C17" s="4" t="s">
        <v>298</v>
      </c>
      <c r="D17" s="4" t="s">
        <v>24</v>
      </c>
      <c r="E17" s="4" t="s">
        <v>674</v>
      </c>
      <c r="F17" s="4"/>
    </row>
    <row r="18" spans="1:6" ht="60" customHeight="1">
      <c r="A18" s="4" t="s">
        <v>309</v>
      </c>
      <c r="B18" s="4" t="s">
        <v>310</v>
      </c>
      <c r="C18" s="4" t="s">
        <v>311</v>
      </c>
      <c r="D18" s="4" t="s">
        <v>24</v>
      </c>
      <c r="E18" s="4" t="s">
        <v>675</v>
      </c>
      <c r="F18" s="4" t="s">
        <v>676</v>
      </c>
    </row>
    <row r="19" spans="1:6" ht="60" customHeight="1">
      <c r="A19" s="4" t="s">
        <v>327</v>
      </c>
      <c r="B19" s="4" t="s">
        <v>328</v>
      </c>
      <c r="C19" s="4" t="s">
        <v>329</v>
      </c>
      <c r="D19" s="4" t="s">
        <v>24</v>
      </c>
      <c r="E19" s="4" t="s">
        <v>677</v>
      </c>
      <c r="F19" s="4"/>
    </row>
    <row r="20" spans="1:6" ht="60" customHeight="1">
      <c r="A20" s="4" t="s">
        <v>346</v>
      </c>
      <c r="B20" s="4" t="s">
        <v>347</v>
      </c>
      <c r="C20" s="4" t="s">
        <v>348</v>
      </c>
      <c r="D20" s="4" t="s">
        <v>24</v>
      </c>
      <c r="E20" s="4" t="s">
        <v>678</v>
      </c>
      <c r="F20" s="4"/>
    </row>
    <row r="21" spans="1:6" ht="60" customHeight="1">
      <c r="A21" s="4" t="s">
        <v>679</v>
      </c>
      <c r="B21" s="4" t="s">
        <v>680</v>
      </c>
      <c r="C21" s="4" t="s">
        <v>125</v>
      </c>
      <c r="D21" s="4" t="s">
        <v>24</v>
      </c>
      <c r="E21" s="4" t="s">
        <v>681</v>
      </c>
      <c r="F21" s="4" t="s">
        <v>682</v>
      </c>
    </row>
    <row r="22" spans="1:6" ht="60" customHeight="1">
      <c r="A22" s="4" t="s">
        <v>358</v>
      </c>
      <c r="B22" s="4" t="s">
        <v>359</v>
      </c>
      <c r="C22" s="4" t="s">
        <v>360</v>
      </c>
      <c r="D22" s="4" t="s">
        <v>24</v>
      </c>
      <c r="E22" s="4" t="s">
        <v>683</v>
      </c>
      <c r="F22" s="4"/>
    </row>
    <row r="23" spans="1:6" ht="60" customHeight="1">
      <c r="A23" s="4" t="s">
        <v>366</v>
      </c>
      <c r="B23" s="4" t="s">
        <v>367</v>
      </c>
      <c r="C23" s="4" t="s">
        <v>368</v>
      </c>
      <c r="D23" s="4" t="s">
        <v>24</v>
      </c>
      <c r="E23" s="4" t="s">
        <v>684</v>
      </c>
      <c r="F23" s="4" t="s">
        <v>685</v>
      </c>
    </row>
    <row r="24" spans="1:6" ht="60" customHeight="1">
      <c r="A24" s="4" t="s">
        <v>376</v>
      </c>
      <c r="B24" s="4" t="s">
        <v>377</v>
      </c>
      <c r="C24" s="4" t="s">
        <v>378</v>
      </c>
      <c r="D24" s="4" t="s">
        <v>24</v>
      </c>
      <c r="E24" s="4" t="s">
        <v>686</v>
      </c>
      <c r="F24" s="4"/>
    </row>
    <row r="25" spans="1:6" ht="60" customHeight="1">
      <c r="A25" s="4" t="s">
        <v>687</v>
      </c>
      <c r="B25" s="4" t="s">
        <v>688</v>
      </c>
      <c r="C25" s="4" t="s">
        <v>689</v>
      </c>
      <c r="D25" s="4" t="s">
        <v>24</v>
      </c>
      <c r="E25" s="4" t="s">
        <v>690</v>
      </c>
      <c r="F25" s="4" t="s">
        <v>691</v>
      </c>
    </row>
    <row r="26" spans="1:6" ht="60" customHeight="1">
      <c r="A26" s="4" t="s">
        <v>692</v>
      </c>
      <c r="B26" s="4" t="s">
        <v>693</v>
      </c>
      <c r="C26" s="4" t="s">
        <v>689</v>
      </c>
      <c r="D26" s="4" t="s">
        <v>24</v>
      </c>
      <c r="E26" s="4" t="s">
        <v>694</v>
      </c>
      <c r="F26" s="4" t="s">
        <v>695</v>
      </c>
    </row>
  </sheetData>
  <mergeCells count="2">
    <mergeCell ref="A1:F1"/>
    <mergeCell ref="A2:F3"/>
  </mergeCells>
  <hyperlinks>
    <hyperlink ref="E8" r:id="rId1"/>
    <hyperlink ref="E9" r:id="rId2"/>
    <hyperlink ref="E10" r:id="rId3"/>
    <hyperlink ref="E11" r:id="rId4"/>
    <hyperlink ref="E12" r:id="rId5"/>
    <hyperlink ref="E13" r:id="rId6"/>
    <hyperlink ref="E14" r:id="rId7"/>
    <hyperlink ref="E15" r:id="rId8"/>
    <hyperlink ref="E16" r:id="rId9"/>
    <hyperlink ref="E17" r:id="rId10"/>
    <hyperlink ref="E18" r:id="rId11"/>
    <hyperlink ref="E19" r:id="rId12"/>
    <hyperlink ref="E20" r:id="rId13"/>
    <hyperlink ref="E21" r:id="rId14"/>
    <hyperlink ref="E22" r:id="rId15"/>
    <hyperlink ref="E23" r:id="rId16"/>
    <hyperlink ref="E24" r:id="rId17"/>
    <hyperlink ref="E25" r:id="rId18"/>
    <hyperlink ref="E26" r:id="rId19"/>
  </hyperlinks>
  <pageMargins left="0.7" right="0.7" top="0.75" bottom="0.75" header="0.3" footer="0.3"/>
  <pageSetup paperSize="9" fitToHeight="0" orientation="landscape"/>
  <headerFooter>
    <oddFooter>&amp;L能源与科技研究&amp;C2026-10-22&amp;R第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明细</vt:lpstr>
      <vt:lpstr>假设</vt:lpstr>
      <vt:lpstr>模型</vt:lpstr>
      <vt:lpstr>电力流向</vt:lpstr>
      <vt:lpstr>汇总</vt:lpstr>
      <vt:lpstr>来源索引</vt:lpstr>
      <vt:lpstr>汇总!Print_Area</vt:lpstr>
      <vt:lpstr>假设!Print_Titles</vt:lpstr>
      <vt:lpstr>明细!Print_Titles</vt:lpstr>
      <vt:lpstr>来源索引!Print_Titles</vt:lpstr>
      <vt:lpstr>模型!Print_Titles</vt:lpstr>
      <vt:lpstr>汇总!Print_Titles</vt:lpstr>
      <vt:lpstr>电力流向!Print_Titles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的电从哪来 · 可追溯数据模型</dc:title>
  <dc:creator>能源与科技研究</dc:creator>
  <dc:description>2026-10-22；研究展示，非投资建议</dc:description>
  <cp:lastModifiedBy>能源与科技研究</cp:lastModifiedBy>
  <dcterms:created xsi:type="dcterms:W3CDTF">2026-10-22T20:15:31Z</dcterms:created>
  <dcterms:modified xsi:type="dcterms:W3CDTF">2026-10-22T20:15:31Z</dcterms:modified>
</cp:coreProperties>
</file>