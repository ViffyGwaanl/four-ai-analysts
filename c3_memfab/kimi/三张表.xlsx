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使用说明" sheetId="1" r:id="rId1"/>
    <sheet name="输入数据" sheetId="2" r:id="rId2"/>
    <sheet name="利润表" sheetId="3" r:id="rId3"/>
    <sheet name="资产负债表" sheetId="4" r:id="rId4"/>
    <sheet name="现金流量表" sheetId="5" r:id="rId5"/>
    <sheet name="分析" sheetId="6" r:id="rId6"/>
    <sheet name="校验" sheetId="7" r:id="rId7"/>
  </sheets>
  <definedNames>
    <definedName name="_xlnm._FilterDatabase" localSheetId="1" hidden="1">输入数据!$A$5:$AQ$22</definedName>
  </definedNames>
  <calcPr calcId="124519" fullCalcOnLoad="1"/>
</workbook>
</file>

<file path=xl/sharedStrings.xml><?xml version="1.0" encoding="utf-8"?>
<sst xmlns="http://schemas.openxmlformats.org/spreadsheetml/2006/main" count="236" uniqueCount="177">
  <si>
    <t>内存芯片公司｜16季度经营三张表</t>
  </si>
  <si>
    <t>数据期间：第1—16季｜金额单位：十亿美元｜数量单位：千片（产能为千片/季）</t>
  </si>
  <si>
    <t>交付结论</t>
  </si>
  <si>
    <t>期末股东权益</t>
  </si>
  <si>
    <t>累计净利润</t>
  </si>
  <si>
    <t>累计经营现金流</t>
  </si>
  <si>
    <t>工作簿结构</t>
  </si>
  <si>
    <t>输入数据</t>
  </si>
  <si>
    <t>引擎导出值与期初状态，黄色单元格为事实输入；Q0仅用于期初余额和均值计算。</t>
  </si>
  <si>
    <t>利润表</t>
  </si>
  <si>
    <t>逐季普通内存/HBM收入、成本、费用与净利润；成本合计已正确包含存货跌价。</t>
  </si>
  <si>
    <t>资产负债表</t>
  </si>
  <si>
    <t>逐季资产、债务与股东权益，并计算净负债和平衡校验。</t>
  </si>
  <si>
    <t>现金流量表</t>
  </si>
  <si>
    <t>净利润、折旧、营运资金及其他调整、投资、融资与现金滚动。</t>
  </si>
  <si>
    <t>分析</t>
  </si>
  <si>
    <t>毛利率、存货周转天数、经营现金流、净负债、年化ROE、HBM收入占比及图表。</t>
  </si>
  <si>
    <t>校验</t>
  </si>
  <si>
    <t>公式结果与引擎披露值逐项对照，包含资产平衡和现金滚动校验。</t>
  </si>
  <si>
    <t>颜色、公式与假设</t>
  </si>
  <si>
    <t>黄色：引擎事实输入。蓝色：情景假设输入。绿色：公式计算。修改‘分析’页蓝色假设，相关收入、成本、利润与权益会自动更新。</t>
  </si>
  <si>
    <t>情景分析仅调整所选季度的价格、销货成本（含跌价）和税率；其他项目不变，权益按净利润差额估算。它是简化假设，不是重新运行经营引擎。</t>
  </si>
  <si>
    <t>存货周转天数 = 平均存货 ÷ 不含存货跌价的销货成本 × 90天。年化ROE = 当季净利润 × 4 ÷ 期初、期末平均股东权益。</t>
  </si>
  <si>
    <t>净负债 = 普通债务 + 紧急债务 − 现金；负数表示净现金。净利息支出为负时表示净利息收益。</t>
  </si>
  <si>
    <t>出处与边界</t>
  </si>
  <si>
    <t>主要数字：交付/data/export.json 的 history、final、cumulative_net_income；期初余额：交付/data/q00_state.json。无外部行业数字、无网页资料。市场、时间和公司均为虚构；本工作簿仅用于研究与展示，不构成投资建议。</t>
  </si>
  <si>
    <t>输入数据｜引擎事实与期初余额</t>
  </si>
  <si>
    <t>黄色单元格为输入事实；灰色空格表示该季度无此项目。所有派生报表与分析均引用本页。</t>
  </si>
  <si>
    <t>季度</t>
  </si>
  <si>
    <t>普通价格指数</t>
  </si>
  <si>
    <t>HBM价格指数</t>
  </si>
  <si>
    <t>普通需求
(千片)</t>
  </si>
  <si>
    <t>HBM需求
(千片)</t>
  </si>
  <si>
    <t>开工率</t>
  </si>
  <si>
    <t>销售比例</t>
  </si>
  <si>
    <t>资本开支
(十亿美元)</t>
  </si>
  <si>
    <t>额外HBM研发
(十亿美元)</t>
  </si>
  <si>
    <t>HBM产能分配</t>
  </si>
  <si>
    <t>新增/(偿还)借款
(十亿美元)</t>
  </si>
  <si>
    <t>总产量
(千片)</t>
  </si>
  <si>
    <t>HBM产量
(千片)</t>
  </si>
  <si>
    <t>普通销量
(千片)</t>
  </si>
  <si>
    <t>HBM销量
(千片)</t>
  </si>
  <si>
    <t>单位成本
(百万美元/千片)</t>
  </si>
  <si>
    <t>产能
(千片/季)</t>
  </si>
  <si>
    <t>普通收入
(十亿美元)</t>
  </si>
  <si>
    <t>HBM收入
(十亿美元)</t>
  </si>
  <si>
    <t>销货成本含跌价
(十亿美元)</t>
  </si>
  <si>
    <t>存货跌价
(十亿美元)</t>
  </si>
  <si>
    <t>研发费用
(十亿美元)</t>
  </si>
  <si>
    <t>销管费用
(十亿美元)</t>
  </si>
  <si>
    <t>净利息支出/(收益)
(十亿美元)</t>
  </si>
  <si>
    <t>所得税
(十亿美元)</t>
  </si>
  <si>
    <t>折旧
(十亿美元)</t>
  </si>
  <si>
    <t>经营现金流
(十亿美元)</t>
  </si>
  <si>
    <t>投资现金流
(十亿美元)</t>
  </si>
  <si>
    <t>融资现金流
(十亿美元)</t>
  </si>
  <si>
    <t>紧急授信发生额
(十亿美元)</t>
  </si>
  <si>
    <t>现金
(十亿美元)</t>
  </si>
  <si>
    <t>存货
(十亿美元)</t>
  </si>
  <si>
    <t>固定资产净额
(十亿美元)</t>
  </si>
  <si>
    <t>普通债务
(十亿美元)</t>
  </si>
  <si>
    <t>紧急债务
(十亿美元)</t>
  </si>
  <si>
    <t>库存量
(千片)</t>
  </si>
  <si>
    <t>股东权益
(十亿美元)</t>
  </si>
  <si>
    <t>HBM量产资格
1=是</t>
  </si>
  <si>
    <t>引擎披露收入
(十亿美元)</t>
  </si>
  <si>
    <t>引擎披露毛利
(十亿美元)</t>
  </si>
  <si>
    <t>引擎披露营业利润
(十亿美元)</t>
  </si>
  <si>
    <t>引擎披露净利润
(十亿美元)</t>
  </si>
  <si>
    <t>引擎披露资产总计
(十亿美元)</t>
  </si>
  <si>
    <t>逐季利润表</t>
  </si>
  <si>
    <t>金额单位：十亿美元。cogs已含存货跌价，本表拆分后加总；净利润引用引擎披露输入，保留其四位小数舍入口径。</t>
  </si>
  <si>
    <t>项目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</si>
  <si>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</si>
  <si>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</si>
  <si>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</si>
  <si>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</si>
  <si>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</si>
  <si>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</si>
  <si>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</si>
  <si>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</si>
  <si>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</si>
  <si>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</si>
  <si>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</si>
  <si>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</si>
  <si>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</si>
  <si>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</si>
  <si>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</si>
  <si>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</si>
  <si>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普通内存收入</t>
  </si>
  <si>
    <t>HBM收入</t>
  </si>
  <si>
    <t>营业收入</t>
  </si>
  <si>
    <t>销货成本（不含存货跌价）</t>
  </si>
  <si>
    <t>存货跌价损失</t>
  </si>
  <si>
    <t>营业成本合计</t>
  </si>
  <si>
    <t>毛利</t>
  </si>
  <si>
    <t>研发费用</t>
  </si>
  <si>
    <t>销售管理费用</t>
  </si>
  <si>
    <t>营业利润</t>
  </si>
  <si>
    <t>净利息支出/(收益)</t>
  </si>
  <si>
    <t>税前利润</t>
  </si>
  <si>
    <t>所得税</t>
  </si>
  <si>
    <t>净利润</t>
  </si>
  <si>
    <t>毛利率</t>
  </si>
  <si>
    <t>净利率</t>
  </si>
  <si>
    <t>逐季资产负债表</t>
  </si>
  <si>
    <t>金额单位：十亿美元；净负债为负表示净现金。平衡校验应为0。</t>
  </si>
  <si>
    <t>现金</t>
  </si>
  <si>
    <t>存货</t>
  </si>
  <si>
    <t>固定资产净额</t>
  </si>
  <si>
    <t>资产总计</t>
  </si>
  <si>
    <t>普通债务</t>
  </si>
  <si>
    <t>紧急债务</t>
  </si>
  <si>
    <t>负债合计</t>
  </si>
  <si>
    <t>股东权益</t>
  </si>
  <si>
    <t>负债和股东权益</t>
  </si>
  <si>
    <t>平衡校验</t>
  </si>
  <si>
    <t>补充：库存量（千片）</t>
  </si>
  <si>
    <t>补充：产能（千片/季）</t>
  </si>
  <si>
    <t>净负债/(净现金)</t>
  </si>
  <si>
    <t>逐季现金流量表</t>
  </si>
  <si>
    <t>金额单位：十亿美元。营运资金及其他调整为经营现金流与净利润、折旧之间的差额；现金校验应为0。</t>
  </si>
  <si>
    <t>加：折旧</t>
  </si>
  <si>
    <t>营运资金及其他调整</t>
  </si>
  <si>
    <t>经营活动现金流</t>
  </si>
  <si>
    <t>资本开支</t>
  </si>
  <si>
    <t>其他投资活动</t>
  </si>
  <si>
    <t>投资活动现金流</t>
  </si>
  <si>
    <t>新增/(偿还)普通借款</t>
  </si>
  <si>
    <t>紧急授信变动</t>
  </si>
  <si>
    <t>融资活动现金流</t>
  </si>
  <si>
    <t>现金净增加额</t>
  </si>
  <si>
    <t>期初现金</t>
  </si>
  <si>
    <t>期末现金</t>
  </si>
  <si>
    <t>现金校验</t>
  </si>
  <si>
    <t>经营分析｜公式指标、情景假设与图表</t>
  </si>
  <si>
    <t>绿色为公式，蓝色为可修改假设。存货周转天数按90天/季；年化ROE仅为季度年化的分析口径。</t>
  </si>
  <si>
    <t>期末净负债</t>
  </si>
  <si>
    <t>HBM累计收入</t>
  </si>
  <si>
    <t>期末产能</t>
  </si>
  <si>
    <t>资金链</t>
  </si>
  <si>
    <t>情景假设（蓝色可改）与联动结果</t>
  </si>
  <si>
    <t>情景季度</t>
  </si>
  <si>
    <t>普通价格变动</t>
  </si>
  <si>
    <t>HBM价格变动</t>
  </si>
  <si>
    <t>销货成本变动</t>
  </si>
  <si>
    <t>所得税率</t>
  </si>
  <si>
    <t>改蓝色假设，C列情景结果自动更新</t>
  </si>
  <si>
    <t>实际</t>
  </si>
  <si>
    <t>情景</t>
  </si>
  <si>
    <t>营业成本（含跌价）</t>
  </si>
  <si>
    <t>情景说明：普通收入与HBM收入分别按各自价格假设变化；营业成本（含跌价）按成本假设变化；其他费用与净利息不变；所得税按所设税率且不为负；情景权益=实际权益+净利润差额。以上为简化假设，不代表引擎重跑结果。</t>
  </si>
  <si>
    <t>指标口径：存货周转天数=平均存货÷不含跌价销货成本×90；年化ROE=当季净利润×4÷平均权益；净负债=普通债务+紧急债务−现金。期初余额来自q00_state.json。</t>
  </si>
  <si>
    <t>存货周转天数</t>
  </si>
  <si>
    <t>经营现金流</t>
  </si>
  <si>
    <t>净负债</t>
  </si>
  <si>
    <t>年化ROE</t>
  </si>
  <si>
    <t>产能</t>
  </si>
  <si>
    <t>库存量</t>
  </si>
  <si>
    <t>HBM产量</t>
  </si>
  <si>
    <t>HBM收入占比</t>
  </si>
  <si>
    <t>普通价格</t>
  </si>
  <si>
    <t>HBM价格</t>
  </si>
  <si>
    <t>校验｜公式结果对照引擎披露值</t>
  </si>
  <si>
    <t>所有数值为绝对差异，单位为十亿美元；容差0.0002（即20万美元），用于容纳引擎四位小数舍入。</t>
  </si>
  <si>
    <t>总体状态</t>
  </si>
  <si>
    <t>修改输入或假设后，本页可检查三表勾稽是否仍然成立。情景分析不改变实际报表，因此不影响这些校验。</t>
  </si>
  <si>
    <t>收入差异</t>
  </si>
  <si>
    <t>毛利差异</t>
  </si>
  <si>
    <t>营业利润差异</t>
  </si>
  <si>
    <t>净利润差异</t>
  </si>
  <si>
    <t>资产差异</t>
  </si>
  <si>
    <t>现金滚动差异</t>
  </si>
  <si>
    <t>资产平衡差异</t>
  </si>
  <si>
    <t>投资现金流差异</t>
  </si>
  <si>
    <t>融资现金流差异</t>
  </si>
</sst>
</file>

<file path=xl/styles.xml><?xml version="1.0" encoding="utf-8"?>
<styleSheet xmlns="http://schemas.openxmlformats.org/spreadsheetml/2006/main">
  <numFmts count="6">
    <numFmt numFmtId="164" formatCode="#,##0.0000"/>
    <numFmt numFmtId="165" formatCode="#,##0.000;[Red](#,##0.000);-"/>
    <numFmt numFmtId="166" formatCode="#,##0.0000;[Red](#,##0.0000);-"/>
    <numFmt numFmtId="167" formatCode="0.00"/>
    <numFmt numFmtId="168" formatCode="0.00%;[Red](0.00%);-"/>
    <numFmt numFmtId="169" formatCode="0.000000;[Red](0.000000);-"/>
  </numFmts>
  <fonts count="11">
    <font>
      <sz val="11"/>
      <color theme="1"/>
      <name val="Calibri"/>
      <family val="2"/>
      <scheme val="minor"/>
    </font>
    <font>
      <b/>
      <sz val="22"/>
      <color rgb="FFFFFFFF"/>
      <name val="Aptos"/>
      <family val="2"/>
    </font>
    <font>
      <i/>
      <sz val="10"/>
      <color rgb="FF657786"/>
      <name val="Aptos"/>
      <family val="2"/>
    </font>
    <font>
      <b/>
      <sz val="12"/>
      <color rgb="FFFFFFFF"/>
      <name val="Aptos"/>
      <family val="2"/>
    </font>
    <font>
      <b/>
      <sz val="10"/>
      <color rgb="FFFFFFFF"/>
      <name val="Aptos"/>
      <family val="2"/>
    </font>
    <font>
      <b/>
      <sz val="18"/>
      <color rgb="FF17324D"/>
      <name val="Aptos"/>
      <family val="2"/>
    </font>
    <font>
      <b/>
      <sz val="10"/>
      <color rgb="FF243746"/>
      <name val="Aptos"/>
      <family val="2"/>
    </font>
    <font>
      <sz val="10"/>
      <color rgb="FF243746"/>
      <name val="Aptos"/>
      <family val="2"/>
    </font>
    <font>
      <sz val="11"/>
      <color rgb="FF243746"/>
      <name val="Aptos"/>
      <family val="2"/>
    </font>
    <font>
      <sz val="9"/>
      <color rgb="FF657786"/>
      <name val="Aptos"/>
      <family val="2"/>
    </font>
    <font>
      <b/>
      <sz val="14"/>
      <color rgb="FFFFFFFF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E6FDB"/>
        <bgColor indexed="64"/>
      </patternFill>
    </fill>
    <fill>
      <patternFill patternType="solid">
        <fgColor rgb="FF129B8D"/>
        <bgColor indexed="64"/>
      </patternFill>
    </fill>
    <fill>
      <patternFill patternType="solid">
        <fgColor rgb="FFE5F6F3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FF2C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DDEBF3"/>
        <bgColor indexed="64"/>
      </patternFill>
    </fill>
    <fill>
      <patternFill patternType="solid">
        <fgColor rgb="FFE3EEFF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 style="thin">
        <color rgb="FFD8E1E8"/>
      </right>
      <top style="medium">
        <color rgb="FFD8E1E8"/>
      </top>
      <bottom style="thin">
        <color rgb="FFD8E1E8"/>
      </bottom>
      <diagonal/>
    </border>
    <border>
      <left style="thin">
        <color rgb="FF2E6FDB"/>
      </left>
      <right style="thin">
        <color rgb="FF2E6FDB"/>
      </right>
      <top style="thin">
        <color rgb="FF2E6FDB"/>
      </top>
      <bottom style="thin">
        <color rgb="FF2E6F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7" fillId="0" borderId="2" xfId="0" applyFont="1" applyBorder="1" applyAlignment="1">
      <alignment vertical="top" wrapText="1"/>
    </xf>
    <xf numFmtId="0" fontId="8" fillId="7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7" fillId="8" borderId="2" xfId="0" applyNumberFormat="1" applyFont="1" applyFill="1" applyBorder="1"/>
    <xf numFmtId="0" fontId="7" fillId="9" borderId="2" xfId="0" applyFont="1" applyFill="1" applyBorder="1"/>
    <xf numFmtId="165" fontId="7" fillId="8" borderId="2" xfId="0" applyNumberFormat="1" applyFont="1" applyFill="1" applyBorder="1"/>
    <xf numFmtId="166" fontId="7" fillId="8" borderId="2" xfId="0" applyNumberFormat="1" applyFont="1" applyFill="1" applyBorder="1"/>
    <xf numFmtId="167" fontId="7" fillId="8" borderId="2" xfId="0" applyNumberFormat="1" applyFont="1" applyFill="1" applyBorder="1"/>
    <xf numFmtId="168" fontId="7" fillId="8" borderId="2" xfId="0" applyNumberFormat="1" applyFont="1" applyFill="1" applyBorder="1"/>
    <xf numFmtId="166" fontId="7" fillId="10" borderId="2" xfId="0" applyNumberFormat="1" applyFont="1" applyFill="1" applyBorder="1"/>
    <xf numFmtId="0" fontId="6" fillId="11" borderId="3" xfId="0" applyFont="1" applyFill="1" applyBorder="1" applyAlignment="1">
      <alignment vertical="center"/>
    </xf>
    <xf numFmtId="166" fontId="6" fillId="10" borderId="3" xfId="0" applyNumberFormat="1" applyFont="1" applyFill="1" applyBorder="1"/>
    <xf numFmtId="168" fontId="7" fillId="10" borderId="2" xfId="0" applyNumberFormat="1" applyFont="1" applyFill="1" applyBorder="1"/>
    <xf numFmtId="169" fontId="7" fillId="10" borderId="2" xfId="0" applyNumberFormat="1" applyFont="1" applyFill="1" applyBorder="1"/>
    <xf numFmtId="165" fontId="7" fillId="10" borderId="2" xfId="0" applyNumberFormat="1" applyFont="1" applyFill="1" applyBorder="1"/>
    <xf numFmtId="0" fontId="6" fillId="6" borderId="2" xfId="0" applyFont="1" applyFill="1" applyBorder="1" applyAlignment="1">
      <alignment wrapText="1"/>
    </xf>
    <xf numFmtId="1" fontId="7" fillId="12" borderId="4" xfId="0" applyNumberFormat="1" applyFont="1" applyFill="1" applyBorder="1"/>
    <xf numFmtId="168" fontId="7" fillId="12" borderId="4" xfId="0" applyNumberFormat="1" applyFont="1" applyFill="1" applyBorder="1"/>
    <xf numFmtId="0" fontId="9" fillId="0" borderId="0" xfId="0" applyFont="1" applyAlignment="1">
      <alignment vertical="top" wrapText="1"/>
    </xf>
    <xf numFmtId="1" fontId="7" fillId="10" borderId="2" xfId="0" applyNumberFormat="1" applyFont="1" applyFill="1" applyBorder="1"/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C64747"/>
      </font>
      <fill>
        <patternFill>
          <bgColor rgb="FFFDECEC"/>
        </patternFill>
      </fill>
    </dxf>
    <dxf>
      <font>
        <b/>
        <color rgb="FFFFFFFF"/>
      </font>
      <fill>
        <patternFill>
          <bgColor rgb="FFC6474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收入与净利润逐季走势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营业收入</c:v>
          </c:tx>
          <c:spPr>
            <a:solidFill>
              <a:srgbClr val="2E6FDB"/>
            </a:solidFill>
            <a:ln>
              <a:noFill/>
            </a:ln>
          </c:spPr>
          <c:cat>
            <c:numRef>
              <c:f>分析!$A$25:$A$40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分析!$B$25:$B$40</c:f>
              <c:numCache>
                <c:formatCode>General</c:formatCode>
                <c:ptCount val="16"/>
                <c:pt idx="0">
                  <c:v>4.608</c:v>
                </c:pt>
                <c:pt idx="1">
                  <c:v>2.8224</c:v>
                </c:pt>
                <c:pt idx="2">
                  <c:v>2.16</c:v>
                </c:pt>
                <c:pt idx="3">
                  <c:v>2.6712</c:v>
                </c:pt>
                <c:pt idx="4">
                  <c:v>3.384</c:v>
                </c:pt>
                <c:pt idx="5">
                  <c:v>5.2462</c:v>
                </c:pt>
                <c:pt idx="6">
                  <c:v>6.8734</c:v>
                </c:pt>
                <c:pt idx="7">
                  <c:v>8.1821</c:v>
                </c:pt>
                <c:pt idx="8">
                  <c:v>9.8928</c:v>
                </c:pt>
                <c:pt idx="9">
                  <c:v>11.2774</c:v>
                </c:pt>
                <c:pt idx="10">
                  <c:v>14.55</c:v>
                </c:pt>
                <c:pt idx="11">
                  <c:v>20.0751</c:v>
                </c:pt>
                <c:pt idx="12">
                  <c:v>28.891199999999998</c:v>
                </c:pt>
                <c:pt idx="13">
                  <c:v>44.123400000000004</c:v>
                </c:pt>
                <c:pt idx="14">
                  <c:v>66.49119999999999</c:v>
                </c:pt>
                <c:pt idx="15">
                  <c:v>84.6636</c:v>
                </c:pt>
              </c:numCache>
            </c:numRef>
          </c:val>
        </c:ser>
        <c:ser>
          <c:idx val="1"/>
          <c:order val="1"/>
          <c:tx>
            <c:v>净利润</c:v>
          </c:tx>
          <c:spPr>
            <a:solidFill>
              <a:srgbClr val="129B8D"/>
            </a:solidFill>
            <a:ln>
              <a:noFill/>
            </a:ln>
          </c:spPr>
          <c:cat>
            <c:numRef>
              <c:f>分析!$A$25:$A$40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分析!$C$25:$C$40</c:f>
              <c:numCache>
                <c:formatCode>General</c:formatCode>
                <c:ptCount val="16"/>
                <c:pt idx="0">
                  <c:v>-1.7341</c:v>
                </c:pt>
                <c:pt idx="1">
                  <c:v>-3.7576</c:v>
                </c:pt>
                <c:pt idx="2">
                  <c:v>-3.9463</c:v>
                </c:pt>
                <c:pt idx="3">
                  <c:v>-2.5086</c:v>
                </c:pt>
                <c:pt idx="4">
                  <c:v>-1.9825</c:v>
                </c:pt>
                <c:pt idx="5">
                  <c:v>-0.4939</c:v>
                </c:pt>
                <c:pt idx="6">
                  <c:v>0.8317</c:v>
                </c:pt>
                <c:pt idx="7">
                  <c:v>1.8605</c:v>
                </c:pt>
                <c:pt idx="8">
                  <c:v>3.2304</c:v>
                </c:pt>
                <c:pt idx="9">
                  <c:v>4.3298</c:v>
                </c:pt>
                <c:pt idx="10">
                  <c:v>6.7706</c:v>
                </c:pt>
                <c:pt idx="11">
                  <c:v>11.0345</c:v>
                </c:pt>
                <c:pt idx="12">
                  <c:v>18.1566</c:v>
                </c:pt>
                <c:pt idx="13">
                  <c:v>30.8527</c:v>
                </c:pt>
                <c:pt idx="14">
                  <c:v>49.465</c:v>
                </c:pt>
                <c:pt idx="15">
                  <c:v>64.6407</c:v>
                </c:pt>
              </c:numCache>
            </c:numRef>
          </c:val>
        </c:ser>
        <c:gapWidth val="55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十亿美元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D8E1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毛利率与年化ROE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毛利率</c:v>
          </c:tx>
          <c:spPr>
            <a:ln w="31750">
              <a:solidFill>
                <a:srgbClr val="129B8D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29B8D"/>
                </a:solidFill>
              </a:ln>
            </c:spPr>
          </c:marker>
          <c:cat>
            <c:numRef>
              <c:f>分析!$A$25:$A$40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分析!$D$25:$D$40</c:f>
              <c:numCache>
                <c:formatCode>General</c:formatCode>
                <c:ptCount val="16"/>
                <c:pt idx="0">
                  <c:v>0.07072482638888886</c:v>
                </c:pt>
                <c:pt idx="1">
                  <c:v>-0.5984268707482994</c:v>
                </c:pt>
                <c:pt idx="2">
                  <c:v>-0.8594907407407405</c:v>
                </c:pt>
                <c:pt idx="3">
                  <c:v>-0.5161725067385445</c:v>
                </c:pt>
                <c:pt idx="4">
                  <c:v>-0.24308510638297873</c:v>
                </c:pt>
                <c:pt idx="5">
                  <c:v>0.12919827684800433</c:v>
                </c:pt>
                <c:pt idx="6">
                  <c:v>0.3125672883871156</c:v>
                </c:pt>
                <c:pt idx="7">
                  <c:v>0.41335354004473185</c:v>
                </c:pt>
                <c:pt idx="8">
                  <c:v>0.5072173702086366</c:v>
                </c:pt>
                <c:pt idx="9">
                  <c:v>0.5610690407363399</c:v>
                </c:pt>
                <c:pt idx="10">
                  <c:v>0.6319587628865979</c:v>
                </c:pt>
                <c:pt idx="11">
                  <c:v>0.7075979696240616</c:v>
                </c:pt>
                <c:pt idx="12">
                  <c:v>0.7789984493548209</c:v>
                </c:pt>
                <c:pt idx="13">
                  <c:v>0.8436203919008962</c:v>
                </c:pt>
                <c:pt idx="14">
                  <c:v>0.885172774743124</c:v>
                </c:pt>
                <c:pt idx="15">
                  <c:v>0.901138151460604</c:v>
                </c:pt>
              </c:numCache>
            </c:numRef>
          </c:val>
        </c:ser>
        <c:ser>
          <c:idx val="1"/>
          <c:order val="1"/>
          <c:tx>
            <c:v>年化ROE</c:v>
          </c:tx>
          <c:spPr>
            <a:ln w="31750">
              <a:solidFill>
                <a:srgbClr val="E5A93D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E5A93D"/>
                </a:solidFill>
              </a:ln>
            </c:spPr>
          </c:marker>
          <c:cat>
            <c:numRef>
              <c:f>分析!$A$25:$A$40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分析!$H$25:$H$40</c:f>
              <c:numCache>
                <c:formatCode>General</c:formatCode>
                <c:ptCount val="16"/>
                <c:pt idx="0">
                  <c:v>-0.20345555312755276</c:v>
                </c:pt>
                <c:pt idx="1">
                  <c:v>-0.47948295057597035</c:v>
                </c:pt>
                <c:pt idx="2">
                  <c:v>-0.5741085245943376</c:v>
                </c:pt>
                <c:pt idx="3">
                  <c:v>-0.4134878871916169</c:v>
                </c:pt>
                <c:pt idx="4">
                  <c:v>-0.3600919982835463</c:v>
                </c:pt>
                <c:pt idx="5">
                  <c:v>-0.09505411627722354</c:v>
                </c:pt>
                <c:pt idx="6">
                  <c:v>0.15877553650219423</c:v>
                </c:pt>
                <c:pt idx="7">
                  <c:v>0.33373768720051844</c:v>
                </c:pt>
                <c:pt idx="8">
                  <c:v>0.52010110930431</c:v>
                </c:pt>
                <c:pt idx="9">
                  <c:v>0.6050481231113207</c:v>
                </c:pt>
                <c:pt idx="10">
                  <c:v>0.7924692828320365</c:v>
                </c:pt>
                <c:pt idx="11">
                  <c:v>1.0246243666900743</c:v>
                </c:pt>
                <c:pt idx="12">
                  <c:v>1.2592844974446338</c:v>
                </c:pt>
                <c:pt idx="13">
                  <c:v>1.5017617384839008</c:v>
                </c:pt>
                <c:pt idx="14">
                  <c:v>1.6173462965173024</c:v>
                </c:pt>
                <c:pt idx="15">
                  <c:v>1.4413521895567203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百分比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D8E1E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现金与净负债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现金</c:v>
          </c:tx>
          <c:spPr>
            <a:ln w="31750">
              <a:solidFill>
                <a:srgbClr val="2E6FDB"/>
              </a:solidFill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2E6FDB"/>
                </a:solidFill>
              </a:ln>
            </c:spPr>
          </c:marker>
          <c:cat>
            <c:numRef>
              <c:f>分析!$A$25:$A$40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分析!$J$25:$J$40</c:f>
              <c:numCache>
                <c:formatCode>General</c:formatCode>
                <c:ptCount val="16"/>
                <c:pt idx="0">
                  <c:v>8.923</c:v>
                </c:pt>
                <c:pt idx="1">
                  <c:v>6.2768</c:v>
                </c:pt>
                <c:pt idx="2">
                  <c:v>5.022</c:v>
                </c:pt>
                <c:pt idx="3">
                  <c:v>5.0134</c:v>
                </c:pt>
                <c:pt idx="4">
                  <c:v>3.5375</c:v>
                </c:pt>
                <c:pt idx="5">
                  <c:v>3.762</c:v>
                </c:pt>
                <c:pt idx="6">
                  <c:v>2.7187</c:v>
                </c:pt>
                <c:pt idx="7">
                  <c:v>1.5792</c:v>
                </c:pt>
                <c:pt idx="8">
                  <c:v>2.3846</c:v>
                </c:pt>
                <c:pt idx="9">
                  <c:v>2.8644</c:v>
                </c:pt>
                <c:pt idx="10">
                  <c:v>3.64</c:v>
                </c:pt>
                <c:pt idx="11">
                  <c:v>3.9945</c:v>
                </c:pt>
                <c:pt idx="12">
                  <c:v>15.486</c:v>
                </c:pt>
                <c:pt idx="13">
                  <c:v>48.4887</c:v>
                </c:pt>
                <c:pt idx="14">
                  <c:v>100.5387</c:v>
                </c:pt>
                <c:pt idx="15">
                  <c:v>168.1994</c:v>
                </c:pt>
              </c:numCache>
            </c:numRef>
          </c:val>
        </c:ser>
        <c:ser>
          <c:idx val="1"/>
          <c:order val="1"/>
          <c:tx>
            <c:v>净负债</c:v>
          </c:tx>
          <c:spPr>
            <a:ln w="31750">
              <a:solidFill>
                <a:srgbClr val="E5A93D"/>
              </a:solidFill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E5A93D"/>
                </a:solidFill>
              </a:ln>
            </c:spPr>
          </c:marker>
          <c:cat>
            <c:numRef>
              <c:f>分析!$A$25:$A$40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分析!$G$25:$G$40</c:f>
              <c:numCache>
                <c:formatCode>General</c:formatCode>
                <c:ptCount val="16"/>
                <c:pt idx="0">
                  <c:v>-2.923</c:v>
                </c:pt>
                <c:pt idx="1">
                  <c:v>-0.2767999999999997</c:v>
                </c:pt>
                <c:pt idx="2">
                  <c:v>2.9779999999999998</c:v>
                </c:pt>
                <c:pt idx="3">
                  <c:v>4.9866</c:v>
                </c:pt>
                <c:pt idx="4">
                  <c:v>6.4625</c:v>
                </c:pt>
                <c:pt idx="5">
                  <c:v>6.2379999999999995</c:v>
                </c:pt>
                <c:pt idx="6">
                  <c:v>8.2813</c:v>
                </c:pt>
                <c:pt idx="7">
                  <c:v>10.4208</c:v>
                </c:pt>
                <c:pt idx="8">
                  <c:v>11.115400000000001</c:v>
                </c:pt>
                <c:pt idx="9">
                  <c:v>10.6356</c:v>
                </c:pt>
                <c:pt idx="10">
                  <c:v>9.86</c:v>
                </c:pt>
                <c:pt idx="11">
                  <c:v>4.5055</c:v>
                </c:pt>
                <c:pt idx="12">
                  <c:v>-15.486</c:v>
                </c:pt>
                <c:pt idx="13">
                  <c:v>-48.4887</c:v>
                </c:pt>
                <c:pt idx="14">
                  <c:v>-100.5387</c:v>
                </c:pt>
                <c:pt idx="15">
                  <c:v>-168.1994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十亿美元；净负债为负即净现金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D8E1E8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收入结构：HBM成为第二增长曲线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普通内存收入</c:v>
          </c:tx>
          <c:spPr>
            <a:solidFill>
              <a:srgbClr val="2E6FDB"/>
            </a:solidFill>
            <a:ln>
              <a:noFill/>
            </a:ln>
          </c:spPr>
          <c:cat>
            <c:strRef>
              <c:f>利润表!$B$4:$Q$4</c:f>
              <c:strCache>
                <c:ptCount val="1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利润表!$B$5:$Q$5</c:f>
              <c:numCache>
                <c:formatCode>General</c:formatCode>
                <c:ptCount val="16"/>
                <c:pt idx="0">
                  <c:v>4.608</c:v>
                </c:pt>
                <c:pt idx="1">
                  <c:v>2.8224</c:v>
                </c:pt>
                <c:pt idx="2">
                  <c:v>2.16</c:v>
                </c:pt>
                <c:pt idx="3">
                  <c:v>2.6712</c:v>
                </c:pt>
                <c:pt idx="4">
                  <c:v>3.384</c:v>
                </c:pt>
                <c:pt idx="5">
                  <c:v>4.4254</c:v>
                </c:pt>
                <c:pt idx="6">
                  <c:v>5.4382</c:v>
                </c:pt>
                <c:pt idx="7">
                  <c:v>5.7629</c:v>
                </c:pt>
                <c:pt idx="8">
                  <c:v>5.976</c:v>
                </c:pt>
                <c:pt idx="9">
                  <c:v>5.5174</c:v>
                </c:pt>
                <c:pt idx="10">
                  <c:v>6.3804</c:v>
                </c:pt>
                <c:pt idx="11">
                  <c:v>8.4111</c:v>
                </c:pt>
                <c:pt idx="12">
                  <c:v>12.3285</c:v>
                </c:pt>
                <c:pt idx="13">
                  <c:v>20.3202</c:v>
                </c:pt>
                <c:pt idx="14">
                  <c:v>32.6992</c:v>
                </c:pt>
                <c:pt idx="15">
                  <c:v>42.0396</c:v>
                </c:pt>
              </c:numCache>
            </c:numRef>
          </c:val>
        </c:ser>
        <c:ser>
          <c:idx val="1"/>
          <c:order val="1"/>
          <c:tx>
            <c:v>HBM收入</c:v>
          </c:tx>
          <c:spPr>
            <a:solidFill>
              <a:srgbClr val="129B8D"/>
            </a:solidFill>
            <a:ln>
              <a:noFill/>
            </a:ln>
          </c:spPr>
          <c:cat>
            <c:strRef>
              <c:f>利润表!$B$4:$Q$4</c:f>
              <c:strCache>
                <c:ptCount val="1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利润表!$B$6:$Q$6</c:f>
              <c:numCache>
                <c:formatCode>General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0.8208</c:v>
                </c:pt>
                <c:pt idx="6">
                  <c:v>1.4352</c:v>
                </c:pt>
                <c:pt idx="7">
                  <c:v>2.4192</c:v>
                </c:pt>
                <c:pt idx="8">
                  <c:v>3.9168</c:v>
                </c:pt>
                <c:pt idx="9">
                  <c:v>5.76</c:v>
                </c:pt>
                <c:pt idx="10">
                  <c:v>8.1696</c:v>
                </c:pt>
                <c:pt idx="11">
                  <c:v>11.664</c:v>
                </c:pt>
                <c:pt idx="12">
                  <c:v>16.5627</c:v>
                </c:pt>
                <c:pt idx="13">
                  <c:v>23.8032</c:v>
                </c:pt>
                <c:pt idx="14">
                  <c:v>33.792</c:v>
                </c:pt>
                <c:pt idx="15">
                  <c:v>42.624</c:v>
                </c:pt>
              </c:numCache>
            </c:numRef>
          </c:val>
        </c:ser>
        <c:gapWidth val="45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十亿美元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D8E1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38100</xdr:rowOff>
    </xdr:from>
    <xdr:to>
      <xdr:col>7</xdr:col>
      <xdr:colOff>542925</xdr:colOff>
      <xdr:row>57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42</xdr:row>
      <xdr:rowOff>38100</xdr:rowOff>
    </xdr:from>
    <xdr:to>
      <xdr:col>16</xdr:col>
      <xdr:colOff>409575</xdr:colOff>
      <xdr:row>57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59</xdr:row>
      <xdr:rowOff>38100</xdr:rowOff>
    </xdr:from>
    <xdr:to>
      <xdr:col>7</xdr:col>
      <xdr:colOff>542925</xdr:colOff>
      <xdr:row>74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59</xdr:row>
      <xdr:rowOff>38100</xdr:rowOff>
    </xdr:from>
    <xdr:to>
      <xdr:col>16</xdr:col>
      <xdr:colOff>409575</xdr:colOff>
      <xdr:row>74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6FDB"/>
  </sheetPr>
  <dimension ref="A1:J28"/>
  <sheetViews>
    <sheetView showGridLines="0" tabSelected="1" zoomScale="90" zoomScaleNormal="90" workbookViewId="0"/>
  </sheetViews>
  <sheetFormatPr defaultRowHeight="15"/>
  <cols>
    <col min="1" max="1" width="3.7109375" customWidth="1"/>
    <col min="2" max="2" width="24.7109375" customWidth="1"/>
    <col min="3" max="9" width="16.7109375" customWidth="1"/>
    <col min="10" max="10" width="3.7109375" customWidth="1"/>
  </cols>
  <sheetData>
    <row r="1" spans="1:10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B4" s="3" t="s">
        <v>2</v>
      </c>
      <c r="C4" s="3"/>
      <c r="D4" s="3"/>
      <c r="E4" s="3"/>
      <c r="F4" s="3"/>
      <c r="G4" s="3"/>
      <c r="H4" s="3"/>
      <c r="I4" s="3"/>
    </row>
    <row r="5" spans="1:10">
      <c r="B5" s="4" t="s">
        <v>3</v>
      </c>
      <c r="C5" s="4"/>
      <c r="D5" s="4"/>
      <c r="E5" s="4" t="s">
        <v>4</v>
      </c>
      <c r="F5" s="4"/>
      <c r="G5" s="4"/>
      <c r="H5" s="4" t="s">
        <v>5</v>
      </c>
      <c r="I5" s="4"/>
    </row>
    <row r="6" spans="1:10">
      <c r="B6" s="5">
        <f>'资产负债表'!Q12</f>
        <v>211.7094</v>
      </c>
      <c r="C6" s="5"/>
      <c r="D6" s="5"/>
      <c r="E6" s="5">
        <f>SUM('利润表'!B18:Q18)</f>
        <v>176.7495</v>
      </c>
      <c r="F6" s="5"/>
      <c r="G6" s="5"/>
      <c r="H6" s="5">
        <f>SUM('现金流量表'!B8:Q8)</f>
        <v>220.5995</v>
      </c>
      <c r="I6" s="5"/>
    </row>
    <row r="7" spans="1:10">
      <c r="B7" s="5"/>
      <c r="C7" s="5"/>
      <c r="D7" s="5"/>
      <c r="E7" s="5"/>
      <c r="F7" s="5"/>
      <c r="G7" s="5"/>
      <c r="H7" s="5"/>
      <c r="I7" s="5"/>
    </row>
    <row r="9" spans="1:10">
      <c r="B9" s="3" t="s">
        <v>6</v>
      </c>
      <c r="C9" s="3"/>
      <c r="D9" s="3"/>
      <c r="E9" s="3"/>
      <c r="F9" s="3"/>
      <c r="G9" s="3"/>
      <c r="H9" s="3"/>
      <c r="I9" s="3"/>
    </row>
    <row r="10" spans="1:10" ht="28" customHeight="1">
      <c r="B10" s="6" t="s">
        <v>7</v>
      </c>
      <c r="C10" s="7" t="s">
        <v>8</v>
      </c>
      <c r="D10" s="7"/>
      <c r="E10" s="7"/>
      <c r="F10" s="7"/>
      <c r="G10" s="7"/>
      <c r="H10" s="7"/>
      <c r="I10" s="7"/>
    </row>
    <row r="11" spans="1:10" ht="28" customHeight="1">
      <c r="B11" s="6" t="s">
        <v>9</v>
      </c>
      <c r="C11" s="7" t="s">
        <v>10</v>
      </c>
      <c r="D11" s="7"/>
      <c r="E11" s="7"/>
      <c r="F11" s="7"/>
      <c r="G11" s="7"/>
      <c r="H11" s="7"/>
      <c r="I11" s="7"/>
    </row>
    <row r="12" spans="1:10" ht="28" customHeight="1">
      <c r="B12" s="6" t="s">
        <v>11</v>
      </c>
      <c r="C12" s="7" t="s">
        <v>12</v>
      </c>
      <c r="D12" s="7"/>
      <c r="E12" s="7"/>
      <c r="F12" s="7"/>
      <c r="G12" s="7"/>
      <c r="H12" s="7"/>
      <c r="I12" s="7"/>
    </row>
    <row r="13" spans="1:10" ht="28" customHeight="1">
      <c r="B13" s="6" t="s">
        <v>13</v>
      </c>
      <c r="C13" s="7" t="s">
        <v>14</v>
      </c>
      <c r="D13" s="7"/>
      <c r="E13" s="7"/>
      <c r="F13" s="7"/>
      <c r="G13" s="7"/>
      <c r="H13" s="7"/>
      <c r="I13" s="7"/>
    </row>
    <row r="14" spans="1:10" ht="28" customHeight="1">
      <c r="B14" s="6" t="s">
        <v>15</v>
      </c>
      <c r="C14" s="7" t="s">
        <v>16</v>
      </c>
      <c r="D14" s="7"/>
      <c r="E14" s="7"/>
      <c r="F14" s="7"/>
      <c r="G14" s="7"/>
      <c r="H14" s="7"/>
      <c r="I14" s="7"/>
    </row>
    <row r="15" spans="1:10" ht="28" customHeight="1">
      <c r="B15" s="6" t="s">
        <v>17</v>
      </c>
      <c r="C15" s="7" t="s">
        <v>18</v>
      </c>
      <c r="D15" s="7"/>
      <c r="E15" s="7"/>
      <c r="F15" s="7"/>
      <c r="G15" s="7"/>
      <c r="H15" s="7"/>
      <c r="I15" s="7"/>
    </row>
    <row r="18" spans="2:9">
      <c r="B18" s="3" t="s">
        <v>19</v>
      </c>
      <c r="C18" s="3"/>
      <c r="D18" s="3"/>
      <c r="E18" s="3"/>
      <c r="F18" s="3"/>
      <c r="G18" s="3"/>
      <c r="H18" s="3"/>
      <c r="I18" s="3"/>
    </row>
    <row r="19" spans="2:9" ht="34" customHeight="1">
      <c r="B19" s="8" t="s">
        <v>20</v>
      </c>
      <c r="C19" s="8"/>
      <c r="D19" s="8"/>
      <c r="E19" s="8"/>
      <c r="F19" s="8"/>
      <c r="G19" s="8"/>
      <c r="H19" s="8"/>
      <c r="I19" s="8"/>
    </row>
    <row r="20" spans="2:9" ht="34" customHeight="1">
      <c r="B20" s="8" t="s">
        <v>21</v>
      </c>
      <c r="C20" s="8"/>
      <c r="D20" s="8"/>
      <c r="E20" s="8"/>
      <c r="F20" s="8"/>
      <c r="G20" s="8"/>
      <c r="H20" s="8"/>
      <c r="I20" s="8"/>
    </row>
    <row r="21" spans="2:9" ht="34" customHeight="1">
      <c r="B21" s="8" t="s">
        <v>22</v>
      </c>
      <c r="C21" s="8"/>
      <c r="D21" s="8"/>
      <c r="E21" s="8"/>
      <c r="F21" s="8"/>
      <c r="G21" s="8"/>
      <c r="H21" s="8"/>
      <c r="I21" s="8"/>
    </row>
    <row r="22" spans="2:9" ht="34" customHeight="1">
      <c r="B22" s="8" t="s">
        <v>23</v>
      </c>
      <c r="C22" s="8"/>
      <c r="D22" s="8"/>
      <c r="E22" s="8"/>
      <c r="F22" s="8"/>
      <c r="G22" s="8"/>
      <c r="H22" s="8"/>
      <c r="I22" s="8"/>
    </row>
    <row r="25" spans="2:9">
      <c r="B25" s="3" t="s">
        <v>24</v>
      </c>
      <c r="C25" s="3"/>
      <c r="D25" s="3"/>
      <c r="E25" s="3"/>
      <c r="F25" s="3"/>
      <c r="G25" s="3"/>
      <c r="H25" s="3"/>
      <c r="I25" s="3"/>
    </row>
    <row r="26" spans="2:9" ht="26" customHeight="1">
      <c r="B26" s="8" t="s">
        <v>25</v>
      </c>
      <c r="C26" s="8"/>
      <c r="D26" s="8"/>
      <c r="E26" s="8"/>
      <c r="F26" s="8"/>
      <c r="G26" s="8"/>
      <c r="H26" s="8"/>
      <c r="I26" s="8"/>
    </row>
    <row r="27" spans="2:9" ht="26" customHeight="1">
      <c r="B27" s="8"/>
      <c r="C27" s="8"/>
      <c r="D27" s="8"/>
      <c r="E27" s="8"/>
      <c r="F27" s="8"/>
      <c r="G27" s="8"/>
      <c r="H27" s="8"/>
      <c r="I27" s="8"/>
    </row>
    <row r="28" spans="2:9" ht="26" customHeight="1">
      <c r="B28" s="8"/>
      <c r="C28" s="8"/>
      <c r="D28" s="8"/>
      <c r="E28" s="8"/>
      <c r="F28" s="8"/>
      <c r="G28" s="8"/>
      <c r="H28" s="8"/>
      <c r="I28" s="8"/>
    </row>
  </sheetData>
  <mergeCells count="23">
    <mergeCell ref="A1:J1"/>
    <mergeCell ref="A2:J2"/>
    <mergeCell ref="B4:I4"/>
    <mergeCell ref="B5:D5"/>
    <mergeCell ref="E5:G5"/>
    <mergeCell ref="H5:I5"/>
    <mergeCell ref="B6:D7"/>
    <mergeCell ref="E6:G7"/>
    <mergeCell ref="H6:I7"/>
    <mergeCell ref="B9:I9"/>
    <mergeCell ref="C10:I10"/>
    <mergeCell ref="C11:I11"/>
    <mergeCell ref="C12:I12"/>
    <mergeCell ref="C13:I13"/>
    <mergeCell ref="C14:I14"/>
    <mergeCell ref="C15:I15"/>
    <mergeCell ref="B18:I18"/>
    <mergeCell ref="B19:I19"/>
    <mergeCell ref="B20:I20"/>
    <mergeCell ref="B21:I21"/>
    <mergeCell ref="B22:I22"/>
    <mergeCell ref="B25:I25"/>
    <mergeCell ref="B26:I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5A93D"/>
  </sheetPr>
  <dimension ref="A1:AQ22"/>
  <sheetViews>
    <sheetView showGridLines="0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8.7109375" customWidth="1"/>
    <col min="2" max="43" width="15.7109375" customWidth="1"/>
  </cols>
  <sheetData>
    <row r="1" spans="1:43" ht="34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30" customHeight="1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5" spans="1:43" ht="46" customHeight="1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 t="s">
        <v>37</v>
      </c>
      <c r="K5" s="9" t="s">
        <v>38</v>
      </c>
      <c r="L5" s="9" t="s">
        <v>39</v>
      </c>
      <c r="M5" s="9" t="s">
        <v>40</v>
      </c>
      <c r="N5" s="9" t="s">
        <v>41</v>
      </c>
      <c r="O5" s="9" t="s">
        <v>42</v>
      </c>
      <c r="P5" s="9" t="s">
        <v>43</v>
      </c>
      <c r="Q5" s="9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 t="s">
        <v>50</v>
      </c>
      <c r="X5" s="9" t="s">
        <v>51</v>
      </c>
      <c r="Y5" s="9" t="s">
        <v>52</v>
      </c>
      <c r="Z5" s="9" t="s">
        <v>53</v>
      </c>
      <c r="AA5" s="9" t="s">
        <v>54</v>
      </c>
      <c r="AB5" s="9" t="s">
        <v>55</v>
      </c>
      <c r="AC5" s="9" t="s">
        <v>56</v>
      </c>
      <c r="AD5" s="9" t="s">
        <v>57</v>
      </c>
      <c r="AE5" s="9" t="s">
        <v>58</v>
      </c>
      <c r="AF5" s="9" t="s">
        <v>59</v>
      </c>
      <c r="AG5" s="9" t="s">
        <v>60</v>
      </c>
      <c r="AH5" s="9" t="s">
        <v>61</v>
      </c>
      <c r="AI5" s="9" t="s">
        <v>62</v>
      </c>
      <c r="AJ5" s="9" t="s">
        <v>63</v>
      </c>
      <c r="AK5" s="9" t="s">
        <v>64</v>
      </c>
      <c r="AL5" s="9" t="s">
        <v>65</v>
      </c>
      <c r="AM5" s="9" t="s">
        <v>66</v>
      </c>
      <c r="AN5" s="9" t="s">
        <v>67</v>
      </c>
      <c r="AO5" s="9" t="s">
        <v>68</v>
      </c>
      <c r="AP5" s="9" t="s">
        <v>69</v>
      </c>
      <c r="AQ5" s="9" t="s">
        <v>70</v>
      </c>
    </row>
    <row r="6" spans="1:43">
      <c r="A6" s="10">
        <v>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>
        <v>300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3">
        <v>10</v>
      </c>
      <c r="AF6" s="13">
        <v>0.96</v>
      </c>
      <c r="AG6" s="13">
        <v>30</v>
      </c>
      <c r="AH6" s="13">
        <v>6</v>
      </c>
      <c r="AI6" s="13">
        <v>0</v>
      </c>
      <c r="AJ6" s="12">
        <v>60</v>
      </c>
      <c r="AK6" s="13">
        <v>34.96</v>
      </c>
      <c r="AL6" s="10">
        <v>0</v>
      </c>
      <c r="AM6" s="11"/>
      <c r="AN6" s="11"/>
      <c r="AO6" s="11"/>
      <c r="AP6" s="11"/>
      <c r="AQ6" s="13">
        <v>40.96</v>
      </c>
    </row>
    <row r="7" spans="1:43">
      <c r="A7" s="10">
        <v>1</v>
      </c>
      <c r="B7" s="14">
        <v>0.8</v>
      </c>
      <c r="C7" s="14">
        <v>1.6</v>
      </c>
      <c r="D7" s="12">
        <v>240</v>
      </c>
      <c r="E7" s="12">
        <v>5</v>
      </c>
      <c r="F7" s="15">
        <v>0.75</v>
      </c>
      <c r="G7" s="15">
        <v>1</v>
      </c>
      <c r="H7" s="13">
        <v>1.5</v>
      </c>
      <c r="I7" s="13">
        <v>1</v>
      </c>
      <c r="J7" s="15">
        <v>0</v>
      </c>
      <c r="K7" s="13">
        <v>0</v>
      </c>
      <c r="L7" s="12">
        <v>225</v>
      </c>
      <c r="M7" s="12">
        <v>0</v>
      </c>
      <c r="N7" s="12">
        <v>240</v>
      </c>
      <c r="O7" s="12">
        <v>0</v>
      </c>
      <c r="P7" s="12">
        <v>18.333</v>
      </c>
      <c r="Q7" s="12">
        <v>300</v>
      </c>
      <c r="R7" s="13">
        <v>4.608</v>
      </c>
      <c r="S7" s="13">
        <v>0</v>
      </c>
      <c r="T7" s="13">
        <v>4.2821</v>
      </c>
      <c r="U7" s="13">
        <v>0</v>
      </c>
      <c r="V7" s="13">
        <v>1.8</v>
      </c>
      <c r="W7" s="13">
        <v>0.25</v>
      </c>
      <c r="X7" s="13">
        <v>0.01</v>
      </c>
      <c r="Y7" s="13">
        <v>0</v>
      </c>
      <c r="Z7" s="13">
        <v>2</v>
      </c>
      <c r="AA7" s="13">
        <v>0.423</v>
      </c>
      <c r="AB7" s="13">
        <v>-1.5</v>
      </c>
      <c r="AC7" s="13">
        <v>0</v>
      </c>
      <c r="AD7" s="13">
        <v>0</v>
      </c>
      <c r="AE7" s="13">
        <v>8.923</v>
      </c>
      <c r="AF7" s="13">
        <v>0.8028999999999999</v>
      </c>
      <c r="AG7" s="13">
        <v>29.5</v>
      </c>
      <c r="AH7" s="13">
        <v>6</v>
      </c>
      <c r="AI7" s="13">
        <v>0</v>
      </c>
      <c r="AJ7" s="12">
        <v>45</v>
      </c>
      <c r="AK7" s="13">
        <v>33.2259</v>
      </c>
      <c r="AL7" s="10">
        <v>0</v>
      </c>
      <c r="AM7" s="13">
        <v>4.608</v>
      </c>
      <c r="AN7" s="13">
        <v>0.3259</v>
      </c>
      <c r="AO7" s="13">
        <v>-1.7241</v>
      </c>
      <c r="AP7" s="13">
        <v>-1.7341</v>
      </c>
      <c r="AQ7" s="13">
        <v>39.2259</v>
      </c>
    </row>
    <row r="8" spans="1:43">
      <c r="A8" s="10">
        <v>2</v>
      </c>
      <c r="B8" s="14">
        <v>0.5600000000000001</v>
      </c>
      <c r="C8" s="14">
        <v>1.4</v>
      </c>
      <c r="D8" s="12">
        <v>210</v>
      </c>
      <c r="E8" s="12">
        <v>5</v>
      </c>
      <c r="F8" s="15">
        <v>0.6</v>
      </c>
      <c r="G8" s="15">
        <v>1</v>
      </c>
      <c r="H8" s="13">
        <v>1.5</v>
      </c>
      <c r="I8" s="13">
        <v>1</v>
      </c>
      <c r="J8" s="15">
        <v>0</v>
      </c>
      <c r="K8" s="13">
        <v>0</v>
      </c>
      <c r="L8" s="12">
        <v>180</v>
      </c>
      <c r="M8" s="12">
        <v>0</v>
      </c>
      <c r="N8" s="12">
        <v>210</v>
      </c>
      <c r="O8" s="12">
        <v>0</v>
      </c>
      <c r="P8" s="12">
        <v>21.667</v>
      </c>
      <c r="Q8" s="12">
        <v>300</v>
      </c>
      <c r="R8" s="13">
        <v>2.8224</v>
      </c>
      <c r="S8" s="13">
        <v>0</v>
      </c>
      <c r="T8" s="13">
        <v>4.5114</v>
      </c>
      <c r="U8" s="13">
        <v>0.122</v>
      </c>
      <c r="V8" s="13">
        <v>1.8</v>
      </c>
      <c r="W8" s="13">
        <v>0.25</v>
      </c>
      <c r="X8" s="13">
        <v>0.0186</v>
      </c>
      <c r="Y8" s="13">
        <v>0</v>
      </c>
      <c r="Z8" s="13">
        <v>2</v>
      </c>
      <c r="AA8" s="13">
        <v>-1.1462</v>
      </c>
      <c r="AB8" s="13">
        <v>-1.5</v>
      </c>
      <c r="AC8" s="13">
        <v>0</v>
      </c>
      <c r="AD8" s="13">
        <v>0</v>
      </c>
      <c r="AE8" s="13">
        <v>6.2768</v>
      </c>
      <c r="AF8" s="13">
        <v>0.1915</v>
      </c>
      <c r="AG8" s="13">
        <v>29</v>
      </c>
      <c r="AH8" s="13">
        <v>6</v>
      </c>
      <c r="AI8" s="13">
        <v>0</v>
      </c>
      <c r="AJ8" s="12">
        <v>15</v>
      </c>
      <c r="AK8" s="13">
        <v>29.4683</v>
      </c>
      <c r="AL8" s="10">
        <v>0</v>
      </c>
      <c r="AM8" s="13">
        <v>2.8224</v>
      </c>
      <c r="AN8" s="13">
        <v>-1.689</v>
      </c>
      <c r="AO8" s="13">
        <v>-3.739</v>
      </c>
      <c r="AP8" s="13">
        <v>-3.7576</v>
      </c>
      <c r="AQ8" s="13">
        <v>35.4683</v>
      </c>
    </row>
    <row r="9" spans="1:43">
      <c r="A9" s="10">
        <v>3</v>
      </c>
      <c r="B9" s="14">
        <v>0.5</v>
      </c>
      <c r="C9" s="14">
        <v>1.3</v>
      </c>
      <c r="D9" s="12">
        <v>205</v>
      </c>
      <c r="E9" s="12">
        <v>6</v>
      </c>
      <c r="F9" s="15">
        <v>0.55</v>
      </c>
      <c r="G9" s="15">
        <v>1</v>
      </c>
      <c r="H9" s="13">
        <v>1.5</v>
      </c>
      <c r="I9" s="13">
        <v>1</v>
      </c>
      <c r="J9" s="15">
        <v>0</v>
      </c>
      <c r="K9" s="13">
        <v>2</v>
      </c>
      <c r="L9" s="12">
        <v>165</v>
      </c>
      <c r="M9" s="12">
        <v>0</v>
      </c>
      <c r="N9" s="12">
        <v>180</v>
      </c>
      <c r="O9" s="12">
        <v>0</v>
      </c>
      <c r="P9" s="12">
        <v>23.182</v>
      </c>
      <c r="Q9" s="12">
        <v>300</v>
      </c>
      <c r="R9" s="13">
        <v>2.16</v>
      </c>
      <c r="S9" s="13">
        <v>0</v>
      </c>
      <c r="T9" s="13">
        <v>4.0165</v>
      </c>
      <c r="U9" s="13">
        <v>0</v>
      </c>
      <c r="V9" s="13">
        <v>1.8</v>
      </c>
      <c r="W9" s="13">
        <v>0.25</v>
      </c>
      <c r="X9" s="13">
        <v>0.0398</v>
      </c>
      <c r="Y9" s="13">
        <v>0</v>
      </c>
      <c r="Z9" s="13">
        <v>2</v>
      </c>
      <c r="AA9" s="13">
        <v>-1.7548</v>
      </c>
      <c r="AB9" s="13">
        <v>-1.5</v>
      </c>
      <c r="AC9" s="13">
        <v>2</v>
      </c>
      <c r="AD9" s="13">
        <v>0</v>
      </c>
      <c r="AE9" s="13">
        <v>5.022</v>
      </c>
      <c r="AF9" s="13">
        <v>0</v>
      </c>
      <c r="AG9" s="13">
        <v>28.5</v>
      </c>
      <c r="AH9" s="13">
        <v>8</v>
      </c>
      <c r="AI9" s="13">
        <v>0</v>
      </c>
      <c r="AJ9" s="12">
        <v>0</v>
      </c>
      <c r="AK9" s="13">
        <v>25.522</v>
      </c>
      <c r="AL9" s="10">
        <v>0</v>
      </c>
      <c r="AM9" s="13">
        <v>2.16</v>
      </c>
      <c r="AN9" s="13">
        <v>-1.8565</v>
      </c>
      <c r="AO9" s="13">
        <v>-3.9065</v>
      </c>
      <c r="AP9" s="13">
        <v>-3.9463</v>
      </c>
      <c r="AQ9" s="13">
        <v>33.522</v>
      </c>
    </row>
    <row r="10" spans="1:43">
      <c r="A10" s="10">
        <v>4</v>
      </c>
      <c r="B10" s="14">
        <v>0.53</v>
      </c>
      <c r="C10" s="14">
        <v>1.4</v>
      </c>
      <c r="D10" s="12">
        <v>215</v>
      </c>
      <c r="E10" s="12">
        <v>8</v>
      </c>
      <c r="F10" s="15">
        <v>0.7</v>
      </c>
      <c r="G10" s="15">
        <v>1</v>
      </c>
      <c r="H10" s="13">
        <v>1.5</v>
      </c>
      <c r="I10" s="13">
        <v>0</v>
      </c>
      <c r="J10" s="15">
        <v>0</v>
      </c>
      <c r="K10" s="13">
        <v>2</v>
      </c>
      <c r="L10" s="12">
        <v>210</v>
      </c>
      <c r="M10" s="12">
        <v>0</v>
      </c>
      <c r="N10" s="12">
        <v>210</v>
      </c>
      <c r="O10" s="12">
        <v>0</v>
      </c>
      <c r="P10" s="12">
        <v>19.286</v>
      </c>
      <c r="Q10" s="12">
        <v>300</v>
      </c>
      <c r="R10" s="13">
        <v>2.6712</v>
      </c>
      <c r="S10" s="13">
        <v>0</v>
      </c>
      <c r="T10" s="13">
        <v>4.05</v>
      </c>
      <c r="U10" s="13">
        <v>0</v>
      </c>
      <c r="V10" s="13">
        <v>0.8</v>
      </c>
      <c r="W10" s="13">
        <v>0.25</v>
      </c>
      <c r="X10" s="13">
        <v>0.0798</v>
      </c>
      <c r="Y10" s="13">
        <v>0</v>
      </c>
      <c r="Z10" s="13">
        <v>2</v>
      </c>
      <c r="AA10" s="13">
        <v>-0.5086000000000001</v>
      </c>
      <c r="AB10" s="13">
        <v>-1.5</v>
      </c>
      <c r="AC10" s="13">
        <v>2</v>
      </c>
      <c r="AD10" s="13">
        <v>0</v>
      </c>
      <c r="AE10" s="13">
        <v>5.0134</v>
      </c>
      <c r="AF10" s="13">
        <v>0</v>
      </c>
      <c r="AG10" s="13">
        <v>28</v>
      </c>
      <c r="AH10" s="13">
        <v>10</v>
      </c>
      <c r="AI10" s="13">
        <v>0</v>
      </c>
      <c r="AJ10" s="12">
        <v>0</v>
      </c>
      <c r="AK10" s="13">
        <v>23.0134</v>
      </c>
      <c r="AL10" s="10">
        <v>0</v>
      </c>
      <c r="AM10" s="13">
        <v>2.6712</v>
      </c>
      <c r="AN10" s="13">
        <v>-1.3788</v>
      </c>
      <c r="AO10" s="13">
        <v>-2.4288</v>
      </c>
      <c r="AP10" s="13">
        <v>-2.5086</v>
      </c>
      <c r="AQ10" s="13">
        <v>33.0134</v>
      </c>
    </row>
    <row r="11" spans="1:43">
      <c r="A11" s="10">
        <v>5</v>
      </c>
      <c r="B11" s="14">
        <v>0.6</v>
      </c>
      <c r="C11" s="14">
        <v>1.6</v>
      </c>
      <c r="D11" s="12">
        <v>235</v>
      </c>
      <c r="E11" s="12">
        <v>12</v>
      </c>
      <c r="F11" s="15">
        <v>0.8</v>
      </c>
      <c r="G11" s="15">
        <v>1</v>
      </c>
      <c r="H11" s="13">
        <v>1.5</v>
      </c>
      <c r="I11" s="13">
        <v>0</v>
      </c>
      <c r="J11" s="15">
        <v>0</v>
      </c>
      <c r="K11" s="13">
        <v>0</v>
      </c>
      <c r="L11" s="12">
        <v>240</v>
      </c>
      <c r="M11" s="12">
        <v>0</v>
      </c>
      <c r="N11" s="12">
        <v>235</v>
      </c>
      <c r="O11" s="12">
        <v>0</v>
      </c>
      <c r="P11" s="12">
        <v>17.813</v>
      </c>
      <c r="Q11" s="12">
        <v>300</v>
      </c>
      <c r="R11" s="13">
        <v>3.384</v>
      </c>
      <c r="S11" s="13">
        <v>0</v>
      </c>
      <c r="T11" s="13">
        <v>4.2066</v>
      </c>
      <c r="U11" s="13">
        <v>0.0207</v>
      </c>
      <c r="V11" s="13">
        <v>0.8</v>
      </c>
      <c r="W11" s="13">
        <v>0.25</v>
      </c>
      <c r="X11" s="13">
        <v>0.1099</v>
      </c>
      <c r="Y11" s="13">
        <v>0</v>
      </c>
      <c r="Z11" s="13">
        <v>2.075</v>
      </c>
      <c r="AA11" s="13">
        <v>0.0241</v>
      </c>
      <c r="AB11" s="13">
        <v>-1.5</v>
      </c>
      <c r="AC11" s="13">
        <v>0</v>
      </c>
      <c r="AD11" s="13">
        <v>0</v>
      </c>
      <c r="AE11" s="13">
        <v>3.5375</v>
      </c>
      <c r="AF11" s="13">
        <v>0.0684</v>
      </c>
      <c r="AG11" s="13">
        <v>27.425</v>
      </c>
      <c r="AH11" s="13">
        <v>10</v>
      </c>
      <c r="AI11" s="13">
        <v>0</v>
      </c>
      <c r="AJ11" s="12">
        <v>5</v>
      </c>
      <c r="AK11" s="13">
        <v>21.0309</v>
      </c>
      <c r="AL11" s="10">
        <v>0</v>
      </c>
      <c r="AM11" s="13">
        <v>3.384</v>
      </c>
      <c r="AN11" s="13">
        <v>-0.8226</v>
      </c>
      <c r="AO11" s="13">
        <v>-1.8726</v>
      </c>
      <c r="AP11" s="13">
        <v>-1.9825</v>
      </c>
      <c r="AQ11" s="13">
        <v>31.0309</v>
      </c>
    </row>
    <row r="12" spans="1:43">
      <c r="A12" s="10">
        <v>6</v>
      </c>
      <c r="B12" s="14">
        <v>0.72</v>
      </c>
      <c r="C12" s="14">
        <v>1.9</v>
      </c>
      <c r="D12" s="12">
        <v>260</v>
      </c>
      <c r="E12" s="12">
        <v>18</v>
      </c>
      <c r="F12" s="15">
        <v>0.9</v>
      </c>
      <c r="G12" s="15">
        <v>1</v>
      </c>
      <c r="H12" s="13">
        <v>1.5</v>
      </c>
      <c r="I12" s="13">
        <v>0</v>
      </c>
      <c r="J12" s="15">
        <v>0.07000000000000001</v>
      </c>
      <c r="K12" s="13">
        <v>0</v>
      </c>
      <c r="L12" s="12">
        <v>270</v>
      </c>
      <c r="M12" s="12">
        <v>18.9</v>
      </c>
      <c r="N12" s="12">
        <v>256.1</v>
      </c>
      <c r="O12" s="12">
        <v>18</v>
      </c>
      <c r="P12" s="12">
        <v>16.667</v>
      </c>
      <c r="Q12" s="12">
        <v>300</v>
      </c>
      <c r="R12" s="13">
        <v>4.4254</v>
      </c>
      <c r="S12" s="13">
        <v>0.8208</v>
      </c>
      <c r="T12" s="13">
        <v>4.5684</v>
      </c>
      <c r="U12" s="13">
        <v>0</v>
      </c>
      <c r="V12" s="13">
        <v>0.8</v>
      </c>
      <c r="W12" s="13">
        <v>0.25</v>
      </c>
      <c r="X12" s="13">
        <v>0.1217</v>
      </c>
      <c r="Y12" s="13">
        <v>0</v>
      </c>
      <c r="Z12" s="13">
        <v>2.15</v>
      </c>
      <c r="AA12" s="13">
        <v>1.7245</v>
      </c>
      <c r="AB12" s="13">
        <v>-1.5</v>
      </c>
      <c r="AC12" s="13">
        <v>0</v>
      </c>
      <c r="AD12" s="13">
        <v>0</v>
      </c>
      <c r="AE12" s="13">
        <v>3.762</v>
      </c>
      <c r="AF12" s="13">
        <v>0</v>
      </c>
      <c r="AG12" s="13">
        <v>26.775</v>
      </c>
      <c r="AH12" s="13">
        <v>10</v>
      </c>
      <c r="AI12" s="13">
        <v>0</v>
      </c>
      <c r="AJ12" s="12">
        <v>0</v>
      </c>
      <c r="AK12" s="13">
        <v>20.537</v>
      </c>
      <c r="AL12" s="10">
        <v>1</v>
      </c>
      <c r="AM12" s="13">
        <v>5.2462</v>
      </c>
      <c r="AN12" s="13">
        <v>0.6778</v>
      </c>
      <c r="AO12" s="13">
        <v>-0.3722</v>
      </c>
      <c r="AP12" s="13">
        <v>-0.4939</v>
      </c>
      <c r="AQ12" s="13">
        <v>30.537</v>
      </c>
    </row>
    <row r="13" spans="1:43">
      <c r="A13" s="10">
        <v>7</v>
      </c>
      <c r="B13" s="14">
        <v>0.83</v>
      </c>
      <c r="C13" s="14">
        <v>2.3</v>
      </c>
      <c r="D13" s="12">
        <v>285</v>
      </c>
      <c r="E13" s="12">
        <v>26</v>
      </c>
      <c r="F13" s="15">
        <v>1</v>
      </c>
      <c r="G13" s="15">
        <v>1</v>
      </c>
      <c r="H13" s="13">
        <v>5.1</v>
      </c>
      <c r="I13" s="13">
        <v>0</v>
      </c>
      <c r="J13" s="15">
        <v>0.09</v>
      </c>
      <c r="K13" s="13">
        <v>1</v>
      </c>
      <c r="L13" s="12">
        <v>300</v>
      </c>
      <c r="M13" s="12">
        <v>27</v>
      </c>
      <c r="N13" s="12">
        <v>273</v>
      </c>
      <c r="O13" s="12">
        <v>26</v>
      </c>
      <c r="P13" s="12">
        <v>15.75</v>
      </c>
      <c r="Q13" s="12">
        <v>300</v>
      </c>
      <c r="R13" s="13">
        <v>5.4382</v>
      </c>
      <c r="S13" s="13">
        <v>1.4352</v>
      </c>
      <c r="T13" s="13">
        <v>4.725</v>
      </c>
      <c r="U13" s="13">
        <v>0</v>
      </c>
      <c r="V13" s="13">
        <v>0.8</v>
      </c>
      <c r="W13" s="13">
        <v>0.25</v>
      </c>
      <c r="X13" s="13">
        <v>0.1199</v>
      </c>
      <c r="Y13" s="13">
        <v>0.1468</v>
      </c>
      <c r="Z13" s="13">
        <v>2.225</v>
      </c>
      <c r="AA13" s="13">
        <v>3.0567</v>
      </c>
      <c r="AB13" s="13">
        <v>-5.1</v>
      </c>
      <c r="AC13" s="13">
        <v>1</v>
      </c>
      <c r="AD13" s="13">
        <v>0</v>
      </c>
      <c r="AE13" s="13">
        <v>2.7187</v>
      </c>
      <c r="AF13" s="13">
        <v>0</v>
      </c>
      <c r="AG13" s="13">
        <v>29.65</v>
      </c>
      <c r="AH13" s="13">
        <v>11</v>
      </c>
      <c r="AI13" s="13">
        <v>0</v>
      </c>
      <c r="AJ13" s="12">
        <v>0</v>
      </c>
      <c r="AK13" s="13">
        <v>21.3687</v>
      </c>
      <c r="AL13" s="10">
        <v>1</v>
      </c>
      <c r="AM13" s="13">
        <v>6.8734</v>
      </c>
      <c r="AN13" s="13">
        <v>2.1484</v>
      </c>
      <c r="AO13" s="13">
        <v>1.0984</v>
      </c>
      <c r="AP13" s="13">
        <v>0.8317</v>
      </c>
      <c r="AQ13" s="13">
        <v>32.3687</v>
      </c>
    </row>
    <row r="14" spans="1:43">
      <c r="A14" s="10">
        <v>8</v>
      </c>
      <c r="B14" s="14">
        <v>0.92</v>
      </c>
      <c r="C14" s="14">
        <v>2.8</v>
      </c>
      <c r="D14" s="12">
        <v>305</v>
      </c>
      <c r="E14" s="12">
        <v>36</v>
      </c>
      <c r="F14" s="15">
        <v>1</v>
      </c>
      <c r="G14" s="15">
        <v>1</v>
      </c>
      <c r="H14" s="13">
        <v>6.3</v>
      </c>
      <c r="I14" s="13">
        <v>0</v>
      </c>
      <c r="J14" s="15">
        <v>0.13</v>
      </c>
      <c r="K14" s="13">
        <v>1</v>
      </c>
      <c r="L14" s="12">
        <v>300</v>
      </c>
      <c r="M14" s="12">
        <v>39</v>
      </c>
      <c r="N14" s="12">
        <v>261</v>
      </c>
      <c r="O14" s="12">
        <v>36</v>
      </c>
      <c r="P14" s="12">
        <v>16</v>
      </c>
      <c r="Q14" s="12">
        <v>300</v>
      </c>
      <c r="R14" s="13">
        <v>5.7629</v>
      </c>
      <c r="S14" s="13">
        <v>2.4192</v>
      </c>
      <c r="T14" s="13">
        <v>4.8</v>
      </c>
      <c r="U14" s="13">
        <v>0</v>
      </c>
      <c r="V14" s="13">
        <v>0.8</v>
      </c>
      <c r="W14" s="13">
        <v>0.25</v>
      </c>
      <c r="X14" s="13">
        <v>0.1433</v>
      </c>
      <c r="Y14" s="13">
        <v>0.3283</v>
      </c>
      <c r="Z14" s="13">
        <v>2.3</v>
      </c>
      <c r="AA14" s="13">
        <v>4.1605</v>
      </c>
      <c r="AB14" s="13">
        <v>-6.3</v>
      </c>
      <c r="AC14" s="13">
        <v>1</v>
      </c>
      <c r="AD14" s="13">
        <v>0</v>
      </c>
      <c r="AE14" s="13">
        <v>1.5792</v>
      </c>
      <c r="AF14" s="13">
        <v>0</v>
      </c>
      <c r="AG14" s="13">
        <v>33.65</v>
      </c>
      <c r="AH14" s="13">
        <v>12</v>
      </c>
      <c r="AI14" s="13">
        <v>0</v>
      </c>
      <c r="AJ14" s="12">
        <v>0</v>
      </c>
      <c r="AK14" s="13">
        <v>23.2292</v>
      </c>
      <c r="AL14" s="10">
        <v>1</v>
      </c>
      <c r="AM14" s="13">
        <v>8.1821</v>
      </c>
      <c r="AN14" s="13">
        <v>3.3821</v>
      </c>
      <c r="AO14" s="13">
        <v>2.3321</v>
      </c>
      <c r="AP14" s="13">
        <v>1.8605</v>
      </c>
      <c r="AQ14" s="13">
        <v>35.2292</v>
      </c>
    </row>
    <row r="15" spans="1:43">
      <c r="A15" s="10">
        <v>9</v>
      </c>
      <c r="B15" s="14">
        <v>1</v>
      </c>
      <c r="C15" s="14">
        <v>3.4</v>
      </c>
      <c r="D15" s="12">
        <v>320</v>
      </c>
      <c r="E15" s="12">
        <v>48</v>
      </c>
      <c r="F15" s="15">
        <v>1</v>
      </c>
      <c r="G15" s="15">
        <v>1</v>
      </c>
      <c r="H15" s="13">
        <v>6.3</v>
      </c>
      <c r="I15" s="13">
        <v>0</v>
      </c>
      <c r="J15" s="15">
        <v>0.17</v>
      </c>
      <c r="K15" s="13">
        <v>1.5</v>
      </c>
      <c r="L15" s="12">
        <v>300</v>
      </c>
      <c r="M15" s="12">
        <v>51</v>
      </c>
      <c r="N15" s="12">
        <v>249</v>
      </c>
      <c r="O15" s="12">
        <v>48</v>
      </c>
      <c r="P15" s="12">
        <v>16.25</v>
      </c>
      <c r="Q15" s="12">
        <v>300</v>
      </c>
      <c r="R15" s="13">
        <v>5.976</v>
      </c>
      <c r="S15" s="13">
        <v>3.9168</v>
      </c>
      <c r="T15" s="13">
        <v>4.875</v>
      </c>
      <c r="U15" s="13">
        <v>0</v>
      </c>
      <c r="V15" s="13">
        <v>0.8</v>
      </c>
      <c r="W15" s="13">
        <v>0.25</v>
      </c>
      <c r="X15" s="13">
        <v>0.1674</v>
      </c>
      <c r="Y15" s="13">
        <v>0.5701000000000001</v>
      </c>
      <c r="Z15" s="13">
        <v>2.375</v>
      </c>
      <c r="AA15" s="13">
        <v>5.6054</v>
      </c>
      <c r="AB15" s="13">
        <v>-6.3</v>
      </c>
      <c r="AC15" s="13">
        <v>1.5</v>
      </c>
      <c r="AD15" s="13">
        <v>0</v>
      </c>
      <c r="AE15" s="13">
        <v>2.3846</v>
      </c>
      <c r="AF15" s="13">
        <v>0</v>
      </c>
      <c r="AG15" s="13">
        <v>37.575</v>
      </c>
      <c r="AH15" s="13">
        <v>13.5</v>
      </c>
      <c r="AI15" s="13">
        <v>0</v>
      </c>
      <c r="AJ15" s="12">
        <v>0</v>
      </c>
      <c r="AK15" s="13">
        <v>26.4596</v>
      </c>
      <c r="AL15" s="10">
        <v>1</v>
      </c>
      <c r="AM15" s="13">
        <v>9.892799999999999</v>
      </c>
      <c r="AN15" s="13">
        <v>5.0178</v>
      </c>
      <c r="AO15" s="13">
        <v>3.9678</v>
      </c>
      <c r="AP15" s="13">
        <v>3.2304</v>
      </c>
      <c r="AQ15" s="13">
        <v>39.9596</v>
      </c>
    </row>
    <row r="16" spans="1:43">
      <c r="A16" s="10">
        <v>10</v>
      </c>
      <c r="B16" s="14">
        <v>0.97</v>
      </c>
      <c r="C16" s="14">
        <v>4</v>
      </c>
      <c r="D16" s="12">
        <v>320</v>
      </c>
      <c r="E16" s="12">
        <v>60</v>
      </c>
      <c r="F16" s="15">
        <v>1</v>
      </c>
      <c r="G16" s="15">
        <v>1</v>
      </c>
      <c r="H16" s="13">
        <v>6.3</v>
      </c>
      <c r="I16" s="13">
        <v>0</v>
      </c>
      <c r="J16" s="15">
        <v>0.21</v>
      </c>
      <c r="K16" s="13">
        <v>0</v>
      </c>
      <c r="L16" s="12">
        <v>300</v>
      </c>
      <c r="M16" s="12">
        <v>63</v>
      </c>
      <c r="N16" s="12">
        <v>237</v>
      </c>
      <c r="O16" s="12">
        <v>60</v>
      </c>
      <c r="P16" s="12">
        <v>16.5</v>
      </c>
      <c r="Q16" s="12">
        <v>300</v>
      </c>
      <c r="R16" s="13">
        <v>5.5174</v>
      </c>
      <c r="S16" s="13">
        <v>5.76</v>
      </c>
      <c r="T16" s="13">
        <v>4.95</v>
      </c>
      <c r="U16" s="13">
        <v>0</v>
      </c>
      <c r="V16" s="13">
        <v>0.8</v>
      </c>
      <c r="W16" s="13">
        <v>0.25</v>
      </c>
      <c r="X16" s="13">
        <v>0.1834</v>
      </c>
      <c r="Y16" s="13">
        <v>0.7641</v>
      </c>
      <c r="Z16" s="13">
        <v>2.45</v>
      </c>
      <c r="AA16" s="13">
        <v>6.7798</v>
      </c>
      <c r="AB16" s="13">
        <v>-6.3</v>
      </c>
      <c r="AC16" s="13">
        <v>0</v>
      </c>
      <c r="AD16" s="13">
        <v>0</v>
      </c>
      <c r="AE16" s="13">
        <v>2.8644</v>
      </c>
      <c r="AF16" s="13">
        <v>0</v>
      </c>
      <c r="AG16" s="13">
        <v>41.425</v>
      </c>
      <c r="AH16" s="13">
        <v>13.5</v>
      </c>
      <c r="AI16" s="13">
        <v>0</v>
      </c>
      <c r="AJ16" s="12">
        <v>0</v>
      </c>
      <c r="AK16" s="13">
        <v>30.7894</v>
      </c>
      <c r="AL16" s="10">
        <v>1</v>
      </c>
      <c r="AM16" s="13">
        <v>11.2774</v>
      </c>
      <c r="AN16" s="13">
        <v>6.3274</v>
      </c>
      <c r="AO16" s="13">
        <v>5.2774</v>
      </c>
      <c r="AP16" s="13">
        <v>4.3298</v>
      </c>
      <c r="AQ16" s="13">
        <v>44.2894</v>
      </c>
    </row>
    <row r="17" spans="1:43">
      <c r="A17" s="10">
        <v>11</v>
      </c>
      <c r="B17" s="14">
        <v>1.06</v>
      </c>
      <c r="C17" s="14">
        <v>4.6</v>
      </c>
      <c r="D17" s="12">
        <v>340</v>
      </c>
      <c r="E17" s="12">
        <v>74</v>
      </c>
      <c r="F17" s="15">
        <v>1</v>
      </c>
      <c r="G17" s="15">
        <v>1</v>
      </c>
      <c r="H17" s="13">
        <v>8.699999999999999</v>
      </c>
      <c r="I17" s="13">
        <v>0</v>
      </c>
      <c r="J17" s="15">
        <v>0.24</v>
      </c>
      <c r="K17" s="13">
        <v>0</v>
      </c>
      <c r="L17" s="12">
        <v>330</v>
      </c>
      <c r="M17" s="12">
        <v>79.2</v>
      </c>
      <c r="N17" s="12">
        <v>250.8</v>
      </c>
      <c r="O17" s="12">
        <v>74</v>
      </c>
      <c r="P17" s="12">
        <v>16.227</v>
      </c>
      <c r="Q17" s="12">
        <v>330</v>
      </c>
      <c r="R17" s="13">
        <v>6.3804</v>
      </c>
      <c r="S17" s="13">
        <v>8.169600000000001</v>
      </c>
      <c r="T17" s="13">
        <v>5.355</v>
      </c>
      <c r="U17" s="13">
        <v>0</v>
      </c>
      <c r="V17" s="13">
        <v>0.8</v>
      </c>
      <c r="W17" s="13">
        <v>0.25</v>
      </c>
      <c r="X17" s="13">
        <v>0.1796</v>
      </c>
      <c r="Y17" s="13">
        <v>1.1948</v>
      </c>
      <c r="Z17" s="13">
        <v>2.705</v>
      </c>
      <c r="AA17" s="13">
        <v>9.4756</v>
      </c>
      <c r="AB17" s="13">
        <v>-8.699999999999999</v>
      </c>
      <c r="AC17" s="13">
        <v>0</v>
      </c>
      <c r="AD17" s="13">
        <v>0</v>
      </c>
      <c r="AE17" s="13">
        <v>3.64</v>
      </c>
      <c r="AF17" s="13">
        <v>0</v>
      </c>
      <c r="AG17" s="13">
        <v>47.42</v>
      </c>
      <c r="AH17" s="13">
        <v>13.5</v>
      </c>
      <c r="AI17" s="13">
        <v>0</v>
      </c>
      <c r="AJ17" s="12">
        <v>0</v>
      </c>
      <c r="AK17" s="13">
        <v>37.56</v>
      </c>
      <c r="AL17" s="10">
        <v>1</v>
      </c>
      <c r="AM17" s="13">
        <v>14.55</v>
      </c>
      <c r="AN17" s="13">
        <v>9.195</v>
      </c>
      <c r="AO17" s="13">
        <v>8.145</v>
      </c>
      <c r="AP17" s="13">
        <v>6.7706</v>
      </c>
      <c r="AQ17" s="13">
        <v>51.06</v>
      </c>
    </row>
    <row r="18" spans="1:43">
      <c r="A18" s="10">
        <v>12</v>
      </c>
      <c r="B18" s="14">
        <v>1.28</v>
      </c>
      <c r="C18" s="14">
        <v>5.4</v>
      </c>
      <c r="D18" s="12">
        <v>365</v>
      </c>
      <c r="E18" s="12">
        <v>90</v>
      </c>
      <c r="F18" s="15">
        <v>1</v>
      </c>
      <c r="G18" s="15">
        <v>1</v>
      </c>
      <c r="H18" s="13">
        <v>8.699999999999999</v>
      </c>
      <c r="I18" s="13">
        <v>0</v>
      </c>
      <c r="J18" s="15">
        <v>0.26</v>
      </c>
      <c r="K18" s="13">
        <v>-5</v>
      </c>
      <c r="L18" s="12">
        <v>370</v>
      </c>
      <c r="M18" s="12">
        <v>96.2</v>
      </c>
      <c r="N18" s="12">
        <v>273.8</v>
      </c>
      <c r="O18" s="12">
        <v>90</v>
      </c>
      <c r="P18" s="12">
        <v>15.865</v>
      </c>
      <c r="Q18" s="12">
        <v>370</v>
      </c>
      <c r="R18" s="13">
        <v>8.411099999999999</v>
      </c>
      <c r="S18" s="13">
        <v>11.664</v>
      </c>
      <c r="T18" s="13">
        <v>5.87</v>
      </c>
      <c r="U18" s="13">
        <v>0</v>
      </c>
      <c r="V18" s="13">
        <v>0.8</v>
      </c>
      <c r="W18" s="13">
        <v>0.25</v>
      </c>
      <c r="X18" s="13">
        <v>0.1734</v>
      </c>
      <c r="Y18" s="13">
        <v>1.9473</v>
      </c>
      <c r="Z18" s="13">
        <v>3.02</v>
      </c>
      <c r="AA18" s="13">
        <v>14.0545</v>
      </c>
      <c r="AB18" s="13">
        <v>-8.699999999999999</v>
      </c>
      <c r="AC18" s="13">
        <v>-5</v>
      </c>
      <c r="AD18" s="13">
        <v>0</v>
      </c>
      <c r="AE18" s="13">
        <v>3.9945</v>
      </c>
      <c r="AF18" s="13">
        <v>0</v>
      </c>
      <c r="AG18" s="13">
        <v>53.1</v>
      </c>
      <c r="AH18" s="13">
        <v>8.5</v>
      </c>
      <c r="AI18" s="13">
        <v>0</v>
      </c>
      <c r="AJ18" s="12">
        <v>0</v>
      </c>
      <c r="AK18" s="13">
        <v>48.5945</v>
      </c>
      <c r="AL18" s="10">
        <v>1</v>
      </c>
      <c r="AM18" s="13">
        <v>20.0751</v>
      </c>
      <c r="AN18" s="13">
        <v>14.2051</v>
      </c>
      <c r="AO18" s="13">
        <v>13.1551</v>
      </c>
      <c r="AP18" s="13">
        <v>11.0345</v>
      </c>
      <c r="AQ18" s="13">
        <v>57.0945</v>
      </c>
    </row>
    <row r="19" spans="1:43">
      <c r="A19" s="10">
        <v>13</v>
      </c>
      <c r="B19" s="14">
        <v>1.7</v>
      </c>
      <c r="C19" s="14">
        <v>6.4</v>
      </c>
      <c r="D19" s="12">
        <v>400</v>
      </c>
      <c r="E19" s="12">
        <v>110</v>
      </c>
      <c r="F19" s="15">
        <v>1</v>
      </c>
      <c r="G19" s="15">
        <v>1</v>
      </c>
      <c r="H19" s="13">
        <v>1.5</v>
      </c>
      <c r="I19" s="13">
        <v>0</v>
      </c>
      <c r="J19" s="15">
        <v>0.263</v>
      </c>
      <c r="K19" s="13">
        <v>-8.5</v>
      </c>
      <c r="L19" s="12">
        <v>410</v>
      </c>
      <c r="M19" s="12">
        <v>107.83</v>
      </c>
      <c r="N19" s="12">
        <v>302.17</v>
      </c>
      <c r="O19" s="12">
        <v>107.83</v>
      </c>
      <c r="P19" s="12">
        <v>15.573</v>
      </c>
      <c r="Q19" s="12">
        <v>410</v>
      </c>
      <c r="R19" s="13">
        <v>12.3285</v>
      </c>
      <c r="S19" s="13">
        <v>16.5627</v>
      </c>
      <c r="T19" s="13">
        <v>6.385</v>
      </c>
      <c r="U19" s="13">
        <v>0</v>
      </c>
      <c r="V19" s="13">
        <v>0.8</v>
      </c>
      <c r="W19" s="13">
        <v>0.25</v>
      </c>
      <c r="X19" s="13">
        <v>0.0955</v>
      </c>
      <c r="Y19" s="13">
        <v>3.2041</v>
      </c>
      <c r="Z19" s="13">
        <v>3.335</v>
      </c>
      <c r="AA19" s="13">
        <v>21.4916</v>
      </c>
      <c r="AB19" s="13">
        <v>-1.5</v>
      </c>
      <c r="AC19" s="13">
        <v>-8.5</v>
      </c>
      <c r="AD19" s="13">
        <v>0</v>
      </c>
      <c r="AE19" s="13">
        <v>15.486</v>
      </c>
      <c r="AF19" s="13">
        <v>0</v>
      </c>
      <c r="AG19" s="13">
        <v>51.265</v>
      </c>
      <c r="AH19" s="13">
        <v>0</v>
      </c>
      <c r="AI19" s="13">
        <v>0</v>
      </c>
      <c r="AJ19" s="12">
        <v>0</v>
      </c>
      <c r="AK19" s="13">
        <v>66.751</v>
      </c>
      <c r="AL19" s="10">
        <v>1</v>
      </c>
      <c r="AM19" s="13">
        <v>28.8912</v>
      </c>
      <c r="AN19" s="13">
        <v>22.5062</v>
      </c>
      <c r="AO19" s="13">
        <v>21.4562</v>
      </c>
      <c r="AP19" s="13">
        <v>18.1566</v>
      </c>
      <c r="AQ19" s="13">
        <v>66.751</v>
      </c>
    </row>
    <row r="20" spans="1:43">
      <c r="A20" s="10">
        <v>14</v>
      </c>
      <c r="B20" s="14">
        <v>2.65</v>
      </c>
      <c r="C20" s="14">
        <v>7.6</v>
      </c>
      <c r="D20" s="12">
        <v>440</v>
      </c>
      <c r="E20" s="12">
        <v>135</v>
      </c>
      <c r="F20" s="15">
        <v>1</v>
      </c>
      <c r="G20" s="15">
        <v>1</v>
      </c>
      <c r="H20" s="13">
        <v>1.5</v>
      </c>
      <c r="I20" s="13">
        <v>0</v>
      </c>
      <c r="J20" s="15">
        <v>0.29</v>
      </c>
      <c r="K20" s="13">
        <v>0</v>
      </c>
      <c r="L20" s="12">
        <v>450</v>
      </c>
      <c r="M20" s="12">
        <v>130.5</v>
      </c>
      <c r="N20" s="12">
        <v>319.5</v>
      </c>
      <c r="O20" s="12">
        <v>130.5</v>
      </c>
      <c r="P20" s="12">
        <v>15.333</v>
      </c>
      <c r="Q20" s="12">
        <v>450</v>
      </c>
      <c r="R20" s="13">
        <v>20.3202</v>
      </c>
      <c r="S20" s="13">
        <v>23.8032</v>
      </c>
      <c r="T20" s="13">
        <v>6.9</v>
      </c>
      <c r="U20" s="13">
        <v>0</v>
      </c>
      <c r="V20" s="13">
        <v>0.8</v>
      </c>
      <c r="W20" s="13">
        <v>0.25</v>
      </c>
      <c r="X20" s="13">
        <v>-0.1239</v>
      </c>
      <c r="Y20" s="13">
        <v>5.4446</v>
      </c>
      <c r="Z20" s="13">
        <v>3.65</v>
      </c>
      <c r="AA20" s="13">
        <v>34.5027</v>
      </c>
      <c r="AB20" s="13">
        <v>-1.5</v>
      </c>
      <c r="AC20" s="13">
        <v>0</v>
      </c>
      <c r="AD20" s="13">
        <v>0</v>
      </c>
      <c r="AE20" s="13">
        <v>48.4887</v>
      </c>
      <c r="AF20" s="13">
        <v>0</v>
      </c>
      <c r="AG20" s="13">
        <v>49.115</v>
      </c>
      <c r="AH20" s="13">
        <v>0</v>
      </c>
      <c r="AI20" s="13">
        <v>0</v>
      </c>
      <c r="AJ20" s="12">
        <v>0</v>
      </c>
      <c r="AK20" s="13">
        <v>97.6037</v>
      </c>
      <c r="AL20" s="10">
        <v>1</v>
      </c>
      <c r="AM20" s="13">
        <v>44.1234</v>
      </c>
      <c r="AN20" s="13">
        <v>37.2234</v>
      </c>
      <c r="AO20" s="13">
        <v>36.1734</v>
      </c>
      <c r="AP20" s="13">
        <v>30.8527</v>
      </c>
      <c r="AQ20" s="13">
        <v>97.6037</v>
      </c>
    </row>
    <row r="21" spans="1:43">
      <c r="A21" s="10">
        <v>15</v>
      </c>
      <c r="B21" s="14">
        <v>3.9</v>
      </c>
      <c r="C21" s="14">
        <v>8.800000000000001</v>
      </c>
      <c r="D21" s="12">
        <v>480</v>
      </c>
      <c r="E21" s="12">
        <v>160</v>
      </c>
      <c r="F21" s="15">
        <v>1</v>
      </c>
      <c r="G21" s="15">
        <v>1</v>
      </c>
      <c r="H21" s="13">
        <v>1.5</v>
      </c>
      <c r="I21" s="13">
        <v>0</v>
      </c>
      <c r="J21" s="15">
        <v>0.315</v>
      </c>
      <c r="K21" s="13">
        <v>0</v>
      </c>
      <c r="L21" s="12">
        <v>510</v>
      </c>
      <c r="M21" s="12">
        <v>160.65</v>
      </c>
      <c r="N21" s="12">
        <v>349.35</v>
      </c>
      <c r="O21" s="12">
        <v>160</v>
      </c>
      <c r="P21" s="12">
        <v>14.971</v>
      </c>
      <c r="Q21" s="12">
        <v>510</v>
      </c>
      <c r="R21" s="13">
        <v>32.6992</v>
      </c>
      <c r="S21" s="13">
        <v>33.792</v>
      </c>
      <c r="T21" s="13">
        <v>7.635</v>
      </c>
      <c r="U21" s="13">
        <v>0</v>
      </c>
      <c r="V21" s="13">
        <v>0.8</v>
      </c>
      <c r="W21" s="13">
        <v>0.25</v>
      </c>
      <c r="X21" s="13">
        <v>-0.3879</v>
      </c>
      <c r="Y21" s="13">
        <v>8.729100000000001</v>
      </c>
      <c r="Z21" s="13">
        <v>4.085</v>
      </c>
      <c r="AA21" s="13">
        <v>53.55</v>
      </c>
      <c r="AB21" s="13">
        <v>-1.5</v>
      </c>
      <c r="AC21" s="13">
        <v>0</v>
      </c>
      <c r="AD21" s="13">
        <v>0</v>
      </c>
      <c r="AE21" s="13">
        <v>100.5387</v>
      </c>
      <c r="AF21" s="13">
        <v>0</v>
      </c>
      <c r="AG21" s="13">
        <v>46.53</v>
      </c>
      <c r="AH21" s="13">
        <v>0</v>
      </c>
      <c r="AI21" s="13">
        <v>0</v>
      </c>
      <c r="AJ21" s="12">
        <v>0</v>
      </c>
      <c r="AK21" s="13">
        <v>147.0687</v>
      </c>
      <c r="AL21" s="10">
        <v>1</v>
      </c>
      <c r="AM21" s="13">
        <v>66.49120000000001</v>
      </c>
      <c r="AN21" s="13">
        <v>58.8562</v>
      </c>
      <c r="AO21" s="13">
        <v>57.8062</v>
      </c>
      <c r="AP21" s="13">
        <v>49.465</v>
      </c>
      <c r="AQ21" s="13">
        <v>147.0687</v>
      </c>
    </row>
    <row r="22" spans="1:43">
      <c r="A22" s="10">
        <v>16</v>
      </c>
      <c r="B22" s="14">
        <v>4.55</v>
      </c>
      <c r="C22" s="14">
        <v>9.6</v>
      </c>
      <c r="D22" s="12">
        <v>510</v>
      </c>
      <c r="E22" s="12">
        <v>185</v>
      </c>
      <c r="F22" s="15">
        <v>1</v>
      </c>
      <c r="G22" s="15">
        <v>1</v>
      </c>
      <c r="H22" s="13">
        <v>1.5</v>
      </c>
      <c r="I22" s="13">
        <v>0</v>
      </c>
      <c r="J22" s="15">
        <v>0.3246</v>
      </c>
      <c r="K22" s="13">
        <v>0</v>
      </c>
      <c r="L22" s="12">
        <v>570</v>
      </c>
      <c r="M22" s="12">
        <v>185.02</v>
      </c>
      <c r="N22" s="12">
        <v>384.98</v>
      </c>
      <c r="O22" s="12">
        <v>185</v>
      </c>
      <c r="P22" s="12">
        <v>14.684</v>
      </c>
      <c r="Q22" s="12">
        <v>570</v>
      </c>
      <c r="R22" s="13">
        <v>42.0396</v>
      </c>
      <c r="S22" s="13">
        <v>42.624</v>
      </c>
      <c r="T22" s="13">
        <v>8.369999999999999</v>
      </c>
      <c r="U22" s="13">
        <v>0</v>
      </c>
      <c r="V22" s="13">
        <v>0.8</v>
      </c>
      <c r="W22" s="13">
        <v>0.25</v>
      </c>
      <c r="X22" s="13">
        <v>-0.8043</v>
      </c>
      <c r="Y22" s="13">
        <v>11.4072</v>
      </c>
      <c r="Z22" s="13">
        <v>4.52</v>
      </c>
      <c r="AA22" s="13">
        <v>69.16070000000001</v>
      </c>
      <c r="AB22" s="13">
        <v>-1.5</v>
      </c>
      <c r="AC22" s="13">
        <v>0</v>
      </c>
      <c r="AD22" s="13">
        <v>0</v>
      </c>
      <c r="AE22" s="13">
        <v>168.1994</v>
      </c>
      <c r="AF22" s="13">
        <v>0</v>
      </c>
      <c r="AG22" s="13">
        <v>43.51</v>
      </c>
      <c r="AH22" s="13">
        <v>0</v>
      </c>
      <c r="AI22" s="13">
        <v>0</v>
      </c>
      <c r="AJ22" s="12">
        <v>0</v>
      </c>
      <c r="AK22" s="13">
        <v>211.7094</v>
      </c>
      <c r="AL22" s="10">
        <v>1</v>
      </c>
      <c r="AM22" s="13">
        <v>84.6636</v>
      </c>
      <c r="AN22" s="13">
        <v>76.2936</v>
      </c>
      <c r="AO22" s="13">
        <v>75.2436</v>
      </c>
      <c r="AP22" s="13">
        <v>64.6407</v>
      </c>
      <c r="AQ22" s="13">
        <v>211.7094</v>
      </c>
    </row>
  </sheetData>
  <autoFilter ref="A5:AQ22"/>
  <mergeCells count="2">
    <mergeCell ref="A1:AQ1"/>
    <mergeCell ref="A2:A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6FDB"/>
  </sheetPr>
  <dimension ref="A1:Q20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17" width="13.7109375" customWidth="1"/>
  </cols>
  <sheetData>
    <row r="1" spans="1:17" ht="34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9" t="s">
        <v>73</v>
      </c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  <c r="G4" s="9" t="s">
        <v>79</v>
      </c>
      <c r="H4" s="9" t="s">
        <v>80</v>
      </c>
      <c r="I4" s="9" t="s">
        <v>81</v>
      </c>
      <c r="J4" s="9" t="s">
        <v>82</v>
      </c>
      <c r="K4" s="9" t="s">
        <v>83</v>
      </c>
      <c r="L4" s="9" t="s">
        <v>84</v>
      </c>
      <c r="M4" s="9" t="s">
        <v>85</v>
      </c>
      <c r="N4" s="9" t="s">
        <v>86</v>
      </c>
      <c r="O4" s="9" t="s">
        <v>87</v>
      </c>
      <c r="P4" s="9" t="s">
        <v>88</v>
      </c>
      <c r="Q4" s="9" t="s">
        <v>89</v>
      </c>
    </row>
    <row r="5" spans="1:17">
      <c r="A5" s="6" t="s">
        <v>90</v>
      </c>
      <c r="B5" s="16">
        <f>'输入数据'!$R$7</f>
        <v>4.608</v>
      </c>
      <c r="C5" s="16">
        <f>'输入数据'!$R$8</f>
        <v>2.8224</v>
      </c>
      <c r="D5" s="16">
        <f>'输入数据'!$R$9</f>
        <v>2.16</v>
      </c>
      <c r="E5" s="16">
        <f>'输入数据'!$R$10</f>
        <v>2.6712</v>
      </c>
      <c r="F5" s="16">
        <f>'输入数据'!$R$11</f>
        <v>3.384</v>
      </c>
      <c r="G5" s="16">
        <f>'输入数据'!$R$12</f>
        <v>4.4254</v>
      </c>
      <c r="H5" s="16">
        <f>'输入数据'!$R$13</f>
        <v>5.4382</v>
      </c>
      <c r="I5" s="16">
        <f>'输入数据'!$R$14</f>
        <v>5.7629</v>
      </c>
      <c r="J5" s="16">
        <f>'输入数据'!$R$15</f>
        <v>5.976</v>
      </c>
      <c r="K5" s="16">
        <f>'输入数据'!$R$16</f>
        <v>5.5174</v>
      </c>
      <c r="L5" s="16">
        <f>'输入数据'!$R$17</f>
        <v>6.3804</v>
      </c>
      <c r="M5" s="16">
        <f>'输入数据'!$R$18</f>
        <v>8.4111</v>
      </c>
      <c r="N5" s="16">
        <f>'输入数据'!$R$19</f>
        <v>12.3285</v>
      </c>
      <c r="O5" s="16">
        <f>'输入数据'!$R$20</f>
        <v>20.3202</v>
      </c>
      <c r="P5" s="16">
        <f>'输入数据'!$R$21</f>
        <v>32.6992</v>
      </c>
      <c r="Q5" s="16">
        <f>'输入数据'!$R$22</f>
        <v>42.0396</v>
      </c>
    </row>
    <row r="6" spans="1:17">
      <c r="A6" s="6" t="s">
        <v>91</v>
      </c>
      <c r="B6" s="16">
        <f>'输入数据'!$S$7</f>
        <v>0.0</v>
      </c>
      <c r="C6" s="16">
        <f>'输入数据'!$S$8</f>
        <v>0.0</v>
      </c>
      <c r="D6" s="16">
        <f>'输入数据'!$S$9</f>
        <v>0.0</v>
      </c>
      <c r="E6" s="16">
        <f>'输入数据'!$S$10</f>
        <v>0.0</v>
      </c>
      <c r="F6" s="16">
        <f>'输入数据'!$S$11</f>
        <v>0.0</v>
      </c>
      <c r="G6" s="16">
        <f>'输入数据'!$S$12</f>
        <v>0.8208</v>
      </c>
      <c r="H6" s="16">
        <f>'输入数据'!$S$13</f>
        <v>1.4352</v>
      </c>
      <c r="I6" s="16">
        <f>'输入数据'!$S$14</f>
        <v>2.4192</v>
      </c>
      <c r="J6" s="16">
        <f>'输入数据'!$S$15</f>
        <v>3.9168</v>
      </c>
      <c r="K6" s="16">
        <f>'输入数据'!$S$16</f>
        <v>5.76</v>
      </c>
      <c r="L6" s="16">
        <f>'输入数据'!$S$17</f>
        <v>8.1696</v>
      </c>
      <c r="M6" s="16">
        <f>'输入数据'!$S$18</f>
        <v>11.664</v>
      </c>
      <c r="N6" s="16">
        <f>'输入数据'!$S$19</f>
        <v>16.5627</v>
      </c>
      <c r="O6" s="16">
        <f>'输入数据'!$S$20</f>
        <v>23.8032</v>
      </c>
      <c r="P6" s="16">
        <f>'输入数据'!$S$21</f>
        <v>33.792</v>
      </c>
      <c r="Q6" s="16">
        <f>'输入数据'!$S$22</f>
        <v>42.624</v>
      </c>
    </row>
    <row r="7" spans="1:17">
      <c r="A7" s="17" t="s">
        <v>92</v>
      </c>
      <c r="B7" s="18">
        <f>SUM(B5:B6)</f>
        <v>4.608</v>
      </c>
      <c r="C7" s="18">
        <f>SUM(C5:C6)</f>
        <v>2.8224</v>
      </c>
      <c r="D7" s="18">
        <f>SUM(D5:D6)</f>
        <v>2.16</v>
      </c>
      <c r="E7" s="18">
        <f>SUM(E5:E6)</f>
        <v>2.6712</v>
      </c>
      <c r="F7" s="18">
        <f>SUM(F5:F6)</f>
        <v>3.384</v>
      </c>
      <c r="G7" s="18">
        <f>SUM(G5:G6)</f>
        <v>5.2462</v>
      </c>
      <c r="H7" s="18">
        <f>SUM(H5:H6)</f>
        <v>6.8734</v>
      </c>
      <c r="I7" s="18">
        <f>SUM(I5:I6)</f>
        <v>8.1821</v>
      </c>
      <c r="J7" s="18">
        <f>SUM(J5:J6)</f>
        <v>9.8928</v>
      </c>
      <c r="K7" s="18">
        <f>SUM(K5:K6)</f>
        <v>11.2774</v>
      </c>
      <c r="L7" s="18">
        <f>SUM(L5:L6)</f>
        <v>14.55</v>
      </c>
      <c r="M7" s="18">
        <f>SUM(M5:M6)</f>
        <v>20.0751</v>
      </c>
      <c r="N7" s="18">
        <f>SUM(N5:N6)</f>
        <v>28.891199999999998</v>
      </c>
      <c r="O7" s="18">
        <f>SUM(O5:O6)</f>
        <v>44.123400000000004</v>
      </c>
      <c r="P7" s="18">
        <f>SUM(P5:P6)</f>
        <v>66.49119999999999</v>
      </c>
      <c r="Q7" s="18">
        <f>SUM(Q5:Q6)</f>
        <v>84.6636</v>
      </c>
    </row>
    <row r="8" spans="1:17">
      <c r="A8" s="6" t="s">
        <v>93</v>
      </c>
      <c r="B8" s="16">
        <f>'输入数据'!$T$7-'输入数据'!$U$7</f>
        <v>4.2821</v>
      </c>
      <c r="C8" s="16">
        <f>'输入数据'!$T$8-'输入数据'!$U$8</f>
        <v>4.3894</v>
      </c>
      <c r="D8" s="16">
        <f>'输入数据'!$T$9-'输入数据'!$U$9</f>
        <v>4.0165</v>
      </c>
      <c r="E8" s="16">
        <f>'输入数据'!$T$10-'输入数据'!$U$10</f>
        <v>4.05</v>
      </c>
      <c r="F8" s="16">
        <f>'输入数据'!$T$11-'输入数据'!$U$11</f>
        <v>4.1859</v>
      </c>
      <c r="G8" s="16">
        <f>'输入数据'!$T$12-'输入数据'!$U$12</f>
        <v>4.5684</v>
      </c>
      <c r="H8" s="16">
        <f>'输入数据'!$T$13-'输入数据'!$U$13</f>
        <v>4.725</v>
      </c>
      <c r="I8" s="16">
        <f>'输入数据'!$T$14-'输入数据'!$U$14</f>
        <v>4.8</v>
      </c>
      <c r="J8" s="16">
        <f>'输入数据'!$T$15-'输入数据'!$U$15</f>
        <v>4.875</v>
      </c>
      <c r="K8" s="16">
        <f>'输入数据'!$T$16-'输入数据'!$U$16</f>
        <v>4.95</v>
      </c>
      <c r="L8" s="16">
        <f>'输入数据'!$T$17-'输入数据'!$U$17</f>
        <v>5.355</v>
      </c>
      <c r="M8" s="16">
        <f>'输入数据'!$T$18-'输入数据'!$U$18</f>
        <v>5.87</v>
      </c>
      <c r="N8" s="16">
        <f>'输入数据'!$T$19-'输入数据'!$U$19</f>
        <v>6.385</v>
      </c>
      <c r="O8" s="16">
        <f>'输入数据'!$T$20-'输入数据'!$U$20</f>
        <v>6.9</v>
      </c>
      <c r="P8" s="16">
        <f>'输入数据'!$T$21-'输入数据'!$U$21</f>
        <v>7.635</v>
      </c>
      <c r="Q8" s="16">
        <f>'输入数据'!$T$22-'输入数据'!$U$22</f>
        <v>8.37</v>
      </c>
    </row>
    <row r="9" spans="1:17">
      <c r="A9" s="6" t="s">
        <v>94</v>
      </c>
      <c r="B9" s="16">
        <f>'输入数据'!$U$7</f>
        <v>0.0</v>
      </c>
      <c r="C9" s="16">
        <f>'输入数据'!$U$8</f>
        <v>0.122</v>
      </c>
      <c r="D9" s="16">
        <f>'输入数据'!$U$9</f>
        <v>0.0</v>
      </c>
      <c r="E9" s="16">
        <f>'输入数据'!$U$10</f>
        <v>0.0</v>
      </c>
      <c r="F9" s="16">
        <f>'输入数据'!$U$11</f>
        <v>0.0207</v>
      </c>
      <c r="G9" s="16">
        <f>'输入数据'!$U$12</f>
        <v>0.0</v>
      </c>
      <c r="H9" s="16">
        <f>'输入数据'!$U$13</f>
        <v>0.0</v>
      </c>
      <c r="I9" s="16">
        <f>'输入数据'!$U$14</f>
        <v>0.0</v>
      </c>
      <c r="J9" s="16">
        <f>'输入数据'!$U$15</f>
        <v>0.0</v>
      </c>
      <c r="K9" s="16">
        <f>'输入数据'!$U$16</f>
        <v>0.0</v>
      </c>
      <c r="L9" s="16">
        <f>'输入数据'!$U$17</f>
        <v>0.0</v>
      </c>
      <c r="M9" s="16">
        <f>'输入数据'!$U$18</f>
        <v>0.0</v>
      </c>
      <c r="N9" s="16">
        <f>'输入数据'!$U$19</f>
        <v>0.0</v>
      </c>
      <c r="O9" s="16">
        <f>'输入数据'!$U$20</f>
        <v>0.0</v>
      </c>
      <c r="P9" s="16">
        <f>'输入数据'!$U$21</f>
        <v>0.0</v>
      </c>
      <c r="Q9" s="16">
        <f>'输入数据'!$U$22</f>
        <v>0.0</v>
      </c>
    </row>
    <row r="10" spans="1:17">
      <c r="A10" s="17" t="s">
        <v>95</v>
      </c>
      <c r="B10" s="18">
        <f>SUM(B8:B9)</f>
        <v>4.2821</v>
      </c>
      <c r="C10" s="18">
        <f>SUM(C8:C9)</f>
        <v>4.5114</v>
      </c>
      <c r="D10" s="18">
        <f>SUM(D8:D9)</f>
        <v>4.0165</v>
      </c>
      <c r="E10" s="18">
        <f>SUM(E8:E9)</f>
        <v>4.05</v>
      </c>
      <c r="F10" s="18">
        <f>SUM(F8:F9)</f>
        <v>4.2066</v>
      </c>
      <c r="G10" s="18">
        <f>SUM(G8:G9)</f>
        <v>4.5684</v>
      </c>
      <c r="H10" s="18">
        <f>SUM(H8:H9)</f>
        <v>4.725</v>
      </c>
      <c r="I10" s="18">
        <f>SUM(I8:I9)</f>
        <v>4.8</v>
      </c>
      <c r="J10" s="18">
        <f>SUM(J8:J9)</f>
        <v>4.875</v>
      </c>
      <c r="K10" s="18">
        <f>SUM(K8:K9)</f>
        <v>4.95</v>
      </c>
      <c r="L10" s="18">
        <f>SUM(L8:L9)</f>
        <v>5.355</v>
      </c>
      <c r="M10" s="18">
        <f>SUM(M8:M9)</f>
        <v>5.87</v>
      </c>
      <c r="N10" s="18">
        <f>SUM(N8:N9)</f>
        <v>6.385</v>
      </c>
      <c r="O10" s="18">
        <f>SUM(O8:O9)</f>
        <v>6.9</v>
      </c>
      <c r="P10" s="18">
        <f>SUM(P8:P9)</f>
        <v>7.635</v>
      </c>
      <c r="Q10" s="18">
        <f>SUM(Q8:Q9)</f>
        <v>8.37</v>
      </c>
    </row>
    <row r="11" spans="1:17">
      <c r="A11" s="17" t="s">
        <v>96</v>
      </c>
      <c r="B11" s="18">
        <f>B7-B10</f>
        <v>0.32589999999999986</v>
      </c>
      <c r="C11" s="18">
        <f>C7-C10</f>
        <v>-1.689</v>
      </c>
      <c r="D11" s="18">
        <f>D7-D10</f>
        <v>-1.8564999999999996</v>
      </c>
      <c r="E11" s="18">
        <f>E7-E10</f>
        <v>-1.3788</v>
      </c>
      <c r="F11" s="18">
        <f>F7-F10</f>
        <v>-0.8226</v>
      </c>
      <c r="G11" s="18">
        <f>G7-G10</f>
        <v>0.6778000000000004</v>
      </c>
      <c r="H11" s="18">
        <f>H7-H10</f>
        <v>2.1484000000000005</v>
      </c>
      <c r="I11" s="18">
        <f>I7-I10</f>
        <v>3.3821000000000003</v>
      </c>
      <c r="J11" s="18">
        <f>J7-J10</f>
        <v>5.017799999999999</v>
      </c>
      <c r="K11" s="18">
        <f>K7-K10</f>
        <v>6.3274</v>
      </c>
      <c r="L11" s="18">
        <f>L7-L10</f>
        <v>9.195</v>
      </c>
      <c r="M11" s="18">
        <f>M7-M10</f>
        <v>14.205099999999998</v>
      </c>
      <c r="N11" s="18">
        <f>N7-N10</f>
        <v>22.5062</v>
      </c>
      <c r="O11" s="18">
        <f>O7-O10</f>
        <v>37.223400000000005</v>
      </c>
      <c r="P11" s="18">
        <f>P7-P10</f>
        <v>58.856199999999994</v>
      </c>
      <c r="Q11" s="18">
        <f>Q7-Q10</f>
        <v>76.2936</v>
      </c>
    </row>
    <row r="12" spans="1:17">
      <c r="A12" s="6" t="s">
        <v>97</v>
      </c>
      <c r="B12" s="16">
        <f>'输入数据'!$V$7</f>
        <v>1.8</v>
      </c>
      <c r="C12" s="16">
        <f>'输入数据'!$V$8</f>
        <v>1.8</v>
      </c>
      <c r="D12" s="16">
        <f>'输入数据'!$V$9</f>
        <v>1.8</v>
      </c>
      <c r="E12" s="16">
        <f>'输入数据'!$V$10</f>
        <v>0.8</v>
      </c>
      <c r="F12" s="16">
        <f>'输入数据'!$V$11</f>
        <v>0.8</v>
      </c>
      <c r="G12" s="16">
        <f>'输入数据'!$V$12</f>
        <v>0.8</v>
      </c>
      <c r="H12" s="16">
        <f>'输入数据'!$V$13</f>
        <v>0.8</v>
      </c>
      <c r="I12" s="16">
        <f>'输入数据'!$V$14</f>
        <v>0.8</v>
      </c>
      <c r="J12" s="16">
        <f>'输入数据'!$V$15</f>
        <v>0.8</v>
      </c>
      <c r="K12" s="16">
        <f>'输入数据'!$V$16</f>
        <v>0.8</v>
      </c>
      <c r="L12" s="16">
        <f>'输入数据'!$V$17</f>
        <v>0.8</v>
      </c>
      <c r="M12" s="16">
        <f>'输入数据'!$V$18</f>
        <v>0.8</v>
      </c>
      <c r="N12" s="16">
        <f>'输入数据'!$V$19</f>
        <v>0.8</v>
      </c>
      <c r="O12" s="16">
        <f>'输入数据'!$V$20</f>
        <v>0.8</v>
      </c>
      <c r="P12" s="16">
        <f>'输入数据'!$V$21</f>
        <v>0.8</v>
      </c>
      <c r="Q12" s="16">
        <f>'输入数据'!$V$22</f>
        <v>0.8</v>
      </c>
    </row>
    <row r="13" spans="1:17">
      <c r="A13" s="6" t="s">
        <v>98</v>
      </c>
      <c r="B13" s="16">
        <f>'输入数据'!$W$7</f>
        <v>0.25</v>
      </c>
      <c r="C13" s="16">
        <f>'输入数据'!$W$8</f>
        <v>0.25</v>
      </c>
      <c r="D13" s="16">
        <f>'输入数据'!$W$9</f>
        <v>0.25</v>
      </c>
      <c r="E13" s="16">
        <f>'输入数据'!$W$10</f>
        <v>0.25</v>
      </c>
      <c r="F13" s="16">
        <f>'输入数据'!$W$11</f>
        <v>0.25</v>
      </c>
      <c r="G13" s="16">
        <f>'输入数据'!$W$12</f>
        <v>0.25</v>
      </c>
      <c r="H13" s="16">
        <f>'输入数据'!$W$13</f>
        <v>0.25</v>
      </c>
      <c r="I13" s="16">
        <f>'输入数据'!$W$14</f>
        <v>0.25</v>
      </c>
      <c r="J13" s="16">
        <f>'输入数据'!$W$15</f>
        <v>0.25</v>
      </c>
      <c r="K13" s="16">
        <f>'输入数据'!$W$16</f>
        <v>0.25</v>
      </c>
      <c r="L13" s="16">
        <f>'输入数据'!$W$17</f>
        <v>0.25</v>
      </c>
      <c r="M13" s="16">
        <f>'输入数据'!$W$18</f>
        <v>0.25</v>
      </c>
      <c r="N13" s="16">
        <f>'输入数据'!$W$19</f>
        <v>0.25</v>
      </c>
      <c r="O13" s="16">
        <f>'输入数据'!$W$20</f>
        <v>0.25</v>
      </c>
      <c r="P13" s="16">
        <f>'输入数据'!$W$21</f>
        <v>0.25</v>
      </c>
      <c r="Q13" s="16">
        <f>'输入数据'!$W$22</f>
        <v>0.25</v>
      </c>
    </row>
    <row r="14" spans="1:17">
      <c r="A14" s="17" t="s">
        <v>99</v>
      </c>
      <c r="B14" s="18">
        <f>B11-B12-B13</f>
        <v>-1.7241000000000002</v>
      </c>
      <c r="C14" s="18">
        <f>C11-C12-C13</f>
        <v>-3.739</v>
      </c>
      <c r="D14" s="18">
        <f>D11-D12-D13</f>
        <v>-3.9064999999999994</v>
      </c>
      <c r="E14" s="18">
        <f>E11-E12-E13</f>
        <v>-2.4288</v>
      </c>
      <c r="F14" s="18">
        <f>F11-F12-F13</f>
        <v>-1.8726</v>
      </c>
      <c r="G14" s="18">
        <f>G11-G12-G13</f>
        <v>-0.37219999999999964</v>
      </c>
      <c r="H14" s="18">
        <f>H11-H12-H13</f>
        <v>1.0984000000000005</v>
      </c>
      <c r="I14" s="18">
        <f>I11-I12-I13</f>
        <v>2.3321000000000005</v>
      </c>
      <c r="J14" s="18">
        <f>J11-J12-J13</f>
        <v>3.9677999999999995</v>
      </c>
      <c r="K14" s="18">
        <f>K11-K12-K13</f>
        <v>5.2774</v>
      </c>
      <c r="L14" s="18">
        <f>L11-L12-L13</f>
        <v>8.145</v>
      </c>
      <c r="M14" s="18">
        <f>M11-M12-M13</f>
        <v>13.155099999999997</v>
      </c>
      <c r="N14" s="18">
        <f>N11-N12-N13</f>
        <v>21.4562</v>
      </c>
      <c r="O14" s="18">
        <f>O11-O12-O13</f>
        <v>36.17340000000001</v>
      </c>
      <c r="P14" s="18">
        <f>P11-P12-P13</f>
        <v>57.8062</v>
      </c>
      <c r="Q14" s="18">
        <f>Q11-Q12-Q13</f>
        <v>75.2436</v>
      </c>
    </row>
    <row r="15" spans="1:17">
      <c r="A15" s="6" t="s">
        <v>100</v>
      </c>
      <c r="B15" s="16">
        <f>'输入数据'!$X$7</f>
        <v>0.01</v>
      </c>
      <c r="C15" s="16">
        <f>'输入数据'!$X$8</f>
        <v>0.0186</v>
      </c>
      <c r="D15" s="16">
        <f>'输入数据'!$X$9</f>
        <v>0.0398</v>
      </c>
      <c r="E15" s="16">
        <f>'输入数据'!$X$10</f>
        <v>0.0798</v>
      </c>
      <c r="F15" s="16">
        <f>'输入数据'!$X$11</f>
        <v>0.1099</v>
      </c>
      <c r="G15" s="16">
        <f>'输入数据'!$X$12</f>
        <v>0.1217</v>
      </c>
      <c r="H15" s="16">
        <f>'输入数据'!$X$13</f>
        <v>0.1199</v>
      </c>
      <c r="I15" s="16">
        <f>'输入数据'!$X$14</f>
        <v>0.1433</v>
      </c>
      <c r="J15" s="16">
        <f>'输入数据'!$X$15</f>
        <v>0.1674</v>
      </c>
      <c r="K15" s="16">
        <f>'输入数据'!$X$16</f>
        <v>0.1834</v>
      </c>
      <c r="L15" s="16">
        <f>'输入数据'!$X$17</f>
        <v>0.1796</v>
      </c>
      <c r="M15" s="16">
        <f>'输入数据'!$X$18</f>
        <v>0.1734</v>
      </c>
      <c r="N15" s="16">
        <f>'输入数据'!$X$19</f>
        <v>0.0955</v>
      </c>
      <c r="O15" s="16">
        <f>'输入数据'!$X$20</f>
        <v>-0.1239</v>
      </c>
      <c r="P15" s="16">
        <f>'输入数据'!$X$21</f>
        <v>-0.3879</v>
      </c>
      <c r="Q15" s="16">
        <f>'输入数据'!$X$22</f>
        <v>-0.8043</v>
      </c>
    </row>
    <row r="16" spans="1:17">
      <c r="A16" s="17" t="s">
        <v>101</v>
      </c>
      <c r="B16" s="18">
        <f>B14-B15</f>
        <v>-1.7341000000000002</v>
      </c>
      <c r="C16" s="18">
        <f>C14-C15</f>
        <v>-3.7576</v>
      </c>
      <c r="D16" s="18">
        <f>D14-D15</f>
        <v>-3.9462999999999995</v>
      </c>
      <c r="E16" s="18">
        <f>E14-E15</f>
        <v>-2.5086</v>
      </c>
      <c r="F16" s="18">
        <f>F14-F15</f>
        <v>-1.9825</v>
      </c>
      <c r="G16" s="18">
        <f>G14-G15</f>
        <v>-0.4938999999999997</v>
      </c>
      <c r="H16" s="18">
        <f>H14-H15</f>
        <v>0.9785000000000005</v>
      </c>
      <c r="I16" s="18">
        <f>I14-I15</f>
        <v>2.1888000000000005</v>
      </c>
      <c r="J16" s="18">
        <f>J14-J15</f>
        <v>3.8004</v>
      </c>
      <c r="K16" s="18">
        <f>K14-K15</f>
        <v>5.094</v>
      </c>
      <c r="L16" s="18">
        <f>L14-L15</f>
        <v>7.9654</v>
      </c>
      <c r="M16" s="18">
        <f>M14-M15</f>
        <v>12.981699999999996</v>
      </c>
      <c r="N16" s="18">
        <f>N14-N15</f>
        <v>21.360699999999998</v>
      </c>
      <c r="O16" s="18">
        <f>O14-O15</f>
        <v>36.29730000000001</v>
      </c>
      <c r="P16" s="18">
        <f>P14-P15</f>
        <v>58.1941</v>
      </c>
      <c r="Q16" s="18">
        <f>Q14-Q15</f>
        <v>76.0479</v>
      </c>
    </row>
    <row r="17" spans="1:17">
      <c r="A17" s="6" t="s">
        <v>102</v>
      </c>
      <c r="B17" s="16">
        <f>'输入数据'!$Y$7</f>
        <v>0.0</v>
      </c>
      <c r="C17" s="16">
        <f>'输入数据'!$Y$8</f>
        <v>0.0</v>
      </c>
      <c r="D17" s="16">
        <f>'输入数据'!$Y$9</f>
        <v>0.0</v>
      </c>
      <c r="E17" s="16">
        <f>'输入数据'!$Y$10</f>
        <v>0.0</v>
      </c>
      <c r="F17" s="16">
        <f>'输入数据'!$Y$11</f>
        <v>0.0</v>
      </c>
      <c r="G17" s="16">
        <f>'输入数据'!$Y$12</f>
        <v>0.0</v>
      </c>
      <c r="H17" s="16">
        <f>'输入数据'!$Y$13</f>
        <v>0.1468</v>
      </c>
      <c r="I17" s="16">
        <f>'输入数据'!$Y$14</f>
        <v>0.3283</v>
      </c>
      <c r="J17" s="16">
        <f>'输入数据'!$Y$15</f>
        <v>0.5701</v>
      </c>
      <c r="K17" s="16">
        <f>'输入数据'!$Y$16</f>
        <v>0.7641</v>
      </c>
      <c r="L17" s="16">
        <f>'输入数据'!$Y$17</f>
        <v>1.1948</v>
      </c>
      <c r="M17" s="16">
        <f>'输入数据'!$Y$18</f>
        <v>1.9473</v>
      </c>
      <c r="N17" s="16">
        <f>'输入数据'!$Y$19</f>
        <v>3.2041</v>
      </c>
      <c r="O17" s="16">
        <f>'输入数据'!$Y$20</f>
        <v>5.4446</v>
      </c>
      <c r="P17" s="16">
        <f>'输入数据'!$Y$21</f>
        <v>8.7291</v>
      </c>
      <c r="Q17" s="16">
        <f>'输入数据'!$Y$22</f>
        <v>11.4072</v>
      </c>
    </row>
    <row r="18" spans="1:17">
      <c r="A18" s="17" t="s">
        <v>103</v>
      </c>
      <c r="B18" s="18">
        <f>'输入数据'!$AP$7</f>
        <v>-1.7341</v>
      </c>
      <c r="C18" s="18">
        <f>'输入数据'!$AP$8</f>
        <v>-3.7576</v>
      </c>
      <c r="D18" s="18">
        <f>'输入数据'!$AP$9</f>
        <v>-3.9463</v>
      </c>
      <c r="E18" s="18">
        <f>'输入数据'!$AP$10</f>
        <v>-2.5086</v>
      </c>
      <c r="F18" s="18">
        <f>'输入数据'!$AP$11</f>
        <v>-1.9825</v>
      </c>
      <c r="G18" s="18">
        <f>'输入数据'!$AP$12</f>
        <v>-0.4939</v>
      </c>
      <c r="H18" s="18">
        <f>'输入数据'!$AP$13</f>
        <v>0.8317</v>
      </c>
      <c r="I18" s="18">
        <f>'输入数据'!$AP$14</f>
        <v>1.8605</v>
      </c>
      <c r="J18" s="18">
        <f>'输入数据'!$AP$15</f>
        <v>3.2304</v>
      </c>
      <c r="K18" s="18">
        <f>'输入数据'!$AP$16</f>
        <v>4.3298</v>
      </c>
      <c r="L18" s="18">
        <f>'输入数据'!$AP$17</f>
        <v>6.7706</v>
      </c>
      <c r="M18" s="18">
        <f>'输入数据'!$AP$18</f>
        <v>11.0345</v>
      </c>
      <c r="N18" s="18">
        <f>'输入数据'!$AP$19</f>
        <v>18.1566</v>
      </c>
      <c r="O18" s="18">
        <f>'输入数据'!$AP$20</f>
        <v>30.8527</v>
      </c>
      <c r="P18" s="18">
        <f>'输入数据'!$AP$21</f>
        <v>49.465</v>
      </c>
      <c r="Q18" s="18">
        <f>'输入数据'!$AP$22</f>
        <v>64.6407</v>
      </c>
    </row>
    <row r="19" spans="1:17">
      <c r="A19" s="6" t="s">
        <v>104</v>
      </c>
      <c r="B19" s="19">
        <f>IFERROR(B11/B7,0)</f>
        <v>0.07072482638888886</v>
      </c>
      <c r="C19" s="19">
        <f>IFERROR(C11/C7,0)</f>
        <v>-0.5984268707482994</v>
      </c>
      <c r="D19" s="19">
        <f>IFERROR(D11/D7,0)</f>
        <v>-0.8594907407407405</v>
      </c>
      <c r="E19" s="19">
        <f>IFERROR(E11/E7,0)</f>
        <v>-0.5161725067385445</v>
      </c>
      <c r="F19" s="19">
        <f>IFERROR(F11/F7,0)</f>
        <v>-0.24308510638297873</v>
      </c>
      <c r="G19" s="19">
        <f>IFERROR(G11/G7,0)</f>
        <v>0.12919827684800433</v>
      </c>
      <c r="H19" s="19">
        <f>IFERROR(H11/H7,0)</f>
        <v>0.3125672883871156</v>
      </c>
      <c r="I19" s="19">
        <f>IFERROR(I11/I7,0)</f>
        <v>0.41335354004473185</v>
      </c>
      <c r="J19" s="19">
        <f>IFERROR(J11/J7,0)</f>
        <v>0.5072173702086366</v>
      </c>
      <c r="K19" s="19">
        <f>IFERROR(K11/K7,0)</f>
        <v>0.5610690407363399</v>
      </c>
      <c r="L19" s="19">
        <f>IFERROR(L11/L7,0)</f>
        <v>0.6319587628865979</v>
      </c>
      <c r="M19" s="19">
        <f>IFERROR(M11/M7,0)</f>
        <v>0.7075979696240616</v>
      </c>
      <c r="N19" s="19">
        <f>IFERROR(N11/N7,0)</f>
        <v>0.7789984493548209</v>
      </c>
      <c r="O19" s="19">
        <f>IFERROR(O11/O7,0)</f>
        <v>0.8436203919008962</v>
      </c>
      <c r="P19" s="19">
        <f>IFERROR(P11/P7,0)</f>
        <v>0.885172774743124</v>
      </c>
      <c r="Q19" s="19">
        <f>IFERROR(Q11/Q7,0)</f>
        <v>0.901138151460604</v>
      </c>
    </row>
    <row r="20" spans="1:17">
      <c r="A20" s="6" t="s">
        <v>105</v>
      </c>
      <c r="B20" s="19">
        <f>IFERROR(B18/B7,0)</f>
        <v>-0.3763237847222222</v>
      </c>
      <c r="C20" s="19">
        <f>IFERROR(C18/C7,0)</f>
        <v>-1.3313492063492063</v>
      </c>
      <c r="D20" s="19">
        <f>IFERROR(D18/D7,0)</f>
        <v>-1.8269907407407406</v>
      </c>
      <c r="E20" s="19">
        <f>IFERROR(E18/E7,0)</f>
        <v>-0.9391284815813118</v>
      </c>
      <c r="F20" s="19">
        <f>IFERROR(F18/F7,0)</f>
        <v>-0.5858451536643026</v>
      </c>
      <c r="G20" s="19">
        <f>IFERROR(G18/G7,0)</f>
        <v>-0.09414433304105829</v>
      </c>
      <c r="H20" s="19">
        <f>IFERROR(H18/H7,0)</f>
        <v>0.12100270608432508</v>
      </c>
      <c r="I20" s="19">
        <f>IFERROR(I18/I7,0)</f>
        <v>0.22738661223891177</v>
      </c>
      <c r="J20" s="19">
        <f>IFERROR(J18/J7,0)</f>
        <v>0.3265405143134401</v>
      </c>
      <c r="K20" s="19">
        <f>IFERROR(K18/K7,0)</f>
        <v>0.38393601362016067</v>
      </c>
      <c r="L20" s="19">
        <f>IFERROR(L18/L7,0)</f>
        <v>0.4653333333333333</v>
      </c>
      <c r="M20" s="19">
        <f>IFERROR(M18/M7,0)</f>
        <v>0.5496610228591639</v>
      </c>
      <c r="N20" s="19">
        <f>IFERROR(N18/N7,0)</f>
        <v>0.6284474165143712</v>
      </c>
      <c r="O20" s="19">
        <f>IFERROR(O18/O7,0)</f>
        <v>0.6992366862027858</v>
      </c>
      <c r="P20" s="19">
        <f>IFERROR(P18/P7,0)</f>
        <v>0.7439330317395386</v>
      </c>
      <c r="Q20" s="19">
        <f>IFERROR(Q18/Q7,0)</f>
        <v>0.7635004889940895</v>
      </c>
    </row>
  </sheetData>
  <mergeCells count="2">
    <mergeCell ref="A1:Q1"/>
    <mergeCell ref="A2:Q2"/>
  </mergeCells>
  <conditionalFormatting sqref="B18:Q1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6FDB"/>
  </sheetPr>
  <dimension ref="A1:Q18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17" width="13.7109375" customWidth="1"/>
  </cols>
  <sheetData>
    <row r="1" spans="1:17" ht="34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9" t="s">
        <v>73</v>
      </c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  <c r="G4" s="9" t="s">
        <v>79</v>
      </c>
      <c r="H4" s="9" t="s">
        <v>80</v>
      </c>
      <c r="I4" s="9" t="s">
        <v>81</v>
      </c>
      <c r="J4" s="9" t="s">
        <v>82</v>
      </c>
      <c r="K4" s="9" t="s">
        <v>83</v>
      </c>
      <c r="L4" s="9" t="s">
        <v>84</v>
      </c>
      <c r="M4" s="9" t="s">
        <v>85</v>
      </c>
      <c r="N4" s="9" t="s">
        <v>86</v>
      </c>
      <c r="O4" s="9" t="s">
        <v>87</v>
      </c>
      <c r="P4" s="9" t="s">
        <v>88</v>
      </c>
      <c r="Q4" s="9" t="s">
        <v>89</v>
      </c>
    </row>
    <row r="5" spans="1:17">
      <c r="A5" s="6" t="s">
        <v>108</v>
      </c>
      <c r="B5" s="16">
        <f>'输入数据'!$AE$7</f>
        <v>8.923</v>
      </c>
      <c r="C5" s="16">
        <f>'输入数据'!$AE$8</f>
        <v>6.2768</v>
      </c>
      <c r="D5" s="16">
        <f>'输入数据'!$AE$9</f>
        <v>5.022</v>
      </c>
      <c r="E5" s="16">
        <f>'输入数据'!$AE$10</f>
        <v>5.0134</v>
      </c>
      <c r="F5" s="16">
        <f>'输入数据'!$AE$11</f>
        <v>3.5375</v>
      </c>
      <c r="G5" s="16">
        <f>'输入数据'!$AE$12</f>
        <v>3.762</v>
      </c>
      <c r="H5" s="16">
        <f>'输入数据'!$AE$13</f>
        <v>2.7187</v>
      </c>
      <c r="I5" s="16">
        <f>'输入数据'!$AE$14</f>
        <v>1.5792</v>
      </c>
      <c r="J5" s="16">
        <f>'输入数据'!$AE$15</f>
        <v>2.3846</v>
      </c>
      <c r="K5" s="16">
        <f>'输入数据'!$AE$16</f>
        <v>2.8644</v>
      </c>
      <c r="L5" s="16">
        <f>'输入数据'!$AE$17</f>
        <v>3.64</v>
      </c>
      <c r="M5" s="16">
        <f>'输入数据'!$AE$18</f>
        <v>3.9945</v>
      </c>
      <c r="N5" s="16">
        <f>'输入数据'!$AE$19</f>
        <v>15.486</v>
      </c>
      <c r="O5" s="16">
        <f>'输入数据'!$AE$20</f>
        <v>48.4887</v>
      </c>
      <c r="P5" s="16">
        <f>'输入数据'!$AE$21</f>
        <v>100.5387</v>
      </c>
      <c r="Q5" s="16">
        <f>'输入数据'!$AE$22</f>
        <v>168.1994</v>
      </c>
    </row>
    <row r="6" spans="1:17">
      <c r="A6" s="6" t="s">
        <v>109</v>
      </c>
      <c r="B6" s="16">
        <f>'输入数据'!$AF$7</f>
        <v>0.8029</v>
      </c>
      <c r="C6" s="16">
        <f>'输入数据'!$AF$8</f>
        <v>0.1915</v>
      </c>
      <c r="D6" s="16">
        <f>'输入数据'!$AF$9</f>
        <v>0.0</v>
      </c>
      <c r="E6" s="16">
        <f>'输入数据'!$AF$10</f>
        <v>0.0</v>
      </c>
      <c r="F6" s="16">
        <f>'输入数据'!$AF$11</f>
        <v>0.0684</v>
      </c>
      <c r="G6" s="16">
        <f>'输入数据'!$AF$12</f>
        <v>0.0</v>
      </c>
      <c r="H6" s="16">
        <f>'输入数据'!$AF$13</f>
        <v>0.0</v>
      </c>
      <c r="I6" s="16">
        <f>'输入数据'!$AF$14</f>
        <v>0.0</v>
      </c>
      <c r="J6" s="16">
        <f>'输入数据'!$AF$15</f>
        <v>0.0</v>
      </c>
      <c r="K6" s="16">
        <f>'输入数据'!$AF$16</f>
        <v>0.0</v>
      </c>
      <c r="L6" s="16">
        <f>'输入数据'!$AF$17</f>
        <v>0.0</v>
      </c>
      <c r="M6" s="16">
        <f>'输入数据'!$AF$18</f>
        <v>0.0</v>
      </c>
      <c r="N6" s="16">
        <f>'输入数据'!$AF$19</f>
        <v>0.0</v>
      </c>
      <c r="O6" s="16">
        <f>'输入数据'!$AF$20</f>
        <v>0.0</v>
      </c>
      <c r="P6" s="16">
        <f>'输入数据'!$AF$21</f>
        <v>0.0</v>
      </c>
      <c r="Q6" s="16">
        <f>'输入数据'!$AF$22</f>
        <v>0.0</v>
      </c>
    </row>
    <row r="7" spans="1:17">
      <c r="A7" s="6" t="s">
        <v>110</v>
      </c>
      <c r="B7" s="16">
        <f>'输入数据'!$AG$7</f>
        <v>29.5</v>
      </c>
      <c r="C7" s="16">
        <f>'输入数据'!$AG$8</f>
        <v>29.0</v>
      </c>
      <c r="D7" s="16">
        <f>'输入数据'!$AG$9</f>
        <v>28.5</v>
      </c>
      <c r="E7" s="16">
        <f>'输入数据'!$AG$10</f>
        <v>28.0</v>
      </c>
      <c r="F7" s="16">
        <f>'输入数据'!$AG$11</f>
        <v>27.425</v>
      </c>
      <c r="G7" s="16">
        <f>'输入数据'!$AG$12</f>
        <v>26.775</v>
      </c>
      <c r="H7" s="16">
        <f>'输入数据'!$AG$13</f>
        <v>29.65</v>
      </c>
      <c r="I7" s="16">
        <f>'输入数据'!$AG$14</f>
        <v>33.65</v>
      </c>
      <c r="J7" s="16">
        <f>'输入数据'!$AG$15</f>
        <v>37.575</v>
      </c>
      <c r="K7" s="16">
        <f>'输入数据'!$AG$16</f>
        <v>41.425</v>
      </c>
      <c r="L7" s="16">
        <f>'输入数据'!$AG$17</f>
        <v>47.42</v>
      </c>
      <c r="M7" s="16">
        <f>'输入数据'!$AG$18</f>
        <v>53.1</v>
      </c>
      <c r="N7" s="16">
        <f>'输入数据'!$AG$19</f>
        <v>51.265</v>
      </c>
      <c r="O7" s="16">
        <f>'输入数据'!$AG$20</f>
        <v>49.115</v>
      </c>
      <c r="P7" s="16">
        <f>'输入数据'!$AG$21</f>
        <v>46.53</v>
      </c>
      <c r="Q7" s="16">
        <f>'输入数据'!$AG$22</f>
        <v>43.51</v>
      </c>
    </row>
    <row r="8" spans="1:17">
      <c r="A8" s="17" t="s">
        <v>111</v>
      </c>
      <c r="B8" s="18">
        <f>SUM(B5:B7)</f>
        <v>39.225899999999996</v>
      </c>
      <c r="C8" s="18">
        <f>SUM(C5:C7)</f>
        <v>35.4683</v>
      </c>
      <c r="D8" s="18">
        <f>SUM(D5:D7)</f>
        <v>33.522</v>
      </c>
      <c r="E8" s="18">
        <f>SUM(E5:E7)</f>
        <v>33.0134</v>
      </c>
      <c r="F8" s="18">
        <f>SUM(F5:F7)</f>
        <v>31.030900000000003</v>
      </c>
      <c r="G8" s="18">
        <f>SUM(G5:G7)</f>
        <v>30.537</v>
      </c>
      <c r="H8" s="18">
        <f>SUM(H5:H7)</f>
        <v>32.3687</v>
      </c>
      <c r="I8" s="18">
        <f>SUM(I5:I7)</f>
        <v>35.2292</v>
      </c>
      <c r="J8" s="18">
        <f>SUM(J5:J7)</f>
        <v>39.9596</v>
      </c>
      <c r="K8" s="18">
        <f>SUM(K5:K7)</f>
        <v>44.2894</v>
      </c>
      <c r="L8" s="18">
        <f>SUM(L5:L7)</f>
        <v>51.06</v>
      </c>
      <c r="M8" s="18">
        <f>SUM(M5:M7)</f>
        <v>57.094500000000004</v>
      </c>
      <c r="N8" s="18">
        <f>SUM(N5:N7)</f>
        <v>66.751</v>
      </c>
      <c r="O8" s="18">
        <f>SUM(O5:O7)</f>
        <v>97.6037</v>
      </c>
      <c r="P8" s="18">
        <f>SUM(P5:P7)</f>
        <v>147.0687</v>
      </c>
      <c r="Q8" s="18">
        <f>SUM(Q5:Q7)</f>
        <v>211.7094</v>
      </c>
    </row>
    <row r="9" spans="1:17">
      <c r="A9" s="6" t="s">
        <v>112</v>
      </c>
      <c r="B9" s="16">
        <f>'输入数据'!$AH$7</f>
        <v>6.0</v>
      </c>
      <c r="C9" s="16">
        <f>'输入数据'!$AH$8</f>
        <v>6.0</v>
      </c>
      <c r="D9" s="16">
        <f>'输入数据'!$AH$9</f>
        <v>8.0</v>
      </c>
      <c r="E9" s="16">
        <f>'输入数据'!$AH$10</f>
        <v>10.0</v>
      </c>
      <c r="F9" s="16">
        <f>'输入数据'!$AH$11</f>
        <v>10.0</v>
      </c>
      <c r="G9" s="16">
        <f>'输入数据'!$AH$12</f>
        <v>10.0</v>
      </c>
      <c r="H9" s="16">
        <f>'输入数据'!$AH$13</f>
        <v>11.0</v>
      </c>
      <c r="I9" s="16">
        <f>'输入数据'!$AH$14</f>
        <v>12.0</v>
      </c>
      <c r="J9" s="16">
        <f>'输入数据'!$AH$15</f>
        <v>13.5</v>
      </c>
      <c r="K9" s="16">
        <f>'输入数据'!$AH$16</f>
        <v>13.5</v>
      </c>
      <c r="L9" s="16">
        <f>'输入数据'!$AH$17</f>
        <v>13.5</v>
      </c>
      <c r="M9" s="16">
        <f>'输入数据'!$AH$18</f>
        <v>8.5</v>
      </c>
      <c r="N9" s="16">
        <f>'输入数据'!$AH$19</f>
        <v>0.0</v>
      </c>
      <c r="O9" s="16">
        <f>'输入数据'!$AH$20</f>
        <v>0.0</v>
      </c>
      <c r="P9" s="16">
        <f>'输入数据'!$AH$21</f>
        <v>0.0</v>
      </c>
      <c r="Q9" s="16">
        <f>'输入数据'!$AH$22</f>
        <v>0.0</v>
      </c>
    </row>
    <row r="10" spans="1:17">
      <c r="A10" s="6" t="s">
        <v>113</v>
      </c>
      <c r="B10" s="16">
        <f>'输入数据'!$AI$7</f>
        <v>0.0</v>
      </c>
      <c r="C10" s="16">
        <f>'输入数据'!$AI$8</f>
        <v>0.0</v>
      </c>
      <c r="D10" s="16">
        <f>'输入数据'!$AI$9</f>
        <v>0.0</v>
      </c>
      <c r="E10" s="16">
        <f>'输入数据'!$AI$10</f>
        <v>0.0</v>
      </c>
      <c r="F10" s="16">
        <f>'输入数据'!$AI$11</f>
        <v>0.0</v>
      </c>
      <c r="G10" s="16">
        <f>'输入数据'!$AI$12</f>
        <v>0.0</v>
      </c>
      <c r="H10" s="16">
        <f>'输入数据'!$AI$13</f>
        <v>0.0</v>
      </c>
      <c r="I10" s="16">
        <f>'输入数据'!$AI$14</f>
        <v>0.0</v>
      </c>
      <c r="J10" s="16">
        <f>'输入数据'!$AI$15</f>
        <v>0.0</v>
      </c>
      <c r="K10" s="16">
        <f>'输入数据'!$AI$16</f>
        <v>0.0</v>
      </c>
      <c r="L10" s="16">
        <f>'输入数据'!$AI$17</f>
        <v>0.0</v>
      </c>
      <c r="M10" s="16">
        <f>'输入数据'!$AI$18</f>
        <v>0.0</v>
      </c>
      <c r="N10" s="16">
        <f>'输入数据'!$AI$19</f>
        <v>0.0</v>
      </c>
      <c r="O10" s="16">
        <f>'输入数据'!$AI$20</f>
        <v>0.0</v>
      </c>
      <c r="P10" s="16">
        <f>'输入数据'!$AI$21</f>
        <v>0.0</v>
      </c>
      <c r="Q10" s="16">
        <f>'输入数据'!$AI$22</f>
        <v>0.0</v>
      </c>
    </row>
    <row r="11" spans="1:17">
      <c r="A11" s="17" t="s">
        <v>114</v>
      </c>
      <c r="B11" s="18">
        <f>SUM(B9:B10)</f>
        <v>6.0</v>
      </c>
      <c r="C11" s="18">
        <f>SUM(C9:C10)</f>
        <v>6.0</v>
      </c>
      <c r="D11" s="18">
        <f>SUM(D9:D10)</f>
        <v>8.0</v>
      </c>
      <c r="E11" s="18">
        <f>SUM(E9:E10)</f>
        <v>10.0</v>
      </c>
      <c r="F11" s="18">
        <f>SUM(F9:F10)</f>
        <v>10.0</v>
      </c>
      <c r="G11" s="18">
        <f>SUM(G9:G10)</f>
        <v>10.0</v>
      </c>
      <c r="H11" s="18">
        <f>SUM(H9:H10)</f>
        <v>11.0</v>
      </c>
      <c r="I11" s="18">
        <f>SUM(I9:I10)</f>
        <v>12.0</v>
      </c>
      <c r="J11" s="18">
        <f>SUM(J9:J10)</f>
        <v>13.5</v>
      </c>
      <c r="K11" s="18">
        <f>SUM(K9:K10)</f>
        <v>13.5</v>
      </c>
      <c r="L11" s="18">
        <f>SUM(L9:L10)</f>
        <v>13.5</v>
      </c>
      <c r="M11" s="18">
        <f>SUM(M9:M10)</f>
        <v>8.5</v>
      </c>
      <c r="N11" s="18">
        <f>SUM(N9:N10)</f>
        <v>0.0</v>
      </c>
      <c r="O11" s="18">
        <f>SUM(O9:O10)</f>
        <v>0.0</v>
      </c>
      <c r="P11" s="18">
        <f>SUM(P9:P10)</f>
        <v>0.0</v>
      </c>
      <c r="Q11" s="18">
        <f>SUM(Q9:Q10)</f>
        <v>0.0</v>
      </c>
    </row>
    <row r="12" spans="1:17">
      <c r="A12" s="17" t="s">
        <v>115</v>
      </c>
      <c r="B12" s="18">
        <f>'输入数据'!$AK$7</f>
        <v>33.2259</v>
      </c>
      <c r="C12" s="18">
        <f>'输入数据'!$AK$8</f>
        <v>29.4683</v>
      </c>
      <c r="D12" s="18">
        <f>'输入数据'!$AK$9</f>
        <v>25.522</v>
      </c>
      <c r="E12" s="18">
        <f>'输入数据'!$AK$10</f>
        <v>23.0134</v>
      </c>
      <c r="F12" s="18">
        <f>'输入数据'!$AK$11</f>
        <v>21.0309</v>
      </c>
      <c r="G12" s="18">
        <f>'输入数据'!$AK$12</f>
        <v>20.537</v>
      </c>
      <c r="H12" s="18">
        <f>'输入数据'!$AK$13</f>
        <v>21.3687</v>
      </c>
      <c r="I12" s="18">
        <f>'输入数据'!$AK$14</f>
        <v>23.2292</v>
      </c>
      <c r="J12" s="18">
        <f>'输入数据'!$AK$15</f>
        <v>26.4596</v>
      </c>
      <c r="K12" s="18">
        <f>'输入数据'!$AK$16</f>
        <v>30.7894</v>
      </c>
      <c r="L12" s="18">
        <f>'输入数据'!$AK$17</f>
        <v>37.56</v>
      </c>
      <c r="M12" s="18">
        <f>'输入数据'!$AK$18</f>
        <v>48.5945</v>
      </c>
      <c r="N12" s="18">
        <f>'输入数据'!$AK$19</f>
        <v>66.751</v>
      </c>
      <c r="O12" s="18">
        <f>'输入数据'!$AK$20</f>
        <v>97.6037</v>
      </c>
      <c r="P12" s="18">
        <f>'输入数据'!$AK$21</f>
        <v>147.0687</v>
      </c>
      <c r="Q12" s="18">
        <f>'输入数据'!$AK$22</f>
        <v>211.7094</v>
      </c>
    </row>
    <row r="13" spans="1:17">
      <c r="A13" s="17" t="s">
        <v>116</v>
      </c>
      <c r="B13" s="18">
        <f>B11+B12</f>
        <v>39.2259</v>
      </c>
      <c r="C13" s="18">
        <f>C11+C12</f>
        <v>35.4683</v>
      </c>
      <c r="D13" s="18">
        <f>D11+D12</f>
        <v>33.522</v>
      </c>
      <c r="E13" s="18">
        <f>E11+E12</f>
        <v>33.013400000000004</v>
      </c>
      <c r="F13" s="18">
        <f>F11+F12</f>
        <v>31.0309</v>
      </c>
      <c r="G13" s="18">
        <f>G11+G12</f>
        <v>30.537</v>
      </c>
      <c r="H13" s="18">
        <f>H11+H12</f>
        <v>32.368700000000004</v>
      </c>
      <c r="I13" s="18">
        <f>I11+I12</f>
        <v>35.2292</v>
      </c>
      <c r="J13" s="18">
        <f>J11+J12</f>
        <v>39.959599999999995</v>
      </c>
      <c r="K13" s="18">
        <f>K11+K12</f>
        <v>44.2894</v>
      </c>
      <c r="L13" s="18">
        <f>L11+L12</f>
        <v>51.06</v>
      </c>
      <c r="M13" s="18">
        <f>M11+M12</f>
        <v>57.0945</v>
      </c>
      <c r="N13" s="18">
        <f>N11+N12</f>
        <v>66.751</v>
      </c>
      <c r="O13" s="18">
        <f>O11+O12</f>
        <v>97.6037</v>
      </c>
      <c r="P13" s="18">
        <f>P11+P12</f>
        <v>147.0687</v>
      </c>
      <c r="Q13" s="18">
        <f>Q11+Q12</f>
        <v>211.7094</v>
      </c>
    </row>
    <row r="14" spans="1:17">
      <c r="A14" s="6" t="s">
        <v>117</v>
      </c>
      <c r="B14" s="20">
        <f>B8-B13</f>
        <v>-7.105427357601002e-15</v>
      </c>
      <c r="C14" s="20">
        <f>C8-C13</f>
        <v>0.0</v>
      </c>
      <c r="D14" s="20">
        <f>D8-D13</f>
        <v>0.0</v>
      </c>
      <c r="E14" s="20">
        <f>E8-E13</f>
        <v>-7.105427357601002e-15</v>
      </c>
      <c r="F14" s="20">
        <f>F8-F13</f>
        <v>3.552713678800501e-15</v>
      </c>
      <c r="G14" s="20">
        <f>G8-G13</f>
        <v>0.0</v>
      </c>
      <c r="H14" s="20">
        <f>H8-H13</f>
        <v>-7.105427357601002e-15</v>
      </c>
      <c r="I14" s="20">
        <f>I8-I13</f>
        <v>0.0</v>
      </c>
      <c r="J14" s="20">
        <f>J8-J13</f>
        <v>7.105427357601002e-15</v>
      </c>
      <c r="K14" s="20">
        <f>K8-K13</f>
        <v>0.0</v>
      </c>
      <c r="L14" s="20">
        <f>L8-L13</f>
        <v>0.0</v>
      </c>
      <c r="M14" s="20">
        <f>M8-M13</f>
        <v>7.105427357601002e-15</v>
      </c>
      <c r="N14" s="20">
        <f>N8-N13</f>
        <v>0.0</v>
      </c>
      <c r="O14" s="20">
        <f>O8-O13</f>
        <v>0.0</v>
      </c>
      <c r="P14" s="20">
        <f>P8-P13</f>
        <v>0.0</v>
      </c>
      <c r="Q14" s="20">
        <f>Q8-Q13</f>
        <v>0.0</v>
      </c>
    </row>
    <row r="16" spans="1:17">
      <c r="A16" s="6" t="s">
        <v>118</v>
      </c>
      <c r="B16" s="21">
        <f>'输入数据'!$AJ$7</f>
        <v>45.0</v>
      </c>
      <c r="C16" s="21">
        <f>'输入数据'!$AJ$8</f>
        <v>15.0</v>
      </c>
      <c r="D16" s="21">
        <f>'输入数据'!$AJ$9</f>
        <v>0.0</v>
      </c>
      <c r="E16" s="21">
        <f>'输入数据'!$AJ$10</f>
        <v>0.0</v>
      </c>
      <c r="F16" s="21">
        <f>'输入数据'!$AJ$11</f>
        <v>5.0</v>
      </c>
      <c r="G16" s="21">
        <f>'输入数据'!$AJ$12</f>
        <v>0.0</v>
      </c>
      <c r="H16" s="21">
        <f>'输入数据'!$AJ$13</f>
        <v>0.0</v>
      </c>
      <c r="I16" s="21">
        <f>'输入数据'!$AJ$14</f>
        <v>0.0</v>
      </c>
      <c r="J16" s="21">
        <f>'输入数据'!$AJ$15</f>
        <v>0.0</v>
      </c>
      <c r="K16" s="21">
        <f>'输入数据'!$AJ$16</f>
        <v>0.0</v>
      </c>
      <c r="L16" s="21">
        <f>'输入数据'!$AJ$17</f>
        <v>0.0</v>
      </c>
      <c r="M16" s="21">
        <f>'输入数据'!$AJ$18</f>
        <v>0.0</v>
      </c>
      <c r="N16" s="21">
        <f>'输入数据'!$AJ$19</f>
        <v>0.0</v>
      </c>
      <c r="O16" s="21">
        <f>'输入数据'!$AJ$20</f>
        <v>0.0</v>
      </c>
      <c r="P16" s="21">
        <f>'输入数据'!$AJ$21</f>
        <v>0.0</v>
      </c>
      <c r="Q16" s="21">
        <f>'输入数据'!$AJ$22</f>
        <v>0.0</v>
      </c>
    </row>
    <row r="17" spans="1:17">
      <c r="A17" s="6" t="s">
        <v>119</v>
      </c>
      <c r="B17" s="21">
        <f>'输入数据'!$Q$7</f>
        <v>300.0</v>
      </c>
      <c r="C17" s="21">
        <f>'输入数据'!$Q$8</f>
        <v>300.0</v>
      </c>
      <c r="D17" s="21">
        <f>'输入数据'!$Q$9</f>
        <v>300.0</v>
      </c>
      <c r="E17" s="21">
        <f>'输入数据'!$Q$10</f>
        <v>300.0</v>
      </c>
      <c r="F17" s="21">
        <f>'输入数据'!$Q$11</f>
        <v>300.0</v>
      </c>
      <c r="G17" s="21">
        <f>'输入数据'!$Q$12</f>
        <v>300.0</v>
      </c>
      <c r="H17" s="21">
        <f>'输入数据'!$Q$13</f>
        <v>300.0</v>
      </c>
      <c r="I17" s="21">
        <f>'输入数据'!$Q$14</f>
        <v>300.0</v>
      </c>
      <c r="J17" s="21">
        <f>'输入数据'!$Q$15</f>
        <v>300.0</v>
      </c>
      <c r="K17" s="21">
        <f>'输入数据'!$Q$16</f>
        <v>300.0</v>
      </c>
      <c r="L17" s="21">
        <f>'输入数据'!$Q$17</f>
        <v>330.0</v>
      </c>
      <c r="M17" s="21">
        <f>'输入数据'!$Q$18</f>
        <v>370.0</v>
      </c>
      <c r="N17" s="21">
        <f>'输入数据'!$Q$19</f>
        <v>410.0</v>
      </c>
      <c r="O17" s="21">
        <f>'输入数据'!$Q$20</f>
        <v>450.0</v>
      </c>
      <c r="P17" s="21">
        <f>'输入数据'!$Q$21</f>
        <v>510.0</v>
      </c>
      <c r="Q17" s="21">
        <f>'输入数据'!$Q$22</f>
        <v>570.0</v>
      </c>
    </row>
    <row r="18" spans="1:17">
      <c r="A18" s="17" t="s">
        <v>120</v>
      </c>
      <c r="B18" s="18">
        <f>B11-B5</f>
        <v>-2.923</v>
      </c>
      <c r="C18" s="18">
        <f>C11-C5</f>
        <v>-0.2767999999999997</v>
      </c>
      <c r="D18" s="18">
        <f>D11-D5</f>
        <v>2.9779999999999998</v>
      </c>
      <c r="E18" s="18">
        <f>E11-E5</f>
        <v>4.9866</v>
      </c>
      <c r="F18" s="18">
        <f>F11-F5</f>
        <v>6.4625</v>
      </c>
      <c r="G18" s="18">
        <f>G11-G5</f>
        <v>6.2379999999999995</v>
      </c>
      <c r="H18" s="18">
        <f>H11-H5</f>
        <v>8.2813</v>
      </c>
      <c r="I18" s="18">
        <f>I11-I5</f>
        <v>10.4208</v>
      </c>
      <c r="J18" s="18">
        <f>J11-J5</f>
        <v>11.115400000000001</v>
      </c>
      <c r="K18" s="18">
        <f>K11-K5</f>
        <v>10.6356</v>
      </c>
      <c r="L18" s="18">
        <f>L11-L5</f>
        <v>9.86</v>
      </c>
      <c r="M18" s="18">
        <f>M11-M5</f>
        <v>4.5055</v>
      </c>
      <c r="N18" s="18">
        <f>N11-N5</f>
        <v>-15.486</v>
      </c>
      <c r="O18" s="18">
        <f>O11-O5</f>
        <v>-48.4887</v>
      </c>
      <c r="P18" s="18">
        <f>P11-P5</f>
        <v>-100.5387</v>
      </c>
      <c r="Q18" s="18">
        <f>Q11-Q5</f>
        <v>-168.1994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6FDB"/>
  </sheetPr>
  <dimension ref="A1:Q18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17" width="13.7109375" customWidth="1"/>
  </cols>
  <sheetData>
    <row r="1" spans="1:17" ht="34" customHeight="1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9" t="s">
        <v>73</v>
      </c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  <c r="G4" s="9" t="s">
        <v>79</v>
      </c>
      <c r="H4" s="9" t="s">
        <v>80</v>
      </c>
      <c r="I4" s="9" t="s">
        <v>81</v>
      </c>
      <c r="J4" s="9" t="s">
        <v>82</v>
      </c>
      <c r="K4" s="9" t="s">
        <v>83</v>
      </c>
      <c r="L4" s="9" t="s">
        <v>84</v>
      </c>
      <c r="M4" s="9" t="s">
        <v>85</v>
      </c>
      <c r="N4" s="9" t="s">
        <v>86</v>
      </c>
      <c r="O4" s="9" t="s">
        <v>87</v>
      </c>
      <c r="P4" s="9" t="s">
        <v>88</v>
      </c>
      <c r="Q4" s="9" t="s">
        <v>89</v>
      </c>
    </row>
    <row r="5" spans="1:17">
      <c r="A5" s="6" t="s">
        <v>103</v>
      </c>
      <c r="B5" s="16">
        <f>'利润表'!B18</f>
        <v>-1.7341</v>
      </c>
      <c r="C5" s="16">
        <f>'利润表'!C18</f>
        <v>-3.7576</v>
      </c>
      <c r="D5" s="16">
        <f>'利润表'!D18</f>
        <v>-3.9463</v>
      </c>
      <c r="E5" s="16">
        <f>'利润表'!E18</f>
        <v>-2.5086</v>
      </c>
      <c r="F5" s="16">
        <f>'利润表'!F18</f>
        <v>-1.9825</v>
      </c>
      <c r="G5" s="16">
        <f>'利润表'!G18</f>
        <v>-0.4939</v>
      </c>
      <c r="H5" s="16">
        <f>'利润表'!H18</f>
        <v>0.8317</v>
      </c>
      <c r="I5" s="16">
        <f>'利润表'!I18</f>
        <v>1.8605</v>
      </c>
      <c r="J5" s="16">
        <f>'利润表'!J18</f>
        <v>3.2304</v>
      </c>
      <c r="K5" s="16">
        <f>'利润表'!K18</f>
        <v>4.3298</v>
      </c>
      <c r="L5" s="16">
        <f>'利润表'!L18</f>
        <v>6.7706</v>
      </c>
      <c r="M5" s="16">
        <f>'利润表'!M18</f>
        <v>11.0345</v>
      </c>
      <c r="N5" s="16">
        <f>'利润表'!N18</f>
        <v>18.1566</v>
      </c>
      <c r="O5" s="16">
        <f>'利润表'!O18</f>
        <v>30.8527</v>
      </c>
      <c r="P5" s="16">
        <f>'利润表'!P18</f>
        <v>49.465</v>
      </c>
      <c r="Q5" s="16">
        <f>'利润表'!Q18</f>
        <v>64.6407</v>
      </c>
    </row>
    <row r="6" spans="1:17">
      <c r="A6" s="6" t="s">
        <v>123</v>
      </c>
      <c r="B6" s="16">
        <f>'输入数据'!$Z$7</f>
        <v>2.0</v>
      </c>
      <c r="C6" s="16">
        <f>'输入数据'!$Z$8</f>
        <v>2.0</v>
      </c>
      <c r="D6" s="16">
        <f>'输入数据'!$Z$9</f>
        <v>2.0</v>
      </c>
      <c r="E6" s="16">
        <f>'输入数据'!$Z$10</f>
        <v>2.0</v>
      </c>
      <c r="F6" s="16">
        <f>'输入数据'!$Z$11</f>
        <v>2.075</v>
      </c>
      <c r="G6" s="16">
        <f>'输入数据'!$Z$12</f>
        <v>2.15</v>
      </c>
      <c r="H6" s="16">
        <f>'输入数据'!$Z$13</f>
        <v>2.225</v>
      </c>
      <c r="I6" s="16">
        <f>'输入数据'!$Z$14</f>
        <v>2.3</v>
      </c>
      <c r="J6" s="16">
        <f>'输入数据'!$Z$15</f>
        <v>2.375</v>
      </c>
      <c r="K6" s="16">
        <f>'输入数据'!$Z$16</f>
        <v>2.45</v>
      </c>
      <c r="L6" s="16">
        <f>'输入数据'!$Z$17</f>
        <v>2.705</v>
      </c>
      <c r="M6" s="16">
        <f>'输入数据'!$Z$18</f>
        <v>3.02</v>
      </c>
      <c r="N6" s="16">
        <f>'输入数据'!$Z$19</f>
        <v>3.335</v>
      </c>
      <c r="O6" s="16">
        <f>'输入数据'!$Z$20</f>
        <v>3.65</v>
      </c>
      <c r="P6" s="16">
        <f>'输入数据'!$Z$21</f>
        <v>4.085</v>
      </c>
      <c r="Q6" s="16">
        <f>'输入数据'!$Z$22</f>
        <v>4.52</v>
      </c>
    </row>
    <row r="7" spans="1:17">
      <c r="A7" s="6" t="s">
        <v>124</v>
      </c>
      <c r="B7" s="16">
        <f>'输入数据'!$AA$7-B5-B6</f>
        <v>0.1570999999999998</v>
      </c>
      <c r="C7" s="16">
        <f>'输入数据'!$AA$8-C5-C6</f>
        <v>0.6113999999999997</v>
      </c>
      <c r="D7" s="16">
        <f>'输入数据'!$AA$9-D5-D6</f>
        <v>0.1915</v>
      </c>
      <c r="E7" s="16">
        <f>'输入数据'!$AA$10-E5-E6</f>
        <v>0.0</v>
      </c>
      <c r="F7" s="16">
        <f>'输入数据'!$AA$11-F5-F6</f>
        <v>-0.06840000000000046</v>
      </c>
      <c r="G7" s="16">
        <f>'输入数据'!$AA$12-G5-G6</f>
        <v>0.06840000000000002</v>
      </c>
      <c r="H7" s="16">
        <f>'输入数据'!$AA$13-H5-H6</f>
        <v>0.0</v>
      </c>
      <c r="I7" s="16">
        <f>'输入数据'!$AA$14-I5-I6</f>
        <v>0.0</v>
      </c>
      <c r="J7" s="16">
        <f>'输入数据'!$AA$15-J5-J6</f>
        <v>4.440892098500626e-16</v>
      </c>
      <c r="K7" s="16">
        <f>'输入数据'!$AA$16-K5-K6</f>
        <v>0.0</v>
      </c>
      <c r="L7" s="16">
        <f>'输入数据'!$AA$17-L5-L6</f>
        <v>0.0</v>
      </c>
      <c r="M7" s="16">
        <f>'输入数据'!$AA$18-M5-M6</f>
        <v>1.3322676295501878e-15</v>
      </c>
      <c r="N7" s="16">
        <f>'输入数据'!$AA$19-N5-N6</f>
        <v>-2.6645352591003757e-15</v>
      </c>
      <c r="O7" s="16">
        <f>'输入数据'!$AA$20-O5-O6</f>
        <v>-1.3322676295501878e-15</v>
      </c>
      <c r="P7" s="16">
        <f>'输入数据'!$AA$21-P5-P6</f>
        <v>-6.217248937900877e-15</v>
      </c>
      <c r="Q7" s="16">
        <f>'输入数据'!$AA$22-Q5-Q6</f>
        <v>1.0658141036401503e-14</v>
      </c>
    </row>
    <row r="8" spans="1:17">
      <c r="A8" s="17" t="s">
        <v>125</v>
      </c>
      <c r="B8" s="18">
        <f>SUM(B5:B7)</f>
        <v>0.423</v>
      </c>
      <c r="C8" s="18">
        <f>SUM(C5:C7)</f>
        <v>-1.1462</v>
      </c>
      <c r="D8" s="18">
        <f>SUM(D5:D7)</f>
        <v>-1.7548</v>
      </c>
      <c r="E8" s="18">
        <f>SUM(E5:E7)</f>
        <v>-0.5086</v>
      </c>
      <c r="F8" s="18">
        <f>SUM(F5:F7)</f>
        <v>0.0241</v>
      </c>
      <c r="G8" s="18">
        <f>SUM(G5:G7)</f>
        <v>1.7245</v>
      </c>
      <c r="H8" s="18">
        <f>SUM(H5:H7)</f>
        <v>3.0567</v>
      </c>
      <c r="I8" s="18">
        <f>SUM(I5:I7)</f>
        <v>4.1605</v>
      </c>
      <c r="J8" s="18">
        <f>SUM(J5:J7)</f>
        <v>5.6054</v>
      </c>
      <c r="K8" s="18">
        <f>SUM(K5:K7)</f>
        <v>6.7798</v>
      </c>
      <c r="L8" s="18">
        <f>SUM(L5:L7)</f>
        <v>9.4756</v>
      </c>
      <c r="M8" s="18">
        <f>SUM(M5:M7)</f>
        <v>14.0545</v>
      </c>
      <c r="N8" s="18">
        <f>SUM(N5:N7)</f>
        <v>21.4916</v>
      </c>
      <c r="O8" s="18">
        <f>SUM(O5:O7)</f>
        <v>34.5027</v>
      </c>
      <c r="P8" s="18">
        <f>SUM(P5:P7)</f>
        <v>53.55</v>
      </c>
      <c r="Q8" s="18">
        <f>SUM(Q5:Q7)</f>
        <v>69.1607</v>
      </c>
    </row>
    <row r="9" spans="1:17">
      <c r="A9" s="6" t="s">
        <v>126</v>
      </c>
      <c r="B9" s="16">
        <f>-'输入数据'!$H$7</f>
        <v>-1.5</v>
      </c>
      <c r="C9" s="16">
        <f>-'输入数据'!$H$8</f>
        <v>-1.5</v>
      </c>
      <c r="D9" s="16">
        <f>-'输入数据'!$H$9</f>
        <v>-1.5</v>
      </c>
      <c r="E9" s="16">
        <f>-'输入数据'!$H$10</f>
        <v>-1.5</v>
      </c>
      <c r="F9" s="16">
        <f>-'输入数据'!$H$11</f>
        <v>-1.5</v>
      </c>
      <c r="G9" s="16">
        <f>-'输入数据'!$H$12</f>
        <v>-1.5</v>
      </c>
      <c r="H9" s="16">
        <f>-'输入数据'!$H$13</f>
        <v>-5.1</v>
      </c>
      <c r="I9" s="16">
        <f>-'输入数据'!$H$14</f>
        <v>-6.3</v>
      </c>
      <c r="J9" s="16">
        <f>-'输入数据'!$H$15</f>
        <v>-6.3</v>
      </c>
      <c r="K9" s="16">
        <f>-'输入数据'!$H$16</f>
        <v>-6.3</v>
      </c>
      <c r="L9" s="16">
        <f>-'输入数据'!$H$17</f>
        <v>-8.7</v>
      </c>
      <c r="M9" s="16">
        <f>-'输入数据'!$H$18</f>
        <v>-8.7</v>
      </c>
      <c r="N9" s="16">
        <f>-'输入数据'!$H$19</f>
        <v>-1.5</v>
      </c>
      <c r="O9" s="16">
        <f>-'输入数据'!$H$20</f>
        <v>-1.5</v>
      </c>
      <c r="P9" s="16">
        <f>-'输入数据'!$H$21</f>
        <v>-1.5</v>
      </c>
      <c r="Q9" s="16">
        <f>-'输入数据'!$H$22</f>
        <v>-1.5</v>
      </c>
    </row>
    <row r="10" spans="1:17">
      <c r="A10" s="6" t="s">
        <v>127</v>
      </c>
      <c r="B10" s="16">
        <f>'输入数据'!$AB$7+'输入数据'!$H$7</f>
        <v>0.0</v>
      </c>
      <c r="C10" s="16">
        <f>'输入数据'!$AB$8+'输入数据'!$H$8</f>
        <v>0.0</v>
      </c>
      <c r="D10" s="16">
        <f>'输入数据'!$AB$9+'输入数据'!$H$9</f>
        <v>0.0</v>
      </c>
      <c r="E10" s="16">
        <f>'输入数据'!$AB$10+'输入数据'!$H$10</f>
        <v>0.0</v>
      </c>
      <c r="F10" s="16">
        <f>'输入数据'!$AB$11+'输入数据'!$H$11</f>
        <v>0.0</v>
      </c>
      <c r="G10" s="16">
        <f>'输入数据'!$AB$12+'输入数据'!$H$12</f>
        <v>0.0</v>
      </c>
      <c r="H10" s="16">
        <f>'输入数据'!$AB$13+'输入数据'!$H$13</f>
        <v>0.0</v>
      </c>
      <c r="I10" s="16">
        <f>'输入数据'!$AB$14+'输入数据'!$H$14</f>
        <v>0.0</v>
      </c>
      <c r="J10" s="16">
        <f>'输入数据'!$AB$15+'输入数据'!$H$15</f>
        <v>0.0</v>
      </c>
      <c r="K10" s="16">
        <f>'输入数据'!$AB$16+'输入数据'!$H$16</f>
        <v>0.0</v>
      </c>
      <c r="L10" s="16">
        <f>'输入数据'!$AB$17+'输入数据'!$H$17</f>
        <v>0.0</v>
      </c>
      <c r="M10" s="16">
        <f>'输入数据'!$AB$18+'输入数据'!$H$18</f>
        <v>0.0</v>
      </c>
      <c r="N10" s="16">
        <f>'输入数据'!$AB$19+'输入数据'!$H$19</f>
        <v>0.0</v>
      </c>
      <c r="O10" s="16">
        <f>'输入数据'!$AB$20+'输入数据'!$H$20</f>
        <v>0.0</v>
      </c>
      <c r="P10" s="16">
        <f>'输入数据'!$AB$21+'输入数据'!$H$21</f>
        <v>0.0</v>
      </c>
      <c r="Q10" s="16">
        <f>'输入数据'!$AB$22+'输入数据'!$H$22</f>
        <v>0.0</v>
      </c>
    </row>
    <row r="11" spans="1:17">
      <c r="A11" s="17" t="s">
        <v>128</v>
      </c>
      <c r="B11" s="18">
        <f>SUM(B9:B10)</f>
        <v>-1.5</v>
      </c>
      <c r="C11" s="18">
        <f>SUM(C9:C10)</f>
        <v>-1.5</v>
      </c>
      <c r="D11" s="18">
        <f>SUM(D9:D10)</f>
        <v>-1.5</v>
      </c>
      <c r="E11" s="18">
        <f>SUM(E9:E10)</f>
        <v>-1.5</v>
      </c>
      <c r="F11" s="18">
        <f>SUM(F9:F10)</f>
        <v>-1.5</v>
      </c>
      <c r="G11" s="18">
        <f>SUM(G9:G10)</f>
        <v>-1.5</v>
      </c>
      <c r="H11" s="18">
        <f>SUM(H9:H10)</f>
        <v>-5.1</v>
      </c>
      <c r="I11" s="18">
        <f>SUM(I9:I10)</f>
        <v>-6.3</v>
      </c>
      <c r="J11" s="18">
        <f>SUM(J9:J10)</f>
        <v>-6.3</v>
      </c>
      <c r="K11" s="18">
        <f>SUM(K9:K10)</f>
        <v>-6.3</v>
      </c>
      <c r="L11" s="18">
        <f>SUM(L9:L10)</f>
        <v>-8.7</v>
      </c>
      <c r="M11" s="18">
        <f>SUM(M9:M10)</f>
        <v>-8.7</v>
      </c>
      <c r="N11" s="18">
        <f>SUM(N9:N10)</f>
        <v>-1.5</v>
      </c>
      <c r="O11" s="18">
        <f>SUM(O9:O10)</f>
        <v>-1.5</v>
      </c>
      <c r="P11" s="18">
        <f>SUM(P9:P10)</f>
        <v>-1.5</v>
      </c>
      <c r="Q11" s="18">
        <f>SUM(Q9:Q10)</f>
        <v>-1.5</v>
      </c>
    </row>
    <row r="12" spans="1:17">
      <c r="A12" s="6" t="s">
        <v>129</v>
      </c>
      <c r="B12" s="16">
        <f>'输入数据'!$K$7</f>
        <v>0.0</v>
      </c>
      <c r="C12" s="16">
        <f>'输入数据'!$K$8</f>
        <v>0.0</v>
      </c>
      <c r="D12" s="16">
        <f>'输入数据'!$K$9</f>
        <v>2.0</v>
      </c>
      <c r="E12" s="16">
        <f>'输入数据'!$K$10</f>
        <v>2.0</v>
      </c>
      <c r="F12" s="16">
        <f>'输入数据'!$K$11</f>
        <v>0.0</v>
      </c>
      <c r="G12" s="16">
        <f>'输入数据'!$K$12</f>
        <v>0.0</v>
      </c>
      <c r="H12" s="16">
        <f>'输入数据'!$K$13</f>
        <v>1.0</v>
      </c>
      <c r="I12" s="16">
        <f>'输入数据'!$K$14</f>
        <v>1.0</v>
      </c>
      <c r="J12" s="16">
        <f>'输入数据'!$K$15</f>
        <v>1.5</v>
      </c>
      <c r="K12" s="16">
        <f>'输入数据'!$K$16</f>
        <v>0.0</v>
      </c>
      <c r="L12" s="16">
        <f>'输入数据'!$K$17</f>
        <v>0.0</v>
      </c>
      <c r="M12" s="16">
        <f>'输入数据'!$K$18</f>
        <v>-5.0</v>
      </c>
      <c r="N12" s="16">
        <f>'输入数据'!$K$19</f>
        <v>-8.5</v>
      </c>
      <c r="O12" s="16">
        <f>'输入数据'!$K$20</f>
        <v>0.0</v>
      </c>
      <c r="P12" s="16">
        <f>'输入数据'!$K$21</f>
        <v>0.0</v>
      </c>
      <c r="Q12" s="16">
        <f>'输入数据'!$K$22</f>
        <v>0.0</v>
      </c>
    </row>
    <row r="13" spans="1:17">
      <c r="A13" s="6" t="s">
        <v>130</v>
      </c>
      <c r="B13" s="16">
        <f>'输入数据'!$AD$7</f>
        <v>0.0</v>
      </c>
      <c r="C13" s="16">
        <f>'输入数据'!$AD$8</f>
        <v>0.0</v>
      </c>
      <c r="D13" s="16">
        <f>'输入数据'!$AD$9</f>
        <v>0.0</v>
      </c>
      <c r="E13" s="16">
        <f>'输入数据'!$AD$10</f>
        <v>0.0</v>
      </c>
      <c r="F13" s="16">
        <f>'输入数据'!$AD$11</f>
        <v>0.0</v>
      </c>
      <c r="G13" s="16">
        <f>'输入数据'!$AD$12</f>
        <v>0.0</v>
      </c>
      <c r="H13" s="16">
        <f>'输入数据'!$AD$13</f>
        <v>0.0</v>
      </c>
      <c r="I13" s="16">
        <f>'输入数据'!$AD$14</f>
        <v>0.0</v>
      </c>
      <c r="J13" s="16">
        <f>'输入数据'!$AD$15</f>
        <v>0.0</v>
      </c>
      <c r="K13" s="16">
        <f>'输入数据'!$AD$16</f>
        <v>0.0</v>
      </c>
      <c r="L13" s="16">
        <f>'输入数据'!$AD$17</f>
        <v>0.0</v>
      </c>
      <c r="M13" s="16">
        <f>'输入数据'!$AD$18</f>
        <v>0.0</v>
      </c>
      <c r="N13" s="16">
        <f>'输入数据'!$AD$19</f>
        <v>0.0</v>
      </c>
      <c r="O13" s="16">
        <f>'输入数据'!$AD$20</f>
        <v>0.0</v>
      </c>
      <c r="P13" s="16">
        <f>'输入数据'!$AD$21</f>
        <v>0.0</v>
      </c>
      <c r="Q13" s="16">
        <f>'输入数据'!$AD$22</f>
        <v>0.0</v>
      </c>
    </row>
    <row r="14" spans="1:17">
      <c r="A14" s="17" t="s">
        <v>131</v>
      </c>
      <c r="B14" s="18">
        <f>SUM(B12:B13)</f>
        <v>0.0</v>
      </c>
      <c r="C14" s="18">
        <f>SUM(C12:C13)</f>
        <v>0.0</v>
      </c>
      <c r="D14" s="18">
        <f>SUM(D12:D13)</f>
        <v>2.0</v>
      </c>
      <c r="E14" s="18">
        <f>SUM(E12:E13)</f>
        <v>2.0</v>
      </c>
      <c r="F14" s="18">
        <f>SUM(F12:F13)</f>
        <v>0.0</v>
      </c>
      <c r="G14" s="18">
        <f>SUM(G12:G13)</f>
        <v>0.0</v>
      </c>
      <c r="H14" s="18">
        <f>SUM(H12:H13)</f>
        <v>1.0</v>
      </c>
      <c r="I14" s="18">
        <f>SUM(I12:I13)</f>
        <v>1.0</v>
      </c>
      <c r="J14" s="18">
        <f>SUM(J12:J13)</f>
        <v>1.5</v>
      </c>
      <c r="K14" s="18">
        <f>SUM(K12:K13)</f>
        <v>0.0</v>
      </c>
      <c r="L14" s="18">
        <f>SUM(L12:L13)</f>
        <v>0.0</v>
      </c>
      <c r="M14" s="18">
        <f>SUM(M12:M13)</f>
        <v>-5.0</v>
      </c>
      <c r="N14" s="18">
        <f>SUM(N12:N13)</f>
        <v>-8.5</v>
      </c>
      <c r="O14" s="18">
        <f>SUM(O12:O13)</f>
        <v>0.0</v>
      </c>
      <c r="P14" s="18">
        <f>SUM(P12:P13)</f>
        <v>0.0</v>
      </c>
      <c r="Q14" s="18">
        <f>SUM(Q12:Q13)</f>
        <v>0.0</v>
      </c>
    </row>
    <row r="15" spans="1:17">
      <c r="A15" s="17" t="s">
        <v>132</v>
      </c>
      <c r="B15" s="18">
        <f>B8+B11+B14</f>
        <v>-1.077</v>
      </c>
      <c r="C15" s="18">
        <f>C8+C11+C14</f>
        <v>-2.6462000000000003</v>
      </c>
      <c r="D15" s="18">
        <f>D8+D11+D14</f>
        <v>-1.2548</v>
      </c>
      <c r="E15" s="18">
        <f>E8+E11+E14</f>
        <v>-0.008599999999999941</v>
      </c>
      <c r="F15" s="18">
        <f>F8+F11+F14</f>
        <v>-1.4759</v>
      </c>
      <c r="G15" s="18">
        <f>G8+G11+G14</f>
        <v>0.22449999999999992</v>
      </c>
      <c r="H15" s="18">
        <f>H8+H11+H14</f>
        <v>-1.0432999999999995</v>
      </c>
      <c r="I15" s="18">
        <f>I8+I11+I14</f>
        <v>-1.1395</v>
      </c>
      <c r="J15" s="18">
        <f>J8+J11+J14</f>
        <v>0.8054000000000006</v>
      </c>
      <c r="K15" s="18">
        <f>K8+K11+K14</f>
        <v>0.4798</v>
      </c>
      <c r="L15" s="18">
        <f>L8+L11+L14</f>
        <v>0.7756000000000007</v>
      </c>
      <c r="M15" s="18">
        <f>M8+M11+M14</f>
        <v>0.3545000000000016</v>
      </c>
      <c r="N15" s="18">
        <f>N8+N11+N14</f>
        <v>11.491599999999998</v>
      </c>
      <c r="O15" s="18">
        <f>O8+O11+O14</f>
        <v>33.0027</v>
      </c>
      <c r="P15" s="18">
        <f>P8+P11+P14</f>
        <v>52.05</v>
      </c>
      <c r="Q15" s="18">
        <f>Q8+Q11+Q14</f>
        <v>67.6607</v>
      </c>
    </row>
    <row r="16" spans="1:17">
      <c r="A16" s="6" t="s">
        <v>133</v>
      </c>
      <c r="B16" s="16">
        <f>'输入数据'!$AE$6</f>
        <v>10.0</v>
      </c>
      <c r="C16" s="16">
        <f>'输入数据'!$AE$7</f>
        <v>8.923</v>
      </c>
      <c r="D16" s="16">
        <f>'输入数据'!$AE$8</f>
        <v>6.2768</v>
      </c>
      <c r="E16" s="16">
        <f>'输入数据'!$AE$9</f>
        <v>5.022</v>
      </c>
      <c r="F16" s="16">
        <f>'输入数据'!$AE$10</f>
        <v>5.0134</v>
      </c>
      <c r="G16" s="16">
        <f>'输入数据'!$AE$11</f>
        <v>3.5375</v>
      </c>
      <c r="H16" s="16">
        <f>'输入数据'!$AE$12</f>
        <v>3.762</v>
      </c>
      <c r="I16" s="16">
        <f>'输入数据'!$AE$13</f>
        <v>2.7187</v>
      </c>
      <c r="J16" s="16">
        <f>'输入数据'!$AE$14</f>
        <v>1.5792</v>
      </c>
      <c r="K16" s="16">
        <f>'输入数据'!$AE$15</f>
        <v>2.3846</v>
      </c>
      <c r="L16" s="16">
        <f>'输入数据'!$AE$16</f>
        <v>2.8644</v>
      </c>
      <c r="M16" s="16">
        <f>'输入数据'!$AE$17</f>
        <v>3.64</v>
      </c>
      <c r="N16" s="16">
        <f>'输入数据'!$AE$18</f>
        <v>3.9945</v>
      </c>
      <c r="O16" s="16">
        <f>'输入数据'!$AE$19</f>
        <v>15.486</v>
      </c>
      <c r="P16" s="16">
        <f>'输入数据'!$AE$20</f>
        <v>48.4887</v>
      </c>
      <c r="Q16" s="16">
        <f>'输入数据'!$AE$21</f>
        <v>100.5387</v>
      </c>
    </row>
    <row r="17" spans="1:17">
      <c r="A17" s="17" t="s">
        <v>134</v>
      </c>
      <c r="B17" s="18">
        <f>B16+B15</f>
        <v>8.923</v>
      </c>
      <c r="C17" s="18">
        <f>C16+C15</f>
        <v>6.2768</v>
      </c>
      <c r="D17" s="18">
        <f>D16+D15</f>
        <v>5.022</v>
      </c>
      <c r="E17" s="18">
        <f>E16+E15</f>
        <v>5.013400000000001</v>
      </c>
      <c r="F17" s="18">
        <f>F16+F15</f>
        <v>3.5374999999999996</v>
      </c>
      <c r="G17" s="18">
        <f>G16+G15</f>
        <v>3.762</v>
      </c>
      <c r="H17" s="18">
        <f>H16+H15</f>
        <v>2.7187000000000006</v>
      </c>
      <c r="I17" s="18">
        <f>I16+I15</f>
        <v>1.5792000000000002</v>
      </c>
      <c r="J17" s="18">
        <f>J16+J15</f>
        <v>2.3846000000000007</v>
      </c>
      <c r="K17" s="18">
        <f>K16+K15</f>
        <v>2.8644</v>
      </c>
      <c r="L17" s="18">
        <f>L16+L15</f>
        <v>3.6400000000000006</v>
      </c>
      <c r="M17" s="18">
        <f>M16+M15</f>
        <v>3.9945000000000017</v>
      </c>
      <c r="N17" s="18">
        <f>N16+N15</f>
        <v>15.486099999999999</v>
      </c>
      <c r="O17" s="18">
        <f>O16+O15</f>
        <v>48.488699999999994</v>
      </c>
      <c r="P17" s="18">
        <f>P16+P15</f>
        <v>100.5387</v>
      </c>
      <c r="Q17" s="18">
        <f>Q16+Q15</f>
        <v>168.19940000000003</v>
      </c>
    </row>
    <row r="18" spans="1:17">
      <c r="A18" s="6" t="s">
        <v>135</v>
      </c>
      <c r="B18" s="20">
        <f>B17-'输入数据'!$AE$7</f>
        <v>0.0</v>
      </c>
      <c r="C18" s="20">
        <f>C17-'输入数据'!$AE$8</f>
        <v>0.0</v>
      </c>
      <c r="D18" s="20">
        <f>D17-'输入数据'!$AE$9</f>
        <v>0.0</v>
      </c>
      <c r="E18" s="20">
        <f>E17-'输入数据'!$AE$10</f>
        <v>8.881784197001252e-16</v>
      </c>
      <c r="F18" s="20">
        <f>F17-'输入数据'!$AE$11</f>
        <v>-4.440892098500626e-16</v>
      </c>
      <c r="G18" s="20">
        <f>G17-'输入数据'!$AE$12</f>
        <v>0.0</v>
      </c>
      <c r="H18" s="20">
        <f>H17-'输入数据'!$AE$13</f>
        <v>4.440892098500626e-16</v>
      </c>
      <c r="I18" s="20">
        <f>I17-'输入数据'!$AE$14</f>
        <v>2.220446049250313e-16</v>
      </c>
      <c r="J18" s="20">
        <f>J17-'输入数据'!$AE$15</f>
        <v>8.881784197001252e-16</v>
      </c>
      <c r="K18" s="20">
        <f>K17-'输入数据'!$AE$16</f>
        <v>0.0</v>
      </c>
      <c r="L18" s="20">
        <f>L17-'输入数据'!$AE$17</f>
        <v>4.440892098500626e-16</v>
      </c>
      <c r="M18" s="20">
        <f>M17-'输入数据'!$AE$18</f>
        <v>1.7763568394002505e-15</v>
      </c>
      <c r="N18" s="20">
        <f>N17-'输入数据'!$AE$19</f>
        <v>9.999999999799059e-05</v>
      </c>
      <c r="O18" s="20">
        <f>O17-'输入数据'!$AE$20</f>
        <v>-7.105427357601002e-15</v>
      </c>
      <c r="P18" s="20">
        <f>P17-'输入数据'!$AE$21</f>
        <v>0.0</v>
      </c>
      <c r="Q18" s="20">
        <f>Q17-'输入数据'!$AE$22</f>
        <v>2.842170943040401e-14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6FDB"/>
  </sheetPr>
  <dimension ref="A1:T40"/>
  <sheetViews>
    <sheetView showGridLines="0" zoomScale="90" zoomScaleNormal="90" workbookViewId="0">
      <pane xSplit="1" ySplit="24" topLeftCell="B25" activePane="bottomRight" state="frozen"/>
      <selection pane="topRight" activeCell="B1" sqref="B1"/>
      <selection pane="bottomLeft" activeCell="A25" sqref="A25"/>
      <selection pane="bottomRight"/>
    </sheetView>
  </sheetViews>
  <sheetFormatPr defaultRowHeight="15"/>
  <cols>
    <col min="1" max="1" width="12.7109375" customWidth="1"/>
    <col min="2" max="20" width="14.7109375" customWidth="1"/>
  </cols>
  <sheetData>
    <row r="1" spans="1:20" ht="34" customHeight="1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>
      <c r="A2" s="2" t="s">
        <v>137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>
      <c r="A4" s="4" t="s">
        <v>3</v>
      </c>
      <c r="B4" s="4"/>
      <c r="C4" s="4"/>
      <c r="D4" s="4" t="s">
        <v>4</v>
      </c>
      <c r="E4" s="4"/>
      <c r="F4" s="4"/>
      <c r="G4" s="4" t="s">
        <v>5</v>
      </c>
      <c r="H4" s="4"/>
      <c r="I4" s="4"/>
      <c r="J4" s="4" t="s">
        <v>138</v>
      </c>
      <c r="K4" s="4"/>
      <c r="L4" s="4"/>
      <c r="M4" s="4" t="s">
        <v>139</v>
      </c>
      <c r="N4" s="4"/>
      <c r="O4" s="4"/>
      <c r="P4" s="4" t="s">
        <v>140</v>
      </c>
      <c r="Q4" s="4"/>
      <c r="R4" s="4"/>
      <c r="S4" s="4" t="s">
        <v>141</v>
      </c>
      <c r="T4" s="4"/>
    </row>
    <row r="5" spans="1:20">
      <c r="A5" s="5">
        <f>'资产负债表'!Q12</f>
        <v>211.7094</v>
      </c>
      <c r="B5" s="5"/>
      <c r="C5" s="5"/>
      <c r="D5" s="5">
        <f>SUM('利润表'!B18:Q18)</f>
        <v>176.7495</v>
      </c>
      <c r="E5" s="5"/>
      <c r="F5" s="5"/>
      <c r="G5" s="5">
        <f>SUM('现金流量表'!B8:Q8)</f>
        <v>220.5995</v>
      </c>
      <c r="H5" s="5"/>
      <c r="I5" s="5"/>
      <c r="J5" s="5">
        <f>'资产负债表'!Q18</f>
        <v>-168.1994</v>
      </c>
      <c r="K5" s="5"/>
      <c r="L5" s="5"/>
      <c r="M5" s="5">
        <f>SUM('利润表'!B6:Q6)</f>
        <v>150.9675</v>
      </c>
      <c r="N5" s="5"/>
      <c r="O5" s="5"/>
      <c r="P5" s="5">
        <f>'资产负债表'!Q17</f>
        <v>570.0</v>
      </c>
      <c r="Q5" s="5"/>
      <c r="R5" s="5"/>
      <c r="S5" s="5" t="str">
        <f>IF(COUNTIF('输入数据'!AI7:AI22,"&gt;0")=0,"未断裂","检查")</f>
        <v>未断裂</v>
      </c>
      <c r="T5" s="5"/>
    </row>
    <row r="6" spans="1:2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8" spans="1:20">
      <c r="A8" s="3" t="s">
        <v>142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22" t="s">
        <v>143</v>
      </c>
      <c r="B9" s="23">
        <v>16</v>
      </c>
      <c r="D9" s="22" t="s">
        <v>144</v>
      </c>
      <c r="E9" s="24">
        <v>0</v>
      </c>
      <c r="G9" s="22" t="s">
        <v>145</v>
      </c>
      <c r="H9" s="24">
        <v>0</v>
      </c>
      <c r="J9" s="22" t="s">
        <v>146</v>
      </c>
      <c r="K9" s="24">
        <v>0</v>
      </c>
      <c r="M9" s="22" t="s">
        <v>147</v>
      </c>
      <c r="N9" s="24">
        <v>0.15</v>
      </c>
      <c r="P9" s="25" t="s">
        <v>148</v>
      </c>
      <c r="Q9" s="25"/>
      <c r="R9" s="25"/>
      <c r="S9" s="25"/>
      <c r="T9" s="25"/>
    </row>
    <row r="11" spans="1:20">
      <c r="A11" s="9" t="s">
        <v>73</v>
      </c>
      <c r="B11" s="9" t="s">
        <v>149</v>
      </c>
      <c r="C11" s="9" t="s">
        <v>150</v>
      </c>
      <c r="E11" s="8" t="s">
        <v>152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6" t="s">
        <v>90</v>
      </c>
      <c r="B12" s="16">
        <f>INDEX('利润表'!$B$5:$Q$5,1,$B$9)</f>
        <v>42.0396</v>
      </c>
      <c r="C12" s="16">
        <f>B12*(1+$E$9)</f>
        <v>42.0396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>
      <c r="A13" s="6" t="s">
        <v>91</v>
      </c>
      <c r="B13" s="16">
        <f>INDEX('利润表'!$B$6:$Q$6,1,$B$9)</f>
        <v>42.624</v>
      </c>
      <c r="C13" s="16">
        <f>B13*(1+$H$9)</f>
        <v>42.624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>
      <c r="A14" s="17" t="s">
        <v>92</v>
      </c>
      <c r="B14" s="16">
        <f>SUM(B12:B13)</f>
        <v>84.6636</v>
      </c>
      <c r="C14" s="16">
        <f>SUM(C12:C13)</f>
        <v>84.6636</v>
      </c>
    </row>
    <row r="15" spans="1:20">
      <c r="A15" s="6" t="s">
        <v>151</v>
      </c>
      <c r="B15" s="16">
        <f>INDEX('利润表'!$B$10:$Q$10,1,$B$9)</f>
        <v>8.37</v>
      </c>
      <c r="C15" s="16">
        <f>B15*(1+$K$9)</f>
        <v>8.37</v>
      </c>
      <c r="E15" s="8" t="s">
        <v>153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>
      <c r="A16" s="17" t="s">
        <v>96</v>
      </c>
      <c r="B16" s="16">
        <f>B14-B15</f>
        <v>76.2936</v>
      </c>
      <c r="C16" s="16">
        <f>C14-C15</f>
        <v>76.2936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>
      <c r="A17" s="6" t="s">
        <v>104</v>
      </c>
      <c r="B17" s="19">
        <f>IFERROR(B16/B14,0)</f>
        <v>0.901138151460604</v>
      </c>
      <c r="C17" s="19">
        <f>IFERROR(C16/C14,0)</f>
        <v>0.901138151460604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>
      <c r="A18" s="6" t="s">
        <v>101</v>
      </c>
      <c r="B18" s="16">
        <f>INDEX('利润表'!$B$16:$Q$16,1,$B$9)</f>
        <v>76.0479</v>
      </c>
      <c r="C18" s="16">
        <f>B18+(C14-B14)-(C15-B15)</f>
        <v>76.0479</v>
      </c>
    </row>
    <row r="19" spans="1:20">
      <c r="A19" s="6" t="s">
        <v>102</v>
      </c>
      <c r="B19" s="16">
        <f>INDEX('利润表'!$B$17:$Q$17,1,$B$9)</f>
        <v>11.4072</v>
      </c>
      <c r="C19" s="16">
        <f>MAX(0,C18*$N$9)</f>
        <v>11.4072</v>
      </c>
    </row>
    <row r="20" spans="1:20">
      <c r="A20" s="17" t="s">
        <v>103</v>
      </c>
      <c r="B20" s="16">
        <f>INDEX('利润表'!$B$18:$Q$18,1,$B$9)</f>
        <v>64.6407</v>
      </c>
      <c r="C20" s="16">
        <f>B20+(C18-B18)-(C19-B19)</f>
        <v>64.6407</v>
      </c>
    </row>
    <row r="21" spans="1:20">
      <c r="A21" s="6" t="s">
        <v>3</v>
      </c>
      <c r="B21" s="16">
        <f>INDEX('资产负债表'!$B$12:$Q$12,1,$B$9)</f>
        <v>211.7094</v>
      </c>
      <c r="C21" s="16">
        <f>B21+(C20-B20)</f>
        <v>211.7094</v>
      </c>
    </row>
    <row r="24" spans="1:20" ht="38" customHeight="1">
      <c r="A24" s="9" t="s">
        <v>28</v>
      </c>
      <c r="B24" s="9" t="s">
        <v>92</v>
      </c>
      <c r="C24" s="9" t="s">
        <v>103</v>
      </c>
      <c r="D24" s="9" t="s">
        <v>104</v>
      </c>
      <c r="E24" s="9" t="s">
        <v>154</v>
      </c>
      <c r="F24" s="9" t="s">
        <v>155</v>
      </c>
      <c r="G24" s="9" t="s">
        <v>156</v>
      </c>
      <c r="H24" s="9" t="s">
        <v>157</v>
      </c>
      <c r="I24" s="9" t="s">
        <v>115</v>
      </c>
      <c r="J24" s="9" t="s">
        <v>108</v>
      </c>
      <c r="K24" s="9" t="s">
        <v>158</v>
      </c>
      <c r="L24" s="9" t="s">
        <v>159</v>
      </c>
      <c r="M24" s="9" t="s">
        <v>33</v>
      </c>
      <c r="N24" s="9" t="s">
        <v>160</v>
      </c>
      <c r="O24" s="9" t="s">
        <v>161</v>
      </c>
      <c r="P24" s="9" t="s">
        <v>126</v>
      </c>
      <c r="Q24" s="9" t="s">
        <v>162</v>
      </c>
      <c r="R24" s="9" t="s">
        <v>163</v>
      </c>
      <c r="S24" s="9" t="s">
        <v>112</v>
      </c>
      <c r="T24" s="9" t="s">
        <v>113</v>
      </c>
    </row>
    <row r="25" spans="1:20">
      <c r="A25" s="26">
        <v>1</v>
      </c>
      <c r="B25" s="16">
        <f>'利润表'!B7</f>
        <v>4.608</v>
      </c>
      <c r="C25" s="16">
        <f>'利润表'!B18</f>
        <v>-1.7341</v>
      </c>
      <c r="D25" s="19">
        <f>IFERROR('利润表'!B11/'利润表'!B7,0)</f>
        <v>0.07072482638888886</v>
      </c>
      <c r="E25" s="16">
        <f>IFERROR(AVERAGE('输入数据'!$AF$6,'输入数据'!$AF$7)/'利润表'!B8*90,0)</f>
        <v>18.52607365544943</v>
      </c>
      <c r="F25" s="16">
        <f>'现金流量表'!B8</f>
        <v>0.423</v>
      </c>
      <c r="G25" s="16">
        <f>'资产负债表'!B18</f>
        <v>-2.923</v>
      </c>
      <c r="H25" s="19">
        <f>IFERROR('利润表'!B18*4/AVERAGE('输入数据'!$AK$6,'输入数据'!$AK$7),0)</f>
        <v>-0.20345555312755276</v>
      </c>
      <c r="I25" s="16">
        <f>'资产负债表'!B12</f>
        <v>33.2259</v>
      </c>
      <c r="J25" s="16">
        <f>'资产负债表'!B5</f>
        <v>8.923</v>
      </c>
      <c r="K25" s="21">
        <f>'资产负债表'!B17</f>
        <v>300.0</v>
      </c>
      <c r="L25" s="21">
        <f>'资产负债表'!B16</f>
        <v>45.0</v>
      </c>
      <c r="M25" s="19">
        <f>'输入数据'!$F$7</f>
        <v>0.75</v>
      </c>
      <c r="N25" s="21">
        <f>'输入数据'!$M$7</f>
        <v>0.0</v>
      </c>
      <c r="O25" s="19">
        <f>IFERROR('利润表'!B6/'利润表'!B7,0)</f>
        <v>0.0</v>
      </c>
      <c r="P25" s="16">
        <f>'输入数据'!$H$7</f>
        <v>1.5</v>
      </c>
      <c r="Q25" s="16">
        <f>'输入数据'!$B$7</f>
        <v>0.8</v>
      </c>
      <c r="R25" s="16">
        <f>'输入数据'!$C$7</f>
        <v>1.6</v>
      </c>
      <c r="S25" s="16">
        <f>'输入数据'!$AH$7</f>
        <v>6.0</v>
      </c>
      <c r="T25" s="16">
        <f>'输入数据'!$AI$7</f>
        <v>0.0</v>
      </c>
    </row>
    <row r="26" spans="1:20">
      <c r="A26" s="26">
        <v>2</v>
      </c>
      <c r="B26" s="16">
        <f>'利润表'!C7</f>
        <v>2.8224</v>
      </c>
      <c r="C26" s="16">
        <f>'利润表'!C18</f>
        <v>-3.7576</v>
      </c>
      <c r="D26" s="19">
        <f>IFERROR('利润表'!C11/'利润表'!C7,0)</f>
        <v>-0.5984268707482994</v>
      </c>
      <c r="E26" s="16">
        <f>IFERROR(AVERAGE('输入数据'!$AF$7,'输入数据'!$AF$8)/'利润表'!C8*90,0)</f>
        <v>10.194559620904906</v>
      </c>
      <c r="F26" s="16">
        <f>'现金流量表'!C8</f>
        <v>-1.1462</v>
      </c>
      <c r="G26" s="16">
        <f>'资产负债表'!C18</f>
        <v>-0.2767999999999997</v>
      </c>
      <c r="H26" s="19">
        <f>IFERROR('利润表'!C18*4/AVERAGE('输入数据'!$AK$7,'输入数据'!$AK$8),0)</f>
        <v>-0.47948295057597035</v>
      </c>
      <c r="I26" s="16">
        <f>'资产负债表'!C12</f>
        <v>29.4683</v>
      </c>
      <c r="J26" s="16">
        <f>'资产负债表'!C5</f>
        <v>6.2768</v>
      </c>
      <c r="K26" s="21">
        <f>'资产负债表'!C17</f>
        <v>300.0</v>
      </c>
      <c r="L26" s="21">
        <f>'资产负债表'!C16</f>
        <v>15.0</v>
      </c>
      <c r="M26" s="19">
        <f>'输入数据'!$F$8</f>
        <v>0.6</v>
      </c>
      <c r="N26" s="21">
        <f>'输入数据'!$M$8</f>
        <v>0.0</v>
      </c>
      <c r="O26" s="19">
        <f>IFERROR('利润表'!C6/'利润表'!C7,0)</f>
        <v>0.0</v>
      </c>
      <c r="P26" s="16">
        <f>'输入数据'!$H$8</f>
        <v>1.5</v>
      </c>
      <c r="Q26" s="16">
        <f>'输入数据'!$B$8</f>
        <v>0.56</v>
      </c>
      <c r="R26" s="16">
        <f>'输入数据'!$C$8</f>
        <v>1.4</v>
      </c>
      <c r="S26" s="16">
        <f>'输入数据'!$AH$8</f>
        <v>6.0</v>
      </c>
      <c r="T26" s="16">
        <f>'输入数据'!$AI$8</f>
        <v>0.0</v>
      </c>
    </row>
    <row r="27" spans="1:20">
      <c r="A27" s="26">
        <v>3</v>
      </c>
      <c r="B27" s="16">
        <f>'利润表'!D7</f>
        <v>2.16</v>
      </c>
      <c r="C27" s="16">
        <f>'利润表'!D18</f>
        <v>-3.9463</v>
      </c>
      <c r="D27" s="19">
        <f>IFERROR('利润表'!D11/'利润表'!D7,0)</f>
        <v>-0.8594907407407405</v>
      </c>
      <c r="E27" s="16">
        <f>IFERROR(AVERAGE('输入数据'!$AF$8,'输入数据'!$AF$9)/'利润表'!D8*90,0)</f>
        <v>2.1455247105689037</v>
      </c>
      <c r="F27" s="16">
        <f>'现金流量表'!D8</f>
        <v>-1.7548</v>
      </c>
      <c r="G27" s="16">
        <f>'资产负债表'!D18</f>
        <v>2.9779999999999998</v>
      </c>
      <c r="H27" s="19">
        <f>IFERROR('利润表'!D18*4/AVERAGE('输入数据'!$AK$8,'输入数据'!$AK$9),0)</f>
        <v>-0.5741085245943376</v>
      </c>
      <c r="I27" s="16">
        <f>'资产负债表'!D12</f>
        <v>25.522</v>
      </c>
      <c r="J27" s="16">
        <f>'资产负债表'!D5</f>
        <v>5.022</v>
      </c>
      <c r="K27" s="21">
        <f>'资产负债表'!D17</f>
        <v>300.0</v>
      </c>
      <c r="L27" s="21">
        <f>'资产负债表'!D16</f>
        <v>0.0</v>
      </c>
      <c r="M27" s="19">
        <f>'输入数据'!$F$9</f>
        <v>0.55</v>
      </c>
      <c r="N27" s="21">
        <f>'输入数据'!$M$9</f>
        <v>0.0</v>
      </c>
      <c r="O27" s="19">
        <f>IFERROR('利润表'!D6/'利润表'!D7,0)</f>
        <v>0.0</v>
      </c>
      <c r="P27" s="16">
        <f>'输入数据'!$H$9</f>
        <v>1.5</v>
      </c>
      <c r="Q27" s="16">
        <f>'输入数据'!$B$9</f>
        <v>0.5</v>
      </c>
      <c r="R27" s="16">
        <f>'输入数据'!$C$9</f>
        <v>1.3</v>
      </c>
      <c r="S27" s="16">
        <f>'输入数据'!$AH$9</f>
        <v>8.0</v>
      </c>
      <c r="T27" s="16">
        <f>'输入数据'!$AI$9</f>
        <v>0.0</v>
      </c>
    </row>
    <row r="28" spans="1:20">
      <c r="A28" s="26">
        <v>4</v>
      </c>
      <c r="B28" s="16">
        <f>'利润表'!E7</f>
        <v>2.6712</v>
      </c>
      <c r="C28" s="16">
        <f>'利润表'!E18</f>
        <v>-2.5086</v>
      </c>
      <c r="D28" s="19">
        <f>IFERROR('利润表'!E11/'利润表'!E7,0)</f>
        <v>-0.5161725067385445</v>
      </c>
      <c r="E28" s="16">
        <f>IFERROR(AVERAGE('输入数据'!$AF$9,'输入数据'!$AF$10)/'利润表'!E8*90,0)</f>
        <v>0.0</v>
      </c>
      <c r="F28" s="16">
        <f>'现金流量表'!E8</f>
        <v>-0.5086</v>
      </c>
      <c r="G28" s="16">
        <f>'资产负债表'!E18</f>
        <v>4.9866</v>
      </c>
      <c r="H28" s="19">
        <f>IFERROR('利润表'!E18*4/AVERAGE('输入数据'!$AK$9,'输入数据'!$AK$10),0)</f>
        <v>-0.4134878871916169</v>
      </c>
      <c r="I28" s="16">
        <f>'资产负债表'!E12</f>
        <v>23.0134</v>
      </c>
      <c r="J28" s="16">
        <f>'资产负债表'!E5</f>
        <v>5.0134</v>
      </c>
      <c r="K28" s="21">
        <f>'资产负债表'!E17</f>
        <v>300.0</v>
      </c>
      <c r="L28" s="21">
        <f>'资产负债表'!E16</f>
        <v>0.0</v>
      </c>
      <c r="M28" s="19">
        <f>'输入数据'!$F$10</f>
        <v>0.7</v>
      </c>
      <c r="N28" s="21">
        <f>'输入数据'!$M$10</f>
        <v>0.0</v>
      </c>
      <c r="O28" s="19">
        <f>IFERROR('利润表'!E6/'利润表'!E7,0)</f>
        <v>0.0</v>
      </c>
      <c r="P28" s="16">
        <f>'输入数据'!$H$10</f>
        <v>1.5</v>
      </c>
      <c r="Q28" s="16">
        <f>'输入数据'!$B$10</f>
        <v>0.53</v>
      </c>
      <c r="R28" s="16">
        <f>'输入数据'!$C$10</f>
        <v>1.4</v>
      </c>
      <c r="S28" s="16">
        <f>'输入数据'!$AH$10</f>
        <v>10.0</v>
      </c>
      <c r="T28" s="16">
        <f>'输入数据'!$AI$10</f>
        <v>0.0</v>
      </c>
    </row>
    <row r="29" spans="1:20">
      <c r="A29" s="26">
        <v>5</v>
      </c>
      <c r="B29" s="16">
        <f>'利润表'!F7</f>
        <v>3.384</v>
      </c>
      <c r="C29" s="16">
        <f>'利润表'!F18</f>
        <v>-1.9825</v>
      </c>
      <c r="D29" s="19">
        <f>IFERROR('利润表'!F11/'利润表'!F7,0)</f>
        <v>-0.24308510638297873</v>
      </c>
      <c r="E29" s="16">
        <f>IFERROR(AVERAGE('输入数据'!$AF$10,'输入数据'!$AF$11)/'利润表'!F8*90,0)</f>
        <v>0.7353257364007739</v>
      </c>
      <c r="F29" s="16">
        <f>'现金流量表'!F8</f>
        <v>0.0241</v>
      </c>
      <c r="G29" s="16">
        <f>'资产负债表'!F18</f>
        <v>6.4625</v>
      </c>
      <c r="H29" s="19">
        <f>IFERROR('利润表'!F18*4/AVERAGE('输入数据'!$AK$10,'输入数据'!$AK$11),0)</f>
        <v>-0.3600919982835463</v>
      </c>
      <c r="I29" s="16">
        <f>'资产负债表'!F12</f>
        <v>21.0309</v>
      </c>
      <c r="J29" s="16">
        <f>'资产负债表'!F5</f>
        <v>3.5375</v>
      </c>
      <c r="K29" s="21">
        <f>'资产负债表'!F17</f>
        <v>300.0</v>
      </c>
      <c r="L29" s="21">
        <f>'资产负债表'!F16</f>
        <v>5.0</v>
      </c>
      <c r="M29" s="19">
        <f>'输入数据'!$F$11</f>
        <v>0.8</v>
      </c>
      <c r="N29" s="21">
        <f>'输入数据'!$M$11</f>
        <v>0.0</v>
      </c>
      <c r="O29" s="19">
        <f>IFERROR('利润表'!F6/'利润表'!F7,0)</f>
        <v>0.0</v>
      </c>
      <c r="P29" s="16">
        <f>'输入数据'!$H$11</f>
        <v>1.5</v>
      </c>
      <c r="Q29" s="16">
        <f>'输入数据'!$B$11</f>
        <v>0.6</v>
      </c>
      <c r="R29" s="16">
        <f>'输入数据'!$C$11</f>
        <v>1.6</v>
      </c>
      <c r="S29" s="16">
        <f>'输入数据'!$AH$11</f>
        <v>10.0</v>
      </c>
      <c r="T29" s="16">
        <f>'输入数据'!$AI$11</f>
        <v>0.0</v>
      </c>
    </row>
    <row r="30" spans="1:20">
      <c r="A30" s="26">
        <v>6</v>
      </c>
      <c r="B30" s="16">
        <f>'利润表'!G7</f>
        <v>5.2462</v>
      </c>
      <c r="C30" s="16">
        <f>'利润表'!G18</f>
        <v>-0.4939</v>
      </c>
      <c r="D30" s="19">
        <f>IFERROR('利润表'!G11/'利润表'!G7,0)</f>
        <v>0.12919827684800433</v>
      </c>
      <c r="E30" s="16">
        <f>IFERROR(AVERAGE('输入数据'!$AF$11,'输入数据'!$AF$12)/'利润表'!G8*90,0)</f>
        <v>0.673758865248227</v>
      </c>
      <c r="F30" s="16">
        <f>'现金流量表'!G8</f>
        <v>1.7245</v>
      </c>
      <c r="G30" s="16">
        <f>'资产负债表'!G18</f>
        <v>6.2379999999999995</v>
      </c>
      <c r="H30" s="19">
        <f>IFERROR('利润表'!G18*4/AVERAGE('输入数据'!$AK$11,'输入数据'!$AK$12),0)</f>
        <v>-0.09505411627722354</v>
      </c>
      <c r="I30" s="16">
        <f>'资产负债表'!G12</f>
        <v>20.537</v>
      </c>
      <c r="J30" s="16">
        <f>'资产负债表'!G5</f>
        <v>3.762</v>
      </c>
      <c r="K30" s="21">
        <f>'资产负债表'!G17</f>
        <v>300.0</v>
      </c>
      <c r="L30" s="21">
        <f>'资产负债表'!G16</f>
        <v>0.0</v>
      </c>
      <c r="M30" s="19">
        <f>'输入数据'!$F$12</f>
        <v>0.9</v>
      </c>
      <c r="N30" s="21">
        <f>'输入数据'!$M$12</f>
        <v>18.9</v>
      </c>
      <c r="O30" s="19">
        <f>IFERROR('利润表'!G6/'利润表'!G7,0)</f>
        <v>0.15645610155922382</v>
      </c>
      <c r="P30" s="16">
        <f>'输入数据'!$H$12</f>
        <v>1.5</v>
      </c>
      <c r="Q30" s="16">
        <f>'输入数据'!$B$12</f>
        <v>0.72</v>
      </c>
      <c r="R30" s="16">
        <f>'输入数据'!$C$12</f>
        <v>1.9</v>
      </c>
      <c r="S30" s="16">
        <f>'输入数据'!$AH$12</f>
        <v>10.0</v>
      </c>
      <c r="T30" s="16">
        <f>'输入数据'!$AI$12</f>
        <v>0.0</v>
      </c>
    </row>
    <row r="31" spans="1:20">
      <c r="A31" s="26">
        <v>7</v>
      </c>
      <c r="B31" s="16">
        <f>'利润表'!H7</f>
        <v>6.8734</v>
      </c>
      <c r="C31" s="16">
        <f>'利润表'!H18</f>
        <v>0.8317</v>
      </c>
      <c r="D31" s="19">
        <f>IFERROR('利润表'!H11/'利润表'!H7,0)</f>
        <v>0.3125672883871156</v>
      </c>
      <c r="E31" s="16">
        <f>IFERROR(AVERAGE('输入数据'!$AF$12,'输入数据'!$AF$13)/'利润表'!H8*90,0)</f>
        <v>0.0</v>
      </c>
      <c r="F31" s="16">
        <f>'现金流量表'!H8</f>
        <v>3.0567</v>
      </c>
      <c r="G31" s="16">
        <f>'资产负债表'!H18</f>
        <v>8.2813</v>
      </c>
      <c r="H31" s="19">
        <f>IFERROR('利润表'!H18*4/AVERAGE('输入数据'!$AK$12,'输入数据'!$AK$13),0)</f>
        <v>0.15877553650219423</v>
      </c>
      <c r="I31" s="16">
        <f>'资产负债表'!H12</f>
        <v>21.3687</v>
      </c>
      <c r="J31" s="16">
        <f>'资产负债表'!H5</f>
        <v>2.7187</v>
      </c>
      <c r="K31" s="21">
        <f>'资产负债表'!H17</f>
        <v>300.0</v>
      </c>
      <c r="L31" s="21">
        <f>'资产负债表'!H16</f>
        <v>0.0</v>
      </c>
      <c r="M31" s="19">
        <f>'输入数据'!$F$13</f>
        <v>1.0</v>
      </c>
      <c r="N31" s="21">
        <f>'输入数据'!$M$13</f>
        <v>27.0</v>
      </c>
      <c r="O31" s="19">
        <f>IFERROR('利润表'!H6/'利润表'!H7,0)</f>
        <v>0.2088049582448279</v>
      </c>
      <c r="P31" s="16">
        <f>'输入数据'!$H$13</f>
        <v>5.1</v>
      </c>
      <c r="Q31" s="16">
        <f>'输入数据'!$B$13</f>
        <v>0.83</v>
      </c>
      <c r="R31" s="16">
        <f>'输入数据'!$C$13</f>
        <v>2.3</v>
      </c>
      <c r="S31" s="16">
        <f>'输入数据'!$AH$13</f>
        <v>11.0</v>
      </c>
      <c r="T31" s="16">
        <f>'输入数据'!$AI$13</f>
        <v>0.0</v>
      </c>
    </row>
    <row r="32" spans="1:20">
      <c r="A32" s="26">
        <v>8</v>
      </c>
      <c r="B32" s="16">
        <f>'利润表'!I7</f>
        <v>8.1821</v>
      </c>
      <c r="C32" s="16">
        <f>'利润表'!I18</f>
        <v>1.8605</v>
      </c>
      <c r="D32" s="19">
        <f>IFERROR('利润表'!I11/'利润表'!I7,0)</f>
        <v>0.41335354004473185</v>
      </c>
      <c r="E32" s="16">
        <f>IFERROR(AVERAGE('输入数据'!$AF$13,'输入数据'!$AF$14)/'利润表'!I8*90,0)</f>
        <v>0.0</v>
      </c>
      <c r="F32" s="16">
        <f>'现金流量表'!I8</f>
        <v>4.1605</v>
      </c>
      <c r="G32" s="16">
        <f>'资产负债表'!I18</f>
        <v>10.4208</v>
      </c>
      <c r="H32" s="19">
        <f>IFERROR('利润表'!I18*4/AVERAGE('输入数据'!$AK$13,'输入数据'!$AK$14),0)</f>
        <v>0.33373768720051844</v>
      </c>
      <c r="I32" s="16">
        <f>'资产负债表'!I12</f>
        <v>23.2292</v>
      </c>
      <c r="J32" s="16">
        <f>'资产负债表'!I5</f>
        <v>1.5792</v>
      </c>
      <c r="K32" s="21">
        <f>'资产负债表'!I17</f>
        <v>300.0</v>
      </c>
      <c r="L32" s="21">
        <f>'资产负债表'!I16</f>
        <v>0.0</v>
      </c>
      <c r="M32" s="19">
        <f>'输入数据'!$F$14</f>
        <v>1.0</v>
      </c>
      <c r="N32" s="21">
        <f>'输入数据'!$M$14</f>
        <v>39.0</v>
      </c>
      <c r="O32" s="19">
        <f>IFERROR('利润表'!I6/'利润表'!I7,0)</f>
        <v>0.29566981581745516</v>
      </c>
      <c r="P32" s="16">
        <f>'输入数据'!$H$14</f>
        <v>6.3</v>
      </c>
      <c r="Q32" s="16">
        <f>'输入数据'!$B$14</f>
        <v>0.92</v>
      </c>
      <c r="R32" s="16">
        <f>'输入数据'!$C$14</f>
        <v>2.8</v>
      </c>
      <c r="S32" s="16">
        <f>'输入数据'!$AH$14</f>
        <v>12.0</v>
      </c>
      <c r="T32" s="16">
        <f>'输入数据'!$AI$14</f>
        <v>0.0</v>
      </c>
    </row>
    <row r="33" spans="1:20">
      <c r="A33" s="26">
        <v>9</v>
      </c>
      <c r="B33" s="16">
        <f>'利润表'!J7</f>
        <v>9.8928</v>
      </c>
      <c r="C33" s="16">
        <f>'利润表'!J18</f>
        <v>3.2304</v>
      </c>
      <c r="D33" s="19">
        <f>IFERROR('利润表'!J11/'利润表'!J7,0)</f>
        <v>0.5072173702086366</v>
      </c>
      <c r="E33" s="16">
        <f>IFERROR(AVERAGE('输入数据'!$AF$14,'输入数据'!$AF$15)/'利润表'!J8*90,0)</f>
        <v>0.0</v>
      </c>
      <c r="F33" s="16">
        <f>'现金流量表'!J8</f>
        <v>5.6054</v>
      </c>
      <c r="G33" s="16">
        <f>'资产负债表'!J18</f>
        <v>11.115400000000001</v>
      </c>
      <c r="H33" s="19">
        <f>IFERROR('利润表'!J18*4/AVERAGE('输入数据'!$AK$14,'输入数据'!$AK$15),0)</f>
        <v>0.52010110930431</v>
      </c>
      <c r="I33" s="16">
        <f>'资产负债表'!J12</f>
        <v>26.4596</v>
      </c>
      <c r="J33" s="16">
        <f>'资产负债表'!J5</f>
        <v>2.3846</v>
      </c>
      <c r="K33" s="21">
        <f>'资产负债表'!J17</f>
        <v>300.0</v>
      </c>
      <c r="L33" s="21">
        <f>'资产负债表'!J16</f>
        <v>0.0</v>
      </c>
      <c r="M33" s="19">
        <f>'输入数据'!$F$15</f>
        <v>1.0</v>
      </c>
      <c r="N33" s="21">
        <f>'输入数据'!$M$15</f>
        <v>51.0</v>
      </c>
      <c r="O33" s="19">
        <f>IFERROR('利润表'!J6/'利润表'!J7,0)</f>
        <v>0.39592430858806404</v>
      </c>
      <c r="P33" s="16">
        <f>'输入数据'!$H$15</f>
        <v>6.3</v>
      </c>
      <c r="Q33" s="16">
        <f>'输入数据'!$B$15</f>
        <v>1.0</v>
      </c>
      <c r="R33" s="16">
        <f>'输入数据'!$C$15</f>
        <v>3.4</v>
      </c>
      <c r="S33" s="16">
        <f>'输入数据'!$AH$15</f>
        <v>13.5</v>
      </c>
      <c r="T33" s="16">
        <f>'输入数据'!$AI$15</f>
        <v>0.0</v>
      </c>
    </row>
    <row r="34" spans="1:20">
      <c r="A34" s="26">
        <v>10</v>
      </c>
      <c r="B34" s="16">
        <f>'利润表'!K7</f>
        <v>11.2774</v>
      </c>
      <c r="C34" s="16">
        <f>'利润表'!K18</f>
        <v>4.3298</v>
      </c>
      <c r="D34" s="19">
        <f>IFERROR('利润表'!K11/'利润表'!K7,0)</f>
        <v>0.5610690407363399</v>
      </c>
      <c r="E34" s="16">
        <f>IFERROR(AVERAGE('输入数据'!$AF$15,'输入数据'!$AF$16)/'利润表'!K8*90,0)</f>
        <v>0.0</v>
      </c>
      <c r="F34" s="16">
        <f>'现金流量表'!K8</f>
        <v>6.7798</v>
      </c>
      <c r="G34" s="16">
        <f>'资产负债表'!K18</f>
        <v>10.6356</v>
      </c>
      <c r="H34" s="19">
        <f>IFERROR('利润表'!K18*4/AVERAGE('输入数据'!$AK$15,'输入数据'!$AK$16),0)</f>
        <v>0.6050481231113207</v>
      </c>
      <c r="I34" s="16">
        <f>'资产负债表'!K12</f>
        <v>30.7894</v>
      </c>
      <c r="J34" s="16">
        <f>'资产负债表'!K5</f>
        <v>2.8644</v>
      </c>
      <c r="K34" s="21">
        <f>'资产负债表'!K17</f>
        <v>300.0</v>
      </c>
      <c r="L34" s="21">
        <f>'资产负债表'!K16</f>
        <v>0.0</v>
      </c>
      <c r="M34" s="19">
        <f>'输入数据'!$F$16</f>
        <v>1.0</v>
      </c>
      <c r="N34" s="21">
        <f>'输入数据'!$M$16</f>
        <v>63.0</v>
      </c>
      <c r="O34" s="19">
        <f>IFERROR('利润表'!K6/'利润表'!K7,0)</f>
        <v>0.5107560253249862</v>
      </c>
      <c r="P34" s="16">
        <f>'输入数据'!$H$16</f>
        <v>6.3</v>
      </c>
      <c r="Q34" s="16">
        <f>'输入数据'!$B$16</f>
        <v>0.97</v>
      </c>
      <c r="R34" s="16">
        <f>'输入数据'!$C$16</f>
        <v>4.0</v>
      </c>
      <c r="S34" s="16">
        <f>'输入数据'!$AH$16</f>
        <v>13.5</v>
      </c>
      <c r="T34" s="16">
        <f>'输入数据'!$AI$16</f>
        <v>0.0</v>
      </c>
    </row>
    <row r="35" spans="1:20">
      <c r="A35" s="26">
        <v>11</v>
      </c>
      <c r="B35" s="16">
        <f>'利润表'!L7</f>
        <v>14.55</v>
      </c>
      <c r="C35" s="16">
        <f>'利润表'!L18</f>
        <v>6.7706</v>
      </c>
      <c r="D35" s="19">
        <f>IFERROR('利润表'!L11/'利润表'!L7,0)</f>
        <v>0.6319587628865979</v>
      </c>
      <c r="E35" s="16">
        <f>IFERROR(AVERAGE('输入数据'!$AF$16,'输入数据'!$AF$17)/'利润表'!L8*90,0)</f>
        <v>0.0</v>
      </c>
      <c r="F35" s="16">
        <f>'现金流量表'!L8</f>
        <v>9.4756</v>
      </c>
      <c r="G35" s="16">
        <f>'资产负债表'!L18</f>
        <v>9.86</v>
      </c>
      <c r="H35" s="19">
        <f>IFERROR('利润表'!L18*4/AVERAGE('输入数据'!$AK$16,'输入数据'!$AK$17),0)</f>
        <v>0.7924692828320365</v>
      </c>
      <c r="I35" s="16">
        <f>'资产负债表'!L12</f>
        <v>37.56</v>
      </c>
      <c r="J35" s="16">
        <f>'资产负债表'!L5</f>
        <v>3.64</v>
      </c>
      <c r="K35" s="21">
        <f>'资产负债表'!L17</f>
        <v>330.0</v>
      </c>
      <c r="L35" s="21">
        <f>'资产负债表'!L16</f>
        <v>0.0</v>
      </c>
      <c r="M35" s="19">
        <f>'输入数据'!$F$17</f>
        <v>1.0</v>
      </c>
      <c r="N35" s="21">
        <f>'输入数据'!$M$17</f>
        <v>79.2</v>
      </c>
      <c r="O35" s="19">
        <f>IFERROR('利润表'!L6/'利润表'!L7,0)</f>
        <v>0.5614845360824743</v>
      </c>
      <c r="P35" s="16">
        <f>'输入数据'!$H$17</f>
        <v>8.7</v>
      </c>
      <c r="Q35" s="16">
        <f>'输入数据'!$B$17</f>
        <v>1.06</v>
      </c>
      <c r="R35" s="16">
        <f>'输入数据'!$C$17</f>
        <v>4.6</v>
      </c>
      <c r="S35" s="16">
        <f>'输入数据'!$AH$17</f>
        <v>13.5</v>
      </c>
      <c r="T35" s="16">
        <f>'输入数据'!$AI$17</f>
        <v>0.0</v>
      </c>
    </row>
    <row r="36" spans="1:20">
      <c r="A36" s="26">
        <v>12</v>
      </c>
      <c r="B36" s="16">
        <f>'利润表'!M7</f>
        <v>20.0751</v>
      </c>
      <c r="C36" s="16">
        <f>'利润表'!M18</f>
        <v>11.0345</v>
      </c>
      <c r="D36" s="19">
        <f>IFERROR('利润表'!M11/'利润表'!M7,0)</f>
        <v>0.7075979696240616</v>
      </c>
      <c r="E36" s="16">
        <f>IFERROR(AVERAGE('输入数据'!$AF$17,'输入数据'!$AF$18)/'利润表'!M8*90,0)</f>
        <v>0.0</v>
      </c>
      <c r="F36" s="16">
        <f>'现金流量表'!M8</f>
        <v>14.0545</v>
      </c>
      <c r="G36" s="16">
        <f>'资产负债表'!M18</f>
        <v>4.5055</v>
      </c>
      <c r="H36" s="19">
        <f>IFERROR('利润表'!M18*4/AVERAGE('输入数据'!$AK$17,'输入数据'!$AK$18),0)</f>
        <v>1.0246243666900743</v>
      </c>
      <c r="I36" s="16">
        <f>'资产负债表'!M12</f>
        <v>48.5945</v>
      </c>
      <c r="J36" s="16">
        <f>'资产负债表'!M5</f>
        <v>3.9945</v>
      </c>
      <c r="K36" s="21">
        <f>'资产负债表'!M17</f>
        <v>370.0</v>
      </c>
      <c r="L36" s="21">
        <f>'资产负债表'!M16</f>
        <v>0.0</v>
      </c>
      <c r="M36" s="19">
        <f>'输入数据'!$F$18</f>
        <v>1.0</v>
      </c>
      <c r="N36" s="21">
        <f>'输入数据'!$M$18</f>
        <v>96.2</v>
      </c>
      <c r="O36" s="19">
        <f>IFERROR('利润表'!M6/'利润表'!M7,0)</f>
        <v>0.5810182763722224</v>
      </c>
      <c r="P36" s="16">
        <f>'输入数据'!$H$18</f>
        <v>8.7</v>
      </c>
      <c r="Q36" s="16">
        <f>'输入数据'!$B$18</f>
        <v>1.28</v>
      </c>
      <c r="R36" s="16">
        <f>'输入数据'!$C$18</f>
        <v>5.4</v>
      </c>
      <c r="S36" s="16">
        <f>'输入数据'!$AH$18</f>
        <v>8.5</v>
      </c>
      <c r="T36" s="16">
        <f>'输入数据'!$AI$18</f>
        <v>0.0</v>
      </c>
    </row>
    <row r="37" spans="1:20">
      <c r="A37" s="26">
        <v>13</v>
      </c>
      <c r="B37" s="16">
        <f>'利润表'!N7</f>
        <v>28.891199999999998</v>
      </c>
      <c r="C37" s="16">
        <f>'利润表'!N18</f>
        <v>18.1566</v>
      </c>
      <c r="D37" s="19">
        <f>IFERROR('利润表'!N11/'利润表'!N7,0)</f>
        <v>0.7789984493548209</v>
      </c>
      <c r="E37" s="16">
        <f>IFERROR(AVERAGE('输入数据'!$AF$18,'输入数据'!$AF$19)/'利润表'!N8*90,0)</f>
        <v>0.0</v>
      </c>
      <c r="F37" s="16">
        <f>'现金流量表'!N8</f>
        <v>21.4916</v>
      </c>
      <c r="G37" s="16">
        <f>'资产负债表'!N18</f>
        <v>-15.486</v>
      </c>
      <c r="H37" s="19">
        <f>IFERROR('利润表'!N18*4/AVERAGE('输入数据'!$AK$18,'输入数据'!$AK$19),0)</f>
        <v>1.2592844974446338</v>
      </c>
      <c r="I37" s="16">
        <f>'资产负债表'!N12</f>
        <v>66.751</v>
      </c>
      <c r="J37" s="16">
        <f>'资产负债表'!N5</f>
        <v>15.486</v>
      </c>
      <c r="K37" s="21">
        <f>'资产负债表'!N17</f>
        <v>410.0</v>
      </c>
      <c r="L37" s="21">
        <f>'资产负债表'!N16</f>
        <v>0.0</v>
      </c>
      <c r="M37" s="19">
        <f>'输入数据'!$F$19</f>
        <v>1.0</v>
      </c>
      <c r="N37" s="21">
        <f>'输入数据'!$M$19</f>
        <v>107.83</v>
      </c>
      <c r="O37" s="19">
        <f>IFERROR('利润表'!N6/'利润表'!N7,0)</f>
        <v>0.5732783684997508</v>
      </c>
      <c r="P37" s="16">
        <f>'输入数据'!$H$19</f>
        <v>1.5</v>
      </c>
      <c r="Q37" s="16">
        <f>'输入数据'!$B$19</f>
        <v>1.7</v>
      </c>
      <c r="R37" s="16">
        <f>'输入数据'!$C$19</f>
        <v>6.4</v>
      </c>
      <c r="S37" s="16">
        <f>'输入数据'!$AH$19</f>
        <v>0.0</v>
      </c>
      <c r="T37" s="16">
        <f>'输入数据'!$AI$19</f>
        <v>0.0</v>
      </c>
    </row>
    <row r="38" spans="1:20">
      <c r="A38" s="26">
        <v>14</v>
      </c>
      <c r="B38" s="16">
        <f>'利润表'!O7</f>
        <v>44.123400000000004</v>
      </c>
      <c r="C38" s="16">
        <f>'利润表'!O18</f>
        <v>30.8527</v>
      </c>
      <c r="D38" s="19">
        <f>IFERROR('利润表'!O11/'利润表'!O7,0)</f>
        <v>0.8436203919008962</v>
      </c>
      <c r="E38" s="16">
        <f>IFERROR(AVERAGE('输入数据'!$AF$19,'输入数据'!$AF$20)/'利润表'!O8*90,0)</f>
        <v>0.0</v>
      </c>
      <c r="F38" s="16">
        <f>'现金流量表'!O8</f>
        <v>34.5027</v>
      </c>
      <c r="G38" s="16">
        <f>'资产负债表'!O18</f>
        <v>-48.4887</v>
      </c>
      <c r="H38" s="19">
        <f>IFERROR('利润表'!O18*4/AVERAGE('输入数据'!$AK$19,'输入数据'!$AK$20),0)</f>
        <v>1.5017617384839008</v>
      </c>
      <c r="I38" s="16">
        <f>'资产负债表'!O12</f>
        <v>97.6037</v>
      </c>
      <c r="J38" s="16">
        <f>'资产负债表'!O5</f>
        <v>48.4887</v>
      </c>
      <c r="K38" s="21">
        <f>'资产负债表'!O17</f>
        <v>450.0</v>
      </c>
      <c r="L38" s="21">
        <f>'资产负债表'!O16</f>
        <v>0.0</v>
      </c>
      <c r="M38" s="19">
        <f>'输入数据'!$F$20</f>
        <v>1.0</v>
      </c>
      <c r="N38" s="21">
        <f>'输入数据'!$M$20</f>
        <v>130.5</v>
      </c>
      <c r="O38" s="19">
        <f>IFERROR('利润表'!O6/'利润表'!O7,0)</f>
        <v>0.5394688532615347</v>
      </c>
      <c r="P38" s="16">
        <f>'输入数据'!$H$20</f>
        <v>1.5</v>
      </c>
      <c r="Q38" s="16">
        <f>'输入数据'!$B$20</f>
        <v>2.65</v>
      </c>
      <c r="R38" s="16">
        <f>'输入数据'!$C$20</f>
        <v>7.6</v>
      </c>
      <c r="S38" s="16">
        <f>'输入数据'!$AH$20</f>
        <v>0.0</v>
      </c>
      <c r="T38" s="16">
        <f>'输入数据'!$AI$20</f>
        <v>0.0</v>
      </c>
    </row>
    <row r="39" spans="1:20">
      <c r="A39" s="26">
        <v>15</v>
      </c>
      <c r="B39" s="16">
        <f>'利润表'!P7</f>
        <v>66.49119999999999</v>
      </c>
      <c r="C39" s="16">
        <f>'利润表'!P18</f>
        <v>49.465</v>
      </c>
      <c r="D39" s="19">
        <f>IFERROR('利润表'!P11/'利润表'!P7,0)</f>
        <v>0.885172774743124</v>
      </c>
      <c r="E39" s="16">
        <f>IFERROR(AVERAGE('输入数据'!$AF$20,'输入数据'!$AF$21)/'利润表'!P8*90,0)</f>
        <v>0.0</v>
      </c>
      <c r="F39" s="16">
        <f>'现金流量表'!P8</f>
        <v>53.55</v>
      </c>
      <c r="G39" s="16">
        <f>'资产负债表'!P18</f>
        <v>-100.5387</v>
      </c>
      <c r="H39" s="19">
        <f>IFERROR('利润表'!P18*4/AVERAGE('输入数据'!$AK$20,'输入数据'!$AK$21),0)</f>
        <v>1.6173462965173024</v>
      </c>
      <c r="I39" s="16">
        <f>'资产负债表'!P12</f>
        <v>147.0687</v>
      </c>
      <c r="J39" s="16">
        <f>'资产负债表'!P5</f>
        <v>100.5387</v>
      </c>
      <c r="K39" s="21">
        <f>'资产负债表'!P17</f>
        <v>510.0</v>
      </c>
      <c r="L39" s="21">
        <f>'资产负债表'!P16</f>
        <v>0.0</v>
      </c>
      <c r="M39" s="19">
        <f>'输入数据'!$F$21</f>
        <v>1.0</v>
      </c>
      <c r="N39" s="21">
        <f>'输入数据'!$M$21</f>
        <v>160.65</v>
      </c>
      <c r="O39" s="19">
        <f>IFERROR('利润表'!P6/'利润表'!P7,0)</f>
        <v>0.508217628798999</v>
      </c>
      <c r="P39" s="16">
        <f>'输入数据'!$H$21</f>
        <v>1.5</v>
      </c>
      <c r="Q39" s="16">
        <f>'输入数据'!$B$21</f>
        <v>3.9</v>
      </c>
      <c r="R39" s="16">
        <f>'输入数据'!$C$21</f>
        <v>8.8</v>
      </c>
      <c r="S39" s="16">
        <f>'输入数据'!$AH$21</f>
        <v>0.0</v>
      </c>
      <c r="T39" s="16">
        <f>'输入数据'!$AI$21</f>
        <v>0.0</v>
      </c>
    </row>
    <row r="40" spans="1:20">
      <c r="A40" s="26">
        <v>16</v>
      </c>
      <c r="B40" s="16">
        <f>'利润表'!Q7</f>
        <v>84.6636</v>
      </c>
      <c r="C40" s="16">
        <f>'利润表'!Q18</f>
        <v>64.6407</v>
      </c>
      <c r="D40" s="19">
        <f>IFERROR('利润表'!Q11/'利润表'!Q7,0)</f>
        <v>0.901138151460604</v>
      </c>
      <c r="E40" s="16">
        <f>IFERROR(AVERAGE('输入数据'!$AF$21,'输入数据'!$AF$22)/'利润表'!Q8*90,0)</f>
        <v>0.0</v>
      </c>
      <c r="F40" s="16">
        <f>'现金流量表'!Q8</f>
        <v>69.1607</v>
      </c>
      <c r="G40" s="16">
        <f>'资产负债表'!Q18</f>
        <v>-168.1994</v>
      </c>
      <c r="H40" s="19">
        <f>IFERROR('利润表'!Q18*4/AVERAGE('输入数据'!$AK$21,'输入数据'!$AK$22),0)</f>
        <v>1.4413521895567203</v>
      </c>
      <c r="I40" s="16">
        <f>'资产负债表'!Q12</f>
        <v>211.7094</v>
      </c>
      <c r="J40" s="16">
        <f>'资产负债表'!Q5</f>
        <v>168.1994</v>
      </c>
      <c r="K40" s="21">
        <f>'资产负债表'!Q17</f>
        <v>570.0</v>
      </c>
      <c r="L40" s="21">
        <f>'资产负债表'!Q16</f>
        <v>0.0</v>
      </c>
      <c r="M40" s="19">
        <f>'输入数据'!$F$22</f>
        <v>1.0</v>
      </c>
      <c r="N40" s="21">
        <f>'输入数据'!$M$22</f>
        <v>185.02</v>
      </c>
      <c r="O40" s="19">
        <f>IFERROR('利润表'!Q6/'利润表'!Q7,0)</f>
        <v>0.5034513061103001</v>
      </c>
      <c r="P40" s="16">
        <f>'输入数据'!$H$22</f>
        <v>1.5</v>
      </c>
      <c r="Q40" s="16">
        <f>'输入数据'!$B$22</f>
        <v>4.55</v>
      </c>
      <c r="R40" s="16">
        <f>'输入数据'!$C$22</f>
        <v>9.6</v>
      </c>
      <c r="S40" s="16">
        <f>'输入数据'!$AH$22</f>
        <v>0.0</v>
      </c>
      <c r="T40" s="16">
        <f>'输入数据'!$AI$22</f>
        <v>0.0</v>
      </c>
    </row>
  </sheetData>
  <mergeCells count="20">
    <mergeCell ref="A1:T1"/>
    <mergeCell ref="A2:T2"/>
    <mergeCell ref="A4:C4"/>
    <mergeCell ref="A5:C6"/>
    <mergeCell ref="D4:F4"/>
    <mergeCell ref="D5:F6"/>
    <mergeCell ref="G4:I4"/>
    <mergeCell ref="G5:I6"/>
    <mergeCell ref="J4:L4"/>
    <mergeCell ref="J5:L6"/>
    <mergeCell ref="M4:O4"/>
    <mergeCell ref="M5:O6"/>
    <mergeCell ref="P4:R4"/>
    <mergeCell ref="P5:R6"/>
    <mergeCell ref="S4:T4"/>
    <mergeCell ref="S5:T6"/>
    <mergeCell ref="A8:T8"/>
    <mergeCell ref="P9:T9"/>
    <mergeCell ref="E11:T13"/>
    <mergeCell ref="E15:T17"/>
  </mergeCells>
  <conditionalFormatting sqref="C25:C40">
    <cfRule type="colorScale" priority="1">
      <colorScale>
        <cfvo type="min" val="0"/>
        <cfvo type="percentile" val="50"/>
        <cfvo type="max" val="0"/>
        <color rgb="FFF6B7B7"/>
        <color rgb="FFFFF1C7"/>
        <color rgb="FF8FD9C8"/>
      </colorScale>
    </cfRule>
  </conditionalFormatting>
  <conditionalFormatting sqref="D25:D40">
    <cfRule type="dataBar" priority="2">
      <dataBar>
        <cfvo type="min" val="0"/>
        <cfvo type="max" val="0"/>
        <color rgb="FF129B8D"/>
      </dataBar>
    </cfRule>
  </conditionalFormatting>
  <dataValidations count="2">
    <dataValidation type="whole" allowBlank="1" showInputMessage="1" showErrorMessage="1" sqref="B9">
      <formula1>1</formula1>
      <formula2>16</formula2>
    </dataValidation>
    <dataValidation type="decimal" allowBlank="1" showInputMessage="1" showErrorMessage="1" sqref="N9">
      <formula1>0</formula1>
      <formula2>0.5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29B8D"/>
  </sheetPr>
  <dimension ref="A1:J25"/>
  <sheetViews>
    <sheetView showGridLines="0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1" max="1" width="9.7109375" customWidth="1"/>
    <col min="2" max="10" width="18.7109375" customWidth="1"/>
  </cols>
  <sheetData>
    <row r="1" spans="1:10" ht="34" customHeight="1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4" t="s">
        <v>166</v>
      </c>
      <c r="B4" s="4"/>
      <c r="C4" s="27" t="str">
        <f>IF(MAX(B10:J25)&lt;0.0002,"全部通过","检查差异")</f>
        <v>全部通过</v>
      </c>
      <c r="D4" s="27"/>
      <c r="E4" s="27"/>
      <c r="F4" s="8" t="s">
        <v>167</v>
      </c>
      <c r="G4" s="8"/>
      <c r="H4" s="8"/>
      <c r="I4" s="8"/>
      <c r="J4" s="8"/>
    </row>
    <row r="5" spans="1:10">
      <c r="C5" s="27"/>
      <c r="D5" s="27"/>
      <c r="E5" s="27"/>
      <c r="F5" s="8"/>
      <c r="G5" s="8"/>
      <c r="H5" s="8"/>
      <c r="I5" s="8"/>
      <c r="J5" s="8"/>
    </row>
    <row r="9" spans="1:10">
      <c r="A9" s="9" t="s">
        <v>28</v>
      </c>
      <c r="B9" s="9" t="s">
        <v>168</v>
      </c>
      <c r="C9" s="9" t="s">
        <v>169</v>
      </c>
      <c r="D9" s="9" t="s">
        <v>170</v>
      </c>
      <c r="E9" s="9" t="s">
        <v>171</v>
      </c>
      <c r="F9" s="9" t="s">
        <v>172</v>
      </c>
      <c r="G9" s="9" t="s">
        <v>173</v>
      </c>
      <c r="H9" s="9" t="s">
        <v>174</v>
      </c>
      <c r="I9" s="9" t="s">
        <v>175</v>
      </c>
      <c r="J9" s="9" t="s">
        <v>176</v>
      </c>
    </row>
    <row r="10" spans="1:10">
      <c r="A10" s="26">
        <v>1</v>
      </c>
      <c r="B10" s="20">
        <f>ABS('利润表'!B7-'输入数据'!$AM$7)</f>
        <v>0.0</v>
      </c>
      <c r="C10" s="20">
        <f>ABS('利润表'!B11-'输入数据'!$AN$7)</f>
        <v>0.0</v>
      </c>
      <c r="D10" s="20">
        <f>ABS('利润表'!B14-'输入数据'!$AO$7)</f>
        <v>0.0</v>
      </c>
      <c r="E10" s="20">
        <f>ABS('利润表'!B18-'输入数据'!$AP$7)</f>
        <v>0.0</v>
      </c>
      <c r="F10" s="20">
        <f>ABS('资产负债表'!B8-'输入数据'!$AQ$7)</f>
        <v>0.0</v>
      </c>
      <c r="G10" s="20">
        <f>ABS('现金流量表'!B18)</f>
        <v>0.0</v>
      </c>
      <c r="H10" s="20">
        <f>ABS('资产负债表'!B14)</f>
        <v>0.0</v>
      </c>
      <c r="I10" s="20">
        <f>ABS('现金流量表'!B11-'输入数据'!$AB$7)</f>
        <v>0.0</v>
      </c>
      <c r="J10" s="20">
        <f>ABS('现金流量表'!B14-'输入数据'!$AC$7)</f>
        <v>0.0</v>
      </c>
    </row>
    <row r="11" spans="1:10">
      <c r="A11" s="26">
        <v>2</v>
      </c>
      <c r="B11" s="20">
        <f>ABS('利润表'!C7-'输入数据'!$AM$8)</f>
        <v>0.0</v>
      </c>
      <c r="C11" s="20">
        <f>ABS('利润表'!C11-'输入数据'!$AN$8)</f>
        <v>0.0</v>
      </c>
      <c r="D11" s="20">
        <f>ABS('利润表'!C14-'输入数据'!$AO$8)</f>
        <v>0.0</v>
      </c>
      <c r="E11" s="20">
        <f>ABS('利润表'!C18-'输入数据'!$AP$8)</f>
        <v>0.0</v>
      </c>
      <c r="F11" s="20">
        <f>ABS('资产负债表'!C8-'输入数据'!$AQ$8)</f>
        <v>0.0</v>
      </c>
      <c r="G11" s="20">
        <f>ABS('现金流量表'!C18)</f>
        <v>0.0</v>
      </c>
      <c r="H11" s="20">
        <f>ABS('资产负债表'!C14)</f>
        <v>0.0</v>
      </c>
      <c r="I11" s="20">
        <f>ABS('现金流量表'!C11-'输入数据'!$AB$8)</f>
        <v>0.0</v>
      </c>
      <c r="J11" s="20">
        <f>ABS('现金流量表'!C14-'输入数据'!$AC$8)</f>
        <v>0.0</v>
      </c>
    </row>
    <row r="12" spans="1:10">
      <c r="A12" s="26">
        <v>3</v>
      </c>
      <c r="B12" s="20">
        <f>ABS('利润表'!D7-'输入数据'!$AM$9)</f>
        <v>0.0</v>
      </c>
      <c r="C12" s="20">
        <f>ABS('利润表'!D11-'输入数据'!$AN$9)</f>
        <v>0.0</v>
      </c>
      <c r="D12" s="20">
        <f>ABS('利润表'!D14-'输入数据'!$AO$9)</f>
        <v>0.0</v>
      </c>
      <c r="E12" s="20">
        <f>ABS('利润表'!D18-'输入数据'!$AP$9)</f>
        <v>0.0</v>
      </c>
      <c r="F12" s="20">
        <f>ABS('资产负债表'!D8-'输入数据'!$AQ$9)</f>
        <v>0.0</v>
      </c>
      <c r="G12" s="20">
        <f>ABS('现金流量表'!D18)</f>
        <v>0.0</v>
      </c>
      <c r="H12" s="20">
        <f>ABS('资产负债表'!D14)</f>
        <v>0.0</v>
      </c>
      <c r="I12" s="20">
        <f>ABS('现金流量表'!D11-'输入数据'!$AB$9)</f>
        <v>0.0</v>
      </c>
      <c r="J12" s="20">
        <f>ABS('现金流量表'!D14-'输入数据'!$AC$9)</f>
        <v>0.0</v>
      </c>
    </row>
    <row r="13" spans="1:10">
      <c r="A13" s="26">
        <v>4</v>
      </c>
      <c r="B13" s="20">
        <f>ABS('利润表'!E7-'输入数据'!$AM$10)</f>
        <v>0.0</v>
      </c>
      <c r="C13" s="20">
        <f>ABS('利润表'!E11-'输入数据'!$AN$10)</f>
        <v>0.0</v>
      </c>
      <c r="D13" s="20">
        <f>ABS('利润表'!E14-'输入数据'!$AO$10)</f>
        <v>0.0</v>
      </c>
      <c r="E13" s="20">
        <f>ABS('利润表'!E18-'输入数据'!$AP$10)</f>
        <v>0.0</v>
      </c>
      <c r="F13" s="20">
        <f>ABS('资产负债表'!E8-'输入数据'!$AQ$10)</f>
        <v>0.0</v>
      </c>
      <c r="G13" s="20">
        <f>ABS('现金流量表'!E18)</f>
        <v>0.0</v>
      </c>
      <c r="H13" s="20">
        <f>ABS('资产负债表'!E14)</f>
        <v>0.0</v>
      </c>
      <c r="I13" s="20">
        <f>ABS('现金流量表'!E11-'输入数据'!$AB$10)</f>
        <v>0.0</v>
      </c>
      <c r="J13" s="20">
        <f>ABS('现金流量表'!E14-'输入数据'!$AC$10)</f>
        <v>0.0</v>
      </c>
    </row>
    <row r="14" spans="1:10">
      <c r="A14" s="26">
        <v>5</v>
      </c>
      <c r="B14" s="20">
        <f>ABS('利润表'!F7-'输入数据'!$AM$11)</f>
        <v>0.0</v>
      </c>
      <c r="C14" s="20">
        <f>ABS('利润表'!F11-'输入数据'!$AN$11)</f>
        <v>0.0</v>
      </c>
      <c r="D14" s="20">
        <f>ABS('利润表'!F14-'输入数据'!$AO$11)</f>
        <v>0.0</v>
      </c>
      <c r="E14" s="20">
        <f>ABS('利润表'!F18-'输入数据'!$AP$11)</f>
        <v>0.0</v>
      </c>
      <c r="F14" s="20">
        <f>ABS('资产负债表'!F8-'输入数据'!$AQ$11)</f>
        <v>0.0</v>
      </c>
      <c r="G14" s="20">
        <f>ABS('现金流量表'!F18)</f>
        <v>0.0</v>
      </c>
      <c r="H14" s="20">
        <f>ABS('资产负债表'!F14)</f>
        <v>0.0</v>
      </c>
      <c r="I14" s="20">
        <f>ABS('现金流量表'!F11-'输入数据'!$AB$11)</f>
        <v>0.0</v>
      </c>
      <c r="J14" s="20">
        <f>ABS('现金流量表'!F14-'输入数据'!$AC$11)</f>
        <v>0.0</v>
      </c>
    </row>
    <row r="15" spans="1:10">
      <c r="A15" s="26">
        <v>6</v>
      </c>
      <c r="B15" s="20">
        <f>ABS('利润表'!G7-'输入数据'!$AM$12)</f>
        <v>0.0</v>
      </c>
      <c r="C15" s="20">
        <f>ABS('利润表'!G11-'输入数据'!$AN$12)</f>
        <v>0.0</v>
      </c>
      <c r="D15" s="20">
        <f>ABS('利润表'!G14-'输入数据'!$AO$12)</f>
        <v>0.0</v>
      </c>
      <c r="E15" s="20">
        <f>ABS('利润表'!G18-'输入数据'!$AP$12)</f>
        <v>0.0</v>
      </c>
      <c r="F15" s="20">
        <f>ABS('资产负债表'!G8-'输入数据'!$AQ$12)</f>
        <v>0.0</v>
      </c>
      <c r="G15" s="20">
        <f>ABS('现金流量表'!G18)</f>
        <v>0.0</v>
      </c>
      <c r="H15" s="20">
        <f>ABS('资产负债表'!G14)</f>
        <v>0.0</v>
      </c>
      <c r="I15" s="20">
        <f>ABS('现金流量表'!G11-'输入数据'!$AB$12)</f>
        <v>0.0</v>
      </c>
      <c r="J15" s="20">
        <f>ABS('现金流量表'!G14-'输入数据'!$AC$12)</f>
        <v>0.0</v>
      </c>
    </row>
    <row r="16" spans="1:10">
      <c r="A16" s="26">
        <v>7</v>
      </c>
      <c r="B16" s="20">
        <f>ABS('利润表'!H7-'输入数据'!$AM$13)</f>
        <v>0.0</v>
      </c>
      <c r="C16" s="20">
        <f>ABS('利润表'!H11-'输入数据'!$AN$13)</f>
        <v>0.0</v>
      </c>
      <c r="D16" s="20">
        <f>ABS('利润表'!H14-'输入数据'!$AO$13)</f>
        <v>0.0</v>
      </c>
      <c r="E16" s="20">
        <f>ABS('利润表'!H18-'输入数据'!$AP$13)</f>
        <v>0.0</v>
      </c>
      <c r="F16" s="20">
        <f>ABS('资产负债表'!H8-'输入数据'!$AQ$13)</f>
        <v>0.0</v>
      </c>
      <c r="G16" s="20">
        <f>ABS('现金流量表'!H18)</f>
        <v>0.0</v>
      </c>
      <c r="H16" s="20">
        <f>ABS('资产负债表'!H14)</f>
        <v>0.0</v>
      </c>
      <c r="I16" s="20">
        <f>ABS('现金流量表'!H11-'输入数据'!$AB$13)</f>
        <v>0.0</v>
      </c>
      <c r="J16" s="20">
        <f>ABS('现金流量表'!H14-'输入数据'!$AC$13)</f>
        <v>0.0</v>
      </c>
    </row>
    <row r="17" spans="1:10">
      <c r="A17" s="26">
        <v>8</v>
      </c>
      <c r="B17" s="20">
        <f>ABS('利润表'!I7-'输入数据'!$AM$14)</f>
        <v>0.0</v>
      </c>
      <c r="C17" s="20">
        <f>ABS('利润表'!I11-'输入数据'!$AN$14)</f>
        <v>0.0</v>
      </c>
      <c r="D17" s="20">
        <f>ABS('利润表'!I14-'输入数据'!$AO$14)</f>
        <v>0.0</v>
      </c>
      <c r="E17" s="20">
        <f>ABS('利润表'!I18-'输入数据'!$AP$14)</f>
        <v>0.0</v>
      </c>
      <c r="F17" s="20">
        <f>ABS('资产负债表'!I8-'输入数据'!$AQ$14)</f>
        <v>0.0</v>
      </c>
      <c r="G17" s="20">
        <f>ABS('现金流量表'!I18)</f>
        <v>0.0</v>
      </c>
      <c r="H17" s="20">
        <f>ABS('资产负债表'!I14)</f>
        <v>0.0</v>
      </c>
      <c r="I17" s="20">
        <f>ABS('现金流量表'!I11-'输入数据'!$AB$14)</f>
        <v>0.0</v>
      </c>
      <c r="J17" s="20">
        <f>ABS('现金流量表'!I14-'输入数据'!$AC$14)</f>
        <v>0.0</v>
      </c>
    </row>
    <row r="18" spans="1:10">
      <c r="A18" s="26">
        <v>9</v>
      </c>
      <c r="B18" s="20">
        <f>ABS('利润表'!J7-'输入数据'!$AM$15)</f>
        <v>0.0</v>
      </c>
      <c r="C18" s="20">
        <f>ABS('利润表'!J11-'输入数据'!$AN$15)</f>
        <v>0.0</v>
      </c>
      <c r="D18" s="20">
        <f>ABS('利润表'!J14-'输入数据'!$AO$15)</f>
        <v>0.0</v>
      </c>
      <c r="E18" s="20">
        <f>ABS('利润表'!J18-'输入数据'!$AP$15)</f>
        <v>0.0</v>
      </c>
      <c r="F18" s="20">
        <f>ABS('资产负债表'!J8-'输入数据'!$AQ$15)</f>
        <v>0.0</v>
      </c>
      <c r="G18" s="20">
        <f>ABS('现金流量表'!J18)</f>
        <v>0.0</v>
      </c>
      <c r="H18" s="20">
        <f>ABS('资产负债表'!J14)</f>
        <v>0.0</v>
      </c>
      <c r="I18" s="20">
        <f>ABS('现金流量表'!J11-'输入数据'!$AB$15)</f>
        <v>0.0</v>
      </c>
      <c r="J18" s="20">
        <f>ABS('现金流量表'!J14-'输入数据'!$AC$15)</f>
        <v>0.0</v>
      </c>
    </row>
    <row r="19" spans="1:10">
      <c r="A19" s="26">
        <v>10</v>
      </c>
      <c r="B19" s="20">
        <f>ABS('利润表'!K7-'输入数据'!$AM$16)</f>
        <v>0.0</v>
      </c>
      <c r="C19" s="20">
        <f>ABS('利润表'!K11-'输入数据'!$AN$16)</f>
        <v>0.0</v>
      </c>
      <c r="D19" s="20">
        <f>ABS('利润表'!K14-'输入数据'!$AO$16)</f>
        <v>0.0</v>
      </c>
      <c r="E19" s="20">
        <f>ABS('利润表'!K18-'输入数据'!$AP$16)</f>
        <v>0.0</v>
      </c>
      <c r="F19" s="20">
        <f>ABS('资产负债表'!K8-'输入数据'!$AQ$16)</f>
        <v>0.0</v>
      </c>
      <c r="G19" s="20">
        <f>ABS('现金流量表'!K18)</f>
        <v>0.0</v>
      </c>
      <c r="H19" s="20">
        <f>ABS('资产负债表'!K14)</f>
        <v>0.0</v>
      </c>
      <c r="I19" s="20">
        <f>ABS('现金流量表'!K11-'输入数据'!$AB$16)</f>
        <v>0.0</v>
      </c>
      <c r="J19" s="20">
        <f>ABS('现金流量表'!K14-'输入数据'!$AC$16)</f>
        <v>0.0</v>
      </c>
    </row>
    <row r="20" spans="1:10">
      <c r="A20" s="26">
        <v>11</v>
      </c>
      <c r="B20" s="20">
        <f>ABS('利润表'!L7-'输入数据'!$AM$17)</f>
        <v>0.0</v>
      </c>
      <c r="C20" s="20">
        <f>ABS('利润表'!L11-'输入数据'!$AN$17)</f>
        <v>0.0</v>
      </c>
      <c r="D20" s="20">
        <f>ABS('利润表'!L14-'输入数据'!$AO$17)</f>
        <v>0.0</v>
      </c>
      <c r="E20" s="20">
        <f>ABS('利润表'!L18-'输入数据'!$AP$17)</f>
        <v>0.0</v>
      </c>
      <c r="F20" s="20">
        <f>ABS('资产负债表'!L8-'输入数据'!$AQ$17)</f>
        <v>0.0</v>
      </c>
      <c r="G20" s="20">
        <f>ABS('现金流量表'!L18)</f>
        <v>0.0</v>
      </c>
      <c r="H20" s="20">
        <f>ABS('资产负债表'!L14)</f>
        <v>0.0</v>
      </c>
      <c r="I20" s="20">
        <f>ABS('现金流量表'!L11-'输入数据'!$AB$17)</f>
        <v>0.0</v>
      </c>
      <c r="J20" s="20">
        <f>ABS('现金流量表'!L14-'输入数据'!$AC$17)</f>
        <v>0.0</v>
      </c>
    </row>
    <row r="21" spans="1:10">
      <c r="A21" s="26">
        <v>12</v>
      </c>
      <c r="B21" s="20">
        <f>ABS('利润表'!M7-'输入数据'!$AM$18)</f>
        <v>0.0</v>
      </c>
      <c r="C21" s="20">
        <f>ABS('利润表'!M11-'输入数据'!$AN$18)</f>
        <v>0.0</v>
      </c>
      <c r="D21" s="20">
        <f>ABS('利润表'!M14-'输入数据'!$AO$18)</f>
        <v>0.0</v>
      </c>
      <c r="E21" s="20">
        <f>ABS('利润表'!M18-'输入数据'!$AP$18)</f>
        <v>0.0</v>
      </c>
      <c r="F21" s="20">
        <f>ABS('资产负债表'!M8-'输入数据'!$AQ$18)</f>
        <v>0.0</v>
      </c>
      <c r="G21" s="20">
        <f>ABS('现金流量表'!M18)</f>
        <v>0.0</v>
      </c>
      <c r="H21" s="20">
        <f>ABS('资产负债表'!M14)</f>
        <v>0.0</v>
      </c>
      <c r="I21" s="20">
        <f>ABS('现金流量表'!M11-'输入数据'!$AB$18)</f>
        <v>0.0</v>
      </c>
      <c r="J21" s="20">
        <f>ABS('现金流量表'!M14-'输入数据'!$AC$18)</f>
        <v>0.0</v>
      </c>
    </row>
    <row r="22" spans="1:10">
      <c r="A22" s="26">
        <v>13</v>
      </c>
      <c r="B22" s="20">
        <f>ABS('利润表'!N7-'输入数据'!$AM$19)</f>
        <v>0.0</v>
      </c>
      <c r="C22" s="20">
        <f>ABS('利润表'!N11-'输入数据'!$AN$19)</f>
        <v>0.0</v>
      </c>
      <c r="D22" s="20">
        <f>ABS('利润表'!N14-'输入数据'!$AO$19)</f>
        <v>0.0</v>
      </c>
      <c r="E22" s="20">
        <f>ABS('利润表'!N18-'输入数据'!$AP$19)</f>
        <v>0.0</v>
      </c>
      <c r="F22" s="20">
        <f>ABS('资产负债表'!N8-'输入数据'!$AQ$19)</f>
        <v>0.0</v>
      </c>
      <c r="G22" s="20">
        <f>ABS('现金流量表'!N18)</f>
        <v>0.0</v>
      </c>
      <c r="H22" s="20">
        <f>ABS('资产负债表'!N14)</f>
        <v>0.0</v>
      </c>
      <c r="I22" s="20">
        <f>ABS('现金流量表'!N11-'输入数据'!$AB$19)</f>
        <v>0.0</v>
      </c>
      <c r="J22" s="20">
        <f>ABS('现金流量表'!N14-'输入数据'!$AC$19)</f>
        <v>0.0</v>
      </c>
    </row>
    <row r="23" spans="1:10">
      <c r="A23" s="26">
        <v>14</v>
      </c>
      <c r="B23" s="20">
        <f>ABS('利润表'!O7-'输入数据'!$AM$20)</f>
        <v>0.0</v>
      </c>
      <c r="C23" s="20">
        <f>ABS('利润表'!O11-'输入数据'!$AN$20)</f>
        <v>0.0</v>
      </c>
      <c r="D23" s="20">
        <f>ABS('利润表'!O14-'输入数据'!$AO$20)</f>
        <v>0.0</v>
      </c>
      <c r="E23" s="20">
        <f>ABS('利润表'!O18-'输入数据'!$AP$20)</f>
        <v>0.0</v>
      </c>
      <c r="F23" s="20">
        <f>ABS('资产负债表'!O8-'输入数据'!$AQ$20)</f>
        <v>0.0</v>
      </c>
      <c r="G23" s="20">
        <f>ABS('现金流量表'!O18)</f>
        <v>0.0</v>
      </c>
      <c r="H23" s="20">
        <f>ABS('资产负债表'!O14)</f>
        <v>0.0</v>
      </c>
      <c r="I23" s="20">
        <f>ABS('现金流量表'!O11-'输入数据'!$AB$20)</f>
        <v>0.0</v>
      </c>
      <c r="J23" s="20">
        <f>ABS('现金流量表'!O14-'输入数据'!$AC$20)</f>
        <v>0.0</v>
      </c>
    </row>
    <row r="24" spans="1:10">
      <c r="A24" s="26">
        <v>15</v>
      </c>
      <c r="B24" s="20">
        <f>ABS('利润表'!P7-'输入数据'!$AM$21)</f>
        <v>0.0</v>
      </c>
      <c r="C24" s="20">
        <f>ABS('利润表'!P11-'输入数据'!$AN$21)</f>
        <v>0.0</v>
      </c>
      <c r="D24" s="20">
        <f>ABS('利润表'!P14-'输入数据'!$AO$21)</f>
        <v>0.0</v>
      </c>
      <c r="E24" s="20">
        <f>ABS('利润表'!P18-'输入数据'!$AP$21)</f>
        <v>0.0</v>
      </c>
      <c r="F24" s="20">
        <f>ABS('资产负债表'!P8-'输入数据'!$AQ$21)</f>
        <v>0.0</v>
      </c>
      <c r="G24" s="20">
        <f>ABS('现金流量表'!P18)</f>
        <v>0.0</v>
      </c>
      <c r="H24" s="20">
        <f>ABS('资产负债表'!P14)</f>
        <v>0.0</v>
      </c>
      <c r="I24" s="20">
        <f>ABS('现金流量表'!P11-'输入数据'!$AB$21)</f>
        <v>0.0</v>
      </c>
      <c r="J24" s="20">
        <f>ABS('现金流量表'!P14-'输入数据'!$AC$21)</f>
        <v>0.0</v>
      </c>
    </row>
    <row r="25" spans="1:10">
      <c r="A25" s="26">
        <v>16</v>
      </c>
      <c r="B25" s="20">
        <f>ABS('利润表'!Q7-'输入数据'!$AM$22)</f>
        <v>0.0</v>
      </c>
      <c r="C25" s="20">
        <f>ABS('利润表'!Q11-'输入数据'!$AN$22)</f>
        <v>0.0</v>
      </c>
      <c r="D25" s="20">
        <f>ABS('利润表'!Q14-'输入数据'!$AO$22)</f>
        <v>0.0</v>
      </c>
      <c r="E25" s="20">
        <f>ABS('利润表'!Q18-'输入数据'!$AP$22)</f>
        <v>0.0</v>
      </c>
      <c r="F25" s="20">
        <f>ABS('资产负债表'!Q8-'输入数据'!$AQ$22)</f>
        <v>0.0</v>
      </c>
      <c r="G25" s="20">
        <f>ABS('现金流量表'!Q18)</f>
        <v>0.0</v>
      </c>
      <c r="H25" s="20">
        <f>ABS('资产负债表'!Q14)</f>
        <v>0.0</v>
      </c>
      <c r="I25" s="20">
        <f>ABS('现金流量表'!Q11-'输入数据'!$AB$22)</f>
        <v>0.0</v>
      </c>
      <c r="J25" s="20">
        <f>ABS('现金流量表'!Q14-'输入数据'!$AC$22)</f>
        <v>0.0</v>
      </c>
    </row>
  </sheetData>
  <mergeCells count="5">
    <mergeCell ref="A1:J1"/>
    <mergeCell ref="A2:J2"/>
    <mergeCell ref="A4:B4"/>
    <mergeCell ref="C4:E5"/>
    <mergeCell ref="F4:J5"/>
  </mergeCells>
  <conditionalFormatting sqref="B10:J25">
    <cfRule type="cellIs" dxfId="1" priority="1" operator="greaterThanOrEqual">
      <formula>0.0002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使用说明</vt:lpstr>
      <vt:lpstr>输入数据</vt:lpstr>
      <vt:lpstr>利润表</vt:lpstr>
      <vt:lpstr>资产负债表</vt:lpstr>
      <vt:lpstr>现金流量表</vt:lpstr>
      <vt:lpstr>分析</vt:lpstr>
      <vt:lpstr>校验</vt:lpstr>
    </vt:vector>
  </TitlesOfParts>
  <Company>虚构内存芯片公司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内存芯片公司16季度经营三张表</dc:title>
  <dc:subject>利润表、资产负债表、现金流量表与经营分析</dc:subject>
  <dc:creator>经营复盘项目组</dc:creator>
  <dc:description>数据来源：经营模拟引擎导出数据。</dc:description>
  <cp:lastModifiedBy>经营复盘项目组</cp:lastModifiedBy>
  <dcterms:created xsi:type="dcterms:W3CDTF">2026-10-22T20:10:20Z</dcterms:created>
  <dcterms:modified xsi:type="dcterms:W3CDTF">2026-10-22T20:10:20Z</dcterms:modified>
</cp:coreProperties>
</file>