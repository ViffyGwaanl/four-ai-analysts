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导览与假设" sheetId="1" r:id="rId1"/>
    <sheet name="经营分析" sheetId="2" r:id="rId2"/>
    <sheet name="利润表" sheetId="3" r:id="rId3"/>
    <sheet name="资产负债表" sheetId="4" r:id="rId4"/>
    <sheet name="现金流量表" sheetId="5" r:id="rId5"/>
    <sheet name="原始数据" sheetId="6" r:id="rId6"/>
  </sheets>
  <calcPr calcId="124519" fullCalcOnLoad="1"/>
</workbook>
</file>

<file path=xl/sharedStrings.xml><?xml version="1.0" encoding="utf-8"?>
<sst xmlns="http://schemas.openxmlformats.org/spreadsheetml/2006/main" count="871" uniqueCount="229">
  <si>
    <t>晶序内存  /  导览与假设</t>
  </si>
  <si>
    <t>模拟经营 · 金额：十亿美元 USD bn；数量：千片 · 蓝色=源数据；浅绿=公式；浅黄=假设</t>
  </si>
  <si>
    <t>项目 / 季度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</si>
  <si>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</si>
  <si>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</si>
  <si>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</si>
  <si>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</si>
  <si>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</si>
  <si>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</si>
  <si>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</si>
  <si>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</si>
  <si>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</si>
  <si>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</si>
  <si>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</si>
  <si>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</si>
  <si>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</si>
  <si>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</si>
  <si>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</si>
  <si>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</si>
  <si>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来源 / 口径</t>
  </si>
  <si>
    <t>晶序内存  /  经营分析</t>
  </si>
  <si>
    <t>晶序内存  /  利润表</t>
  </si>
  <si>
    <t>晶序内存  /  资产负债表</t>
  </si>
  <si>
    <t>晶序内存  /  现金流量表</t>
  </si>
  <si>
    <t>晶序内存  /  原始数据</t>
  </si>
  <si>
    <t>decision.utilization</t>
  </si>
  <si>
    <t>数据/完整导出.json → history[季度-1].decision.utilization</t>
  </si>
  <si>
    <t>decision.sell_fraction</t>
  </si>
  <si>
    <t>数据/完整导出.json → history[季度-1].decision.sell_fraction</t>
  </si>
  <si>
    <t>decision.capex</t>
  </si>
  <si>
    <t>数据/完整导出.json → history[季度-1].decision.capex</t>
  </si>
  <si>
    <t>decision.hbm_rnd</t>
  </si>
  <si>
    <t>数据/完整导出.json → history[季度-1].decision.hbm_rnd</t>
  </si>
  <si>
    <t>decision.hbm_share</t>
  </si>
  <si>
    <t>数据/完整导出.json → history[季度-1].decision.hbm_share</t>
  </si>
  <si>
    <t>decision.borrow</t>
  </si>
  <si>
    <t>数据/完整导出.json → history[季度-1].decision.borrow</t>
  </si>
  <si>
    <t>market.price_index</t>
  </si>
  <si>
    <t>数据/完整导出.json → history[季度-1].market.price_index</t>
  </si>
  <si>
    <t>market.hbm_price_index</t>
  </si>
  <si>
    <t>数据/完整导出.json → history[季度-1].market.hbm_price_index</t>
  </si>
  <si>
    <t>market.demand_kwafers</t>
  </si>
  <si>
    <t>数据/完整导出.json → history[季度-1].market.demand_kwafers</t>
  </si>
  <si>
    <t>market.hbm_demand_kwafers</t>
  </si>
  <si>
    <t>数据/完整导出.json → history[季度-1].market.hbm_demand_kwafers</t>
  </si>
  <si>
    <t>operations.produced_kwafers</t>
  </si>
  <si>
    <t>数据/完整导出.json → history[季度-1].operations.produced_kwafers</t>
  </si>
  <si>
    <t>operations.hbm_kwafers</t>
  </si>
  <si>
    <t>数据/完整导出.json → history[季度-1].operations.hbm_kwafers</t>
  </si>
  <si>
    <t>operations.std_sold_kwafers</t>
  </si>
  <si>
    <t>数据/完整导出.json → history[季度-1].operations.std_sold_kwafers</t>
  </si>
  <si>
    <t>operations.hbm_sold_kwafers</t>
  </si>
  <si>
    <t>数据/完整导出.json → history[季度-1].operations.hbm_sold_kwafers</t>
  </si>
  <si>
    <t>operations.unit_cost_musd</t>
  </si>
  <si>
    <t>数据/完整导出.json → history[季度-1].operations.unit_cost_musd</t>
  </si>
  <si>
    <t>operations.capacity_kwafers</t>
  </si>
  <si>
    <t>数据/完整导出.json → history[季度-1].operations.capacity_kwafers</t>
  </si>
  <si>
    <t>operations.hbm_qualified</t>
  </si>
  <si>
    <t>数据/完整导出.json → history[季度-1].operations.hbm_qualified</t>
  </si>
  <si>
    <t>income_statement.revenue</t>
  </si>
  <si>
    <t>数据/完整导出.json → history[季度-1].income_statement.revenue</t>
  </si>
  <si>
    <t>income_statement.revenue_std</t>
  </si>
  <si>
    <t>数据/完整导出.json → history[季度-1].income_statement.revenue_std</t>
  </si>
  <si>
    <t>income_statement.revenue_hbm</t>
  </si>
  <si>
    <t>数据/完整导出.json → history[季度-1].income_statement.revenue_hbm</t>
  </si>
  <si>
    <t>income_statement.cogs</t>
  </si>
  <si>
    <t>数据/完整导出.json → history[季度-1].income_statement.cogs</t>
  </si>
  <si>
    <t>income_statement.inventory_writedown</t>
  </si>
  <si>
    <t>数据/完整导出.json → history[季度-1].income_statement.inventory_writedown</t>
  </si>
  <si>
    <t>income_statement.gross_profit</t>
  </si>
  <si>
    <t>数据/完整导出.json → history[季度-1].income_statement.gross_profit</t>
  </si>
  <si>
    <t>income_statement.gross_margin</t>
  </si>
  <si>
    <t>数据/完整导出.json → history[季度-1].income_statement.gross_margin</t>
  </si>
  <si>
    <t>income_statement.rnd</t>
  </si>
  <si>
    <t>数据/完整导出.json → history[季度-1].income_statement.rnd</t>
  </si>
  <si>
    <t>income_statement.sga</t>
  </si>
  <si>
    <t>数据/完整导出.json → history[季度-1].income_statement.sga</t>
  </si>
  <si>
    <t>income_statement.operating_income</t>
  </si>
  <si>
    <t>数据/完整导出.json → history[季度-1].income_statement.operating_income</t>
  </si>
  <si>
    <t>income_statement.net_interest</t>
  </si>
  <si>
    <t>数据/完整导出.json → history[季度-1].income_statement.net_interest</t>
  </si>
  <si>
    <t>income_statement.tax</t>
  </si>
  <si>
    <t>数据/完整导出.json → history[季度-1].income_statement.tax</t>
  </si>
  <si>
    <t>income_statement.net_income</t>
  </si>
  <si>
    <t>数据/完整导出.json → history[季度-1].income_statement.net_income</t>
  </si>
  <si>
    <t>cash_flow.operating</t>
  </si>
  <si>
    <t>数据/完整导出.json → history[季度-1].cash_flow.operating</t>
  </si>
  <si>
    <t>cash_flow.investing</t>
  </si>
  <si>
    <t>数据/完整导出.json → history[季度-1].cash_flow.investing</t>
  </si>
  <si>
    <t>cash_flow.financing</t>
  </si>
  <si>
    <t>数据/完整导出.json → history[季度-1].cash_flow.financing</t>
  </si>
  <si>
    <t>cash_flow.depreciation</t>
  </si>
  <si>
    <t>数据/完整导出.json → history[季度-1].cash_flow.depreciation</t>
  </si>
  <si>
    <t>cash_flow.emergency_borrowing</t>
  </si>
  <si>
    <t>数据/完整导出.json → history[季度-1].cash_flow.emergency_borrowing</t>
  </si>
  <si>
    <t>balance_sheet.cash</t>
  </si>
  <si>
    <t>数据/完整导出.json → history[季度-1].balance_sheet.cash</t>
  </si>
  <si>
    <t>balance_sheet.inventory</t>
  </si>
  <si>
    <t>数据/完整导出.json → history[季度-1].balance_sheet.inventory</t>
  </si>
  <si>
    <t>balance_sheet.ppe_net</t>
  </si>
  <si>
    <t>数据/完整导出.json → history[季度-1].balance_sheet.ppe_net</t>
  </si>
  <si>
    <t>balance_sheet.total_assets</t>
  </si>
  <si>
    <t>数据/完整导出.json → history[季度-1].balance_sheet.total_assets</t>
  </si>
  <si>
    <t>balance_sheet.debt</t>
  </si>
  <si>
    <t>数据/完整导出.json → history[季度-1].balance_sheet.debt</t>
  </si>
  <si>
    <t>balance_sheet.emergency_debt</t>
  </si>
  <si>
    <t>数据/完整导出.json → history[季度-1].balance_sheet.emergency_debt</t>
  </si>
  <si>
    <t>balance_sheet.equity</t>
  </si>
  <si>
    <t>数据/完整导出.json → history[季度-1].balance_sheet.equity</t>
  </si>
  <si>
    <t>balance_sheet.inventory_kwafers</t>
  </si>
  <si>
    <t>数据/完整导出.json → history[季度-1].balance_sheet.inventory_kwafers</t>
  </si>
  <si>
    <t>balance_sheet.capacity_kwafers</t>
  </si>
  <si>
    <t>数据/完整导出.json → history[季度-1].balance_sheet.capacity_kwafers</t>
  </si>
  <si>
    <t>仅黄色单元格为分析假设；不改写已发生经营结果。</t>
  </si>
  <si>
    <t>季度天数（假设）</t>
  </si>
  <si>
    <t>用于存货周转天数，统一90天。</t>
  </si>
  <si>
    <t>全年季度数（假设）</t>
  </si>
  <si>
    <t>仅用于年化ROE；不是全年实际收益。</t>
  </si>
  <si>
    <t>收入压力比例（假设）</t>
  </si>
  <si>
    <t>收入下降20%，成本/费用/产销/利息不变；无库存、营运资金响应。</t>
  </si>
  <si>
    <t>税率（规则）</t>
  </si>
  <si>
    <t>规则.txt：仅盈利征税。</t>
  </si>
  <si>
    <t>最低现金缓冲（假设）</t>
  </si>
  <si>
    <t>分析目标，不是引擎0.5的紧急授信触发线。</t>
  </si>
  <si>
    <t>期初现金（事实）</t>
  </si>
  <si>
    <t>Q01_决策前.json → balance_sheet_now.cash</t>
  </si>
  <si>
    <t>期初库存账面价值（事实）</t>
  </si>
  <si>
    <t>Q01_决策前.json → balance_sheet_now.inventory</t>
  </si>
  <si>
    <t>期初股东权益（事实）</t>
  </si>
  <si>
    <t>Q01_决策前.json → balance_sheet_now.equity</t>
  </si>
  <si>
    <t>期初普通借款（事实）</t>
  </si>
  <si>
    <t>Q01_决策前.json → balance_sheet_now.debt</t>
  </si>
  <si>
    <t>期初固定资产净额（事实）</t>
  </si>
  <si>
    <t>Q01_决策前.json → balance_sheet_now.ppe_net</t>
  </si>
  <si>
    <t>读取路径：原始数据 → 三张表 → 经营分析。所有逐季事实仅来自完整导出，Q0来自首季状态。</t>
  </si>
  <si>
    <t>毛利率=毛利/营业收入；存货周转天数=平均普通库存账面额/总销售成本×假设天数。引擎未分拆普通成本，故DIO为混合成本近似口径。</t>
  </si>
  <si>
    <t>ROE=本季净利润/期初期末平均权益；年化ROE=单季ROE×假设全年季度数，不代表已实现年回报。</t>
  </si>
  <si>
    <t>存货减值已包含在cogs中，利润表单列作备忘，不二次扣减；经营现金流采用净库存变化重构，不重复加回减值。</t>
  </si>
  <si>
    <t>净负债=普通借款+紧急借款−现金；自由现金流=经营现金流−资本开支。负净负债代表净现金。</t>
  </si>
  <si>
    <t>压力情景只测静态收入下降，盈利时按15%税率计税，亏损无所得税；不模拟价格/销量/产能的共同变化。</t>
  </si>
  <si>
    <t>会计对账有0.0001量级舍入差异；审计容差0.0003十亿美元。累计净利润以export.cumulative_net_income为准。</t>
  </si>
  <si>
    <t>本项目为虚构经营研究与展示，不构成投资建议。季度没有对应真实日历日期；2026-10-22为本次接口读取日。</t>
  </si>
  <si>
    <t>没有单列应收、应付、股本、留存收益的接口字段；资产负债表忠实保留引擎简化口径，不虚构科目。</t>
  </si>
  <si>
    <t>营业收入</t>
  </si>
  <si>
    <t>完整导出 history[].income_statement.revenue</t>
  </si>
  <si>
    <t>其中：普通内存收入</t>
  </si>
  <si>
    <t>完整导出 history[].income_statement.revenue_std</t>
  </si>
  <si>
    <t>其中：HBM收入</t>
  </si>
  <si>
    <t>完整导出 history[].income_statement.revenue_hbm</t>
  </si>
  <si>
    <t>销售成本（含减值）</t>
  </si>
  <si>
    <t>完整导出 history[].income_statement.cogs</t>
  </si>
  <si>
    <t>毛利</t>
  </si>
  <si>
    <t>完整导出 history[].income_statement.gross_profit</t>
  </si>
  <si>
    <t>研发费用（含额外HBM）</t>
  </si>
  <si>
    <t>完整导出 history[].income_statement.rnd</t>
  </si>
  <si>
    <t>销售与管理费用</t>
  </si>
  <si>
    <t>完整导出 history[].income_statement.sga</t>
  </si>
  <si>
    <t>营业利润</t>
  </si>
  <si>
    <t>完整导出 history[].income_statement.operating_income</t>
  </si>
  <si>
    <t>净利息费用（负为收益）</t>
  </si>
  <si>
    <t>完整导出 history[].income_statement.net_interest</t>
  </si>
  <si>
    <t>所得税</t>
  </si>
  <si>
    <t>完整导出 history[].income_statement.tax</t>
  </si>
  <si>
    <t>净利润</t>
  </si>
  <si>
    <t>完整导出 history[].income_statement.net_income</t>
  </si>
  <si>
    <t>备忘：存货跌价</t>
  </si>
  <si>
    <t>完整导出 history[].income_statement.inventory_writedown</t>
  </si>
  <si>
    <t>现金</t>
  </si>
  <si>
    <t>完整导出 history[].balance_sheet.cash</t>
  </si>
  <si>
    <t>普通内存存货（净额）</t>
  </si>
  <si>
    <t>完整导出 history[].balance_sheet.inventory</t>
  </si>
  <si>
    <t>固定资产净额</t>
  </si>
  <si>
    <t>完整导出 history[].balance_sheet.ppe_net</t>
  </si>
  <si>
    <t>资产总额</t>
  </si>
  <si>
    <t>完整导出 history[].balance_sheet.total_assets</t>
  </si>
  <si>
    <t>普通借款</t>
  </si>
  <si>
    <t>完整导出 history[].balance_sheet.debt</t>
  </si>
  <si>
    <t>紧急授信借款</t>
  </si>
  <si>
    <t>完整导出 history[].balance_sheet.emergency_debt</t>
  </si>
  <si>
    <t>股东权益</t>
  </si>
  <si>
    <t>完整导出 history[].balance_sheet.equity</t>
  </si>
  <si>
    <t>备忘：库存数量（千片）</t>
  </si>
  <si>
    <t>完整导出 history[].balance_sheet.inventory_kwafers</t>
  </si>
  <si>
    <t>备忘：产能（千片/季）</t>
  </si>
  <si>
    <t>完整导出 history[].balance_sheet.capacity_kwafers</t>
  </si>
  <si>
    <t>折旧（非现金）</t>
  </si>
  <si>
    <t>完整导出 history[].cash_flow.depreciation</t>
  </si>
  <si>
    <t>经营活动现金流（接口）</t>
  </si>
  <si>
    <t>完整导出 history[].cash_flow.operating</t>
  </si>
  <si>
    <t>投资活动现金流</t>
  </si>
  <si>
    <t>完整导出 history[].cash_flow.investing</t>
  </si>
  <si>
    <t>融资活动现金流</t>
  </si>
  <si>
    <t>完整导出 history[].cash_flow.financing</t>
  </si>
  <si>
    <t>期末现金（接口）</t>
  </si>
  <si>
    <t>备忘：紧急借款流入</t>
  </si>
  <si>
    <t>完整导出 history[].cash_flow.emergency_borrowing</t>
  </si>
  <si>
    <t>毛利率</t>
  </si>
  <si>
    <t>收入分项差额</t>
  </si>
  <si>
    <t>利润重算差额</t>
  </si>
  <si>
    <t>负债合计</t>
  </si>
  <si>
    <t>负债与权益合计</t>
  </si>
  <si>
    <t>资产负债平衡差额</t>
  </si>
  <si>
    <t>期初现金</t>
  </si>
  <si>
    <t>存货减少 /（增加）</t>
  </si>
  <si>
    <t>经营活动现金流（重构）</t>
  </si>
  <si>
    <t>经营现金流对账差额</t>
  </si>
  <si>
    <t>现金净增加额</t>
  </si>
  <si>
    <t>期末现金（重构）</t>
  </si>
  <si>
    <t>现金对账差额</t>
  </si>
  <si>
    <t>HBM收入占比</t>
  </si>
  <si>
    <t>存货周转天数（近似）</t>
  </si>
  <si>
    <t>经营现金流</t>
  </si>
  <si>
    <t>自由现金流</t>
  </si>
  <si>
    <t>期末现金</t>
  </si>
  <si>
    <t>净负债</t>
  </si>
  <si>
    <t>单季ROE</t>
  </si>
  <si>
    <t>简单年化ROE（假设）</t>
  </si>
  <si>
    <t>开工率</t>
  </si>
  <si>
    <t>普通库存数量（千片）</t>
  </si>
  <si>
    <t>HBM生产（千片）</t>
  </si>
  <si>
    <t>HBM销售（千片）</t>
  </si>
  <si>
    <t>HBM报废（千片）</t>
  </si>
  <si>
    <t>累计净利润</t>
  </si>
  <si>
    <t>压力情景：收入（假设）</t>
  </si>
  <si>
    <t>压力情景：税前利润</t>
  </si>
  <si>
    <t>压力情景：净利润</t>
  </si>
  <si>
    <t>压力情景：经营现金流</t>
  </si>
  <si>
    <t>实际现金高于缓冲</t>
  </si>
  <si>
    <t>读图提醒：收入和利润后期的大幅增长来自模拟市场价格急升，不能外推为现实预测。压力情景用于检视收入冲击，非对历史数据的替代。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</si>
</sst>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%"/>
    <numFmt numFmtId="166" formatCode="0.0000;[Red](0.0000);–"/>
    <numFmt numFmtId="167" formatCode="0.0%;[Red](0.0%);–"/>
  </numFmts>
  <fonts count="7">
    <font>
      <sz val="11"/>
      <color theme="1"/>
      <name val="Calibri"/>
      <family val="2"/>
      <scheme val="minor"/>
    </font>
    <font>
      <b/>
      <sz val="22"/>
      <color rgb="FF133B50"/>
      <name val="Calibri"/>
      <family val="2"/>
      <scheme val="minor"/>
    </font>
    <font>
      <sz val="10"/>
      <color rgb="FF5B6B7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33B50"/>
      <name val="Calibri"/>
      <family val="2"/>
      <scheme val="minor"/>
    </font>
    <font>
      <sz val="11"/>
      <color rgb="FF9B5C00"/>
      <name val="Calibri"/>
      <family val="2"/>
      <scheme val="minor"/>
    </font>
    <font>
      <sz val="11"/>
      <color rgb="FF185D9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33B50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E8F1FF"/>
        <bgColor indexed="64"/>
      </patternFill>
    </fill>
    <fill>
      <patternFill patternType="solid">
        <fgColor rgb="FFEAF7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4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166" fontId="6" fillId="4" borderId="0" xfId="0" applyNumberFormat="1" applyFont="1" applyFill="1"/>
    <xf numFmtId="166" fontId="4" fillId="5" borderId="0" xfId="0" applyNumberFormat="1" applyFont="1" applyFill="1"/>
    <xf numFmtId="167" fontId="4" fillId="5" borderId="0" xfId="0" applyNumberFormat="1" applyFont="1" applyFill="1"/>
  </cellXfs>
  <cellStyles count="1">
    <cellStyle name="Normal" xfId="0" builtinId="0"/>
  </cellStyles>
  <dxfs count="1">
    <dxf>
      <font>
        <color rgb="FF007F5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利润走出周期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收入</c:v>
          </c:tx>
          <c:spPr>
            <a:ln w="31750">
              <a:solidFill>
                <a:srgbClr val="087F8C"/>
              </a:solidFill>
            </a:ln>
          </c:spPr>
          <c:marker>
            <c:symbol val="none"/>
          </c:marker>
          <c:cat>
            <c:strRef>
              <c:f>经营分析!$B$4:$Q$4</c:f>
              <c:strCache>
                <c:ptCount val="16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经营分析!$B$5:$Q$5</c:f>
              <c:numCache>
                <c:formatCode>General</c:formatCode>
                <c:ptCount val="16"/>
                <c:pt idx="0">
                  <c:v>4.608</c:v>
                </c:pt>
                <c:pt idx="1">
                  <c:v>2.6208</c:v>
                </c:pt>
                <c:pt idx="2">
                  <c:v>2.34</c:v>
                </c:pt>
                <c:pt idx="3">
                  <c:v>2.8789</c:v>
                </c:pt>
                <c:pt idx="4">
                  <c:v>3.744</c:v>
                </c:pt>
                <c:pt idx="5">
                  <c:v>5.1598</c:v>
                </c:pt>
                <c:pt idx="6">
                  <c:v>6.8734</c:v>
                </c:pt>
                <c:pt idx="7">
                  <c:v>8.2483</c:v>
                </c:pt>
                <c:pt idx="8">
                  <c:v>9.9168</c:v>
                </c:pt>
                <c:pt idx="9">
                  <c:v>11.2774</c:v>
                </c:pt>
                <c:pt idx="10">
                  <c:v>14.2116</c:v>
                </c:pt>
                <c:pt idx="11">
                  <c:v>18.8525</c:v>
                </c:pt>
                <c:pt idx="12">
                  <c:v>25.668</c:v>
                </c:pt>
                <c:pt idx="13">
                  <c:v>36.114</c:v>
                </c:pt>
                <c:pt idx="14">
                  <c:v>49.236</c:v>
                </c:pt>
                <c:pt idx="15">
                  <c:v>57.306</c:v>
                </c:pt>
              </c:numCache>
            </c:numRef>
          </c:val>
        </c:ser>
        <c:ser>
          <c:idx val="1"/>
          <c:order val="1"/>
          <c:tx>
            <c:v>净利润</c:v>
          </c:tx>
          <c:spPr>
            <a:ln w="31750">
              <a:solidFill>
                <a:srgbClr val="E8A340"/>
              </a:solidFill>
            </a:ln>
          </c:spPr>
          <c:marker>
            <c:symbol val="none"/>
          </c:marker>
          <c:cat>
            <c:strRef>
              <c:f>经营分析!$B$4:$Q$4</c:f>
              <c:strCache>
                <c:ptCount val="16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经营分析!$B$6:$Q$6</c:f>
              <c:numCache>
                <c:formatCode>General</c:formatCode>
                <c:ptCount val="16"/>
                <c:pt idx="0">
                  <c:v>-3.9148</c:v>
                </c:pt>
                <c:pt idx="1">
                  <c:v>-2.8354</c:v>
                </c:pt>
                <c:pt idx="2">
                  <c:v>-2.7333</c:v>
                </c:pt>
                <c:pt idx="3">
                  <c:v>-2.3172</c:v>
                </c:pt>
                <c:pt idx="4">
                  <c:v>-1.6757</c:v>
                </c:pt>
                <c:pt idx="5">
                  <c:v>-0.5007</c:v>
                </c:pt>
                <c:pt idx="6">
                  <c:v>0.8407</c:v>
                </c:pt>
                <c:pt idx="7">
                  <c:v>1.9461</c:v>
                </c:pt>
                <c:pt idx="8">
                  <c:v>3.309</c:v>
                </c:pt>
                <c:pt idx="9">
                  <c:v>4.4421</c:v>
                </c:pt>
                <c:pt idx="10">
                  <c:v>6.816</c:v>
                </c:pt>
                <c:pt idx="11">
                  <c:v>10.6518</c:v>
                </c:pt>
                <c:pt idx="12">
                  <c:v>16.4622</c:v>
                </c:pt>
                <c:pt idx="13">
                  <c:v>25.3985</c:v>
                </c:pt>
                <c:pt idx="14">
                  <c:v>36.6707</c:v>
                </c:pt>
                <c:pt idx="15">
                  <c:v>43.7258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6ECEF"/>
              </a:solidFill>
            </a:ln>
          </c:spPr>
        </c:majorGridlines>
        <c:numFmt formatCode="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现金与权益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现金</c:v>
          </c:tx>
          <c:spPr>
            <a:ln w="31750">
              <a:solidFill>
                <a:srgbClr val="087F8C"/>
              </a:solidFill>
            </a:ln>
          </c:spPr>
          <c:marker>
            <c:symbol val="none"/>
          </c:marker>
          <c:cat>
            <c:strRef>
              <c:f>经营分析!$B$4:$Q$4</c:f>
              <c:strCache>
                <c:ptCount val="16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经营分析!$B$12:$Q$12</c:f>
              <c:numCache>
                <c:formatCode>General</c:formatCode>
                <c:ptCount val="16"/>
                <c:pt idx="0">
                  <c:v>6.998</c:v>
                </c:pt>
                <c:pt idx="1">
                  <c:v>5.2098</c:v>
                </c:pt>
                <c:pt idx="2">
                  <c:v>2.9765</c:v>
                </c:pt>
                <c:pt idx="3">
                  <c:v>3.1592</c:v>
                </c:pt>
                <c:pt idx="4">
                  <c:v>3.0585</c:v>
                </c:pt>
                <c:pt idx="5">
                  <c:v>3.2078</c:v>
                </c:pt>
                <c:pt idx="6">
                  <c:v>3.2734</c:v>
                </c:pt>
                <c:pt idx="7">
                  <c:v>4.5195</c:v>
                </c:pt>
                <c:pt idx="8">
                  <c:v>6.7035</c:v>
                </c:pt>
                <c:pt idx="9">
                  <c:v>8.0956</c:v>
                </c:pt>
                <c:pt idx="10">
                  <c:v>13.0117</c:v>
                </c:pt>
                <c:pt idx="11">
                  <c:v>24.9135</c:v>
                </c:pt>
                <c:pt idx="12">
                  <c:v>42.7007</c:v>
                </c:pt>
                <c:pt idx="13">
                  <c:v>69.4992</c:v>
                </c:pt>
                <c:pt idx="14">
                  <c:v>107.6449</c:v>
                </c:pt>
                <c:pt idx="15">
                  <c:v>152.9207</c:v>
                </c:pt>
              </c:numCache>
            </c:numRef>
          </c:val>
        </c:ser>
        <c:ser>
          <c:idx val="1"/>
          <c:order val="1"/>
          <c:tx>
            <c:v>权益</c:v>
          </c:tx>
          <c:spPr>
            <a:ln w="31750">
              <a:solidFill>
                <a:srgbClr val="E8A340"/>
              </a:solidFill>
            </a:ln>
          </c:spPr>
          <c:marker>
            <c:symbol val="none"/>
          </c:marker>
          <c:cat>
            <c:strRef>
              <c:f>经营分析!$B$4:$Q$4</c:f>
              <c:strCache>
                <c:ptCount val="16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经营分析!$B$14:$Q$14</c:f>
              <c:numCache>
                <c:formatCode>General</c:formatCode>
                <c:ptCount val="16"/>
                <c:pt idx="0">
                  <c:v>31.0452</c:v>
                </c:pt>
                <c:pt idx="1">
                  <c:v>28.2098</c:v>
                </c:pt>
                <c:pt idx="2">
                  <c:v>25.4765</c:v>
                </c:pt>
                <c:pt idx="3">
                  <c:v>23.1592</c:v>
                </c:pt>
                <c:pt idx="4">
                  <c:v>21.4835</c:v>
                </c:pt>
                <c:pt idx="5">
                  <c:v>20.9828</c:v>
                </c:pt>
                <c:pt idx="6">
                  <c:v>21.8234</c:v>
                </c:pt>
                <c:pt idx="7">
                  <c:v>23.7695</c:v>
                </c:pt>
                <c:pt idx="8">
                  <c:v>27.0785</c:v>
                </c:pt>
                <c:pt idx="9">
                  <c:v>31.5206</c:v>
                </c:pt>
                <c:pt idx="10">
                  <c:v>38.3367</c:v>
                </c:pt>
                <c:pt idx="11">
                  <c:v>48.9885</c:v>
                </c:pt>
                <c:pt idx="12">
                  <c:v>65.4507</c:v>
                </c:pt>
                <c:pt idx="13">
                  <c:v>90.8492</c:v>
                </c:pt>
                <c:pt idx="14">
                  <c:v>127.5199</c:v>
                </c:pt>
                <c:pt idx="15">
                  <c:v>171.2457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6ECEF"/>
              </a:solidFill>
            </a:ln>
          </c:spPr>
        </c:majorGridlines>
        <c:numFmt formatCode="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产品结构与开工率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HBM收入占比</c:v>
          </c:tx>
          <c:spPr>
            <a:ln w="31750">
              <a:solidFill>
                <a:srgbClr val="087F8C"/>
              </a:solidFill>
            </a:ln>
          </c:spPr>
          <c:marker>
            <c:symbol val="none"/>
          </c:marker>
          <c:cat>
            <c:strRef>
              <c:f>经营分析!$B$4:$Q$4</c:f>
              <c:strCache>
                <c:ptCount val="16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经营分析!$B$8:$Q$8</c:f>
              <c:numCache>
                <c:formatCode>General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0.09336899510229602</c:v>
                </c:pt>
                <c:pt idx="4">
                  <c:v>0.12307692307692307</c:v>
                </c:pt>
                <c:pt idx="5">
                  <c:v>0.15907593317570448</c:v>
                </c:pt>
                <c:pt idx="6">
                  <c:v>0.2088049582448279</c:v>
                </c:pt>
                <c:pt idx="7">
                  <c:v>0.2932968005528412</c:v>
                </c:pt>
                <c:pt idx="8">
                  <c:v>0.39496611810261373</c:v>
                </c:pt>
                <c:pt idx="9">
                  <c:v>0.5107560253249862</c:v>
                </c:pt>
                <c:pt idx="10">
                  <c:v>0.5748543443384277</c:v>
                </c:pt>
                <c:pt idx="11">
                  <c:v>0.6186977854395969</c:v>
                </c:pt>
                <c:pt idx="12">
                  <c:v>0.6582515194015895</c:v>
                </c:pt>
                <c:pt idx="13">
                  <c:v>0.6565874730021599</c:v>
                </c:pt>
                <c:pt idx="14">
                  <c:v>0.6863270777479894</c:v>
                </c:pt>
                <c:pt idx="15">
                  <c:v>0.7236938540466967</c:v>
                </c:pt>
              </c:numCache>
            </c:numRef>
          </c:val>
        </c:ser>
        <c:ser>
          <c:idx val="1"/>
          <c:order val="1"/>
          <c:tx>
            <c:v>开工率</c:v>
          </c:tx>
          <c:spPr>
            <a:ln w="31750">
              <a:solidFill>
                <a:srgbClr val="E8A340"/>
              </a:solidFill>
            </a:ln>
          </c:spPr>
          <c:marker>
            <c:symbol val="none"/>
          </c:marker>
          <c:cat>
            <c:strRef>
              <c:f>经营分析!$B$4:$Q$4</c:f>
              <c:strCache>
                <c:ptCount val="16"/>
                <c:pt idx="0">
                  <c:v>Q01</c:v>
                </c:pt>
                <c:pt idx="1">
                  <c:v>Q02</c:v>
                </c:pt>
                <c:pt idx="2">
                  <c:v>Q03</c:v>
                </c:pt>
                <c:pt idx="3">
                  <c:v>Q04</c:v>
                </c:pt>
                <c:pt idx="4">
                  <c:v>Q05</c:v>
                </c:pt>
                <c:pt idx="5">
                  <c:v>Q06</c:v>
                </c:pt>
                <c:pt idx="6">
                  <c:v>Q07</c:v>
                </c:pt>
                <c:pt idx="7">
                  <c:v>Q08</c:v>
                </c:pt>
                <c:pt idx="8">
                  <c:v>Q09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</c:strCache>
            </c:strRef>
          </c:cat>
          <c:val>
            <c:numRef>
              <c:f>经营分析!$B$17:$Q$17</c:f>
              <c:numCache>
                <c:formatCode>General</c:formatCode>
                <c:ptCount val="16"/>
                <c:pt idx="0">
                  <c:v>0.7</c:v>
                </c:pt>
                <c:pt idx="1">
                  <c:v>0.55</c:v>
                </c:pt>
                <c:pt idx="2">
                  <c:v>0.65</c:v>
                </c:pt>
                <c:pt idx="3">
                  <c:v>0.72</c:v>
                </c:pt>
                <c:pt idx="4">
                  <c:v>0.8</c:v>
                </c:pt>
                <c:pt idx="5">
                  <c:v>0.9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  <c:pt idx="14">
                  <c:v>1.0</c:v>
                </c:pt>
                <c:pt idx="15">
                  <c:v>1.0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6ECEF"/>
              </a:solidFill>
            </a:ln>
          </c:spPr>
        </c:majorGridlines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6</xdr:col>
      <xdr:colOff>304800</xdr:colOff>
      <xdr:row>46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457200</xdr:colOff>
      <xdr:row>46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6</xdr:col>
      <xdr:colOff>304800</xdr:colOff>
      <xdr:row>63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R26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9.7109375" customWidth="1"/>
    <col min="2" max="17" width="13.7109375" customWidth="1"/>
    <col min="18" max="18" width="58.7109375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3" t="s">
        <v>113</v>
      </c>
      <c r="B5" s="3"/>
      <c r="C5" s="3"/>
      <c r="D5" s="3"/>
      <c r="E5" s="3"/>
      <c r="F5" s="3"/>
      <c r="G5" s="3"/>
      <c r="H5" s="3"/>
    </row>
    <row r="6" spans="1:18">
      <c r="A6" s="4" t="s">
        <v>114</v>
      </c>
      <c r="B6" s="5">
        <v>90</v>
      </c>
      <c r="C6" s="2" t="s">
        <v>115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8">
      <c r="A7" s="4" t="s">
        <v>116</v>
      </c>
      <c r="B7" s="5">
        <v>4</v>
      </c>
      <c r="C7" s="2" t="s">
        <v>117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8">
      <c r="A8" s="4" t="s">
        <v>118</v>
      </c>
      <c r="B8" s="6">
        <v>0.2</v>
      </c>
      <c r="C8" s="2" t="s">
        <v>119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8">
      <c r="A9" s="4" t="s">
        <v>120</v>
      </c>
      <c r="B9" s="6">
        <v>0.15</v>
      </c>
      <c r="C9" s="2" t="s">
        <v>121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8">
      <c r="A10" s="4" t="s">
        <v>122</v>
      </c>
      <c r="B10" s="5">
        <v>3</v>
      </c>
      <c r="C10" s="2" t="s">
        <v>123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8">
      <c r="A11" s="4" t="s">
        <v>124</v>
      </c>
      <c r="B11" s="7">
        <v>10</v>
      </c>
      <c r="C11" s="2" t="s">
        <v>125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8">
      <c r="A12" s="4" t="s">
        <v>126</v>
      </c>
      <c r="B12" s="7">
        <v>0.96</v>
      </c>
      <c r="C12" s="2" t="s">
        <v>127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8">
      <c r="A13" s="4" t="s">
        <v>128</v>
      </c>
      <c r="B13" s="7">
        <v>34.96</v>
      </c>
      <c r="C13" s="2" t="s">
        <v>129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8">
      <c r="A14" s="4" t="s">
        <v>130</v>
      </c>
      <c r="B14" s="7">
        <v>6</v>
      </c>
      <c r="C14" s="2" t="s">
        <v>131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8">
      <c r="A15" s="4" t="s">
        <v>132</v>
      </c>
      <c r="B15" s="7">
        <v>30</v>
      </c>
      <c r="C15" s="2" t="s">
        <v>133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8" spans="1:13" ht="33" customHeight="1">
      <c r="A18" s="2" t="s">
        <v>134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33" customHeight="1">
      <c r="A19" s="2" t="s">
        <v>135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33" customHeight="1">
      <c r="A20" s="2" t="s">
        <v>136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3" customHeight="1">
      <c r="A21" s="2" t="s">
        <v>137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33" customHeight="1">
      <c r="A22" s="2" t="s">
        <v>138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3" customHeight="1">
      <c r="A23" s="2" t="s">
        <v>139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3" customHeight="1">
      <c r="A24" s="2" t="s">
        <v>140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3" customHeight="1">
      <c r="A25" s="2" t="s">
        <v>141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3" customHeight="1">
      <c r="A26" s="2" t="s">
        <v>142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</sheetData>
  <mergeCells count="22">
    <mergeCell ref="A1:Q2"/>
    <mergeCell ref="A3:Q3"/>
    <mergeCell ref="A5:H5"/>
    <mergeCell ref="C6:M6"/>
    <mergeCell ref="C7:M7"/>
    <mergeCell ref="C8:M8"/>
    <mergeCell ref="C9:M9"/>
    <mergeCell ref="C10:M10"/>
    <mergeCell ref="C11:M11"/>
    <mergeCell ref="C12:M12"/>
    <mergeCell ref="C13:M13"/>
    <mergeCell ref="C14:M14"/>
    <mergeCell ref="C15:M15"/>
    <mergeCell ref="A18:M18"/>
    <mergeCell ref="A19:M19"/>
    <mergeCell ref="A20:M20"/>
    <mergeCell ref="A21:M21"/>
    <mergeCell ref="A22:M22"/>
    <mergeCell ref="A23:M23"/>
    <mergeCell ref="A24:M24"/>
    <mergeCell ref="A25:M25"/>
    <mergeCell ref="A26:M26"/>
  </mergeCells>
  <dataValidations count="2">
    <dataValidation type="decimal" operator="greaterThan" allowBlank="1" showInputMessage="1" showErrorMessage="1" sqref="B6:B7">
      <formula1>0</formula1>
    </dataValidation>
    <dataValidation type="decimal" allowBlank="1" showInputMessage="1" showErrorMessage="1" sqref="B8:B9">
      <formula1>0</formula1>
      <formula2>1</formula2>
    </dataValidation>
  </dataValidations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R5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9.7109375" customWidth="1"/>
    <col min="2" max="17" width="13.7109375" customWidth="1"/>
    <col min="18" max="18" width="58.7109375" customWidth="1"/>
  </cols>
  <sheetData>
    <row r="1" spans="1:18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4" t="s">
        <v>143</v>
      </c>
      <c r="B5" s="8">
        <f>'利润表'!B5</f>
        <v>4.608</v>
      </c>
      <c r="C5" s="8">
        <f>'利润表'!C5</f>
        <v>2.6208</v>
      </c>
      <c r="D5" s="8">
        <f>'利润表'!D5</f>
        <v>2.34</v>
      </c>
      <c r="E5" s="8">
        <f>'利润表'!E5</f>
        <v>2.8789</v>
      </c>
      <c r="F5" s="8">
        <f>'利润表'!F5</f>
        <v>3.744</v>
      </c>
      <c r="G5" s="8">
        <f>'利润表'!G5</f>
        <v>5.1598</v>
      </c>
      <c r="H5" s="8">
        <f>'利润表'!H5</f>
        <v>6.8734</v>
      </c>
      <c r="I5" s="8">
        <f>'利润表'!I5</f>
        <v>8.2483</v>
      </c>
      <c r="J5" s="8">
        <f>'利润表'!J5</f>
        <v>9.9168</v>
      </c>
      <c r="K5" s="8">
        <f>'利润表'!K5</f>
        <v>11.2774</v>
      </c>
      <c r="L5" s="8">
        <f>'利润表'!L5</f>
        <v>14.2116</v>
      </c>
      <c r="M5" s="8">
        <f>'利润表'!M5</f>
        <v>18.8525</v>
      </c>
      <c r="N5" s="8">
        <f>'利润表'!N5</f>
        <v>25.668</v>
      </c>
      <c r="O5" s="8">
        <f>'利润表'!O5</f>
        <v>36.114</v>
      </c>
      <c r="P5" s="8">
        <f>'利润表'!P5</f>
        <v>49.236</v>
      </c>
      <c r="Q5" s="8">
        <f>'利润表'!Q5</f>
        <v>57.306</v>
      </c>
    </row>
    <row r="6" spans="1:18">
      <c r="A6" s="4" t="s">
        <v>163</v>
      </c>
      <c r="B6" s="8">
        <f>'利润表'!B15</f>
        <v>-3.9148</v>
      </c>
      <c r="C6" s="8">
        <f>'利润表'!C15</f>
        <v>-2.8354</v>
      </c>
      <c r="D6" s="8">
        <f>'利润表'!D15</f>
        <v>-2.7333</v>
      </c>
      <c r="E6" s="8">
        <f>'利润表'!E15</f>
        <v>-2.3172</v>
      </c>
      <c r="F6" s="8">
        <f>'利润表'!F15</f>
        <v>-1.6757</v>
      </c>
      <c r="G6" s="8">
        <f>'利润表'!G15</f>
        <v>-0.5007</v>
      </c>
      <c r="H6" s="8">
        <f>'利润表'!H15</f>
        <v>0.8407</v>
      </c>
      <c r="I6" s="8">
        <f>'利润表'!I15</f>
        <v>1.9461</v>
      </c>
      <c r="J6" s="8">
        <f>'利润表'!J15</f>
        <v>3.309</v>
      </c>
      <c r="K6" s="8">
        <f>'利润表'!K15</f>
        <v>4.4421</v>
      </c>
      <c r="L6" s="8">
        <f>'利润表'!L15</f>
        <v>6.816</v>
      </c>
      <c r="M6" s="8">
        <f>'利润表'!M15</f>
        <v>10.6518</v>
      </c>
      <c r="N6" s="8">
        <f>'利润表'!N15</f>
        <v>16.4622</v>
      </c>
      <c r="O6" s="8">
        <f>'利润表'!O15</f>
        <v>25.3985</v>
      </c>
      <c r="P6" s="8">
        <f>'利润表'!P15</f>
        <v>36.6707</v>
      </c>
      <c r="Q6" s="8">
        <f>'利润表'!Q15</f>
        <v>43.7258</v>
      </c>
    </row>
    <row r="7" spans="1:18">
      <c r="A7" s="4" t="s">
        <v>196</v>
      </c>
      <c r="B7" s="9">
        <f>IFERROR('利润表'!B9/'利润表'!B5,0)</f>
        <v>0.031510416666666666</v>
      </c>
      <c r="C7" s="9">
        <f>IFERROR('利润表'!C9/'利润表'!C5,0)</f>
        <v>-0.6682692307692308</v>
      </c>
      <c r="D7" s="9">
        <f>IFERROR('利润表'!D9/'利润表'!D5,0)</f>
        <v>-0.6987179487179488</v>
      </c>
      <c r="E7" s="9">
        <f>IFERROR('利润表'!E9/'利润表'!E5,0)</f>
        <v>-0.417207961374136</v>
      </c>
      <c r="F7" s="9">
        <f>IFERROR('利润表'!F9/'利润表'!F5,0)</f>
        <v>-0.14182692307692307</v>
      </c>
      <c r="G7" s="9">
        <f>IFERROR('利润表'!G9/'利润表'!G5,0)</f>
        <v>0.12787317337881315</v>
      </c>
      <c r="H7" s="9">
        <f>IFERROR('利润表'!H9/'利润表'!H5,0)</f>
        <v>0.31256728838711556</v>
      </c>
      <c r="I7" s="9">
        <f>IFERROR('利润表'!I9/'利润表'!I5,0)</f>
        <v>0.4180619036649976</v>
      </c>
      <c r="J7" s="9">
        <f>IFERROR('利润表'!J9/'利润表'!J5,0)</f>
        <v>0.5084099709583737</v>
      </c>
      <c r="K7" s="9">
        <f>IFERROR('利润表'!K9/'利润表'!K5,0)</f>
        <v>0.5610690407363399</v>
      </c>
      <c r="L7" s="9">
        <f>IFERROR('利润表'!L9/'利润表'!L5,0)</f>
        <v>0.6367404092431534</v>
      </c>
      <c r="M7" s="9">
        <f>IFERROR('利润表'!M9/'利润表'!M5,0)</f>
        <v>0.714891924147991</v>
      </c>
      <c r="N7" s="9">
        <f>IFERROR('利润表'!N9/'利润表'!N5,0)</f>
        <v>0.7876733676172667</v>
      </c>
      <c r="O7" s="9">
        <f>IFERROR('利润表'!O9/'利润表'!O5,0)</f>
        <v>0.8470122390208784</v>
      </c>
      <c r="P7" s="9">
        <f>IFERROR('利润表'!P9/'利润表'!P5,0)</f>
        <v>0.8862620846535056</v>
      </c>
      <c r="Q7" s="9">
        <f>IFERROR('利润表'!Q9/'利润表'!Q5,0)</f>
        <v>0.900970229993369</v>
      </c>
    </row>
    <row r="8" spans="1:18">
      <c r="A8" s="4" t="s">
        <v>209</v>
      </c>
      <c r="B8" s="9">
        <f>IFERROR('利润表'!B7/'利润表'!B5,0)</f>
        <v>0.0</v>
      </c>
      <c r="C8" s="9">
        <f>IFERROR('利润表'!C7/'利润表'!C5,0)</f>
        <v>0.0</v>
      </c>
      <c r="D8" s="9">
        <f>IFERROR('利润表'!D7/'利润表'!D5,0)</f>
        <v>0.0</v>
      </c>
      <c r="E8" s="9">
        <f>IFERROR('利润表'!E7/'利润表'!E5,0)</f>
        <v>0.09336899510229602</v>
      </c>
      <c r="F8" s="9">
        <f>IFERROR('利润表'!F7/'利润表'!F5,0)</f>
        <v>0.12307692307692307</v>
      </c>
      <c r="G8" s="9">
        <f>IFERROR('利润表'!G7/'利润表'!G5,0)</f>
        <v>0.15907593317570448</v>
      </c>
      <c r="H8" s="9">
        <f>IFERROR('利润表'!H7/'利润表'!H5,0)</f>
        <v>0.2088049582448279</v>
      </c>
      <c r="I8" s="9">
        <f>IFERROR('利润表'!I7/'利润表'!I5,0)</f>
        <v>0.2932968005528412</v>
      </c>
      <c r="J8" s="9">
        <f>IFERROR('利润表'!J7/'利润表'!J5,0)</f>
        <v>0.39496611810261373</v>
      </c>
      <c r="K8" s="9">
        <f>IFERROR('利润表'!K7/'利润表'!K5,0)</f>
        <v>0.5107560253249862</v>
      </c>
      <c r="L8" s="9">
        <f>IFERROR('利润表'!L7/'利润表'!L5,0)</f>
        <v>0.5748543443384277</v>
      </c>
      <c r="M8" s="9">
        <f>IFERROR('利润表'!M7/'利润表'!M5,0)</f>
        <v>0.6186977854395969</v>
      </c>
      <c r="N8" s="9">
        <f>IFERROR('利润表'!N7/'利润表'!N5,0)</f>
        <v>0.6582515194015895</v>
      </c>
      <c r="O8" s="9">
        <f>IFERROR('利润表'!O7/'利润表'!O5,0)</f>
        <v>0.6565874730021599</v>
      </c>
      <c r="P8" s="9">
        <f>IFERROR('利润表'!P7/'利润表'!P5,0)</f>
        <v>0.6863270777479894</v>
      </c>
      <c r="Q8" s="9">
        <f>IFERROR('利润表'!Q7/'利润表'!Q5,0)</f>
        <v>0.7236938540466967</v>
      </c>
    </row>
    <row r="9" spans="1:18">
      <c r="A9" s="4" t="s">
        <v>210</v>
      </c>
      <c r="B9" s="8">
        <f>IFERROR(('导览与假设'!$B$12+'资产负债表'!B6)/2/'利润表'!B8*'导览与假设'!$B$6,0)</f>
        <v>15.197633772519495</v>
      </c>
      <c r="C9" s="8">
        <f>IFERROR(('资产负债表'!B6+'资产负债表'!C6)/2/'利润表'!C8*'导览与假设'!$B$6,0)</f>
        <v>5.631947303417044</v>
      </c>
      <c r="D9" s="8">
        <f>IFERROR(('资产负债表'!C6+'资产负债表'!D6)/2/'利润表'!D8*'导览与假设'!$B$6,0)</f>
        <v>0.0</v>
      </c>
      <c r="E9" s="8">
        <f>IFERROR(('资产负债表'!D6+'资产负债表'!E6)/2/'利润表'!E8*'导览与假设'!$B$6,0)</f>
        <v>0.0</v>
      </c>
      <c r="F9" s="8">
        <f>IFERROR(('资产负债表'!E6+'资产负债表'!F6)/2/'利润表'!F8*'导览与假设'!$B$6,0)</f>
        <v>0.0</v>
      </c>
      <c r="G9" s="8">
        <f>IFERROR(('资产负债表'!F6+'资产负债表'!G6)/2/'利润表'!G8*'导览与假设'!$B$6,0)</f>
        <v>0.0</v>
      </c>
      <c r="H9" s="8">
        <f>IFERROR(('资产负债表'!G6+'资产负债表'!H6)/2/'利润表'!H8*'导览与假设'!$B$6,0)</f>
        <v>0.0</v>
      </c>
      <c r="I9" s="8">
        <f>IFERROR(('资产负债表'!H6+'资产负债表'!I6)/2/'利润表'!I8*'导览与假设'!$B$6,0)</f>
        <v>0.0</v>
      </c>
      <c r="J9" s="8">
        <f>IFERROR(('资产负债表'!I6+'资产负债表'!J6)/2/'利润表'!J8*'导览与假设'!$B$6,0)</f>
        <v>0.0</v>
      </c>
      <c r="K9" s="8">
        <f>IFERROR(('资产负债表'!J6+'资产负债表'!K6)/2/'利润表'!K8*'导览与假设'!$B$6,0)</f>
        <v>0.0</v>
      </c>
      <c r="L9" s="8">
        <f>IFERROR(('资产负债表'!K6+'资产负债表'!L6)/2/'利润表'!L8*'导览与假设'!$B$6,0)</f>
        <v>0.0</v>
      </c>
      <c r="M9" s="8">
        <f>IFERROR(('资产负债表'!L6+'资产负债表'!M6)/2/'利润表'!M8*'导览与假设'!$B$6,0)</f>
        <v>0.0</v>
      </c>
      <c r="N9" s="8">
        <f>IFERROR(('资产负债表'!M6+'资产负债表'!N6)/2/'利润表'!N8*'导览与假设'!$B$6,0)</f>
        <v>0.0</v>
      </c>
      <c r="O9" s="8">
        <f>IFERROR(('资产负债表'!N6+'资产负债表'!O6)/2/'利润表'!O8*'导览与假设'!$B$6,0)</f>
        <v>0.0</v>
      </c>
      <c r="P9" s="8">
        <f>IFERROR(('资产负债表'!O6+'资产负债表'!P6)/2/'利润表'!P8*'导览与假设'!$B$6,0)</f>
        <v>0.0</v>
      </c>
      <c r="Q9" s="8">
        <f>IFERROR(('资产负债表'!P6+'资产负债表'!Q6)/2/'利润表'!Q8*'导览与假设'!$B$6,0)</f>
        <v>0.0</v>
      </c>
    </row>
    <row r="10" spans="1:18">
      <c r="A10" s="4" t="s">
        <v>211</v>
      </c>
      <c r="B10" s="8">
        <f>'现金流量表'!B10</f>
        <v>-1.502</v>
      </c>
      <c r="C10" s="8">
        <f>'现金流量表'!C10</f>
        <v>-0.2882</v>
      </c>
      <c r="D10" s="8">
        <f>'现金流量表'!D10</f>
        <v>-0.7333</v>
      </c>
      <c r="E10" s="8">
        <f>'现金流量表'!E10</f>
        <v>-0.3172</v>
      </c>
      <c r="F10" s="8">
        <f>'现金流量表'!F10</f>
        <v>0.3993</v>
      </c>
      <c r="G10" s="8">
        <f>'现金流量表'!G10</f>
        <v>1.6493</v>
      </c>
      <c r="H10" s="8">
        <f>'现金流量表'!H10</f>
        <v>3.0657</v>
      </c>
      <c r="I10" s="8">
        <f>'现金流量表'!I10</f>
        <v>4.2461</v>
      </c>
      <c r="J10" s="8">
        <f>'现金流量表'!J10</f>
        <v>5.684</v>
      </c>
      <c r="K10" s="8">
        <f>'现金流量表'!K10</f>
        <v>6.8921</v>
      </c>
      <c r="L10" s="8">
        <f>'现金流量表'!L10</f>
        <v>9.416</v>
      </c>
      <c r="M10" s="8">
        <f>'现金流量表'!M10</f>
        <v>13.4018</v>
      </c>
      <c r="N10" s="8">
        <f>'现金流量表'!N10</f>
        <v>19.2872</v>
      </c>
      <c r="O10" s="8">
        <f>'现金流量表'!O10</f>
        <v>28.2985</v>
      </c>
      <c r="P10" s="8">
        <f>'现金流量表'!P10</f>
        <v>39.6457</v>
      </c>
      <c r="Q10" s="8">
        <f>'现金流量表'!Q10</f>
        <v>46.7758</v>
      </c>
    </row>
    <row r="11" spans="1:18">
      <c r="A11" s="4" t="s">
        <v>212</v>
      </c>
      <c r="B11" s="8">
        <f>B10+'现金流量表'!B12</f>
        <v>-3.002</v>
      </c>
      <c r="C11" s="8">
        <f>C10+'现金流量表'!C12</f>
        <v>-1.7882</v>
      </c>
      <c r="D11" s="8">
        <f>D10+'现金流量表'!D12</f>
        <v>-2.2333</v>
      </c>
      <c r="E11" s="8">
        <f>E10+'现金流量表'!E12</f>
        <v>-1.8172</v>
      </c>
      <c r="F11" s="8">
        <f>F10+'现金流量表'!F12</f>
        <v>-1.1007</v>
      </c>
      <c r="G11" s="8">
        <f>G10+'现金流量表'!G12</f>
        <v>0.1493</v>
      </c>
      <c r="H11" s="8">
        <f>H10+'现金流量表'!H12</f>
        <v>0.06570000000000009</v>
      </c>
      <c r="I11" s="8">
        <f>I10+'现金流量表'!I12</f>
        <v>1.2461000000000002</v>
      </c>
      <c r="J11" s="8">
        <f>J10+'现金流量表'!J12</f>
        <v>4.184</v>
      </c>
      <c r="K11" s="8">
        <f>K10+'现金流量表'!K12</f>
        <v>5.3921</v>
      </c>
      <c r="L11" s="8">
        <f>L10+'现金流量表'!L12</f>
        <v>7.916</v>
      </c>
      <c r="M11" s="8">
        <f>M10+'现金流量表'!M12</f>
        <v>11.9018</v>
      </c>
      <c r="N11" s="8">
        <f>N10+'现金流量表'!N12</f>
        <v>17.7872</v>
      </c>
      <c r="O11" s="8">
        <f>O10+'现金流量表'!O12</f>
        <v>26.7985</v>
      </c>
      <c r="P11" s="8">
        <f>P10+'现金流量表'!P12</f>
        <v>38.1457</v>
      </c>
      <c r="Q11" s="8">
        <f>Q10+'现金流量表'!Q12</f>
        <v>45.2758</v>
      </c>
    </row>
    <row r="12" spans="1:18">
      <c r="A12" s="4" t="s">
        <v>213</v>
      </c>
      <c r="B12" s="8">
        <f>'资产负债表'!B5</f>
        <v>6.998</v>
      </c>
      <c r="C12" s="8">
        <f>'资产负债表'!C5</f>
        <v>5.2098</v>
      </c>
      <c r="D12" s="8">
        <f>'资产负债表'!D5</f>
        <v>2.9765</v>
      </c>
      <c r="E12" s="8">
        <f>'资产负债表'!E5</f>
        <v>3.1592</v>
      </c>
      <c r="F12" s="8">
        <f>'资产负债表'!F5</f>
        <v>3.0585</v>
      </c>
      <c r="G12" s="8">
        <f>'资产负债表'!G5</f>
        <v>3.2078</v>
      </c>
      <c r="H12" s="8">
        <f>'资产负债表'!H5</f>
        <v>3.2734</v>
      </c>
      <c r="I12" s="8">
        <f>'资产负债表'!I5</f>
        <v>4.5195</v>
      </c>
      <c r="J12" s="8">
        <f>'资产负债表'!J5</f>
        <v>6.7035</v>
      </c>
      <c r="K12" s="8">
        <f>'资产负债表'!K5</f>
        <v>8.0956</v>
      </c>
      <c r="L12" s="8">
        <f>'资产负债表'!L5</f>
        <v>13.0117</v>
      </c>
      <c r="M12" s="8">
        <f>'资产负债表'!M5</f>
        <v>24.9135</v>
      </c>
      <c r="N12" s="8">
        <f>'资产负债表'!N5</f>
        <v>42.7007</v>
      </c>
      <c r="O12" s="8">
        <f>'资产负债表'!O5</f>
        <v>69.4992</v>
      </c>
      <c r="P12" s="8">
        <f>'资产负债表'!P5</f>
        <v>107.6449</v>
      </c>
      <c r="Q12" s="8">
        <f>'资产负债表'!Q5</f>
        <v>152.9207</v>
      </c>
    </row>
    <row r="13" spans="1:18">
      <c r="A13" s="4" t="s">
        <v>214</v>
      </c>
      <c r="B13" s="8">
        <f>'资产负债表'!B12-'资产负债表'!B5</f>
        <v>-0.9980000000000002</v>
      </c>
      <c r="C13" s="8">
        <f>'资产负债表'!C12-'资产负债表'!C5</f>
        <v>0.7901999999999996</v>
      </c>
      <c r="D13" s="8">
        <f>'资产负债表'!D12-'资产负债表'!D5</f>
        <v>3.0235</v>
      </c>
      <c r="E13" s="8">
        <f>'资产负债表'!E12-'资产负债表'!E5</f>
        <v>4.8408</v>
      </c>
      <c r="F13" s="8">
        <f>'资产负债表'!F12-'资产负债表'!F5</f>
        <v>5.9415</v>
      </c>
      <c r="G13" s="8">
        <f>'资产负债表'!G12-'资产负债表'!G5</f>
        <v>5.792199999999999</v>
      </c>
      <c r="H13" s="8">
        <f>'资产负债表'!H12-'资产负债表'!H5</f>
        <v>5.7265999999999995</v>
      </c>
      <c r="I13" s="8">
        <f>'资产负债表'!I12-'资产负债表'!I5</f>
        <v>4.4805</v>
      </c>
      <c r="J13" s="8">
        <f>'资产负债表'!J12-'资产负债表'!J5</f>
        <v>0.2965</v>
      </c>
      <c r="K13" s="8">
        <f>'资产负债表'!K12-'资产负债表'!K5</f>
        <v>-5.095599999999999</v>
      </c>
      <c r="L13" s="8">
        <f>'资产负债表'!L12-'资产负债表'!L5</f>
        <v>-13.0117</v>
      </c>
      <c r="M13" s="8">
        <f>'资产负债表'!M12-'资产负债表'!M5</f>
        <v>-24.9135</v>
      </c>
      <c r="N13" s="8">
        <f>'资产负债表'!N12-'资产负债表'!N5</f>
        <v>-42.7007</v>
      </c>
      <c r="O13" s="8">
        <f>'资产负债表'!O12-'资产负债表'!O5</f>
        <v>-69.4992</v>
      </c>
      <c r="P13" s="8">
        <f>'资产负债表'!P12-'资产负债表'!P5</f>
        <v>-107.6449</v>
      </c>
      <c r="Q13" s="8">
        <f>'资产负债表'!Q12-'资产负债表'!Q5</f>
        <v>-152.9207</v>
      </c>
    </row>
    <row r="14" spans="1:18">
      <c r="A14" s="4" t="s">
        <v>179</v>
      </c>
      <c r="B14" s="8">
        <f>'资产负债表'!B13</f>
        <v>31.0452</v>
      </c>
      <c r="C14" s="8">
        <f>'资产负债表'!C13</f>
        <v>28.2098</v>
      </c>
      <c r="D14" s="8">
        <f>'资产负债表'!D13</f>
        <v>25.4765</v>
      </c>
      <c r="E14" s="8">
        <f>'资产负债表'!E13</f>
        <v>23.1592</v>
      </c>
      <c r="F14" s="8">
        <f>'资产负债表'!F13</f>
        <v>21.4835</v>
      </c>
      <c r="G14" s="8">
        <f>'资产负债表'!G13</f>
        <v>20.9828</v>
      </c>
      <c r="H14" s="8">
        <f>'资产负债表'!H13</f>
        <v>21.8234</v>
      </c>
      <c r="I14" s="8">
        <f>'资产负债表'!I13</f>
        <v>23.7695</v>
      </c>
      <c r="J14" s="8">
        <f>'资产负债表'!J13</f>
        <v>27.0785</v>
      </c>
      <c r="K14" s="8">
        <f>'资产负债表'!K13</f>
        <v>31.5206</v>
      </c>
      <c r="L14" s="8">
        <f>'资产负债表'!L13</f>
        <v>38.3367</v>
      </c>
      <c r="M14" s="8">
        <f>'资产负债表'!M13</f>
        <v>48.9885</v>
      </c>
      <c r="N14" s="8">
        <f>'资产负债表'!N13</f>
        <v>65.4507</v>
      </c>
      <c r="O14" s="8">
        <f>'资产负债表'!O13</f>
        <v>90.8492</v>
      </c>
      <c r="P14" s="8">
        <f>'资产负债表'!P13</f>
        <v>127.5199</v>
      </c>
      <c r="Q14" s="8">
        <f>'资产负债表'!Q13</f>
        <v>171.2457</v>
      </c>
    </row>
    <row r="15" spans="1:18">
      <c r="A15" s="4" t="s">
        <v>215</v>
      </c>
      <c r="B15" s="9">
        <f>IFERROR(B6/(('导览与假设'!$B$13+B14)/2),0)</f>
        <v>-0.11862095713671043</v>
      </c>
      <c r="C15" s="9">
        <f>IFERROR(C6/(('资产负债表'!B13+C14)/2),0)</f>
        <v>-0.09570162855455235</v>
      </c>
      <c r="D15" s="9">
        <f>IFERROR(D6/(('资产负债表'!C13+D14)/2),0)</f>
        <v>-0.10182486034612181</v>
      </c>
      <c r="E15" s="9">
        <f>IFERROR(E6/(('资产负债表'!D13+E14)/2),0)</f>
        <v>-0.09528802916376243</v>
      </c>
      <c r="F15" s="9">
        <f>IFERROR(F6/(('资产负债表'!E13+F14)/2),0)</f>
        <v>-0.07507162425211737</v>
      </c>
      <c r="G15" s="9">
        <f>IFERROR(G6/(('资产负债表'!F13+G14)/2),0)</f>
        <v>-0.023581051327758715</v>
      </c>
      <c r="H15" s="9">
        <f>IFERROR(H6/(('资产负债表'!G13+H14)/2),0)</f>
        <v>0.03927935672869817</v>
      </c>
      <c r="I15" s="9">
        <f>IFERROR(I6/(('资产负债表'!H13+I14)/2),0)</f>
        <v>0.08536855519170748</v>
      </c>
      <c r="J15" s="9">
        <f>IFERROR(J6/(('资产负债表'!I13+J14)/2),0)</f>
        <v>0.13015261170547515</v>
      </c>
      <c r="K15" s="9">
        <f>IFERROR(K6/(('资产负债表'!J13+K14)/2),0)</f>
        <v>0.15160983701114863</v>
      </c>
      <c r="L15" s="9">
        <f>IFERROR(L6/(('资产负债表'!K13+L14)/2),0)</f>
        <v>0.19514066532774668</v>
      </c>
      <c r="M15" s="9">
        <f>IFERROR(M6/(('资产负债表'!L13+M14)/2),0)</f>
        <v>0.2439570708111748</v>
      </c>
      <c r="N15" s="9">
        <f>IFERROR(N6/(('资产负债表'!M13+N14)/2),0)</f>
        <v>0.2877021160581339</v>
      </c>
      <c r="O15" s="9">
        <f>IFERROR(O6/(('资产负债表'!N13+O14)/2),0)</f>
        <v>0.3249970089552201</v>
      </c>
      <c r="P15" s="9">
        <f>IFERROR(P6/(('资产负债表'!O13+P14)/2),0)</f>
        <v>0.33585978968636127</v>
      </c>
      <c r="Q15" s="9">
        <f>IFERROR(Q6/(('资产负债表'!P13+Q14)/2),0)</f>
        <v>0.29270973632841263</v>
      </c>
    </row>
    <row r="16" spans="1:18">
      <c r="A16" s="4" t="s">
        <v>216</v>
      </c>
      <c r="B16" s="9">
        <f>B15*'导览与假设'!$B$7</f>
        <v>-0.47448382854684173</v>
      </c>
      <c r="C16" s="9">
        <f>C15*'导览与假设'!$B$7</f>
        <v>-0.3828065142182094</v>
      </c>
      <c r="D16" s="9">
        <f>D15*'导览与假设'!$B$7</f>
        <v>-0.40729944138448726</v>
      </c>
      <c r="E16" s="9">
        <f>E15*'导览与假设'!$B$7</f>
        <v>-0.3811521166550497</v>
      </c>
      <c r="F16" s="9">
        <f>F15*'导览与假设'!$B$7</f>
        <v>-0.3002864970084695</v>
      </c>
      <c r="G16" s="9">
        <f>G15*'导览与假设'!$B$7</f>
        <v>-0.09432420531103486</v>
      </c>
      <c r="H16" s="9">
        <f>H15*'导览与假设'!$B$7</f>
        <v>0.1571174269147927</v>
      </c>
      <c r="I16" s="9">
        <f>I15*'导览与假设'!$B$7</f>
        <v>0.34147422076682993</v>
      </c>
      <c r="J16" s="9">
        <f>J15*'导览与假设'!$B$7</f>
        <v>0.5206104468219006</v>
      </c>
      <c r="K16" s="9">
        <f>K15*'导览与假设'!$B$7</f>
        <v>0.6064393480445945</v>
      </c>
      <c r="L16" s="9">
        <f>L15*'导览与假设'!$B$7</f>
        <v>0.7805626613109867</v>
      </c>
      <c r="M16" s="9">
        <f>M15*'导览与假设'!$B$7</f>
        <v>0.9758282832446992</v>
      </c>
      <c r="N16" s="9">
        <f>N15*'导览与假设'!$B$7</f>
        <v>1.1508084642325356</v>
      </c>
      <c r="O16" s="9">
        <f>O15*'导览与假设'!$B$7</f>
        <v>1.2999880358208804</v>
      </c>
      <c r="P16" s="9">
        <f>P15*'导览与假设'!$B$7</f>
        <v>1.343439158745445</v>
      </c>
      <c r="Q16" s="9">
        <f>Q15*'导览与假设'!$B$7</f>
        <v>1.1708389453136505</v>
      </c>
    </row>
    <row r="17" spans="1:17">
      <c r="A17" s="4" t="s">
        <v>217</v>
      </c>
      <c r="B17" s="9">
        <f>'原始数据'!B5</f>
        <v>0.7</v>
      </c>
      <c r="C17" s="9">
        <f>'原始数据'!C5</f>
        <v>0.55</v>
      </c>
      <c r="D17" s="9">
        <f>'原始数据'!D5</f>
        <v>0.65</v>
      </c>
      <c r="E17" s="9">
        <f>'原始数据'!E5</f>
        <v>0.72</v>
      </c>
      <c r="F17" s="9">
        <f>'原始数据'!F5</f>
        <v>0.8</v>
      </c>
      <c r="G17" s="9">
        <f>'原始数据'!G5</f>
        <v>0.9</v>
      </c>
      <c r="H17" s="9">
        <f>'原始数据'!H5</f>
        <v>1.0</v>
      </c>
      <c r="I17" s="9">
        <f>'原始数据'!I5</f>
        <v>1.0</v>
      </c>
      <c r="J17" s="9">
        <f>'原始数据'!J5</f>
        <v>1.0</v>
      </c>
      <c r="K17" s="9">
        <f>'原始数据'!K5</f>
        <v>1.0</v>
      </c>
      <c r="L17" s="9">
        <f>'原始数据'!L5</f>
        <v>1.0</v>
      </c>
      <c r="M17" s="9">
        <f>'原始数据'!M5</f>
        <v>1.0</v>
      </c>
      <c r="N17" s="9">
        <f>'原始数据'!N5</f>
        <v>1.0</v>
      </c>
      <c r="O17" s="9">
        <f>'原始数据'!O5</f>
        <v>1.0</v>
      </c>
      <c r="P17" s="9">
        <f>'原始数据'!P5</f>
        <v>1.0</v>
      </c>
      <c r="Q17" s="9">
        <f>'原始数据'!Q5</f>
        <v>1.0</v>
      </c>
    </row>
    <row r="18" spans="1:17">
      <c r="A18" s="4" t="s">
        <v>218</v>
      </c>
      <c r="B18" s="8">
        <f>'原始数据'!B47</f>
        <v>30.0</v>
      </c>
      <c r="C18" s="8">
        <f>'原始数据'!C47</f>
        <v>0.0</v>
      </c>
      <c r="D18" s="8">
        <f>'原始数据'!D47</f>
        <v>0.0</v>
      </c>
      <c r="E18" s="8">
        <f>'原始数据'!E47</f>
        <v>0.0</v>
      </c>
      <c r="F18" s="8">
        <f>'原始数据'!F47</f>
        <v>0.0</v>
      </c>
      <c r="G18" s="8">
        <f>'原始数据'!G47</f>
        <v>0.0</v>
      </c>
      <c r="H18" s="8">
        <f>'原始数据'!H47</f>
        <v>0.0</v>
      </c>
      <c r="I18" s="8">
        <f>'原始数据'!I47</f>
        <v>0.0</v>
      </c>
      <c r="J18" s="8">
        <f>'原始数据'!J47</f>
        <v>0.0</v>
      </c>
      <c r="K18" s="8">
        <f>'原始数据'!K47</f>
        <v>0.0</v>
      </c>
      <c r="L18" s="8">
        <f>'原始数据'!L47</f>
        <v>0.0</v>
      </c>
      <c r="M18" s="8">
        <f>'原始数据'!M47</f>
        <v>0.0</v>
      </c>
      <c r="N18" s="8">
        <f>'原始数据'!N47</f>
        <v>0.0</v>
      </c>
      <c r="O18" s="8">
        <f>'原始数据'!O47</f>
        <v>0.0</v>
      </c>
      <c r="P18" s="8">
        <f>'原始数据'!P47</f>
        <v>0.0</v>
      </c>
      <c r="Q18" s="8">
        <f>'原始数据'!Q47</f>
        <v>0.0</v>
      </c>
    </row>
    <row r="19" spans="1:17">
      <c r="A19" s="4" t="s">
        <v>219</v>
      </c>
      <c r="B19" s="8">
        <f>'原始数据'!B16</f>
        <v>0.0</v>
      </c>
      <c r="C19" s="8">
        <f>'原始数据'!C16</f>
        <v>0.0</v>
      </c>
      <c r="D19" s="8">
        <f>'原始数据'!D16</f>
        <v>0.0</v>
      </c>
      <c r="E19" s="8">
        <f>'原始数据'!E16</f>
        <v>10.8</v>
      </c>
      <c r="F19" s="8">
        <f>'原始数据'!F16</f>
        <v>12.0</v>
      </c>
      <c r="G19" s="8">
        <f>'原始数据'!G16</f>
        <v>18.9</v>
      </c>
      <c r="H19" s="8">
        <f>'原始数据'!H16</f>
        <v>27.0</v>
      </c>
      <c r="I19" s="8">
        <f>'原始数据'!I16</f>
        <v>36.0</v>
      </c>
      <c r="J19" s="8">
        <f>'原始数据'!J16</f>
        <v>50.0</v>
      </c>
      <c r="K19" s="8">
        <f>'原始数据'!K16</f>
        <v>63.0</v>
      </c>
      <c r="L19" s="8">
        <f>'原始数据'!L16</f>
        <v>75.0</v>
      </c>
      <c r="M19" s="8">
        <f>'原始数据'!M16</f>
        <v>91.0</v>
      </c>
      <c r="N19" s="8">
        <f>'原始数据'!N16</f>
        <v>110.0</v>
      </c>
      <c r="O19" s="8">
        <f>'原始数据'!O16</f>
        <v>130.0</v>
      </c>
      <c r="P19" s="8">
        <f>'原始数据'!P16</f>
        <v>160.0</v>
      </c>
      <c r="Q19" s="8">
        <f>'原始数据'!Q16</f>
        <v>180.0</v>
      </c>
    </row>
    <row r="20" spans="1:17">
      <c r="A20" s="4" t="s">
        <v>220</v>
      </c>
      <c r="B20" s="8">
        <f>'原始数据'!B18</f>
        <v>0.0</v>
      </c>
      <c r="C20" s="8">
        <f>'原始数据'!C18</f>
        <v>0.0</v>
      </c>
      <c r="D20" s="8">
        <f>'原始数据'!D18</f>
        <v>0.0</v>
      </c>
      <c r="E20" s="8">
        <f>'原始数据'!E18</f>
        <v>8</v>
      </c>
      <c r="F20" s="8">
        <f>'原始数据'!F18</f>
        <v>12.0</v>
      </c>
      <c r="G20" s="8">
        <f>'原始数据'!G18</f>
        <v>18</v>
      </c>
      <c r="H20" s="8">
        <f>'原始数据'!H18</f>
        <v>26</v>
      </c>
      <c r="I20" s="8">
        <f>'原始数据'!I18</f>
        <v>36.0</v>
      </c>
      <c r="J20" s="8">
        <f>'原始数据'!J18</f>
        <v>48</v>
      </c>
      <c r="K20" s="8">
        <f>'原始数据'!K18</f>
        <v>60</v>
      </c>
      <c r="L20" s="8">
        <f>'原始数据'!L18</f>
        <v>74</v>
      </c>
      <c r="M20" s="8">
        <f>'原始数据'!M18</f>
        <v>90</v>
      </c>
      <c r="N20" s="8">
        <f>'原始数据'!N18</f>
        <v>110</v>
      </c>
      <c r="O20" s="8">
        <f>'原始数据'!O18</f>
        <v>130.0</v>
      </c>
      <c r="P20" s="8">
        <f>'原始数据'!P18</f>
        <v>160</v>
      </c>
      <c r="Q20" s="8">
        <f>'原始数据'!Q18</f>
        <v>180.0</v>
      </c>
    </row>
    <row r="21" spans="1:17">
      <c r="A21" s="4" t="s">
        <v>221</v>
      </c>
      <c r="B21" s="8">
        <f>B19-B20</f>
        <v>0.0</v>
      </c>
      <c r="C21" s="8">
        <f>C19-C20</f>
        <v>0.0</v>
      </c>
      <c r="D21" s="8">
        <f>D19-D20</f>
        <v>0.0</v>
      </c>
      <c r="E21" s="8">
        <f>E19-E20</f>
        <v>2.8000000000000007</v>
      </c>
      <c r="F21" s="8">
        <f>F19-F20</f>
        <v>0.0</v>
      </c>
      <c r="G21" s="8">
        <f>G19-G20</f>
        <v>0.8999999999999986</v>
      </c>
      <c r="H21" s="8">
        <f>H19-H20</f>
        <v>1.0</v>
      </c>
      <c r="I21" s="8">
        <f>I19-I20</f>
        <v>0.0</v>
      </c>
      <c r="J21" s="8">
        <f>J19-J20</f>
        <v>2.0</v>
      </c>
      <c r="K21" s="8">
        <f>K19-K20</f>
        <v>3.0</v>
      </c>
      <c r="L21" s="8">
        <f>L19-L20</f>
        <v>1.0</v>
      </c>
      <c r="M21" s="8">
        <f>M19-M20</f>
        <v>1.0</v>
      </c>
      <c r="N21" s="8">
        <f>N19-N20</f>
        <v>0.0</v>
      </c>
      <c r="O21" s="8">
        <f>O19-O20</f>
        <v>0.0</v>
      </c>
      <c r="P21" s="8">
        <f>P19-P20</f>
        <v>0.0</v>
      </c>
      <c r="Q21" s="8">
        <f>Q19-Q20</f>
        <v>0.0</v>
      </c>
    </row>
    <row r="22" spans="1:17">
      <c r="A22" s="4" t="s">
        <v>222</v>
      </c>
      <c r="B22" s="8">
        <f>SUM($B6:B6)</f>
        <v>-3.9148</v>
      </c>
      <c r="C22" s="8">
        <f>SUM($B6:C6)</f>
        <v>-6.7501999999999995</v>
      </c>
      <c r="D22" s="8">
        <f>SUM($B6:D6)</f>
        <v>-9.4835</v>
      </c>
      <c r="E22" s="8">
        <f>SUM($B6:E6)</f>
        <v>-11.800699999999999</v>
      </c>
      <c r="F22" s="8">
        <f>SUM($B6:F6)</f>
        <v>-13.4764</v>
      </c>
      <c r="G22" s="8">
        <f>SUM($B6:G6)</f>
        <v>-13.9771</v>
      </c>
      <c r="H22" s="8">
        <f>SUM($B6:H6)</f>
        <v>-13.1364</v>
      </c>
      <c r="I22" s="8">
        <f>SUM($B6:I6)</f>
        <v>-11.1903</v>
      </c>
      <c r="J22" s="8">
        <f>SUM($B6:J6)</f>
        <v>-7.8812999999999995</v>
      </c>
      <c r="K22" s="8">
        <f>SUM($B6:K6)</f>
        <v>-3.4392</v>
      </c>
      <c r="L22" s="8">
        <f>SUM($B6:L6)</f>
        <v>3.3768</v>
      </c>
      <c r="M22" s="8">
        <f>SUM($B6:M6)</f>
        <v>14.028599999999999</v>
      </c>
      <c r="N22" s="8">
        <f>SUM($B6:N6)</f>
        <v>30.4908</v>
      </c>
      <c r="O22" s="8">
        <f>SUM($B6:O6)</f>
        <v>55.8893</v>
      </c>
      <c r="P22" s="8">
        <f>SUM($B6:P6)</f>
        <v>92.55999999999999</v>
      </c>
      <c r="Q22" s="8">
        <f>SUM($B6:Q6)</f>
        <v>136.2858</v>
      </c>
    </row>
    <row r="24" spans="1:17">
      <c r="A24" s="4" t="s">
        <v>223</v>
      </c>
      <c r="B24" s="8">
        <f>B5*(1-'导览与假设'!$B$8)</f>
        <v>3.6864</v>
      </c>
      <c r="C24" s="8">
        <f>C5*(1-'导览与假设'!$B$8)</f>
        <v>2.0966400000000003</v>
      </c>
      <c r="D24" s="8">
        <f>D5*(1-'导览与假设'!$B$8)</f>
        <v>1.8719999999999999</v>
      </c>
      <c r="E24" s="8">
        <f>E5*(1-'导览与假设'!$B$8)</f>
        <v>2.30312</v>
      </c>
      <c r="F24" s="8">
        <f>F5*(1-'导览与假设'!$B$8)</f>
        <v>2.9952000000000005</v>
      </c>
      <c r="G24" s="8">
        <f>G5*(1-'导览与假设'!$B$8)</f>
        <v>4.12784</v>
      </c>
      <c r="H24" s="8">
        <f>H5*(1-'导览与假设'!$B$8)</f>
        <v>5.4987200000000005</v>
      </c>
      <c r="I24" s="8">
        <f>I5*(1-'导览与假设'!$B$8)</f>
        <v>6.5986400000000005</v>
      </c>
      <c r="J24" s="8">
        <f>J5*(1-'导览与假设'!$B$8)</f>
        <v>7.933440000000001</v>
      </c>
      <c r="K24" s="8">
        <f>K5*(1-'导览与假设'!$B$8)</f>
        <v>9.02192</v>
      </c>
      <c r="L24" s="8">
        <f>L5*(1-'导览与假设'!$B$8)</f>
        <v>11.369280000000002</v>
      </c>
      <c r="M24" s="8">
        <f>M5*(1-'导览与假设'!$B$8)</f>
        <v>15.082</v>
      </c>
      <c r="N24" s="8">
        <f>N5*(1-'导览与假设'!$B$8)</f>
        <v>20.5344</v>
      </c>
      <c r="O24" s="8">
        <f>O5*(1-'导览与假设'!$B$8)</f>
        <v>28.891199999999998</v>
      </c>
      <c r="P24" s="8">
        <f>P5*(1-'导览与假设'!$B$8)</f>
        <v>39.3888</v>
      </c>
      <c r="Q24" s="8">
        <f>Q5*(1-'导览与假设'!$B$8)</f>
        <v>45.8448</v>
      </c>
    </row>
    <row r="25" spans="1:17">
      <c r="A25" s="4" t="s">
        <v>224</v>
      </c>
      <c r="B25" s="8">
        <f>B24-'利润表'!B8-'利润表'!B10-'利润表'!B11-'利润表'!B13</f>
        <v>-4.836399999999999</v>
      </c>
      <c r="C25" s="8">
        <f>C24-'利润表'!C8-'利润表'!C10-'利润表'!C11-'利润表'!C13</f>
        <v>-3.35956</v>
      </c>
      <c r="D25" s="8">
        <f>D24-'利润表'!D8-'利润表'!D10-'利润表'!D11-'利润表'!D13</f>
        <v>-3.2013000000000003</v>
      </c>
      <c r="E25" s="8">
        <f>E24-'利润表'!E8-'利润表'!E10-'利润表'!E11-'利润表'!E13</f>
        <v>-2.89308</v>
      </c>
      <c r="F25" s="8">
        <f>F24-'利润表'!F8-'利润表'!F10-'利润表'!F11-'利润表'!F13</f>
        <v>-2.4244999999999997</v>
      </c>
      <c r="G25" s="8">
        <f>G24-'利润表'!G8-'利润表'!G10-'利润表'!G11-'利润表'!G13</f>
        <v>-1.5326600000000001</v>
      </c>
      <c r="H25" s="8">
        <f>H24-'利润表'!H8-'利润表'!H10-'利润表'!H11-'利润表'!H13</f>
        <v>-0.3855799999999992</v>
      </c>
      <c r="I25" s="8">
        <f>I24-'利润表'!I8-'利润表'!I10-'利润表'!I11-'利润表'!I13</f>
        <v>0.6398400000000006</v>
      </c>
      <c r="J25" s="8">
        <f>J24-'利润表'!J8-'利润表'!J10-'利润表'!J11-'利润表'!J13</f>
        <v>1.9096400000000011</v>
      </c>
      <c r="K25" s="8">
        <f>K24-'利润表'!K8-'利润表'!K10-'利润表'!K11-'利润表'!K13</f>
        <v>2.9705199999999996</v>
      </c>
      <c r="L25" s="8">
        <f>L24-'利润表'!L8-'利润表'!L10-'利润表'!L11-'利润表'!L13</f>
        <v>5.176580000000002</v>
      </c>
      <c r="M25" s="8">
        <f>M24-'利润表'!M8-'利润表'!M10-'利润表'!M11-'利润表'!M13</f>
        <v>8.7611</v>
      </c>
      <c r="N25" s="8">
        <f>N24-'利润表'!N8-'利润表'!N10-'利润表'!N11-'利润表'!N13</f>
        <v>14.2337</v>
      </c>
      <c r="O25" s="8">
        <f>O24-'利润表'!O8-'利润表'!O10-'利润表'!O11-'利润表'!O13</f>
        <v>22.657799999999998</v>
      </c>
      <c r="P25" s="8">
        <f>P24-'利润表'!P8-'利润表'!P10-'利润表'!P11-'利润表'!P13</f>
        <v>33.2948</v>
      </c>
      <c r="Q25" s="8">
        <f>Q24-'利润表'!Q8-'利润表'!Q10-'利润表'!Q11-'利润表'!Q13</f>
        <v>39.981</v>
      </c>
    </row>
    <row r="26" spans="1:17">
      <c r="A26" s="4" t="s">
        <v>225</v>
      </c>
      <c r="B26" s="8">
        <f>B25-MAX(B25,0)*'导览与假设'!$B$9</f>
        <v>-4.836399999999999</v>
      </c>
      <c r="C26" s="8">
        <f>C25-MAX(C25,0)*'导览与假设'!$B$9</f>
        <v>-3.35956</v>
      </c>
      <c r="D26" s="8">
        <f>D25-MAX(D25,0)*'导览与假设'!$B$9</f>
        <v>-3.2013000000000003</v>
      </c>
      <c r="E26" s="8">
        <f>E25-MAX(E25,0)*'导览与假设'!$B$9</f>
        <v>-2.89308</v>
      </c>
      <c r="F26" s="8">
        <f>F25-MAX(F25,0)*'导览与假设'!$B$9</f>
        <v>-2.4244999999999997</v>
      </c>
      <c r="G26" s="8">
        <f>G25-MAX(G25,0)*'导览与假设'!$B$9</f>
        <v>-1.5326600000000001</v>
      </c>
      <c r="H26" s="8">
        <f>H25-MAX(H25,0)*'导览与假设'!$B$9</f>
        <v>-0.3855799999999992</v>
      </c>
      <c r="I26" s="8">
        <f>I25-MAX(I25,0)*'导览与假设'!$B$9</f>
        <v>0.5438640000000006</v>
      </c>
      <c r="J26" s="8">
        <f>J25-MAX(J25,0)*'导览与假设'!$B$9</f>
        <v>1.623194000000001</v>
      </c>
      <c r="K26" s="8">
        <f>K25-MAX(K25,0)*'导览与假设'!$B$9</f>
        <v>2.524942</v>
      </c>
      <c r="L26" s="8">
        <f>L25-MAX(L25,0)*'导览与假设'!$B$9</f>
        <v>4.400093000000002</v>
      </c>
      <c r="M26" s="8">
        <f>M25-MAX(M25,0)*'导览与假设'!$B$9</f>
        <v>7.446935000000001</v>
      </c>
      <c r="N26" s="8">
        <f>N25-MAX(N25,0)*'导览与假设'!$B$9</f>
        <v>12.098645000000001</v>
      </c>
      <c r="O26" s="8">
        <f>O25-MAX(O25,0)*'导览与假设'!$B$9</f>
        <v>19.25913</v>
      </c>
      <c r="P26" s="8">
        <f>P25-MAX(P25,0)*'导览与假设'!$B$9</f>
        <v>28.300580000000004</v>
      </c>
      <c r="Q26" s="8">
        <f>Q25-MAX(Q25,0)*'导览与假设'!$B$9</f>
        <v>33.983850000000004</v>
      </c>
    </row>
    <row r="27" spans="1:17">
      <c r="A27" s="4" t="s">
        <v>226</v>
      </c>
      <c r="B27" s="8">
        <f>B10+B26-B6</f>
        <v>-2.423599999999999</v>
      </c>
      <c r="C27" s="8">
        <f>C10+C26-C6</f>
        <v>-0.81236</v>
      </c>
      <c r="D27" s="8">
        <f>D10+D26-D6</f>
        <v>-1.2013000000000003</v>
      </c>
      <c r="E27" s="8">
        <f>E10+E26-E6</f>
        <v>-0.8930799999999999</v>
      </c>
      <c r="F27" s="8">
        <f>F10+F26-F6</f>
        <v>-0.3494999999999999</v>
      </c>
      <c r="G27" s="8">
        <f>G10+G26-G6</f>
        <v>0.6173399999999999</v>
      </c>
      <c r="H27" s="8">
        <f>H10+H26-H6</f>
        <v>1.839420000000001</v>
      </c>
      <c r="I27" s="8">
        <f>I10+I26-I6</f>
        <v>2.8438640000000013</v>
      </c>
      <c r="J27" s="8">
        <f>J10+J26-J6</f>
        <v>3.9981940000000007</v>
      </c>
      <c r="K27" s="8">
        <f>K10+K26-K6</f>
        <v>4.974942</v>
      </c>
      <c r="L27" s="8">
        <f>L10+L26-L6</f>
        <v>7.000093000000002</v>
      </c>
      <c r="M27" s="8">
        <f>M10+M26-M6</f>
        <v>10.196935000000002</v>
      </c>
      <c r="N27" s="8">
        <f>N10+N26-N6</f>
        <v>14.923645</v>
      </c>
      <c r="O27" s="8">
        <f>O10+O26-O6</f>
        <v>22.159130000000005</v>
      </c>
      <c r="P27" s="8">
        <f>P10+P26-P6</f>
        <v>31.275580000000005</v>
      </c>
      <c r="Q27" s="8">
        <f>Q10+Q26-Q6</f>
        <v>37.033849999999994</v>
      </c>
    </row>
    <row r="28" spans="1:17">
      <c r="A28" s="4" t="s">
        <v>227</v>
      </c>
      <c r="B28" s="8">
        <f>B12-'导览与假设'!$B$10</f>
        <v>3.998</v>
      </c>
      <c r="C28" s="8">
        <f>C12-'导览与假设'!$B$10</f>
        <v>2.2098000000000004</v>
      </c>
      <c r="D28" s="8">
        <f>D12-'导览与假设'!$B$10</f>
        <v>-0.023499999999999854</v>
      </c>
      <c r="E28" s="8">
        <f>E12-'导览与假设'!$B$10</f>
        <v>0.1591999999999998</v>
      </c>
      <c r="F28" s="8">
        <f>F12-'导览与假设'!$B$10</f>
        <v>0.058499999999999996</v>
      </c>
      <c r="G28" s="8">
        <f>G12-'导览与假设'!$B$10</f>
        <v>0.2078000000000002</v>
      </c>
      <c r="H28" s="8">
        <f>H12-'导览与假设'!$B$10</f>
        <v>0.2734000000000001</v>
      </c>
      <c r="I28" s="8">
        <f>I12-'导览与假设'!$B$10</f>
        <v>1.5194999999999999</v>
      </c>
      <c r="J28" s="8">
        <f>J12-'导览与假设'!$B$10</f>
        <v>3.7035</v>
      </c>
      <c r="K28" s="8">
        <f>K12-'导览与假设'!$B$10</f>
        <v>5.095599999999999</v>
      </c>
      <c r="L28" s="8">
        <f>L12-'导览与假设'!$B$10</f>
        <v>10.0117</v>
      </c>
      <c r="M28" s="8">
        <f>M12-'导览与假设'!$B$10</f>
        <v>21.9135</v>
      </c>
      <c r="N28" s="8">
        <f>N12-'导览与假设'!$B$10</f>
        <v>39.7007</v>
      </c>
      <c r="O28" s="8">
        <f>O12-'导览与假设'!$B$10</f>
        <v>66.4992</v>
      </c>
      <c r="P28" s="8">
        <f>P12-'导览与假设'!$B$10</f>
        <v>104.6449</v>
      </c>
      <c r="Q28" s="8">
        <f>Q12-'导览与假设'!$B$10</f>
        <v>149.9207</v>
      </c>
    </row>
    <row r="50" spans="9:17">
      <c r="I50" s="2" t="s">
        <v>228</v>
      </c>
      <c r="J50" s="2"/>
      <c r="K50" s="2"/>
      <c r="L50" s="2"/>
      <c r="M50" s="2"/>
      <c r="N50" s="2"/>
      <c r="O50" s="2"/>
      <c r="P50" s="2"/>
      <c r="Q50" s="2"/>
    </row>
    <row r="51" spans="9:17">
      <c r="I51" s="2"/>
      <c r="J51" s="2"/>
      <c r="K51" s="2"/>
      <c r="L51" s="2"/>
      <c r="M51" s="2"/>
      <c r="N51" s="2"/>
      <c r="O51" s="2"/>
      <c r="P51" s="2"/>
      <c r="Q51" s="2"/>
    </row>
    <row r="52" spans="9:17">
      <c r="I52" s="2"/>
      <c r="J52" s="2"/>
      <c r="K52" s="2"/>
      <c r="L52" s="2"/>
      <c r="M52" s="2"/>
      <c r="N52" s="2"/>
      <c r="O52" s="2"/>
      <c r="P52" s="2"/>
      <c r="Q52" s="2"/>
    </row>
    <row r="53" spans="9:17">
      <c r="I53" s="2"/>
      <c r="J53" s="2"/>
      <c r="K53" s="2"/>
      <c r="L53" s="2"/>
      <c r="M53" s="2"/>
      <c r="N53" s="2"/>
      <c r="O53" s="2"/>
      <c r="P53" s="2"/>
      <c r="Q53" s="2"/>
    </row>
    <row r="54" spans="9:17">
      <c r="I54" s="2"/>
      <c r="J54" s="2"/>
      <c r="K54" s="2"/>
      <c r="L54" s="2"/>
      <c r="M54" s="2"/>
      <c r="N54" s="2"/>
      <c r="O54" s="2"/>
      <c r="P54" s="2"/>
      <c r="Q54" s="2"/>
    </row>
  </sheetData>
  <mergeCells count="3">
    <mergeCell ref="A1:Q2"/>
    <mergeCell ref="A3:Q3"/>
    <mergeCell ref="I50:Q54"/>
  </mergeCells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R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9.7109375" customWidth="1"/>
    <col min="2" max="17" width="13.7109375" customWidth="1"/>
    <col min="18" max="18" width="58.7109375" customWidth="1"/>
  </cols>
  <sheetData>
    <row r="1" spans="1:18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4" t="s">
        <v>143</v>
      </c>
      <c r="B5" s="8">
        <f>'原始数据'!B22</f>
        <v>4.608</v>
      </c>
      <c r="C5" s="8">
        <f>'原始数据'!C22</f>
        <v>2.6208</v>
      </c>
      <c r="D5" s="8">
        <f>'原始数据'!D22</f>
        <v>2.34</v>
      </c>
      <c r="E5" s="8">
        <f>'原始数据'!E22</f>
        <v>2.8789</v>
      </c>
      <c r="F5" s="8">
        <f>'原始数据'!F22</f>
        <v>3.744</v>
      </c>
      <c r="G5" s="8">
        <f>'原始数据'!G22</f>
        <v>5.1598</v>
      </c>
      <c r="H5" s="8">
        <f>'原始数据'!H22</f>
        <v>6.8734</v>
      </c>
      <c r="I5" s="8">
        <f>'原始数据'!I22</f>
        <v>8.2483</v>
      </c>
      <c r="J5" s="8">
        <f>'原始数据'!J22</f>
        <v>9.9168</v>
      </c>
      <c r="K5" s="8">
        <f>'原始数据'!K22</f>
        <v>11.2774</v>
      </c>
      <c r="L5" s="8">
        <f>'原始数据'!L22</f>
        <v>14.2116</v>
      </c>
      <c r="M5" s="8">
        <f>'原始数据'!M22</f>
        <v>18.8525</v>
      </c>
      <c r="N5" s="8">
        <f>'原始数据'!N22</f>
        <v>25.668</v>
      </c>
      <c r="O5" s="8">
        <f>'原始数据'!O22</f>
        <v>36.114</v>
      </c>
      <c r="P5" s="8">
        <f>'原始数据'!P22</f>
        <v>49.236</v>
      </c>
      <c r="Q5" s="8">
        <f>'原始数据'!Q22</f>
        <v>57.306</v>
      </c>
      <c r="R5" s="2" t="s">
        <v>144</v>
      </c>
    </row>
    <row r="6" spans="1:18">
      <c r="A6" s="4" t="s">
        <v>145</v>
      </c>
      <c r="B6" s="8">
        <f>'原始数据'!B23</f>
        <v>4.608</v>
      </c>
      <c r="C6" s="8">
        <f>'原始数据'!C23</f>
        <v>2.6208</v>
      </c>
      <c r="D6" s="8">
        <f>'原始数据'!D23</f>
        <v>2.34</v>
      </c>
      <c r="E6" s="8">
        <f>'原始数据'!E23</f>
        <v>2.6101</v>
      </c>
      <c r="F6" s="8">
        <f>'原始数据'!F23</f>
        <v>3.2832</v>
      </c>
      <c r="G6" s="8">
        <f>'原始数据'!G23</f>
        <v>4.339</v>
      </c>
      <c r="H6" s="8">
        <f>'原始数据'!H23</f>
        <v>5.4382</v>
      </c>
      <c r="I6" s="8">
        <f>'原始数据'!I23</f>
        <v>5.8291</v>
      </c>
      <c r="J6" s="8">
        <f>'原始数据'!J23</f>
        <v>6.0</v>
      </c>
      <c r="K6" s="8">
        <f>'原始数据'!K23</f>
        <v>5.5174</v>
      </c>
      <c r="L6" s="8">
        <f>'原始数据'!L23</f>
        <v>6.042</v>
      </c>
      <c r="M6" s="8">
        <f>'原始数据'!M23</f>
        <v>7.1885</v>
      </c>
      <c r="N6" s="8">
        <f>'原始数据'!N23</f>
        <v>8.772</v>
      </c>
      <c r="O6" s="8">
        <f>'原始数据'!O23</f>
        <v>12.402</v>
      </c>
      <c r="P6" s="8">
        <f>'原始数据'!P23</f>
        <v>15.444</v>
      </c>
      <c r="Q6" s="8">
        <f>'原始数据'!Q23</f>
        <v>15.834</v>
      </c>
      <c r="R6" s="2" t="s">
        <v>146</v>
      </c>
    </row>
    <row r="7" spans="1:18">
      <c r="A7" s="4" t="s">
        <v>147</v>
      </c>
      <c r="B7" s="8">
        <f>'原始数据'!B24</f>
        <v>0.0</v>
      </c>
      <c r="C7" s="8">
        <f>'原始数据'!C24</f>
        <v>0.0</v>
      </c>
      <c r="D7" s="8">
        <f>'原始数据'!D24</f>
        <v>0.0</v>
      </c>
      <c r="E7" s="8">
        <f>'原始数据'!E24</f>
        <v>0.2688</v>
      </c>
      <c r="F7" s="8">
        <f>'原始数据'!F24</f>
        <v>0.4608</v>
      </c>
      <c r="G7" s="8">
        <f>'原始数据'!G24</f>
        <v>0.8208</v>
      </c>
      <c r="H7" s="8">
        <f>'原始数据'!H24</f>
        <v>1.4352</v>
      </c>
      <c r="I7" s="8">
        <f>'原始数据'!I24</f>
        <v>2.4192</v>
      </c>
      <c r="J7" s="8">
        <f>'原始数据'!J24</f>
        <v>3.9168</v>
      </c>
      <c r="K7" s="8">
        <f>'原始数据'!K24</f>
        <v>5.76</v>
      </c>
      <c r="L7" s="8">
        <f>'原始数据'!L24</f>
        <v>8.1696</v>
      </c>
      <c r="M7" s="8">
        <f>'原始数据'!M24</f>
        <v>11.664</v>
      </c>
      <c r="N7" s="8">
        <f>'原始数据'!N24</f>
        <v>16.896</v>
      </c>
      <c r="O7" s="8">
        <f>'原始数据'!O24</f>
        <v>23.712</v>
      </c>
      <c r="P7" s="8">
        <f>'原始数据'!P24</f>
        <v>33.792</v>
      </c>
      <c r="Q7" s="8">
        <f>'原始数据'!Q24</f>
        <v>41.472</v>
      </c>
      <c r="R7" s="2" t="s">
        <v>148</v>
      </c>
    </row>
    <row r="8" spans="1:18">
      <c r="A8" s="4" t="s">
        <v>149</v>
      </c>
      <c r="B8" s="8">
        <f>'原始数据'!B25</f>
        <v>4.4628</v>
      </c>
      <c r="C8" s="8">
        <f>'原始数据'!C25</f>
        <v>4.3722</v>
      </c>
      <c r="D8" s="8">
        <f>'原始数据'!D25</f>
        <v>3.975</v>
      </c>
      <c r="E8" s="8">
        <f>'原始数据'!E25</f>
        <v>4.08</v>
      </c>
      <c r="F8" s="8">
        <f>'原始数据'!F25</f>
        <v>4.275</v>
      </c>
      <c r="G8" s="8">
        <f>'原始数据'!G25</f>
        <v>4.5</v>
      </c>
      <c r="H8" s="8">
        <f>'原始数据'!H25</f>
        <v>4.725</v>
      </c>
      <c r="I8" s="8">
        <f>'原始数据'!I25</f>
        <v>4.8</v>
      </c>
      <c r="J8" s="8">
        <f>'原始数据'!J25</f>
        <v>4.875</v>
      </c>
      <c r="K8" s="8">
        <f>'原始数据'!K25</f>
        <v>4.95</v>
      </c>
      <c r="L8" s="8">
        <f>'原始数据'!L25</f>
        <v>5.1625</v>
      </c>
      <c r="M8" s="8">
        <f>'原始数据'!M25</f>
        <v>5.375</v>
      </c>
      <c r="N8" s="8">
        <f>'原始数据'!N25</f>
        <v>5.45</v>
      </c>
      <c r="O8" s="8">
        <f>'原始数据'!O25</f>
        <v>5.525</v>
      </c>
      <c r="P8" s="8">
        <f>'原始数据'!P25</f>
        <v>5.6</v>
      </c>
      <c r="Q8" s="8">
        <f>'原始数据'!Q25</f>
        <v>5.675</v>
      </c>
      <c r="R8" s="2" t="s">
        <v>150</v>
      </c>
    </row>
    <row r="9" spans="1:18">
      <c r="A9" s="4" t="s">
        <v>151</v>
      </c>
      <c r="B9" s="8">
        <f>'原始数据'!B27</f>
        <v>0.1452</v>
      </c>
      <c r="C9" s="8">
        <f>'原始数据'!C27</f>
        <v>-1.7514</v>
      </c>
      <c r="D9" s="8">
        <f>'原始数据'!D27</f>
        <v>-1.635</v>
      </c>
      <c r="E9" s="8">
        <f>'原始数据'!E27</f>
        <v>-1.2011</v>
      </c>
      <c r="F9" s="8">
        <f>'原始数据'!F27</f>
        <v>-0.531</v>
      </c>
      <c r="G9" s="8">
        <f>'原始数据'!G27</f>
        <v>0.6598</v>
      </c>
      <c r="H9" s="8">
        <f>'原始数据'!H27</f>
        <v>2.1484</v>
      </c>
      <c r="I9" s="8">
        <f>'原始数据'!I27</f>
        <v>3.4483</v>
      </c>
      <c r="J9" s="8">
        <f>'原始数据'!J27</f>
        <v>5.0418</v>
      </c>
      <c r="K9" s="8">
        <f>'原始数据'!K27</f>
        <v>6.3274</v>
      </c>
      <c r="L9" s="8">
        <f>'原始数据'!L27</f>
        <v>9.0491</v>
      </c>
      <c r="M9" s="8">
        <f>'原始数据'!M27</f>
        <v>13.4775</v>
      </c>
      <c r="N9" s="8">
        <f>'原始数据'!N27</f>
        <v>20.218</v>
      </c>
      <c r="O9" s="8">
        <f>'原始数据'!O27</f>
        <v>30.589</v>
      </c>
      <c r="P9" s="8">
        <f>'原始数据'!P27</f>
        <v>43.636</v>
      </c>
      <c r="Q9" s="8">
        <f>'原始数据'!Q27</f>
        <v>51.631</v>
      </c>
      <c r="R9" s="2" t="s">
        <v>152</v>
      </c>
    </row>
    <row r="10" spans="1:18">
      <c r="A10" s="4" t="s">
        <v>153</v>
      </c>
      <c r="B10" s="8">
        <f>'原始数据'!B29</f>
        <v>3.8</v>
      </c>
      <c r="C10" s="8">
        <f>'原始数据'!C29</f>
        <v>0.8</v>
      </c>
      <c r="D10" s="8">
        <f>'原始数据'!D29</f>
        <v>0.8</v>
      </c>
      <c r="E10" s="8">
        <f>'原始数据'!E29</f>
        <v>0.8</v>
      </c>
      <c r="F10" s="8">
        <f>'原始数据'!F29</f>
        <v>0.8</v>
      </c>
      <c r="G10" s="8">
        <f>'原始数据'!G29</f>
        <v>0.8</v>
      </c>
      <c r="H10" s="8">
        <f>'原始数据'!H29</f>
        <v>0.8</v>
      </c>
      <c r="I10" s="8">
        <f>'原始数据'!I29</f>
        <v>0.8</v>
      </c>
      <c r="J10" s="8">
        <f>'原始数据'!J29</f>
        <v>0.8</v>
      </c>
      <c r="K10" s="8">
        <f>'原始数据'!K29</f>
        <v>0.8</v>
      </c>
      <c r="L10" s="8">
        <f>'原始数据'!L29</f>
        <v>0.8</v>
      </c>
      <c r="M10" s="8">
        <f>'原始数据'!M29</f>
        <v>0.8</v>
      </c>
      <c r="N10" s="8">
        <f>'原始数据'!N29</f>
        <v>0.8</v>
      </c>
      <c r="O10" s="8">
        <f>'原始数据'!O29</f>
        <v>0.8</v>
      </c>
      <c r="P10" s="8">
        <f>'原始数据'!P29</f>
        <v>0.8</v>
      </c>
      <c r="Q10" s="8">
        <f>'原始数据'!Q29</f>
        <v>0.8</v>
      </c>
      <c r="R10" s="2" t="s">
        <v>154</v>
      </c>
    </row>
    <row r="11" spans="1:18">
      <c r="A11" s="4" t="s">
        <v>155</v>
      </c>
      <c r="B11" s="8">
        <f>'原始数据'!B30</f>
        <v>0.25</v>
      </c>
      <c r="C11" s="8">
        <f>'原始数据'!C30</f>
        <v>0.25</v>
      </c>
      <c r="D11" s="8">
        <f>'原始数据'!D30</f>
        <v>0.25</v>
      </c>
      <c r="E11" s="8">
        <f>'原始数据'!E30</f>
        <v>0.25</v>
      </c>
      <c r="F11" s="8">
        <f>'原始数据'!F30</f>
        <v>0.25</v>
      </c>
      <c r="G11" s="8">
        <f>'原始数据'!G30</f>
        <v>0.25</v>
      </c>
      <c r="H11" s="8">
        <f>'原始数据'!H30</f>
        <v>0.25</v>
      </c>
      <c r="I11" s="8">
        <f>'原始数据'!I30</f>
        <v>0.25</v>
      </c>
      <c r="J11" s="8">
        <f>'原始数据'!J30</f>
        <v>0.25</v>
      </c>
      <c r="K11" s="8">
        <f>'原始数据'!K30</f>
        <v>0.25</v>
      </c>
      <c r="L11" s="8">
        <f>'原始数据'!L30</f>
        <v>0.25</v>
      </c>
      <c r="M11" s="8">
        <f>'原始数据'!M30</f>
        <v>0.25</v>
      </c>
      <c r="N11" s="8">
        <f>'原始数据'!N30</f>
        <v>0.25</v>
      </c>
      <c r="O11" s="8">
        <f>'原始数据'!O30</f>
        <v>0.25</v>
      </c>
      <c r="P11" s="8">
        <f>'原始数据'!P30</f>
        <v>0.25</v>
      </c>
      <c r="Q11" s="8">
        <f>'原始数据'!Q30</f>
        <v>0.25</v>
      </c>
      <c r="R11" s="2" t="s">
        <v>156</v>
      </c>
    </row>
    <row r="12" spans="1:18">
      <c r="A12" s="4" t="s">
        <v>157</v>
      </c>
      <c r="B12" s="8">
        <f>'原始数据'!B31</f>
        <v>-3.9048</v>
      </c>
      <c r="C12" s="8">
        <f>'原始数据'!C31</f>
        <v>-2.8014</v>
      </c>
      <c r="D12" s="8">
        <f>'原始数据'!D31</f>
        <v>-2.685</v>
      </c>
      <c r="E12" s="8">
        <f>'原始数据'!E31</f>
        <v>-2.2511</v>
      </c>
      <c r="F12" s="8">
        <f>'原始数据'!F31</f>
        <v>-1.581</v>
      </c>
      <c r="G12" s="8">
        <f>'原始数据'!G31</f>
        <v>-0.3902</v>
      </c>
      <c r="H12" s="8">
        <f>'原始数据'!H31</f>
        <v>1.0984</v>
      </c>
      <c r="I12" s="8">
        <f>'原始数据'!I31</f>
        <v>2.3983</v>
      </c>
      <c r="J12" s="8">
        <f>'原始数据'!J31</f>
        <v>3.9918</v>
      </c>
      <c r="K12" s="8">
        <f>'原始数据'!K31</f>
        <v>5.2774</v>
      </c>
      <c r="L12" s="8">
        <f>'原始数据'!L31</f>
        <v>7.9991</v>
      </c>
      <c r="M12" s="8">
        <f>'原始数据'!M31</f>
        <v>12.4275</v>
      </c>
      <c r="N12" s="8">
        <f>'原始数据'!N31</f>
        <v>19.168</v>
      </c>
      <c r="O12" s="8">
        <f>'原始数据'!O31</f>
        <v>29.539</v>
      </c>
      <c r="P12" s="8">
        <f>'原始数据'!P31</f>
        <v>42.586</v>
      </c>
      <c r="Q12" s="8">
        <f>'原始数据'!Q31</f>
        <v>50.581</v>
      </c>
      <c r="R12" s="2" t="s">
        <v>158</v>
      </c>
    </row>
    <row r="13" spans="1:18">
      <c r="A13" s="4" t="s">
        <v>159</v>
      </c>
      <c r="B13" s="8">
        <f>'原始数据'!B32</f>
        <v>0.01</v>
      </c>
      <c r="C13" s="8">
        <f>'原始数据'!C32</f>
        <v>0.034</v>
      </c>
      <c r="D13" s="8">
        <f>'原始数据'!D32</f>
        <v>0.0483</v>
      </c>
      <c r="E13" s="8">
        <f>'原始数据'!E32</f>
        <v>0.0662</v>
      </c>
      <c r="F13" s="8">
        <f>'原始数据'!F32</f>
        <v>0.0947</v>
      </c>
      <c r="G13" s="8">
        <f>'原始数据'!G32</f>
        <v>0.1105</v>
      </c>
      <c r="H13" s="8">
        <f>'原始数据'!H32</f>
        <v>0.1093</v>
      </c>
      <c r="I13" s="8">
        <f>'原始数据'!I32</f>
        <v>0.1088</v>
      </c>
      <c r="J13" s="8">
        <f>'原始数据'!J32</f>
        <v>0.0988</v>
      </c>
      <c r="K13" s="8">
        <f>'原始数据'!K32</f>
        <v>0.0514</v>
      </c>
      <c r="L13" s="8">
        <f>'原始数据'!L32</f>
        <v>-0.0198</v>
      </c>
      <c r="M13" s="8">
        <f>'原始数据'!M32</f>
        <v>-0.1041</v>
      </c>
      <c r="N13" s="8">
        <f>'原始数据'!N32</f>
        <v>-0.1993</v>
      </c>
      <c r="O13" s="8">
        <f>'原始数据'!O32</f>
        <v>-0.3416</v>
      </c>
      <c r="P13" s="8">
        <f>'原始数据'!P32</f>
        <v>-0.556</v>
      </c>
      <c r="Q13" s="8">
        <f>'原始数据'!Q32</f>
        <v>-0.8612</v>
      </c>
      <c r="R13" s="2" t="s">
        <v>160</v>
      </c>
    </row>
    <row r="14" spans="1:18">
      <c r="A14" s="4" t="s">
        <v>161</v>
      </c>
      <c r="B14" s="8">
        <f>'原始数据'!B33</f>
        <v>0.0</v>
      </c>
      <c r="C14" s="8">
        <f>'原始数据'!C33</f>
        <v>0.0</v>
      </c>
      <c r="D14" s="8">
        <f>'原始数据'!D33</f>
        <v>0.0</v>
      </c>
      <c r="E14" s="8">
        <f>'原始数据'!E33</f>
        <v>0.0</v>
      </c>
      <c r="F14" s="8">
        <f>'原始数据'!F33</f>
        <v>0.0</v>
      </c>
      <c r="G14" s="8">
        <f>'原始数据'!G33</f>
        <v>0.0</v>
      </c>
      <c r="H14" s="8">
        <f>'原始数据'!H33</f>
        <v>0.1484</v>
      </c>
      <c r="I14" s="8">
        <f>'原始数据'!I33</f>
        <v>0.3434</v>
      </c>
      <c r="J14" s="8">
        <f>'原始数据'!J33</f>
        <v>0.5839</v>
      </c>
      <c r="K14" s="8">
        <f>'原始数据'!K33</f>
        <v>0.7839</v>
      </c>
      <c r="L14" s="8">
        <f>'原始数据'!L33</f>
        <v>1.2028</v>
      </c>
      <c r="M14" s="8">
        <f>'原始数据'!M33</f>
        <v>1.8797</v>
      </c>
      <c r="N14" s="8">
        <f>'原始数据'!N33</f>
        <v>2.9051</v>
      </c>
      <c r="O14" s="8">
        <f>'原始数据'!O33</f>
        <v>4.4821</v>
      </c>
      <c r="P14" s="8">
        <f>'原始数据'!P33</f>
        <v>6.4713</v>
      </c>
      <c r="Q14" s="8">
        <f>'原始数据'!Q33</f>
        <v>7.7163</v>
      </c>
      <c r="R14" s="2" t="s">
        <v>162</v>
      </c>
    </row>
    <row r="15" spans="1:18">
      <c r="A15" s="4" t="s">
        <v>163</v>
      </c>
      <c r="B15" s="8">
        <f>'原始数据'!B34</f>
        <v>-3.9148</v>
      </c>
      <c r="C15" s="8">
        <f>'原始数据'!C34</f>
        <v>-2.8354</v>
      </c>
      <c r="D15" s="8">
        <f>'原始数据'!D34</f>
        <v>-2.7333</v>
      </c>
      <c r="E15" s="8">
        <f>'原始数据'!E34</f>
        <v>-2.3172</v>
      </c>
      <c r="F15" s="8">
        <f>'原始数据'!F34</f>
        <v>-1.6757</v>
      </c>
      <c r="G15" s="8">
        <f>'原始数据'!G34</f>
        <v>-0.5007</v>
      </c>
      <c r="H15" s="8">
        <f>'原始数据'!H34</f>
        <v>0.8407</v>
      </c>
      <c r="I15" s="8">
        <f>'原始数据'!I34</f>
        <v>1.9461</v>
      </c>
      <c r="J15" s="8">
        <f>'原始数据'!J34</f>
        <v>3.309</v>
      </c>
      <c r="K15" s="8">
        <f>'原始数据'!K34</f>
        <v>4.4421</v>
      </c>
      <c r="L15" s="8">
        <f>'原始数据'!L34</f>
        <v>6.816</v>
      </c>
      <c r="M15" s="8">
        <f>'原始数据'!M34</f>
        <v>10.6518</v>
      </c>
      <c r="N15" s="8">
        <f>'原始数据'!N34</f>
        <v>16.4622</v>
      </c>
      <c r="O15" s="8">
        <f>'原始数据'!O34</f>
        <v>25.3985</v>
      </c>
      <c r="P15" s="8">
        <f>'原始数据'!P34</f>
        <v>36.6707</v>
      </c>
      <c r="Q15" s="8">
        <f>'原始数据'!Q34</f>
        <v>43.7258</v>
      </c>
      <c r="R15" s="2" t="s">
        <v>164</v>
      </c>
    </row>
    <row r="16" spans="1:18">
      <c r="A16" s="4" t="s">
        <v>196</v>
      </c>
      <c r="B16" s="9">
        <f>IFERROR(B9/B5,0)</f>
        <v>0.031510416666666666</v>
      </c>
      <c r="C16" s="9">
        <f>IFERROR(C9/C5,0)</f>
        <v>-0.6682692307692308</v>
      </c>
      <c r="D16" s="9">
        <f>IFERROR(D9/D5,0)</f>
        <v>-0.6987179487179488</v>
      </c>
      <c r="E16" s="9">
        <f>IFERROR(E9/E5,0)</f>
        <v>-0.417207961374136</v>
      </c>
      <c r="F16" s="9">
        <f>IFERROR(F9/F5,0)</f>
        <v>-0.14182692307692307</v>
      </c>
      <c r="G16" s="9">
        <f>IFERROR(G9/G5,0)</f>
        <v>0.12787317337881315</v>
      </c>
      <c r="H16" s="9">
        <f>IFERROR(H9/H5,0)</f>
        <v>0.31256728838711556</v>
      </c>
      <c r="I16" s="9">
        <f>IFERROR(I9/I5,0)</f>
        <v>0.4180619036649976</v>
      </c>
      <c r="J16" s="9">
        <f>IFERROR(J9/J5,0)</f>
        <v>0.5084099709583737</v>
      </c>
      <c r="K16" s="9">
        <f>IFERROR(K9/K5,0)</f>
        <v>0.5610690407363399</v>
      </c>
      <c r="L16" s="9">
        <f>IFERROR(L9/L5,0)</f>
        <v>0.6367404092431534</v>
      </c>
      <c r="M16" s="9">
        <f>IFERROR(M9/M5,0)</f>
        <v>0.714891924147991</v>
      </c>
      <c r="N16" s="9">
        <f>IFERROR(N9/N5,0)</f>
        <v>0.7876733676172667</v>
      </c>
      <c r="O16" s="9">
        <f>IFERROR(O9/O5,0)</f>
        <v>0.8470122390208784</v>
      </c>
      <c r="P16" s="9">
        <f>IFERROR(P9/P5,0)</f>
        <v>0.8862620846535056</v>
      </c>
      <c r="Q16" s="9">
        <f>IFERROR(Q9/Q5,0)</f>
        <v>0.900970229993369</v>
      </c>
    </row>
    <row r="17" spans="1:18">
      <c r="A17" s="4" t="s">
        <v>165</v>
      </c>
      <c r="B17" s="8">
        <f>'原始数据'!B26</f>
        <v>0.0095</v>
      </c>
      <c r="C17" s="8">
        <f>'原始数据'!C26</f>
        <v>0.0</v>
      </c>
      <c r="D17" s="8">
        <f>'原始数据'!D26</f>
        <v>0.0</v>
      </c>
      <c r="E17" s="8">
        <f>'原始数据'!E26</f>
        <v>0.0</v>
      </c>
      <c r="F17" s="8">
        <f>'原始数据'!F26</f>
        <v>0.0</v>
      </c>
      <c r="G17" s="8">
        <f>'原始数据'!G26</f>
        <v>0.0</v>
      </c>
      <c r="H17" s="8">
        <f>'原始数据'!H26</f>
        <v>0.0</v>
      </c>
      <c r="I17" s="8">
        <f>'原始数据'!I26</f>
        <v>0.0</v>
      </c>
      <c r="J17" s="8">
        <f>'原始数据'!J26</f>
        <v>0.0</v>
      </c>
      <c r="K17" s="8">
        <f>'原始数据'!K26</f>
        <v>0.0</v>
      </c>
      <c r="L17" s="8">
        <f>'原始数据'!L26</f>
        <v>0.0</v>
      </c>
      <c r="M17" s="8">
        <f>'原始数据'!M26</f>
        <v>0.0</v>
      </c>
      <c r="N17" s="8">
        <f>'原始数据'!N26</f>
        <v>0.0</v>
      </c>
      <c r="O17" s="8">
        <f>'原始数据'!O26</f>
        <v>0.0</v>
      </c>
      <c r="P17" s="8">
        <f>'原始数据'!P26</f>
        <v>0.0</v>
      </c>
      <c r="Q17" s="8">
        <f>'原始数据'!Q26</f>
        <v>0.0</v>
      </c>
      <c r="R17" s="2" t="s">
        <v>166</v>
      </c>
    </row>
    <row r="19" spans="1:18">
      <c r="A19" s="4" t="s">
        <v>197</v>
      </c>
      <c r="B19" s="8">
        <f>B5-B6-B7</f>
        <v>0.0</v>
      </c>
      <c r="C19" s="8">
        <f>C5-C6-C7</f>
        <v>0.0</v>
      </c>
      <c r="D19" s="8">
        <f>D5-D6-D7</f>
        <v>0.0</v>
      </c>
      <c r="E19" s="8">
        <f>E5-E6-E7</f>
        <v>-2.7755575615628914e-16</v>
      </c>
      <c r="F19" s="8">
        <f>F5-F6-F7</f>
        <v>3.3306690738754696e-16</v>
      </c>
      <c r="G19" s="8">
        <f>G5-G6-G7</f>
        <v>-6.661338147750939e-16</v>
      </c>
      <c r="H19" s="8">
        <f>H5-H6-H7</f>
        <v>0.0</v>
      </c>
      <c r="I19" s="8">
        <f>I5-I6-I7</f>
        <v>0.0</v>
      </c>
      <c r="J19" s="8">
        <f>J5-J6-J7</f>
        <v>4.440892098500626e-16</v>
      </c>
      <c r="K19" s="8">
        <f>K5-K6-K7</f>
        <v>0.0</v>
      </c>
      <c r="L19" s="8">
        <f>L5-L6-L7</f>
        <v>0.0</v>
      </c>
      <c r="M19" s="8">
        <f>M5-M6-M7</f>
        <v>-1.7763568394002505e-15</v>
      </c>
      <c r="N19" s="8">
        <f>N5-N6-N7</f>
        <v>0.0</v>
      </c>
      <c r="O19" s="8">
        <f>O5-O6-O7</f>
        <v>-3.552713678800501e-15</v>
      </c>
      <c r="P19" s="8">
        <f>P5-P6-P7</f>
        <v>-7.105427357601002e-15</v>
      </c>
      <c r="Q19" s="8">
        <f>Q5-Q6-Q7</f>
        <v>-7.105427357601002e-15</v>
      </c>
    </row>
    <row r="20" spans="1:18">
      <c r="A20" s="4" t="s">
        <v>198</v>
      </c>
      <c r="B20" s="8">
        <f>B5-B8-B10-B11-B13-B14-B15</f>
        <v>4.440892098500626e-16</v>
      </c>
      <c r="C20" s="8">
        <f>C5-C8-C10-C11-C13-C14-C15</f>
        <v>0.0</v>
      </c>
      <c r="D20" s="8">
        <f>D5-D8-D10-D11-D13-D14-D15</f>
        <v>-4.440892098500626e-16</v>
      </c>
      <c r="E20" s="8">
        <f>E5-E8-E10-E11-E13-E14-E15</f>
        <v>-9.999999999976694e-05</v>
      </c>
      <c r="F20" s="8">
        <f>F5-F8-F10-F11-F13-F14-F15</f>
        <v>-2.220446049250313e-16</v>
      </c>
      <c r="G20" s="8">
        <f>G5-G8-G10-G11-G13-G14-G15</f>
        <v>-3.3306690738754696e-16</v>
      </c>
      <c r="H20" s="8">
        <f>H5-H8-H10-H11-H13-H14-H15</f>
        <v>5.551115123125783e-16</v>
      </c>
      <c r="I20" s="8">
        <f>I5-I8-I10-I11-I13-I14-I15</f>
        <v>8.881784197001252e-16</v>
      </c>
      <c r="J20" s="8">
        <f>J5-J8-J10-J11-J13-J14-J15</f>
        <v>0.00010000000000065512</v>
      </c>
      <c r="K20" s="8">
        <f>K5-K8-K10-K11-K13-K14-K15</f>
        <v>0.0</v>
      </c>
      <c r="L20" s="8">
        <f>L5-L8-L10-L11-L13-L14-L15</f>
        <v>0.00010000000000065512</v>
      </c>
      <c r="M20" s="8">
        <f>M5-M8-M10-M11-M13-M14-M15</f>
        <v>9.999999999976694e-05</v>
      </c>
      <c r="N20" s="8">
        <f>N5-N8-N10-N11-N13-N14-N15</f>
        <v>0.0</v>
      </c>
      <c r="O20" s="8">
        <f>O5-O8-O10-O11-O13-O14-O15</f>
        <v>0.0</v>
      </c>
      <c r="P20" s="8">
        <f>P5-P8-P10-P11-P13-P14-P15</f>
        <v>0.0</v>
      </c>
      <c r="Q20" s="8">
        <f>Q5-Q8-Q10-Q11-Q13-Q14-Q15</f>
        <v>9.999999999621423e-05</v>
      </c>
    </row>
  </sheetData>
  <mergeCells count="2">
    <mergeCell ref="A1:Q2"/>
    <mergeCell ref="A3:Q3"/>
  </mergeCells>
  <conditionalFormatting sqref="B19:Q20">
    <cfRule type="cellIs" dxfId="0" priority="1" operator="between">
      <formula>-0.0003</formula>
      <formula>0.0003</formula>
    </cfRule>
  </conditionalFormatting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R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9.7109375" customWidth="1"/>
    <col min="2" max="17" width="13.7109375" customWidth="1"/>
    <col min="18" max="18" width="58.7109375" customWidth="1"/>
  </cols>
  <sheetData>
    <row r="1" spans="1:18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4" t="s">
        <v>167</v>
      </c>
      <c r="B5" s="8">
        <f>'原始数据'!B40</f>
        <v>6.998</v>
      </c>
      <c r="C5" s="8">
        <f>'原始数据'!C40</f>
        <v>5.2098</v>
      </c>
      <c r="D5" s="8">
        <f>'原始数据'!D40</f>
        <v>2.9765</v>
      </c>
      <c r="E5" s="8">
        <f>'原始数据'!E40</f>
        <v>3.1592</v>
      </c>
      <c r="F5" s="8">
        <f>'原始数据'!F40</f>
        <v>3.0585</v>
      </c>
      <c r="G5" s="8">
        <f>'原始数据'!G40</f>
        <v>3.2078</v>
      </c>
      <c r="H5" s="8">
        <f>'原始数据'!H40</f>
        <v>3.2734</v>
      </c>
      <c r="I5" s="8">
        <f>'原始数据'!I40</f>
        <v>4.5195</v>
      </c>
      <c r="J5" s="8">
        <f>'原始数据'!J40</f>
        <v>6.7035</v>
      </c>
      <c r="K5" s="8">
        <f>'原始数据'!K40</f>
        <v>8.0956</v>
      </c>
      <c r="L5" s="8">
        <f>'原始数据'!L40</f>
        <v>13.0117</v>
      </c>
      <c r="M5" s="8">
        <f>'原始数据'!M40</f>
        <v>24.9135</v>
      </c>
      <c r="N5" s="8">
        <f>'原始数据'!N40</f>
        <v>42.7007</v>
      </c>
      <c r="O5" s="8">
        <f>'原始数据'!O40</f>
        <v>69.4992</v>
      </c>
      <c r="P5" s="8">
        <f>'原始数据'!P40</f>
        <v>107.6449</v>
      </c>
      <c r="Q5" s="8">
        <f>'原始数据'!Q40</f>
        <v>152.9207</v>
      </c>
      <c r="R5" s="2" t="s">
        <v>168</v>
      </c>
    </row>
    <row r="6" spans="1:18">
      <c r="A6" s="4" t="s">
        <v>169</v>
      </c>
      <c r="B6" s="8">
        <f>'原始数据'!B41</f>
        <v>0.5472</v>
      </c>
      <c r="C6" s="8">
        <f>'原始数据'!C41</f>
        <v>0.0</v>
      </c>
      <c r="D6" s="8">
        <f>'原始数据'!D41</f>
        <v>0.0</v>
      </c>
      <c r="E6" s="8">
        <f>'原始数据'!E41</f>
        <v>0.0</v>
      </c>
      <c r="F6" s="8">
        <f>'原始数据'!F41</f>
        <v>0.0</v>
      </c>
      <c r="G6" s="8">
        <f>'原始数据'!G41</f>
        <v>0.0</v>
      </c>
      <c r="H6" s="8">
        <f>'原始数据'!H41</f>
        <v>0.0</v>
      </c>
      <c r="I6" s="8">
        <f>'原始数据'!I41</f>
        <v>0.0</v>
      </c>
      <c r="J6" s="8">
        <f>'原始数据'!J41</f>
        <v>0.0</v>
      </c>
      <c r="K6" s="8">
        <f>'原始数据'!K41</f>
        <v>0.0</v>
      </c>
      <c r="L6" s="8">
        <f>'原始数据'!L41</f>
        <v>0.0</v>
      </c>
      <c r="M6" s="8">
        <f>'原始数据'!M41</f>
        <v>0.0</v>
      </c>
      <c r="N6" s="8">
        <f>'原始数据'!N41</f>
        <v>0.0</v>
      </c>
      <c r="O6" s="8">
        <f>'原始数据'!O41</f>
        <v>0.0</v>
      </c>
      <c r="P6" s="8">
        <f>'原始数据'!P41</f>
        <v>0.0</v>
      </c>
      <c r="Q6" s="8">
        <f>'原始数据'!Q41</f>
        <v>0.0</v>
      </c>
      <c r="R6" s="2" t="s">
        <v>170</v>
      </c>
    </row>
    <row r="7" spans="1:18">
      <c r="A7" s="4" t="s">
        <v>171</v>
      </c>
      <c r="B7" s="8">
        <f>'原始数据'!B42</f>
        <v>29.5</v>
      </c>
      <c r="C7" s="8">
        <f>'原始数据'!C42</f>
        <v>29.0</v>
      </c>
      <c r="D7" s="8">
        <f>'原始数据'!D42</f>
        <v>28.5</v>
      </c>
      <c r="E7" s="8">
        <f>'原始数据'!E42</f>
        <v>28.0</v>
      </c>
      <c r="F7" s="8">
        <f>'原始数据'!F42</f>
        <v>27.425</v>
      </c>
      <c r="G7" s="8">
        <f>'原始数据'!G42</f>
        <v>26.775</v>
      </c>
      <c r="H7" s="8">
        <f>'原始数据'!H42</f>
        <v>27.55</v>
      </c>
      <c r="I7" s="8">
        <f>'原始数据'!I42</f>
        <v>28.25</v>
      </c>
      <c r="J7" s="8">
        <f>'原始数据'!J42</f>
        <v>27.375</v>
      </c>
      <c r="K7" s="8">
        <f>'原始数据'!K42</f>
        <v>26.425</v>
      </c>
      <c r="L7" s="8">
        <f>'原始数据'!L42</f>
        <v>25.325</v>
      </c>
      <c r="M7" s="8">
        <f>'原始数据'!M42</f>
        <v>24.075</v>
      </c>
      <c r="N7" s="8">
        <f>'原始数据'!N42</f>
        <v>22.75</v>
      </c>
      <c r="O7" s="8">
        <f>'原始数据'!O42</f>
        <v>21.35</v>
      </c>
      <c r="P7" s="8">
        <f>'原始数据'!P42</f>
        <v>19.875</v>
      </c>
      <c r="Q7" s="8">
        <f>'原始数据'!Q42</f>
        <v>18.325</v>
      </c>
      <c r="R7" s="2" t="s">
        <v>172</v>
      </c>
    </row>
    <row r="8" spans="1:18">
      <c r="A8" s="4" t="s">
        <v>173</v>
      </c>
      <c r="B8" s="8">
        <f>'原始数据'!B43</f>
        <v>37.0452</v>
      </c>
      <c r="C8" s="8">
        <f>'原始数据'!C43</f>
        <v>34.2098</v>
      </c>
      <c r="D8" s="8">
        <f>'原始数据'!D43</f>
        <v>31.4765</v>
      </c>
      <c r="E8" s="8">
        <f>'原始数据'!E43</f>
        <v>31.1592</v>
      </c>
      <c r="F8" s="8">
        <f>'原始数据'!F43</f>
        <v>30.4835</v>
      </c>
      <c r="G8" s="8">
        <f>'原始数据'!G43</f>
        <v>29.9828</v>
      </c>
      <c r="H8" s="8">
        <f>'原始数据'!H43</f>
        <v>30.8234</v>
      </c>
      <c r="I8" s="8">
        <f>'原始数据'!I43</f>
        <v>32.7695</v>
      </c>
      <c r="J8" s="8">
        <f>'原始数据'!J43</f>
        <v>34.0785</v>
      </c>
      <c r="K8" s="8">
        <f>'原始数据'!K43</f>
        <v>34.5206</v>
      </c>
      <c r="L8" s="8">
        <f>'原始数据'!L43</f>
        <v>38.3367</v>
      </c>
      <c r="M8" s="8">
        <f>'原始数据'!M43</f>
        <v>48.9885</v>
      </c>
      <c r="N8" s="8">
        <f>'原始数据'!N43</f>
        <v>65.4507</v>
      </c>
      <c r="O8" s="8">
        <f>'原始数据'!O43</f>
        <v>90.8492</v>
      </c>
      <c r="P8" s="8">
        <f>'原始数据'!P43</f>
        <v>127.5199</v>
      </c>
      <c r="Q8" s="8">
        <f>'原始数据'!Q43</f>
        <v>171.2457</v>
      </c>
      <c r="R8" s="2" t="s">
        <v>174</v>
      </c>
    </row>
    <row r="10" spans="1:18">
      <c r="A10" s="4" t="s">
        <v>175</v>
      </c>
      <c r="B10" s="8">
        <f>'原始数据'!B44</f>
        <v>6.0</v>
      </c>
      <c r="C10" s="8">
        <f>'原始数据'!C44</f>
        <v>6.0</v>
      </c>
      <c r="D10" s="8">
        <f>'原始数据'!D44</f>
        <v>6.0</v>
      </c>
      <c r="E10" s="8">
        <f>'原始数据'!E44</f>
        <v>8.0</v>
      </c>
      <c r="F10" s="8">
        <f>'原始数据'!F44</f>
        <v>9.0</v>
      </c>
      <c r="G10" s="8">
        <f>'原始数据'!G44</f>
        <v>9.0</v>
      </c>
      <c r="H10" s="8">
        <f>'原始数据'!H44</f>
        <v>9.0</v>
      </c>
      <c r="I10" s="8">
        <f>'原始数据'!I44</f>
        <v>9.0</v>
      </c>
      <c r="J10" s="8">
        <f>'原始数据'!J44</f>
        <v>7.0</v>
      </c>
      <c r="K10" s="8">
        <f>'原始数据'!K44</f>
        <v>3.0</v>
      </c>
      <c r="L10" s="8">
        <f>'原始数据'!L44</f>
        <v>0.0</v>
      </c>
      <c r="M10" s="8">
        <f>'原始数据'!M44</f>
        <v>0.0</v>
      </c>
      <c r="N10" s="8">
        <f>'原始数据'!N44</f>
        <v>0.0</v>
      </c>
      <c r="O10" s="8">
        <f>'原始数据'!O44</f>
        <v>0.0</v>
      </c>
      <c r="P10" s="8">
        <f>'原始数据'!P44</f>
        <v>0.0</v>
      </c>
      <c r="Q10" s="8">
        <f>'原始数据'!Q44</f>
        <v>0.0</v>
      </c>
      <c r="R10" s="2" t="s">
        <v>176</v>
      </c>
    </row>
    <row r="11" spans="1:18">
      <c r="A11" s="4" t="s">
        <v>177</v>
      </c>
      <c r="B11" s="8">
        <f>'原始数据'!B45</f>
        <v>0.0</v>
      </c>
      <c r="C11" s="8">
        <f>'原始数据'!C45</f>
        <v>0.0</v>
      </c>
      <c r="D11" s="8">
        <f>'原始数据'!D45</f>
        <v>0.0</v>
      </c>
      <c r="E11" s="8">
        <f>'原始数据'!E45</f>
        <v>0.0</v>
      </c>
      <c r="F11" s="8">
        <f>'原始数据'!F45</f>
        <v>0.0</v>
      </c>
      <c r="G11" s="8">
        <f>'原始数据'!G45</f>
        <v>0.0</v>
      </c>
      <c r="H11" s="8">
        <f>'原始数据'!H45</f>
        <v>0.0</v>
      </c>
      <c r="I11" s="8">
        <f>'原始数据'!I45</f>
        <v>0.0</v>
      </c>
      <c r="J11" s="8">
        <f>'原始数据'!J45</f>
        <v>0.0</v>
      </c>
      <c r="K11" s="8">
        <f>'原始数据'!K45</f>
        <v>0.0</v>
      </c>
      <c r="L11" s="8">
        <f>'原始数据'!L45</f>
        <v>0.0</v>
      </c>
      <c r="M11" s="8">
        <f>'原始数据'!M45</f>
        <v>0.0</v>
      </c>
      <c r="N11" s="8">
        <f>'原始数据'!N45</f>
        <v>0.0</v>
      </c>
      <c r="O11" s="8">
        <f>'原始数据'!O45</f>
        <v>0.0</v>
      </c>
      <c r="P11" s="8">
        <f>'原始数据'!P45</f>
        <v>0.0</v>
      </c>
      <c r="Q11" s="8">
        <f>'原始数据'!Q45</f>
        <v>0.0</v>
      </c>
      <c r="R11" s="2" t="s">
        <v>178</v>
      </c>
    </row>
    <row r="12" spans="1:18">
      <c r="A12" s="4" t="s">
        <v>199</v>
      </c>
      <c r="B12" s="8">
        <f>B10+B11</f>
        <v>6.0</v>
      </c>
      <c r="C12" s="8">
        <f>C10+C11</f>
        <v>6.0</v>
      </c>
      <c r="D12" s="8">
        <f>D10+D11</f>
        <v>6.0</v>
      </c>
      <c r="E12" s="8">
        <f>E10+E11</f>
        <v>8.0</v>
      </c>
      <c r="F12" s="8">
        <f>F10+F11</f>
        <v>9.0</v>
      </c>
      <c r="G12" s="8">
        <f>G10+G11</f>
        <v>9.0</v>
      </c>
      <c r="H12" s="8">
        <f>H10+H11</f>
        <v>9.0</v>
      </c>
      <c r="I12" s="8">
        <f>I10+I11</f>
        <v>9.0</v>
      </c>
      <c r="J12" s="8">
        <f>J10+J11</f>
        <v>7.0</v>
      </c>
      <c r="K12" s="8">
        <f>K10+K11</f>
        <v>3.0</v>
      </c>
      <c r="L12" s="8">
        <f>L10+L11</f>
        <v>0.0</v>
      </c>
      <c r="M12" s="8">
        <f>M10+M11</f>
        <v>0.0</v>
      </c>
      <c r="N12" s="8">
        <f>N10+N11</f>
        <v>0.0</v>
      </c>
      <c r="O12" s="8">
        <f>O10+O11</f>
        <v>0.0</v>
      </c>
      <c r="P12" s="8">
        <f>P10+P11</f>
        <v>0.0</v>
      </c>
      <c r="Q12" s="8">
        <f>Q10+Q11</f>
        <v>0.0</v>
      </c>
    </row>
    <row r="13" spans="1:18">
      <c r="A13" s="4" t="s">
        <v>179</v>
      </c>
      <c r="B13" s="8">
        <f>'原始数据'!B46</f>
        <v>31.0452</v>
      </c>
      <c r="C13" s="8">
        <f>'原始数据'!C46</f>
        <v>28.2098</v>
      </c>
      <c r="D13" s="8">
        <f>'原始数据'!D46</f>
        <v>25.4765</v>
      </c>
      <c r="E13" s="8">
        <f>'原始数据'!E46</f>
        <v>23.1592</v>
      </c>
      <c r="F13" s="8">
        <f>'原始数据'!F46</f>
        <v>21.4835</v>
      </c>
      <c r="G13" s="8">
        <f>'原始数据'!G46</f>
        <v>20.9828</v>
      </c>
      <c r="H13" s="8">
        <f>'原始数据'!H46</f>
        <v>21.8234</v>
      </c>
      <c r="I13" s="8">
        <f>'原始数据'!I46</f>
        <v>23.7695</v>
      </c>
      <c r="J13" s="8">
        <f>'原始数据'!J46</f>
        <v>27.0785</v>
      </c>
      <c r="K13" s="8">
        <f>'原始数据'!K46</f>
        <v>31.5206</v>
      </c>
      <c r="L13" s="8">
        <f>'原始数据'!L46</f>
        <v>38.3367</v>
      </c>
      <c r="M13" s="8">
        <f>'原始数据'!M46</f>
        <v>48.9885</v>
      </c>
      <c r="N13" s="8">
        <f>'原始数据'!N46</f>
        <v>65.4507</v>
      </c>
      <c r="O13" s="8">
        <f>'原始数据'!O46</f>
        <v>90.8492</v>
      </c>
      <c r="P13" s="8">
        <f>'原始数据'!P46</f>
        <v>127.5199</v>
      </c>
      <c r="Q13" s="8">
        <f>'原始数据'!Q46</f>
        <v>171.2457</v>
      </c>
      <c r="R13" s="2" t="s">
        <v>180</v>
      </c>
    </row>
    <row r="14" spans="1:18">
      <c r="A14" s="4" t="s">
        <v>200</v>
      </c>
      <c r="B14" s="8">
        <f>B12+B13</f>
        <v>37.0452</v>
      </c>
      <c r="C14" s="8">
        <f>C12+C13</f>
        <v>34.2098</v>
      </c>
      <c r="D14" s="8">
        <f>D12+D13</f>
        <v>31.4765</v>
      </c>
      <c r="E14" s="8">
        <f>E12+E13</f>
        <v>31.1592</v>
      </c>
      <c r="F14" s="8">
        <f>F12+F13</f>
        <v>30.4835</v>
      </c>
      <c r="G14" s="8">
        <f>G12+G13</f>
        <v>29.9828</v>
      </c>
      <c r="H14" s="8">
        <f>H12+H13</f>
        <v>30.8234</v>
      </c>
      <c r="I14" s="8">
        <f>I12+I13</f>
        <v>32.7695</v>
      </c>
      <c r="J14" s="8">
        <f>J12+J13</f>
        <v>34.0785</v>
      </c>
      <c r="K14" s="8">
        <f>K12+K13</f>
        <v>34.5206</v>
      </c>
      <c r="L14" s="8">
        <f>L12+L13</f>
        <v>38.3367</v>
      </c>
      <c r="M14" s="8">
        <f>M12+M13</f>
        <v>48.9885</v>
      </c>
      <c r="N14" s="8">
        <f>N12+N13</f>
        <v>65.4507</v>
      </c>
      <c r="O14" s="8">
        <f>O12+O13</f>
        <v>90.8492</v>
      </c>
      <c r="P14" s="8">
        <f>P12+P13</f>
        <v>127.5199</v>
      </c>
      <c r="Q14" s="8">
        <f>Q12+Q13</f>
        <v>171.2457</v>
      </c>
    </row>
    <row r="15" spans="1:18">
      <c r="A15" s="4" t="s">
        <v>201</v>
      </c>
      <c r="B15" s="8">
        <f>B8-B14</f>
        <v>0.0</v>
      </c>
      <c r="C15" s="8">
        <f>C8-C14</f>
        <v>0.0</v>
      </c>
      <c r="D15" s="8">
        <f>D8-D14</f>
        <v>0.0</v>
      </c>
      <c r="E15" s="8">
        <f>E8-E14</f>
        <v>0.0</v>
      </c>
      <c r="F15" s="8">
        <f>F8-F14</f>
        <v>0.0</v>
      </c>
      <c r="G15" s="8">
        <f>G8-G14</f>
        <v>0.0</v>
      </c>
      <c r="H15" s="8">
        <f>H8-H14</f>
        <v>0.0</v>
      </c>
      <c r="I15" s="8">
        <f>I8-I14</f>
        <v>0.0</v>
      </c>
      <c r="J15" s="8">
        <f>J8-J14</f>
        <v>0.0</v>
      </c>
      <c r="K15" s="8">
        <f>K8-K14</f>
        <v>0.0</v>
      </c>
      <c r="L15" s="8">
        <f>L8-L14</f>
        <v>0.0</v>
      </c>
      <c r="M15" s="8">
        <f>M8-M14</f>
        <v>0.0</v>
      </c>
      <c r="N15" s="8">
        <f>N8-N14</f>
        <v>0.0</v>
      </c>
      <c r="O15" s="8">
        <f>O8-O14</f>
        <v>0.0</v>
      </c>
      <c r="P15" s="8">
        <f>P8-P14</f>
        <v>0.0</v>
      </c>
      <c r="Q15" s="8">
        <f>Q8-Q14</f>
        <v>0.0</v>
      </c>
    </row>
    <row r="17" spans="1:18">
      <c r="A17" s="4" t="s">
        <v>181</v>
      </c>
      <c r="B17" s="8">
        <f>'原始数据'!B47</f>
        <v>30.0</v>
      </c>
      <c r="C17" s="8">
        <f>'原始数据'!C47</f>
        <v>0.0</v>
      </c>
      <c r="D17" s="8">
        <f>'原始数据'!D47</f>
        <v>0.0</v>
      </c>
      <c r="E17" s="8">
        <f>'原始数据'!E47</f>
        <v>0.0</v>
      </c>
      <c r="F17" s="8">
        <f>'原始数据'!F47</f>
        <v>0.0</v>
      </c>
      <c r="G17" s="8">
        <f>'原始数据'!G47</f>
        <v>0.0</v>
      </c>
      <c r="H17" s="8">
        <f>'原始数据'!H47</f>
        <v>0.0</v>
      </c>
      <c r="I17" s="8">
        <f>'原始数据'!I47</f>
        <v>0.0</v>
      </c>
      <c r="J17" s="8">
        <f>'原始数据'!J47</f>
        <v>0.0</v>
      </c>
      <c r="K17" s="8">
        <f>'原始数据'!K47</f>
        <v>0.0</v>
      </c>
      <c r="L17" s="8">
        <f>'原始数据'!L47</f>
        <v>0.0</v>
      </c>
      <c r="M17" s="8">
        <f>'原始数据'!M47</f>
        <v>0.0</v>
      </c>
      <c r="N17" s="8">
        <f>'原始数据'!N47</f>
        <v>0.0</v>
      </c>
      <c r="O17" s="8">
        <f>'原始数据'!O47</f>
        <v>0.0</v>
      </c>
      <c r="P17" s="8">
        <f>'原始数据'!P47</f>
        <v>0.0</v>
      </c>
      <c r="Q17" s="8">
        <f>'原始数据'!Q47</f>
        <v>0.0</v>
      </c>
      <c r="R17" s="2" t="s">
        <v>182</v>
      </c>
    </row>
    <row r="18" spans="1:18">
      <c r="A18" s="4" t="s">
        <v>183</v>
      </c>
      <c r="B18" s="8">
        <f>'原始数据'!B48</f>
        <v>300.0</v>
      </c>
      <c r="C18" s="8">
        <f>'原始数据'!C48</f>
        <v>300.0</v>
      </c>
      <c r="D18" s="8">
        <f>'原始数据'!D48</f>
        <v>300.0</v>
      </c>
      <c r="E18" s="8">
        <f>'原始数据'!E48</f>
        <v>300.0</v>
      </c>
      <c r="F18" s="8">
        <f>'原始数据'!F48</f>
        <v>300.0</v>
      </c>
      <c r="G18" s="8">
        <f>'原始数据'!G48</f>
        <v>300.0</v>
      </c>
      <c r="H18" s="8">
        <f>'原始数据'!H48</f>
        <v>300.0</v>
      </c>
      <c r="I18" s="8">
        <f>'原始数据'!I48</f>
        <v>300.0</v>
      </c>
      <c r="J18" s="8">
        <f>'原始数据'!J48</f>
        <v>300.0</v>
      </c>
      <c r="K18" s="8">
        <f>'原始数据'!K48</f>
        <v>300.0</v>
      </c>
      <c r="L18" s="8">
        <f>'原始数据'!L48</f>
        <v>312.5</v>
      </c>
      <c r="M18" s="8">
        <f>'原始数据'!M48</f>
        <v>325.0</v>
      </c>
      <c r="N18" s="8">
        <f>'原始数据'!N48</f>
        <v>325.0</v>
      </c>
      <c r="O18" s="8">
        <f>'原始数据'!O48</f>
        <v>325.0</v>
      </c>
      <c r="P18" s="8">
        <f>'原始数据'!P48</f>
        <v>325.0</v>
      </c>
      <c r="Q18" s="8">
        <f>'原始数据'!Q48</f>
        <v>325.0</v>
      </c>
      <c r="R18" s="2" t="s">
        <v>184</v>
      </c>
    </row>
  </sheetData>
  <mergeCells count="2">
    <mergeCell ref="A1:Q2"/>
    <mergeCell ref="A3:Q3"/>
  </mergeCells>
  <conditionalFormatting sqref="B15:Q15">
    <cfRule type="cellIs" dxfId="0" priority="1" operator="between">
      <formula>-0.0003</formula>
      <formula>0.0003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R1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9.7109375" customWidth="1"/>
    <col min="2" max="17" width="13.7109375" customWidth="1"/>
    <col min="18" max="18" width="58.7109375" customWidth="1"/>
  </cols>
  <sheetData>
    <row r="1" spans="1:18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4" t="s">
        <v>202</v>
      </c>
      <c r="B5" s="8">
        <f>'导览与假设'!$B$11</f>
        <v>10.0</v>
      </c>
      <c r="C5" s="8">
        <f>'资产负债表'!B5</f>
        <v>6.998</v>
      </c>
      <c r="D5" s="8">
        <f>'资产负债表'!C5</f>
        <v>5.2098</v>
      </c>
      <c r="E5" s="8">
        <f>'资产负债表'!D5</f>
        <v>2.9765</v>
      </c>
      <c r="F5" s="8">
        <f>'资产负债表'!E5</f>
        <v>3.1592</v>
      </c>
      <c r="G5" s="8">
        <f>'资产负债表'!F5</f>
        <v>3.0585</v>
      </c>
      <c r="H5" s="8">
        <f>'资产负债表'!G5</f>
        <v>3.2078</v>
      </c>
      <c r="I5" s="8">
        <f>'资产负债表'!H5</f>
        <v>3.2734</v>
      </c>
      <c r="J5" s="8">
        <f>'资产负债表'!I5</f>
        <v>4.5195</v>
      </c>
      <c r="K5" s="8">
        <f>'资产负债表'!J5</f>
        <v>6.7035</v>
      </c>
      <c r="L5" s="8">
        <f>'资产负债表'!K5</f>
        <v>8.0956</v>
      </c>
      <c r="M5" s="8">
        <f>'资产负债表'!L5</f>
        <v>13.0117</v>
      </c>
      <c r="N5" s="8">
        <f>'资产负债表'!M5</f>
        <v>24.9135</v>
      </c>
      <c r="O5" s="8">
        <f>'资产负债表'!N5</f>
        <v>42.7007</v>
      </c>
      <c r="P5" s="8">
        <f>'资产负债表'!O5</f>
        <v>69.4992</v>
      </c>
      <c r="Q5" s="8">
        <f>'资产负债表'!P5</f>
        <v>107.6449</v>
      </c>
    </row>
    <row r="6" spans="1:18">
      <c r="A6" s="4" t="s">
        <v>163</v>
      </c>
      <c r="B6" s="8">
        <f>'原始数据'!B34</f>
        <v>-3.9148</v>
      </c>
      <c r="C6" s="8">
        <f>'原始数据'!C34</f>
        <v>-2.8354</v>
      </c>
      <c r="D6" s="8">
        <f>'原始数据'!D34</f>
        <v>-2.7333</v>
      </c>
      <c r="E6" s="8">
        <f>'原始数据'!E34</f>
        <v>-2.3172</v>
      </c>
      <c r="F6" s="8">
        <f>'原始数据'!F34</f>
        <v>-1.6757</v>
      </c>
      <c r="G6" s="8">
        <f>'原始数据'!G34</f>
        <v>-0.5007</v>
      </c>
      <c r="H6" s="8">
        <f>'原始数据'!H34</f>
        <v>0.8407</v>
      </c>
      <c r="I6" s="8">
        <f>'原始数据'!I34</f>
        <v>1.9461</v>
      </c>
      <c r="J6" s="8">
        <f>'原始数据'!J34</f>
        <v>3.309</v>
      </c>
      <c r="K6" s="8">
        <f>'原始数据'!K34</f>
        <v>4.4421</v>
      </c>
      <c r="L6" s="8">
        <f>'原始数据'!L34</f>
        <v>6.816</v>
      </c>
      <c r="M6" s="8">
        <f>'原始数据'!M34</f>
        <v>10.6518</v>
      </c>
      <c r="N6" s="8">
        <f>'原始数据'!N34</f>
        <v>16.4622</v>
      </c>
      <c r="O6" s="8">
        <f>'原始数据'!O34</f>
        <v>25.3985</v>
      </c>
      <c r="P6" s="8">
        <f>'原始数据'!P34</f>
        <v>36.6707</v>
      </c>
      <c r="Q6" s="8">
        <f>'原始数据'!Q34</f>
        <v>43.7258</v>
      </c>
      <c r="R6" s="2" t="s">
        <v>164</v>
      </c>
    </row>
    <row r="7" spans="1:18">
      <c r="A7" s="4" t="s">
        <v>185</v>
      </c>
      <c r="B7" s="8">
        <f>'原始数据'!B38</f>
        <v>2.0</v>
      </c>
      <c r="C7" s="8">
        <f>'原始数据'!C38</f>
        <v>2.0</v>
      </c>
      <c r="D7" s="8">
        <f>'原始数据'!D38</f>
        <v>2.0</v>
      </c>
      <c r="E7" s="8">
        <f>'原始数据'!E38</f>
        <v>2.0</v>
      </c>
      <c r="F7" s="8">
        <f>'原始数据'!F38</f>
        <v>2.075</v>
      </c>
      <c r="G7" s="8">
        <f>'原始数据'!G38</f>
        <v>2.15</v>
      </c>
      <c r="H7" s="8">
        <f>'原始数据'!H38</f>
        <v>2.225</v>
      </c>
      <c r="I7" s="8">
        <f>'原始数据'!I38</f>
        <v>2.3</v>
      </c>
      <c r="J7" s="8">
        <f>'原始数据'!J38</f>
        <v>2.375</v>
      </c>
      <c r="K7" s="8">
        <f>'原始数据'!K38</f>
        <v>2.45</v>
      </c>
      <c r="L7" s="8">
        <f>'原始数据'!L38</f>
        <v>2.6</v>
      </c>
      <c r="M7" s="8">
        <f>'原始数据'!M38</f>
        <v>2.75</v>
      </c>
      <c r="N7" s="8">
        <f>'原始数据'!N38</f>
        <v>2.825</v>
      </c>
      <c r="O7" s="8">
        <f>'原始数据'!O38</f>
        <v>2.9</v>
      </c>
      <c r="P7" s="8">
        <f>'原始数据'!P38</f>
        <v>2.975</v>
      </c>
      <c r="Q7" s="8">
        <f>'原始数据'!Q38</f>
        <v>3.05</v>
      </c>
      <c r="R7" s="2" t="s">
        <v>186</v>
      </c>
    </row>
    <row r="8" spans="1:18">
      <c r="A8" s="4" t="s">
        <v>203</v>
      </c>
      <c r="B8" s="8">
        <f>'导览与假设'!$B$12-'资产负债表'!B6</f>
        <v>0.41279999999999994</v>
      </c>
      <c r="C8" s="8">
        <f>'资产负债表'!B6-'资产负债表'!C6</f>
        <v>0.5472</v>
      </c>
      <c r="D8" s="8">
        <f>'资产负债表'!C6-'资产负债表'!D6</f>
        <v>0.0</v>
      </c>
      <c r="E8" s="8">
        <f>'资产负债表'!D6-'资产负债表'!E6</f>
        <v>0.0</v>
      </c>
      <c r="F8" s="8">
        <f>'资产负债表'!E6-'资产负债表'!F6</f>
        <v>0.0</v>
      </c>
      <c r="G8" s="8">
        <f>'资产负债表'!F6-'资产负债表'!G6</f>
        <v>0.0</v>
      </c>
      <c r="H8" s="8">
        <f>'资产负债表'!G6-'资产负债表'!H6</f>
        <v>0.0</v>
      </c>
      <c r="I8" s="8">
        <f>'资产负债表'!H6-'资产负债表'!I6</f>
        <v>0.0</v>
      </c>
      <c r="J8" s="8">
        <f>'资产负债表'!I6-'资产负债表'!J6</f>
        <v>0.0</v>
      </c>
      <c r="K8" s="8">
        <f>'资产负债表'!J6-'资产负债表'!K6</f>
        <v>0.0</v>
      </c>
      <c r="L8" s="8">
        <f>'资产负债表'!K6-'资产负债表'!L6</f>
        <v>0.0</v>
      </c>
      <c r="M8" s="8">
        <f>'资产负债表'!L6-'资产负债表'!M6</f>
        <v>0.0</v>
      </c>
      <c r="N8" s="8">
        <f>'资产负债表'!M6-'资产负债表'!N6</f>
        <v>0.0</v>
      </c>
      <c r="O8" s="8">
        <f>'资产负债表'!N6-'资产负债表'!O6</f>
        <v>0.0</v>
      </c>
      <c r="P8" s="8">
        <f>'资产负债表'!O6-'资产负债表'!P6</f>
        <v>0.0</v>
      </c>
      <c r="Q8" s="8">
        <f>'资产负债表'!P6-'资产负债表'!Q6</f>
        <v>0.0</v>
      </c>
    </row>
    <row r="9" spans="1:18">
      <c r="A9" s="4" t="s">
        <v>204</v>
      </c>
      <c r="B9" s="8">
        <f>SUM(B6:B8)</f>
        <v>-1.5020000000000002</v>
      </c>
      <c r="C9" s="8">
        <f>SUM(C6:C8)</f>
        <v>-0.2881999999999999</v>
      </c>
      <c r="D9" s="8">
        <f>SUM(D6:D8)</f>
        <v>-0.7332999999999998</v>
      </c>
      <c r="E9" s="8">
        <f>SUM(E6:E8)</f>
        <v>-0.31720000000000015</v>
      </c>
      <c r="F9" s="8">
        <f>SUM(F6:F8)</f>
        <v>0.3993000000000002</v>
      </c>
      <c r="G9" s="8">
        <f>SUM(G6:G8)</f>
        <v>1.6492999999999998</v>
      </c>
      <c r="H9" s="8">
        <f>SUM(H6:H8)</f>
        <v>3.0657</v>
      </c>
      <c r="I9" s="8">
        <f>SUM(I6:I8)</f>
        <v>4.2461</v>
      </c>
      <c r="J9" s="8">
        <f>SUM(J6:J8)</f>
        <v>5.684</v>
      </c>
      <c r="K9" s="8">
        <f>SUM(K6:K8)</f>
        <v>6.8921</v>
      </c>
      <c r="L9" s="8">
        <f>SUM(L6:L8)</f>
        <v>9.416</v>
      </c>
      <c r="M9" s="8">
        <f>SUM(M6:M8)</f>
        <v>13.4018</v>
      </c>
      <c r="N9" s="8">
        <f>SUM(N6:N8)</f>
        <v>19.2872</v>
      </c>
      <c r="O9" s="8">
        <f>SUM(O6:O8)</f>
        <v>28.298499999999997</v>
      </c>
      <c r="P9" s="8">
        <f>SUM(P6:P8)</f>
        <v>39.6457</v>
      </c>
      <c r="Q9" s="8">
        <f>SUM(Q6:Q8)</f>
        <v>46.7758</v>
      </c>
    </row>
    <row r="10" spans="1:18">
      <c r="A10" s="4" t="s">
        <v>187</v>
      </c>
      <c r="B10" s="8">
        <f>'原始数据'!B35</f>
        <v>-1.502</v>
      </c>
      <c r="C10" s="8">
        <f>'原始数据'!C35</f>
        <v>-0.2882</v>
      </c>
      <c r="D10" s="8">
        <f>'原始数据'!D35</f>
        <v>-0.7333</v>
      </c>
      <c r="E10" s="8">
        <f>'原始数据'!E35</f>
        <v>-0.3172</v>
      </c>
      <c r="F10" s="8">
        <f>'原始数据'!F35</f>
        <v>0.3993</v>
      </c>
      <c r="G10" s="8">
        <f>'原始数据'!G35</f>
        <v>1.6493</v>
      </c>
      <c r="H10" s="8">
        <f>'原始数据'!H35</f>
        <v>3.0657</v>
      </c>
      <c r="I10" s="8">
        <f>'原始数据'!I35</f>
        <v>4.2461</v>
      </c>
      <c r="J10" s="8">
        <f>'原始数据'!J35</f>
        <v>5.684</v>
      </c>
      <c r="K10" s="8">
        <f>'原始数据'!K35</f>
        <v>6.8921</v>
      </c>
      <c r="L10" s="8">
        <f>'原始数据'!L35</f>
        <v>9.416</v>
      </c>
      <c r="M10" s="8">
        <f>'原始数据'!M35</f>
        <v>13.4018</v>
      </c>
      <c r="N10" s="8">
        <f>'原始数据'!N35</f>
        <v>19.2872</v>
      </c>
      <c r="O10" s="8">
        <f>'原始数据'!O35</f>
        <v>28.2985</v>
      </c>
      <c r="P10" s="8">
        <f>'原始数据'!P35</f>
        <v>39.6457</v>
      </c>
      <c r="Q10" s="8">
        <f>'原始数据'!Q35</f>
        <v>46.7758</v>
      </c>
      <c r="R10" s="2" t="s">
        <v>188</v>
      </c>
    </row>
    <row r="11" spans="1:18">
      <c r="A11" s="4" t="s">
        <v>205</v>
      </c>
      <c r="B11" s="8">
        <f>B9-B10</f>
        <v>-2.220446049250313e-16</v>
      </c>
      <c r="C11" s="8">
        <f>C9-C10</f>
        <v>1.1102230246251565e-16</v>
      </c>
      <c r="D11" s="8">
        <f>D9-D10</f>
        <v>1.1102230246251565e-16</v>
      </c>
      <c r="E11" s="8">
        <f>E9-E10</f>
        <v>-1.6653345369377348e-16</v>
      </c>
      <c r="F11" s="8">
        <f>F9-F10</f>
        <v>2.220446049250313e-16</v>
      </c>
      <c r="G11" s="8">
        <f>G9-G10</f>
        <v>-2.220446049250313e-16</v>
      </c>
      <c r="H11" s="8">
        <f>H9-H10</f>
        <v>0.0</v>
      </c>
      <c r="I11" s="8">
        <f>I9-I10</f>
        <v>0.0</v>
      </c>
      <c r="J11" s="8">
        <f>J9-J10</f>
        <v>0.0</v>
      </c>
      <c r="K11" s="8">
        <f>K9-K10</f>
        <v>0.0</v>
      </c>
      <c r="L11" s="8">
        <f>L9-L10</f>
        <v>0.0</v>
      </c>
      <c r="M11" s="8">
        <f>M9-M10</f>
        <v>0.0</v>
      </c>
      <c r="N11" s="8">
        <f>N9-N10</f>
        <v>0.0</v>
      </c>
      <c r="O11" s="8">
        <f>O9-O10</f>
        <v>-3.552713678800501e-15</v>
      </c>
      <c r="P11" s="8">
        <f>P9-P10</f>
        <v>0.0</v>
      </c>
      <c r="Q11" s="8">
        <f>Q9-Q10</f>
        <v>0.0</v>
      </c>
    </row>
    <row r="12" spans="1:18">
      <c r="A12" s="4" t="s">
        <v>189</v>
      </c>
      <c r="B12" s="8">
        <f>'原始数据'!B36</f>
        <v>-1.5</v>
      </c>
      <c r="C12" s="8">
        <f>'原始数据'!C36</f>
        <v>-1.5</v>
      </c>
      <c r="D12" s="8">
        <f>'原始数据'!D36</f>
        <v>-1.5</v>
      </c>
      <c r="E12" s="8">
        <f>'原始数据'!E36</f>
        <v>-1.5</v>
      </c>
      <c r="F12" s="8">
        <f>'原始数据'!F36</f>
        <v>-1.5</v>
      </c>
      <c r="G12" s="8">
        <f>'原始数据'!G36</f>
        <v>-1.5</v>
      </c>
      <c r="H12" s="8">
        <f>'原始数据'!H36</f>
        <v>-3.0</v>
      </c>
      <c r="I12" s="8">
        <f>'原始数据'!I36</f>
        <v>-3.0</v>
      </c>
      <c r="J12" s="8">
        <f>'原始数据'!J36</f>
        <v>-1.5</v>
      </c>
      <c r="K12" s="8">
        <f>'原始数据'!K36</f>
        <v>-1.5</v>
      </c>
      <c r="L12" s="8">
        <f>'原始数据'!L36</f>
        <v>-1.5</v>
      </c>
      <c r="M12" s="8">
        <f>'原始数据'!M36</f>
        <v>-1.5</v>
      </c>
      <c r="N12" s="8">
        <f>'原始数据'!N36</f>
        <v>-1.5</v>
      </c>
      <c r="O12" s="8">
        <f>'原始数据'!O36</f>
        <v>-1.5</v>
      </c>
      <c r="P12" s="8">
        <f>'原始数据'!P36</f>
        <v>-1.5</v>
      </c>
      <c r="Q12" s="8">
        <f>'原始数据'!Q36</f>
        <v>-1.5</v>
      </c>
      <c r="R12" s="2" t="s">
        <v>190</v>
      </c>
    </row>
    <row r="13" spans="1:18">
      <c r="A13" s="4" t="s">
        <v>191</v>
      </c>
      <c r="B13" s="8">
        <f>'原始数据'!B37</f>
        <v>0.0</v>
      </c>
      <c r="C13" s="8">
        <f>'原始数据'!C37</f>
        <v>0.0</v>
      </c>
      <c r="D13" s="8">
        <f>'原始数据'!D37</f>
        <v>0.0</v>
      </c>
      <c r="E13" s="8">
        <f>'原始数据'!E37</f>
        <v>2.0</v>
      </c>
      <c r="F13" s="8">
        <f>'原始数据'!F37</f>
        <v>1.0</v>
      </c>
      <c r="G13" s="8">
        <f>'原始数据'!G37</f>
        <v>0.0</v>
      </c>
      <c r="H13" s="8">
        <f>'原始数据'!H37</f>
        <v>0.0</v>
      </c>
      <c r="I13" s="8">
        <f>'原始数据'!I37</f>
        <v>0.0</v>
      </c>
      <c r="J13" s="8">
        <f>'原始数据'!J37</f>
        <v>-2.0</v>
      </c>
      <c r="K13" s="8">
        <f>'原始数据'!K37</f>
        <v>-4.0</v>
      </c>
      <c r="L13" s="8">
        <f>'原始数据'!L37</f>
        <v>-3.0</v>
      </c>
      <c r="M13" s="8">
        <f>'原始数据'!M37</f>
        <v>0.0</v>
      </c>
      <c r="N13" s="8">
        <f>'原始数据'!N37</f>
        <v>0.0</v>
      </c>
      <c r="O13" s="8">
        <f>'原始数据'!O37</f>
        <v>0.0</v>
      </c>
      <c r="P13" s="8">
        <f>'原始数据'!P37</f>
        <v>0.0</v>
      </c>
      <c r="Q13" s="8">
        <f>'原始数据'!Q37</f>
        <v>0.0</v>
      </c>
      <c r="R13" s="2" t="s">
        <v>192</v>
      </c>
    </row>
    <row r="14" spans="1:18">
      <c r="A14" s="4" t="s">
        <v>206</v>
      </c>
      <c r="B14" s="8">
        <f>B10+B12+B13</f>
        <v>-3.002</v>
      </c>
      <c r="C14" s="8">
        <f>C10+C12+C13</f>
        <v>-1.7882</v>
      </c>
      <c r="D14" s="8">
        <f>D10+D12+D13</f>
        <v>-2.2333</v>
      </c>
      <c r="E14" s="8">
        <f>E10+E12+E13</f>
        <v>0.18280000000000002</v>
      </c>
      <c r="F14" s="8">
        <f>F10+F12+F13</f>
        <v>-0.10070000000000001</v>
      </c>
      <c r="G14" s="8">
        <f>G10+G12+G13</f>
        <v>0.1493</v>
      </c>
      <c r="H14" s="8">
        <f>H10+H12+H13</f>
        <v>0.06570000000000009</v>
      </c>
      <c r="I14" s="8">
        <f>I10+I12+I13</f>
        <v>1.2461000000000002</v>
      </c>
      <c r="J14" s="8">
        <f>J10+J12+J13</f>
        <v>2.184</v>
      </c>
      <c r="K14" s="8">
        <f>K10+K12+K13</f>
        <v>1.3921000000000001</v>
      </c>
      <c r="L14" s="8">
        <f>L10+L12+L13</f>
        <v>4.916</v>
      </c>
      <c r="M14" s="8">
        <f>M10+M12+M13</f>
        <v>11.9018</v>
      </c>
      <c r="N14" s="8">
        <f>N10+N12+N13</f>
        <v>17.7872</v>
      </c>
      <c r="O14" s="8">
        <f>O10+O12+O13</f>
        <v>26.7985</v>
      </c>
      <c r="P14" s="8">
        <f>P10+P12+P13</f>
        <v>38.1457</v>
      </c>
      <c r="Q14" s="8">
        <f>Q10+Q12+Q13</f>
        <v>45.2758</v>
      </c>
    </row>
    <row r="15" spans="1:18">
      <c r="A15" s="4" t="s">
        <v>207</v>
      </c>
      <c r="B15" s="8">
        <f>B5+B14</f>
        <v>6.998</v>
      </c>
      <c r="C15" s="8">
        <f>C5+C14</f>
        <v>5.2098</v>
      </c>
      <c r="D15" s="8">
        <f>D5+D14</f>
        <v>2.9765000000000006</v>
      </c>
      <c r="E15" s="8">
        <f>E5+E14</f>
        <v>3.1593</v>
      </c>
      <c r="F15" s="8">
        <f>F5+F14</f>
        <v>3.0584999999999996</v>
      </c>
      <c r="G15" s="8">
        <f>G5+G14</f>
        <v>3.2077999999999998</v>
      </c>
      <c r="H15" s="8">
        <f>H5+H14</f>
        <v>3.2735000000000003</v>
      </c>
      <c r="I15" s="8">
        <f>I5+I14</f>
        <v>4.519500000000001</v>
      </c>
      <c r="J15" s="8">
        <f>J5+J14</f>
        <v>6.7035</v>
      </c>
      <c r="K15" s="8">
        <f>K5+K14</f>
        <v>8.095600000000001</v>
      </c>
      <c r="L15" s="8">
        <f>L5+L14</f>
        <v>13.0116</v>
      </c>
      <c r="M15" s="8">
        <f>M5+M14</f>
        <v>24.9135</v>
      </c>
      <c r="N15" s="8">
        <f>N5+N14</f>
        <v>42.7007</v>
      </c>
      <c r="O15" s="8">
        <f>O5+O14</f>
        <v>69.4992</v>
      </c>
      <c r="P15" s="8">
        <f>P5+P14</f>
        <v>107.6449</v>
      </c>
      <c r="Q15" s="8">
        <f>Q5+Q14</f>
        <v>152.9207</v>
      </c>
    </row>
    <row r="16" spans="1:18">
      <c r="A16" s="4" t="s">
        <v>193</v>
      </c>
      <c r="B16" s="8">
        <f>'原始数据'!B40</f>
        <v>6.998</v>
      </c>
      <c r="C16" s="8">
        <f>'原始数据'!C40</f>
        <v>5.2098</v>
      </c>
      <c r="D16" s="8">
        <f>'原始数据'!D40</f>
        <v>2.9765</v>
      </c>
      <c r="E16" s="8">
        <f>'原始数据'!E40</f>
        <v>3.1592</v>
      </c>
      <c r="F16" s="8">
        <f>'原始数据'!F40</f>
        <v>3.0585</v>
      </c>
      <c r="G16" s="8">
        <f>'原始数据'!G40</f>
        <v>3.2078</v>
      </c>
      <c r="H16" s="8">
        <f>'原始数据'!H40</f>
        <v>3.2734</v>
      </c>
      <c r="I16" s="8">
        <f>'原始数据'!I40</f>
        <v>4.5195</v>
      </c>
      <c r="J16" s="8">
        <f>'原始数据'!J40</f>
        <v>6.7035</v>
      </c>
      <c r="K16" s="8">
        <f>'原始数据'!K40</f>
        <v>8.0956</v>
      </c>
      <c r="L16" s="8">
        <f>'原始数据'!L40</f>
        <v>13.0117</v>
      </c>
      <c r="M16" s="8">
        <f>'原始数据'!M40</f>
        <v>24.9135</v>
      </c>
      <c r="N16" s="8">
        <f>'原始数据'!N40</f>
        <v>42.7007</v>
      </c>
      <c r="O16" s="8">
        <f>'原始数据'!O40</f>
        <v>69.4992</v>
      </c>
      <c r="P16" s="8">
        <f>'原始数据'!P40</f>
        <v>107.6449</v>
      </c>
      <c r="Q16" s="8">
        <f>'原始数据'!Q40</f>
        <v>152.9207</v>
      </c>
      <c r="R16" s="2" t="s">
        <v>168</v>
      </c>
    </row>
    <row r="17" spans="1:18">
      <c r="A17" s="4" t="s">
        <v>208</v>
      </c>
      <c r="B17" s="8">
        <f>B15-B16</f>
        <v>0.0</v>
      </c>
      <c r="C17" s="8">
        <f>C15-C16</f>
        <v>0.0</v>
      </c>
      <c r="D17" s="8">
        <f>D15-D16</f>
        <v>4.440892098500626e-16</v>
      </c>
      <c r="E17" s="8">
        <f>E15-E16</f>
        <v>0.00010000000000021103</v>
      </c>
      <c r="F17" s="8">
        <f>F15-F16</f>
        <v>-4.440892098500626e-16</v>
      </c>
      <c r="G17" s="8">
        <f>G15-G16</f>
        <v>-4.440892098500626e-16</v>
      </c>
      <c r="H17" s="8">
        <f>H15-H16</f>
        <v>0.00010000000000021103</v>
      </c>
      <c r="I17" s="8">
        <f>I15-I16</f>
        <v>8.881784197001252e-16</v>
      </c>
      <c r="J17" s="8">
        <f>J15-J16</f>
        <v>0.0</v>
      </c>
      <c r="K17" s="8">
        <f>K15-K16</f>
        <v>1.7763568394002505e-15</v>
      </c>
      <c r="L17" s="8">
        <f>L15-L16</f>
        <v>-9.999999999976694e-05</v>
      </c>
      <c r="M17" s="8">
        <f>M15-M16</f>
        <v>0.0</v>
      </c>
      <c r="N17" s="8">
        <f>N15-N16</f>
        <v>0.0</v>
      </c>
      <c r="O17" s="8">
        <f>O15-O16</f>
        <v>0.0</v>
      </c>
      <c r="P17" s="8">
        <f>P15-P16</f>
        <v>0.0</v>
      </c>
      <c r="Q17" s="8">
        <f>Q15-Q16</f>
        <v>0.0</v>
      </c>
    </row>
    <row r="19" spans="1:18">
      <c r="A19" s="4" t="s">
        <v>194</v>
      </c>
      <c r="B19" s="8">
        <f>'原始数据'!B39</f>
        <v>0.0</v>
      </c>
      <c r="C19" s="8">
        <f>'原始数据'!C39</f>
        <v>0.0</v>
      </c>
      <c r="D19" s="8">
        <f>'原始数据'!D39</f>
        <v>0.0</v>
      </c>
      <c r="E19" s="8">
        <f>'原始数据'!E39</f>
        <v>0.0</v>
      </c>
      <c r="F19" s="8">
        <f>'原始数据'!F39</f>
        <v>0.0</v>
      </c>
      <c r="G19" s="8">
        <f>'原始数据'!G39</f>
        <v>0.0</v>
      </c>
      <c r="H19" s="8">
        <f>'原始数据'!H39</f>
        <v>0.0</v>
      </c>
      <c r="I19" s="8">
        <f>'原始数据'!I39</f>
        <v>0.0</v>
      </c>
      <c r="J19" s="8">
        <f>'原始数据'!J39</f>
        <v>0.0</v>
      </c>
      <c r="K19" s="8">
        <f>'原始数据'!K39</f>
        <v>0.0</v>
      </c>
      <c r="L19" s="8">
        <f>'原始数据'!L39</f>
        <v>0.0</v>
      </c>
      <c r="M19" s="8">
        <f>'原始数据'!M39</f>
        <v>0.0</v>
      </c>
      <c r="N19" s="8">
        <f>'原始数据'!N39</f>
        <v>0.0</v>
      </c>
      <c r="O19" s="8">
        <f>'原始数据'!O39</f>
        <v>0.0</v>
      </c>
      <c r="P19" s="8">
        <f>'原始数据'!P39</f>
        <v>0.0</v>
      </c>
      <c r="Q19" s="8">
        <f>'原始数据'!Q39</f>
        <v>0.0</v>
      </c>
      <c r="R19" s="2" t="s">
        <v>195</v>
      </c>
    </row>
  </sheetData>
  <mergeCells count="2">
    <mergeCell ref="A1:Q2"/>
    <mergeCell ref="A3:Q3"/>
  </mergeCells>
  <conditionalFormatting sqref="B11:Q11">
    <cfRule type="cellIs" dxfId="0" priority="1" operator="between">
      <formula>-0.0003</formula>
      <formula>0.0003</formula>
    </cfRule>
  </conditionalFormatting>
  <conditionalFormatting sqref="B17:Q17">
    <cfRule type="cellIs" dxfId="0" priority="2" operator="between">
      <formula>-0.0003</formula>
      <formula>0.0003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7C83"/>
    <pageSetUpPr fitToPage="1"/>
  </sheetPr>
  <dimension ref="A1:R4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3.7109375" customWidth="1"/>
    <col min="2" max="17" width="13.7109375" customWidth="1"/>
    <col min="18" max="18" width="58.7109375" customWidth="1"/>
  </cols>
  <sheetData>
    <row r="1" spans="1:18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3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4" t="s">
        <v>25</v>
      </c>
      <c r="B5" s="7">
        <v>0.7</v>
      </c>
      <c r="C5" s="7">
        <v>0.55</v>
      </c>
      <c r="D5" s="7">
        <v>0.65</v>
      </c>
      <c r="E5" s="7">
        <v>0.72</v>
      </c>
      <c r="F5" s="7">
        <v>0.8</v>
      </c>
      <c r="G5" s="7">
        <v>0.9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2" t="s">
        <v>26</v>
      </c>
    </row>
    <row r="6" spans="1:18">
      <c r="A6" s="4" t="s">
        <v>27</v>
      </c>
      <c r="B6" s="7">
        <v>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2" t="s">
        <v>28</v>
      </c>
    </row>
    <row r="7" spans="1:18">
      <c r="A7" s="4" t="s">
        <v>29</v>
      </c>
      <c r="B7" s="7">
        <v>1.5</v>
      </c>
      <c r="C7" s="7">
        <v>1.5</v>
      </c>
      <c r="D7" s="7">
        <v>1.5</v>
      </c>
      <c r="E7" s="7">
        <v>1.5</v>
      </c>
      <c r="F7" s="7">
        <v>1.5</v>
      </c>
      <c r="G7" s="7">
        <v>1.5</v>
      </c>
      <c r="H7" s="7">
        <v>3</v>
      </c>
      <c r="I7" s="7">
        <v>3</v>
      </c>
      <c r="J7" s="7">
        <v>1.5</v>
      </c>
      <c r="K7" s="7">
        <v>1.5</v>
      </c>
      <c r="L7" s="7">
        <v>1.5</v>
      </c>
      <c r="M7" s="7">
        <v>1.5</v>
      </c>
      <c r="N7" s="7">
        <v>1.5</v>
      </c>
      <c r="O7" s="7">
        <v>1.5</v>
      </c>
      <c r="P7" s="7">
        <v>1.5</v>
      </c>
      <c r="Q7" s="7">
        <v>1.5</v>
      </c>
      <c r="R7" s="2" t="s">
        <v>30</v>
      </c>
    </row>
    <row r="8" spans="1:18">
      <c r="A8" s="4" t="s">
        <v>31</v>
      </c>
      <c r="B8" s="7">
        <v>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2" t="s">
        <v>32</v>
      </c>
    </row>
    <row r="9" spans="1:18">
      <c r="A9" s="4" t="s">
        <v>33</v>
      </c>
      <c r="B9" s="7">
        <v>0</v>
      </c>
      <c r="C9" s="7">
        <v>0</v>
      </c>
      <c r="D9" s="7">
        <v>0</v>
      </c>
      <c r="E9" s="7">
        <v>0.05</v>
      </c>
      <c r="F9" s="7">
        <v>0.05</v>
      </c>
      <c r="G9" s="7">
        <v>0.07000000000000001</v>
      </c>
      <c r="H9" s="7">
        <v>0.09</v>
      </c>
      <c r="I9" s="7">
        <v>0.12</v>
      </c>
      <c r="J9" s="7">
        <v>0.166667</v>
      </c>
      <c r="K9" s="7">
        <v>0.21</v>
      </c>
      <c r="L9" s="7">
        <v>0.24</v>
      </c>
      <c r="M9" s="7">
        <v>0.28</v>
      </c>
      <c r="N9" s="7">
        <v>0.338462</v>
      </c>
      <c r="O9" s="7">
        <v>0.4</v>
      </c>
      <c r="P9" s="7">
        <v>0.492308</v>
      </c>
      <c r="Q9" s="7">
        <v>0.5538459999999999</v>
      </c>
      <c r="R9" s="2" t="s">
        <v>34</v>
      </c>
    </row>
    <row r="10" spans="1:18">
      <c r="A10" s="4" t="s">
        <v>35</v>
      </c>
      <c r="B10" s="7">
        <v>0</v>
      </c>
      <c r="C10" s="7">
        <v>0</v>
      </c>
      <c r="D10" s="7">
        <v>0</v>
      </c>
      <c r="E10" s="7">
        <v>2</v>
      </c>
      <c r="F10" s="7">
        <v>1</v>
      </c>
      <c r="G10" s="7">
        <v>0</v>
      </c>
      <c r="H10" s="7">
        <v>0</v>
      </c>
      <c r="I10" s="7">
        <v>0</v>
      </c>
      <c r="J10" s="7">
        <v>-2</v>
      </c>
      <c r="K10" s="7">
        <v>-4</v>
      </c>
      <c r="L10" s="7">
        <v>-3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2" t="s">
        <v>36</v>
      </c>
    </row>
    <row r="11" spans="1:18">
      <c r="A11" s="4" t="s">
        <v>37</v>
      </c>
      <c r="B11" s="7">
        <v>0.8</v>
      </c>
      <c r="C11" s="7">
        <v>0.5600000000000001</v>
      </c>
      <c r="D11" s="7">
        <v>0.5</v>
      </c>
      <c r="E11" s="7">
        <v>0.53</v>
      </c>
      <c r="F11" s="7">
        <v>0.6</v>
      </c>
      <c r="G11" s="7">
        <v>0.72</v>
      </c>
      <c r="H11" s="7">
        <v>0.83</v>
      </c>
      <c r="I11" s="7">
        <v>0.92</v>
      </c>
      <c r="J11" s="7">
        <v>1</v>
      </c>
      <c r="K11" s="7">
        <v>0.97</v>
      </c>
      <c r="L11" s="7">
        <v>1.06</v>
      </c>
      <c r="M11" s="7">
        <v>1.28</v>
      </c>
      <c r="N11" s="7">
        <v>1.7</v>
      </c>
      <c r="O11" s="7">
        <v>2.65</v>
      </c>
      <c r="P11" s="7">
        <v>3.9</v>
      </c>
      <c r="Q11" s="7">
        <v>4.55</v>
      </c>
      <c r="R11" s="2" t="s">
        <v>38</v>
      </c>
    </row>
    <row r="12" spans="1:18">
      <c r="A12" s="4" t="s">
        <v>39</v>
      </c>
      <c r="B12" s="7">
        <v>1.6</v>
      </c>
      <c r="C12" s="7">
        <v>1.4</v>
      </c>
      <c r="D12" s="7">
        <v>1.3</v>
      </c>
      <c r="E12" s="7">
        <v>1.4</v>
      </c>
      <c r="F12" s="7">
        <v>1.6</v>
      </c>
      <c r="G12" s="7">
        <v>1.9</v>
      </c>
      <c r="H12" s="7">
        <v>2.3</v>
      </c>
      <c r="I12" s="7">
        <v>2.8</v>
      </c>
      <c r="J12" s="7">
        <v>3.4</v>
      </c>
      <c r="K12" s="7">
        <v>4</v>
      </c>
      <c r="L12" s="7">
        <v>4.6</v>
      </c>
      <c r="M12" s="7">
        <v>5.4</v>
      </c>
      <c r="N12" s="7">
        <v>6.4</v>
      </c>
      <c r="O12" s="7">
        <v>7.6</v>
      </c>
      <c r="P12" s="7">
        <v>8.800000000000001</v>
      </c>
      <c r="Q12" s="7">
        <v>9.6</v>
      </c>
      <c r="R12" s="2" t="s">
        <v>40</v>
      </c>
    </row>
    <row r="13" spans="1:18">
      <c r="A13" s="4" t="s">
        <v>41</v>
      </c>
      <c r="B13" s="7">
        <v>240</v>
      </c>
      <c r="C13" s="7">
        <v>210</v>
      </c>
      <c r="D13" s="7">
        <v>205</v>
      </c>
      <c r="E13" s="7">
        <v>215</v>
      </c>
      <c r="F13" s="7">
        <v>235</v>
      </c>
      <c r="G13" s="7">
        <v>260</v>
      </c>
      <c r="H13" s="7">
        <v>285</v>
      </c>
      <c r="I13" s="7">
        <v>305</v>
      </c>
      <c r="J13" s="7">
        <v>320</v>
      </c>
      <c r="K13" s="7">
        <v>320</v>
      </c>
      <c r="L13" s="7">
        <v>340</v>
      </c>
      <c r="M13" s="7">
        <v>365</v>
      </c>
      <c r="N13" s="7">
        <v>400</v>
      </c>
      <c r="O13" s="7">
        <v>440</v>
      </c>
      <c r="P13" s="7">
        <v>480</v>
      </c>
      <c r="Q13" s="7">
        <v>510</v>
      </c>
      <c r="R13" s="2" t="s">
        <v>42</v>
      </c>
    </row>
    <row r="14" spans="1:18">
      <c r="A14" s="4" t="s">
        <v>43</v>
      </c>
      <c r="B14" s="7">
        <v>5</v>
      </c>
      <c r="C14" s="7">
        <v>5</v>
      </c>
      <c r="D14" s="7">
        <v>6</v>
      </c>
      <c r="E14" s="7">
        <v>8</v>
      </c>
      <c r="F14" s="7">
        <v>12</v>
      </c>
      <c r="G14" s="7">
        <v>18</v>
      </c>
      <c r="H14" s="7">
        <v>26</v>
      </c>
      <c r="I14" s="7">
        <v>36</v>
      </c>
      <c r="J14" s="7">
        <v>48</v>
      </c>
      <c r="K14" s="7">
        <v>60</v>
      </c>
      <c r="L14" s="7">
        <v>74</v>
      </c>
      <c r="M14" s="7">
        <v>90</v>
      </c>
      <c r="N14" s="7">
        <v>110</v>
      </c>
      <c r="O14" s="7">
        <v>135</v>
      </c>
      <c r="P14" s="7">
        <v>160</v>
      </c>
      <c r="Q14" s="7">
        <v>185</v>
      </c>
      <c r="R14" s="2" t="s">
        <v>44</v>
      </c>
    </row>
    <row r="15" spans="1:18">
      <c r="A15" s="4" t="s">
        <v>45</v>
      </c>
      <c r="B15" s="7">
        <v>210</v>
      </c>
      <c r="C15" s="7">
        <v>165</v>
      </c>
      <c r="D15" s="7">
        <v>195</v>
      </c>
      <c r="E15" s="7">
        <v>216</v>
      </c>
      <c r="F15" s="7">
        <v>240</v>
      </c>
      <c r="G15" s="7">
        <v>270</v>
      </c>
      <c r="H15" s="7">
        <v>300</v>
      </c>
      <c r="I15" s="7">
        <v>300</v>
      </c>
      <c r="J15" s="7">
        <v>300</v>
      </c>
      <c r="K15" s="7">
        <v>300</v>
      </c>
      <c r="L15" s="7">
        <v>312.5</v>
      </c>
      <c r="M15" s="7">
        <v>325</v>
      </c>
      <c r="N15" s="7">
        <v>325</v>
      </c>
      <c r="O15" s="7">
        <v>325</v>
      </c>
      <c r="P15" s="7">
        <v>325</v>
      </c>
      <c r="Q15" s="7">
        <v>325</v>
      </c>
      <c r="R15" s="2" t="s">
        <v>46</v>
      </c>
    </row>
    <row r="16" spans="1:18">
      <c r="A16" s="4" t="s">
        <v>47</v>
      </c>
      <c r="B16" s="7">
        <v>0</v>
      </c>
      <c r="C16" s="7">
        <v>0</v>
      </c>
      <c r="D16" s="7">
        <v>0</v>
      </c>
      <c r="E16" s="7">
        <v>10.8</v>
      </c>
      <c r="F16" s="7">
        <v>12</v>
      </c>
      <c r="G16" s="7">
        <v>18.9</v>
      </c>
      <c r="H16" s="7">
        <v>27</v>
      </c>
      <c r="I16" s="7">
        <v>36</v>
      </c>
      <c r="J16" s="7">
        <v>50</v>
      </c>
      <c r="K16" s="7">
        <v>63</v>
      </c>
      <c r="L16" s="7">
        <v>75</v>
      </c>
      <c r="M16" s="7">
        <v>91</v>
      </c>
      <c r="N16" s="7">
        <v>110</v>
      </c>
      <c r="O16" s="7">
        <v>130</v>
      </c>
      <c r="P16" s="7">
        <v>160</v>
      </c>
      <c r="Q16" s="7">
        <v>180</v>
      </c>
      <c r="R16" s="2" t="s">
        <v>48</v>
      </c>
    </row>
    <row r="17" spans="1:18">
      <c r="A17" s="4" t="s">
        <v>49</v>
      </c>
      <c r="B17" s="7">
        <v>240</v>
      </c>
      <c r="C17" s="7">
        <v>195</v>
      </c>
      <c r="D17" s="7">
        <v>195</v>
      </c>
      <c r="E17" s="7">
        <v>205.2</v>
      </c>
      <c r="F17" s="7">
        <v>228</v>
      </c>
      <c r="G17" s="7">
        <v>251.1</v>
      </c>
      <c r="H17" s="7">
        <v>273</v>
      </c>
      <c r="I17" s="7">
        <v>264</v>
      </c>
      <c r="J17" s="7">
        <v>250</v>
      </c>
      <c r="K17" s="7">
        <v>237</v>
      </c>
      <c r="L17" s="7">
        <v>237.5</v>
      </c>
      <c r="M17" s="7">
        <v>234</v>
      </c>
      <c r="N17" s="7">
        <v>215</v>
      </c>
      <c r="O17" s="7">
        <v>195</v>
      </c>
      <c r="P17" s="7">
        <v>165</v>
      </c>
      <c r="Q17" s="7">
        <v>145</v>
      </c>
      <c r="R17" s="2" t="s">
        <v>50</v>
      </c>
    </row>
    <row r="18" spans="1:18">
      <c r="A18" s="4" t="s">
        <v>51</v>
      </c>
      <c r="B18" s="7">
        <v>0</v>
      </c>
      <c r="C18" s="7">
        <v>0</v>
      </c>
      <c r="D18" s="7">
        <v>0</v>
      </c>
      <c r="E18" s="7">
        <v>8</v>
      </c>
      <c r="F18" s="7">
        <v>12</v>
      </c>
      <c r="G18" s="7">
        <v>18</v>
      </c>
      <c r="H18" s="7">
        <v>26</v>
      </c>
      <c r="I18" s="7">
        <v>36</v>
      </c>
      <c r="J18" s="7">
        <v>48</v>
      </c>
      <c r="K18" s="7">
        <v>60</v>
      </c>
      <c r="L18" s="7">
        <v>74</v>
      </c>
      <c r="M18" s="7">
        <v>90</v>
      </c>
      <c r="N18" s="7">
        <v>110</v>
      </c>
      <c r="O18" s="7">
        <v>130</v>
      </c>
      <c r="P18" s="7">
        <v>160</v>
      </c>
      <c r="Q18" s="7">
        <v>180</v>
      </c>
      <c r="R18" s="2" t="s">
        <v>52</v>
      </c>
    </row>
    <row r="19" spans="1:18">
      <c r="A19" s="4" t="s">
        <v>53</v>
      </c>
      <c r="B19" s="7">
        <v>19.286</v>
      </c>
      <c r="C19" s="7">
        <v>23.182</v>
      </c>
      <c r="D19" s="7">
        <v>20.385</v>
      </c>
      <c r="E19" s="7">
        <v>18.889</v>
      </c>
      <c r="F19" s="7">
        <v>17.813</v>
      </c>
      <c r="G19" s="7">
        <v>16.667</v>
      </c>
      <c r="H19" s="7">
        <v>15.75</v>
      </c>
      <c r="I19" s="7">
        <v>16</v>
      </c>
      <c r="J19" s="7">
        <v>16.25</v>
      </c>
      <c r="K19" s="7">
        <v>16.5</v>
      </c>
      <c r="L19" s="7">
        <v>16.52</v>
      </c>
      <c r="M19" s="7">
        <v>16.538</v>
      </c>
      <c r="N19" s="7">
        <v>16.769</v>
      </c>
      <c r="O19" s="7">
        <v>17</v>
      </c>
      <c r="P19" s="7">
        <v>17.231</v>
      </c>
      <c r="Q19" s="7">
        <v>17.462</v>
      </c>
      <c r="R19" s="2" t="s">
        <v>54</v>
      </c>
    </row>
    <row r="20" spans="1:18">
      <c r="A20" s="4" t="s">
        <v>55</v>
      </c>
      <c r="B20" s="7">
        <v>300</v>
      </c>
      <c r="C20" s="7">
        <v>300</v>
      </c>
      <c r="D20" s="7">
        <v>300</v>
      </c>
      <c r="E20" s="7">
        <v>300</v>
      </c>
      <c r="F20" s="7">
        <v>300</v>
      </c>
      <c r="G20" s="7">
        <v>300</v>
      </c>
      <c r="H20" s="7">
        <v>300</v>
      </c>
      <c r="I20" s="7">
        <v>300</v>
      </c>
      <c r="J20" s="7">
        <v>300</v>
      </c>
      <c r="K20" s="7">
        <v>300</v>
      </c>
      <c r="L20" s="7">
        <v>312.5</v>
      </c>
      <c r="M20" s="7">
        <v>325</v>
      </c>
      <c r="N20" s="7">
        <v>325</v>
      </c>
      <c r="O20" s="7">
        <v>325</v>
      </c>
      <c r="P20" s="7">
        <v>325</v>
      </c>
      <c r="Q20" s="7">
        <v>325</v>
      </c>
      <c r="R20" s="2" t="s">
        <v>56</v>
      </c>
    </row>
    <row r="21" spans="1:18">
      <c r="A21" s="4" t="s">
        <v>57</v>
      </c>
      <c r="B21" s="7">
        <v>0</v>
      </c>
      <c r="C21" s="7">
        <v>0</v>
      </c>
      <c r="D21" s="7">
        <v>0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2" t="s">
        <v>58</v>
      </c>
    </row>
    <row r="22" spans="1:18">
      <c r="A22" s="4" t="s">
        <v>59</v>
      </c>
      <c r="B22" s="7">
        <v>4.608</v>
      </c>
      <c r="C22" s="7">
        <v>2.6208</v>
      </c>
      <c r="D22" s="7">
        <v>2.34</v>
      </c>
      <c r="E22" s="7">
        <v>2.8789</v>
      </c>
      <c r="F22" s="7">
        <v>3.744</v>
      </c>
      <c r="G22" s="7">
        <v>5.1598</v>
      </c>
      <c r="H22" s="7">
        <v>6.8734</v>
      </c>
      <c r="I22" s="7">
        <v>8.2483</v>
      </c>
      <c r="J22" s="7">
        <v>9.9168</v>
      </c>
      <c r="K22" s="7">
        <v>11.2774</v>
      </c>
      <c r="L22" s="7">
        <v>14.2116</v>
      </c>
      <c r="M22" s="7">
        <v>18.8525</v>
      </c>
      <c r="N22" s="7">
        <v>25.668</v>
      </c>
      <c r="O22" s="7">
        <v>36.114</v>
      </c>
      <c r="P22" s="7">
        <v>49.236</v>
      </c>
      <c r="Q22" s="7">
        <v>57.306</v>
      </c>
      <c r="R22" s="2" t="s">
        <v>60</v>
      </c>
    </row>
    <row r="23" spans="1:18">
      <c r="A23" s="4" t="s">
        <v>61</v>
      </c>
      <c r="B23" s="7">
        <v>4.608</v>
      </c>
      <c r="C23" s="7">
        <v>2.6208</v>
      </c>
      <c r="D23" s="7">
        <v>2.34</v>
      </c>
      <c r="E23" s="7">
        <v>2.6101</v>
      </c>
      <c r="F23" s="7">
        <v>3.2832</v>
      </c>
      <c r="G23" s="7">
        <v>4.339</v>
      </c>
      <c r="H23" s="7">
        <v>5.4382</v>
      </c>
      <c r="I23" s="7">
        <v>5.8291</v>
      </c>
      <c r="J23" s="7">
        <v>6</v>
      </c>
      <c r="K23" s="7">
        <v>5.5174</v>
      </c>
      <c r="L23" s="7">
        <v>6.042</v>
      </c>
      <c r="M23" s="7">
        <v>7.1885</v>
      </c>
      <c r="N23" s="7">
        <v>8.772</v>
      </c>
      <c r="O23" s="7">
        <v>12.402</v>
      </c>
      <c r="P23" s="7">
        <v>15.444</v>
      </c>
      <c r="Q23" s="7">
        <v>15.834</v>
      </c>
      <c r="R23" s="2" t="s">
        <v>62</v>
      </c>
    </row>
    <row r="24" spans="1:18">
      <c r="A24" s="4" t="s">
        <v>63</v>
      </c>
      <c r="B24" s="7">
        <v>0</v>
      </c>
      <c r="C24" s="7">
        <v>0</v>
      </c>
      <c r="D24" s="7">
        <v>0</v>
      </c>
      <c r="E24" s="7">
        <v>0.2688</v>
      </c>
      <c r="F24" s="7">
        <v>0.4608</v>
      </c>
      <c r="G24" s="7">
        <v>0.8208</v>
      </c>
      <c r="H24" s="7">
        <v>1.4352</v>
      </c>
      <c r="I24" s="7">
        <v>2.4192</v>
      </c>
      <c r="J24" s="7">
        <v>3.9168</v>
      </c>
      <c r="K24" s="7">
        <v>5.76</v>
      </c>
      <c r="L24" s="7">
        <v>8.169600000000001</v>
      </c>
      <c r="M24" s="7">
        <v>11.664</v>
      </c>
      <c r="N24" s="7">
        <v>16.896</v>
      </c>
      <c r="O24" s="7">
        <v>23.712</v>
      </c>
      <c r="P24" s="7">
        <v>33.792</v>
      </c>
      <c r="Q24" s="7">
        <v>41.472</v>
      </c>
      <c r="R24" s="2" t="s">
        <v>64</v>
      </c>
    </row>
    <row r="25" spans="1:18">
      <c r="A25" s="4" t="s">
        <v>65</v>
      </c>
      <c r="B25" s="7">
        <v>4.4628</v>
      </c>
      <c r="C25" s="7">
        <v>4.3722</v>
      </c>
      <c r="D25" s="7">
        <v>3.975</v>
      </c>
      <c r="E25" s="7">
        <v>4.08</v>
      </c>
      <c r="F25" s="7">
        <v>4.275</v>
      </c>
      <c r="G25" s="7">
        <v>4.5</v>
      </c>
      <c r="H25" s="7">
        <v>4.725</v>
      </c>
      <c r="I25" s="7">
        <v>4.8</v>
      </c>
      <c r="J25" s="7">
        <v>4.875</v>
      </c>
      <c r="K25" s="7">
        <v>4.95</v>
      </c>
      <c r="L25" s="7">
        <v>5.1625</v>
      </c>
      <c r="M25" s="7">
        <v>5.375</v>
      </c>
      <c r="N25" s="7">
        <v>5.45</v>
      </c>
      <c r="O25" s="7">
        <v>5.525</v>
      </c>
      <c r="P25" s="7">
        <v>5.6</v>
      </c>
      <c r="Q25" s="7">
        <v>5.675</v>
      </c>
      <c r="R25" s="2" t="s">
        <v>66</v>
      </c>
    </row>
    <row r="26" spans="1:18">
      <c r="A26" s="4" t="s">
        <v>67</v>
      </c>
      <c r="B26" s="7">
        <v>0.0095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2" t="s">
        <v>68</v>
      </c>
    </row>
    <row r="27" spans="1:18">
      <c r="A27" s="4" t="s">
        <v>69</v>
      </c>
      <c r="B27" s="7">
        <v>0.1452</v>
      </c>
      <c r="C27" s="7">
        <v>-1.7514</v>
      </c>
      <c r="D27" s="7">
        <v>-1.635</v>
      </c>
      <c r="E27" s="7">
        <v>-1.2011</v>
      </c>
      <c r="F27" s="7">
        <v>-0.531</v>
      </c>
      <c r="G27" s="7">
        <v>0.6598000000000001</v>
      </c>
      <c r="H27" s="7">
        <v>2.1484</v>
      </c>
      <c r="I27" s="7">
        <v>3.4483</v>
      </c>
      <c r="J27" s="7">
        <v>5.0418</v>
      </c>
      <c r="K27" s="7">
        <v>6.3274</v>
      </c>
      <c r="L27" s="7">
        <v>9.049099999999999</v>
      </c>
      <c r="M27" s="7">
        <v>13.4775</v>
      </c>
      <c r="N27" s="7">
        <v>20.218</v>
      </c>
      <c r="O27" s="7">
        <v>30.589</v>
      </c>
      <c r="P27" s="7">
        <v>43.636</v>
      </c>
      <c r="Q27" s="7">
        <v>51.631</v>
      </c>
      <c r="R27" s="2" t="s">
        <v>70</v>
      </c>
    </row>
    <row r="28" spans="1:18">
      <c r="A28" s="4" t="s">
        <v>71</v>
      </c>
      <c r="B28" s="7">
        <v>0.0315</v>
      </c>
      <c r="C28" s="7">
        <v>-0.6683</v>
      </c>
      <c r="D28" s="7">
        <v>-0.6987</v>
      </c>
      <c r="E28" s="7">
        <v>-0.4172</v>
      </c>
      <c r="F28" s="7">
        <v>-0.1418</v>
      </c>
      <c r="G28" s="7">
        <v>0.1279</v>
      </c>
      <c r="H28" s="7">
        <v>0.3126</v>
      </c>
      <c r="I28" s="7">
        <v>0.4181</v>
      </c>
      <c r="J28" s="7">
        <v>0.5084</v>
      </c>
      <c r="K28" s="7">
        <v>0.5611</v>
      </c>
      <c r="L28" s="7">
        <v>0.6367</v>
      </c>
      <c r="M28" s="7">
        <v>0.7149</v>
      </c>
      <c r="N28" s="7">
        <v>0.7877</v>
      </c>
      <c r="O28" s="7">
        <v>0.847</v>
      </c>
      <c r="P28" s="7">
        <v>0.8863</v>
      </c>
      <c r="Q28" s="7">
        <v>0.901</v>
      </c>
      <c r="R28" s="2" t="s">
        <v>72</v>
      </c>
    </row>
    <row r="29" spans="1:18">
      <c r="A29" s="4" t="s">
        <v>73</v>
      </c>
      <c r="B29" s="7">
        <v>3.8</v>
      </c>
      <c r="C29" s="7">
        <v>0.8</v>
      </c>
      <c r="D29" s="7">
        <v>0.8</v>
      </c>
      <c r="E29" s="7">
        <v>0.8</v>
      </c>
      <c r="F29" s="7">
        <v>0.8</v>
      </c>
      <c r="G29" s="7">
        <v>0.8</v>
      </c>
      <c r="H29" s="7">
        <v>0.8</v>
      </c>
      <c r="I29" s="7">
        <v>0.8</v>
      </c>
      <c r="J29" s="7">
        <v>0.8</v>
      </c>
      <c r="K29" s="7">
        <v>0.8</v>
      </c>
      <c r="L29" s="7">
        <v>0.8</v>
      </c>
      <c r="M29" s="7">
        <v>0.8</v>
      </c>
      <c r="N29" s="7">
        <v>0.8</v>
      </c>
      <c r="O29" s="7">
        <v>0.8</v>
      </c>
      <c r="P29" s="7">
        <v>0.8</v>
      </c>
      <c r="Q29" s="7">
        <v>0.8</v>
      </c>
      <c r="R29" s="2" t="s">
        <v>74</v>
      </c>
    </row>
    <row r="30" spans="1:18">
      <c r="A30" s="4" t="s">
        <v>75</v>
      </c>
      <c r="B30" s="7">
        <v>0.25</v>
      </c>
      <c r="C30" s="7">
        <v>0.25</v>
      </c>
      <c r="D30" s="7">
        <v>0.25</v>
      </c>
      <c r="E30" s="7">
        <v>0.25</v>
      </c>
      <c r="F30" s="7">
        <v>0.25</v>
      </c>
      <c r="G30" s="7">
        <v>0.25</v>
      </c>
      <c r="H30" s="7">
        <v>0.25</v>
      </c>
      <c r="I30" s="7">
        <v>0.25</v>
      </c>
      <c r="J30" s="7">
        <v>0.25</v>
      </c>
      <c r="K30" s="7">
        <v>0.25</v>
      </c>
      <c r="L30" s="7">
        <v>0.25</v>
      </c>
      <c r="M30" s="7">
        <v>0.25</v>
      </c>
      <c r="N30" s="7">
        <v>0.25</v>
      </c>
      <c r="O30" s="7">
        <v>0.25</v>
      </c>
      <c r="P30" s="7">
        <v>0.25</v>
      </c>
      <c r="Q30" s="7">
        <v>0.25</v>
      </c>
      <c r="R30" s="2" t="s">
        <v>76</v>
      </c>
    </row>
    <row r="31" spans="1:18">
      <c r="A31" s="4" t="s">
        <v>77</v>
      </c>
      <c r="B31" s="7">
        <v>-3.9048</v>
      </c>
      <c r="C31" s="7">
        <v>-2.8014</v>
      </c>
      <c r="D31" s="7">
        <v>-2.685</v>
      </c>
      <c r="E31" s="7">
        <v>-2.2511</v>
      </c>
      <c r="F31" s="7">
        <v>-1.581</v>
      </c>
      <c r="G31" s="7">
        <v>-0.3902</v>
      </c>
      <c r="H31" s="7">
        <v>1.0984</v>
      </c>
      <c r="I31" s="7">
        <v>2.3983</v>
      </c>
      <c r="J31" s="7">
        <v>3.9918</v>
      </c>
      <c r="K31" s="7">
        <v>5.2774</v>
      </c>
      <c r="L31" s="7">
        <v>7.9991</v>
      </c>
      <c r="M31" s="7">
        <v>12.4275</v>
      </c>
      <c r="N31" s="7">
        <v>19.168</v>
      </c>
      <c r="O31" s="7">
        <v>29.539</v>
      </c>
      <c r="P31" s="7">
        <v>42.586</v>
      </c>
      <c r="Q31" s="7">
        <v>50.581</v>
      </c>
      <c r="R31" s="2" t="s">
        <v>78</v>
      </c>
    </row>
    <row r="32" spans="1:18">
      <c r="A32" s="4" t="s">
        <v>79</v>
      </c>
      <c r="B32" s="7">
        <v>0.01</v>
      </c>
      <c r="C32" s="7">
        <v>0.034</v>
      </c>
      <c r="D32" s="7">
        <v>0.0483</v>
      </c>
      <c r="E32" s="7">
        <v>0.06619999999999999</v>
      </c>
      <c r="F32" s="7">
        <v>0.09470000000000001</v>
      </c>
      <c r="G32" s="7">
        <v>0.1105</v>
      </c>
      <c r="H32" s="7">
        <v>0.1093</v>
      </c>
      <c r="I32" s="7">
        <v>0.1088</v>
      </c>
      <c r="J32" s="7">
        <v>0.0988</v>
      </c>
      <c r="K32" s="7">
        <v>0.0514</v>
      </c>
      <c r="L32" s="7">
        <v>-0.0198</v>
      </c>
      <c r="M32" s="7">
        <v>-0.1041</v>
      </c>
      <c r="N32" s="7">
        <v>-0.1993</v>
      </c>
      <c r="O32" s="7">
        <v>-0.3416</v>
      </c>
      <c r="P32" s="7">
        <v>-0.556</v>
      </c>
      <c r="Q32" s="7">
        <v>-0.8612</v>
      </c>
      <c r="R32" s="2" t="s">
        <v>80</v>
      </c>
    </row>
    <row r="33" spans="1:18">
      <c r="A33" s="4" t="s">
        <v>81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0.1484</v>
      </c>
      <c r="I33" s="7">
        <v>0.3434</v>
      </c>
      <c r="J33" s="7">
        <v>0.5839</v>
      </c>
      <c r="K33" s="7">
        <v>0.7839</v>
      </c>
      <c r="L33" s="7">
        <v>1.2028</v>
      </c>
      <c r="M33" s="7">
        <v>1.8797</v>
      </c>
      <c r="N33" s="7">
        <v>2.9051</v>
      </c>
      <c r="O33" s="7">
        <v>4.4821</v>
      </c>
      <c r="P33" s="7">
        <v>6.4713</v>
      </c>
      <c r="Q33" s="7">
        <v>7.7163</v>
      </c>
      <c r="R33" s="2" t="s">
        <v>82</v>
      </c>
    </row>
    <row r="34" spans="1:18">
      <c r="A34" s="4" t="s">
        <v>83</v>
      </c>
      <c r="B34" s="7">
        <v>-3.9148</v>
      </c>
      <c r="C34" s="7">
        <v>-2.8354</v>
      </c>
      <c r="D34" s="7">
        <v>-2.7333</v>
      </c>
      <c r="E34" s="7">
        <v>-2.3172</v>
      </c>
      <c r="F34" s="7">
        <v>-1.6757</v>
      </c>
      <c r="G34" s="7">
        <v>-0.5007</v>
      </c>
      <c r="H34" s="7">
        <v>0.8407</v>
      </c>
      <c r="I34" s="7">
        <v>1.9461</v>
      </c>
      <c r="J34" s="7">
        <v>3.309</v>
      </c>
      <c r="K34" s="7">
        <v>4.4421</v>
      </c>
      <c r="L34" s="7">
        <v>6.816</v>
      </c>
      <c r="M34" s="7">
        <v>10.6518</v>
      </c>
      <c r="N34" s="7">
        <v>16.4622</v>
      </c>
      <c r="O34" s="7">
        <v>25.3985</v>
      </c>
      <c r="P34" s="7">
        <v>36.6707</v>
      </c>
      <c r="Q34" s="7">
        <v>43.7258</v>
      </c>
      <c r="R34" s="2" t="s">
        <v>84</v>
      </c>
    </row>
    <row r="35" spans="1:18">
      <c r="A35" s="4" t="s">
        <v>85</v>
      </c>
      <c r="B35" s="7">
        <v>-1.502</v>
      </c>
      <c r="C35" s="7">
        <v>-0.2882</v>
      </c>
      <c r="D35" s="7">
        <v>-0.7333</v>
      </c>
      <c r="E35" s="7">
        <v>-0.3172</v>
      </c>
      <c r="F35" s="7">
        <v>0.3993</v>
      </c>
      <c r="G35" s="7">
        <v>1.6493</v>
      </c>
      <c r="H35" s="7">
        <v>3.0657</v>
      </c>
      <c r="I35" s="7">
        <v>4.2461</v>
      </c>
      <c r="J35" s="7">
        <v>5.684</v>
      </c>
      <c r="K35" s="7">
        <v>6.8921</v>
      </c>
      <c r="L35" s="7">
        <v>9.416</v>
      </c>
      <c r="M35" s="7">
        <v>13.4018</v>
      </c>
      <c r="N35" s="7">
        <v>19.2872</v>
      </c>
      <c r="O35" s="7">
        <v>28.2985</v>
      </c>
      <c r="P35" s="7">
        <v>39.6457</v>
      </c>
      <c r="Q35" s="7">
        <v>46.7758</v>
      </c>
      <c r="R35" s="2" t="s">
        <v>86</v>
      </c>
    </row>
    <row r="36" spans="1:18">
      <c r="A36" s="4" t="s">
        <v>87</v>
      </c>
      <c r="B36" s="7">
        <v>-1.5</v>
      </c>
      <c r="C36" s="7">
        <v>-1.5</v>
      </c>
      <c r="D36" s="7">
        <v>-1.5</v>
      </c>
      <c r="E36" s="7">
        <v>-1.5</v>
      </c>
      <c r="F36" s="7">
        <v>-1.5</v>
      </c>
      <c r="G36" s="7">
        <v>-1.5</v>
      </c>
      <c r="H36" s="7">
        <v>-3</v>
      </c>
      <c r="I36" s="7">
        <v>-3</v>
      </c>
      <c r="J36" s="7">
        <v>-1.5</v>
      </c>
      <c r="K36" s="7">
        <v>-1.5</v>
      </c>
      <c r="L36" s="7">
        <v>-1.5</v>
      </c>
      <c r="M36" s="7">
        <v>-1.5</v>
      </c>
      <c r="N36" s="7">
        <v>-1.5</v>
      </c>
      <c r="O36" s="7">
        <v>-1.5</v>
      </c>
      <c r="P36" s="7">
        <v>-1.5</v>
      </c>
      <c r="Q36" s="7">
        <v>-1.5</v>
      </c>
      <c r="R36" s="2" t="s">
        <v>88</v>
      </c>
    </row>
    <row r="37" spans="1:18">
      <c r="A37" s="4" t="s">
        <v>89</v>
      </c>
      <c r="B37" s="7">
        <v>0</v>
      </c>
      <c r="C37" s="7">
        <v>0</v>
      </c>
      <c r="D37" s="7">
        <v>0</v>
      </c>
      <c r="E37" s="7">
        <v>2</v>
      </c>
      <c r="F37" s="7">
        <v>1</v>
      </c>
      <c r="G37" s="7">
        <v>0</v>
      </c>
      <c r="H37" s="7">
        <v>0</v>
      </c>
      <c r="I37" s="7">
        <v>0</v>
      </c>
      <c r="J37" s="7">
        <v>-2</v>
      </c>
      <c r="K37" s="7">
        <v>-4</v>
      </c>
      <c r="L37" s="7">
        <v>-3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2" t="s">
        <v>90</v>
      </c>
    </row>
    <row r="38" spans="1:18">
      <c r="A38" s="4" t="s">
        <v>91</v>
      </c>
      <c r="B38" s="7">
        <v>2</v>
      </c>
      <c r="C38" s="7">
        <v>2</v>
      </c>
      <c r="D38" s="7">
        <v>2</v>
      </c>
      <c r="E38" s="7">
        <v>2</v>
      </c>
      <c r="F38" s="7">
        <v>2.075</v>
      </c>
      <c r="G38" s="7">
        <v>2.15</v>
      </c>
      <c r="H38" s="7">
        <v>2.225</v>
      </c>
      <c r="I38" s="7">
        <v>2.3</v>
      </c>
      <c r="J38" s="7">
        <v>2.375</v>
      </c>
      <c r="K38" s="7">
        <v>2.45</v>
      </c>
      <c r="L38" s="7">
        <v>2.6</v>
      </c>
      <c r="M38" s="7">
        <v>2.75</v>
      </c>
      <c r="N38" s="7">
        <v>2.825</v>
      </c>
      <c r="O38" s="7">
        <v>2.9</v>
      </c>
      <c r="P38" s="7">
        <v>2.975</v>
      </c>
      <c r="Q38" s="7">
        <v>3.05</v>
      </c>
      <c r="R38" s="2" t="s">
        <v>92</v>
      </c>
    </row>
    <row r="39" spans="1:18">
      <c r="A39" s="4" t="s">
        <v>93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2" t="s">
        <v>94</v>
      </c>
    </row>
    <row r="40" spans="1:18">
      <c r="A40" s="4" t="s">
        <v>95</v>
      </c>
      <c r="B40" s="7">
        <v>6.998</v>
      </c>
      <c r="C40" s="7">
        <v>5.2098</v>
      </c>
      <c r="D40" s="7">
        <v>2.9765</v>
      </c>
      <c r="E40" s="7">
        <v>3.1592</v>
      </c>
      <c r="F40" s="7">
        <v>3.0585</v>
      </c>
      <c r="G40" s="7">
        <v>3.2078</v>
      </c>
      <c r="H40" s="7">
        <v>3.2734</v>
      </c>
      <c r="I40" s="7">
        <v>4.5195</v>
      </c>
      <c r="J40" s="7">
        <v>6.7035</v>
      </c>
      <c r="K40" s="7">
        <v>8.095599999999999</v>
      </c>
      <c r="L40" s="7">
        <v>13.0117</v>
      </c>
      <c r="M40" s="7">
        <v>24.9135</v>
      </c>
      <c r="N40" s="7">
        <v>42.7007</v>
      </c>
      <c r="O40" s="7">
        <v>69.4992</v>
      </c>
      <c r="P40" s="7">
        <v>107.6449</v>
      </c>
      <c r="Q40" s="7">
        <v>152.9207</v>
      </c>
      <c r="R40" s="2" t="s">
        <v>96</v>
      </c>
    </row>
    <row r="41" spans="1:18">
      <c r="A41" s="4" t="s">
        <v>97</v>
      </c>
      <c r="B41" s="7">
        <v>0.5472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2" t="s">
        <v>98</v>
      </c>
    </row>
    <row r="42" spans="1:18">
      <c r="A42" s="4" t="s">
        <v>99</v>
      </c>
      <c r="B42" s="7">
        <v>29.5</v>
      </c>
      <c r="C42" s="7">
        <v>29</v>
      </c>
      <c r="D42" s="7">
        <v>28.5</v>
      </c>
      <c r="E42" s="7">
        <v>28</v>
      </c>
      <c r="F42" s="7">
        <v>27.425</v>
      </c>
      <c r="G42" s="7">
        <v>26.775</v>
      </c>
      <c r="H42" s="7">
        <v>27.55</v>
      </c>
      <c r="I42" s="7">
        <v>28.25</v>
      </c>
      <c r="J42" s="7">
        <v>27.375</v>
      </c>
      <c r="K42" s="7">
        <v>26.425</v>
      </c>
      <c r="L42" s="7">
        <v>25.325</v>
      </c>
      <c r="M42" s="7">
        <v>24.075</v>
      </c>
      <c r="N42" s="7">
        <v>22.75</v>
      </c>
      <c r="O42" s="7">
        <v>21.35</v>
      </c>
      <c r="P42" s="7">
        <v>19.875</v>
      </c>
      <c r="Q42" s="7">
        <v>18.325</v>
      </c>
      <c r="R42" s="2" t="s">
        <v>100</v>
      </c>
    </row>
    <row r="43" spans="1:18">
      <c r="A43" s="4" t="s">
        <v>101</v>
      </c>
      <c r="B43" s="7">
        <v>37.0452</v>
      </c>
      <c r="C43" s="7">
        <v>34.2098</v>
      </c>
      <c r="D43" s="7">
        <v>31.4765</v>
      </c>
      <c r="E43" s="7">
        <v>31.1592</v>
      </c>
      <c r="F43" s="7">
        <v>30.4835</v>
      </c>
      <c r="G43" s="7">
        <v>29.9828</v>
      </c>
      <c r="H43" s="7">
        <v>30.8234</v>
      </c>
      <c r="I43" s="7">
        <v>32.7695</v>
      </c>
      <c r="J43" s="7">
        <v>34.0785</v>
      </c>
      <c r="K43" s="7">
        <v>34.5206</v>
      </c>
      <c r="L43" s="7">
        <v>38.3367</v>
      </c>
      <c r="M43" s="7">
        <v>48.9885</v>
      </c>
      <c r="N43" s="7">
        <v>65.4507</v>
      </c>
      <c r="O43" s="7">
        <v>90.8492</v>
      </c>
      <c r="P43" s="7">
        <v>127.5199</v>
      </c>
      <c r="Q43" s="7">
        <v>171.2457</v>
      </c>
      <c r="R43" s="2" t="s">
        <v>102</v>
      </c>
    </row>
    <row r="44" spans="1:18">
      <c r="A44" s="4" t="s">
        <v>103</v>
      </c>
      <c r="B44" s="7">
        <v>6</v>
      </c>
      <c r="C44" s="7">
        <v>6</v>
      </c>
      <c r="D44" s="7">
        <v>6</v>
      </c>
      <c r="E44" s="7">
        <v>8</v>
      </c>
      <c r="F44" s="7">
        <v>9</v>
      </c>
      <c r="G44" s="7">
        <v>9</v>
      </c>
      <c r="H44" s="7">
        <v>9</v>
      </c>
      <c r="I44" s="7">
        <v>9</v>
      </c>
      <c r="J44" s="7">
        <v>7</v>
      </c>
      <c r="K44" s="7">
        <v>3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2" t="s">
        <v>104</v>
      </c>
    </row>
    <row r="45" spans="1:18">
      <c r="A45" s="4" t="s">
        <v>105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2" t="s">
        <v>106</v>
      </c>
    </row>
    <row r="46" spans="1:18">
      <c r="A46" s="4" t="s">
        <v>107</v>
      </c>
      <c r="B46" s="7">
        <v>31.0452</v>
      </c>
      <c r="C46" s="7">
        <v>28.2098</v>
      </c>
      <c r="D46" s="7">
        <v>25.4765</v>
      </c>
      <c r="E46" s="7">
        <v>23.1592</v>
      </c>
      <c r="F46" s="7">
        <v>21.4835</v>
      </c>
      <c r="G46" s="7">
        <v>20.9828</v>
      </c>
      <c r="H46" s="7">
        <v>21.8234</v>
      </c>
      <c r="I46" s="7">
        <v>23.7695</v>
      </c>
      <c r="J46" s="7">
        <v>27.0785</v>
      </c>
      <c r="K46" s="7">
        <v>31.5206</v>
      </c>
      <c r="L46" s="7">
        <v>38.3367</v>
      </c>
      <c r="M46" s="7">
        <v>48.9885</v>
      </c>
      <c r="N46" s="7">
        <v>65.4507</v>
      </c>
      <c r="O46" s="7">
        <v>90.8492</v>
      </c>
      <c r="P46" s="7">
        <v>127.5199</v>
      </c>
      <c r="Q46" s="7">
        <v>171.2457</v>
      </c>
      <c r="R46" s="2" t="s">
        <v>108</v>
      </c>
    </row>
    <row r="47" spans="1:18">
      <c r="A47" s="4" t="s">
        <v>109</v>
      </c>
      <c r="B47" s="7">
        <v>30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2" t="s">
        <v>110</v>
      </c>
    </row>
    <row r="48" spans="1:18">
      <c r="A48" s="4" t="s">
        <v>111</v>
      </c>
      <c r="B48" s="7">
        <v>300</v>
      </c>
      <c r="C48" s="7">
        <v>300</v>
      </c>
      <c r="D48" s="7">
        <v>300</v>
      </c>
      <c r="E48" s="7">
        <v>300</v>
      </c>
      <c r="F48" s="7">
        <v>300</v>
      </c>
      <c r="G48" s="7">
        <v>300</v>
      </c>
      <c r="H48" s="7">
        <v>300</v>
      </c>
      <c r="I48" s="7">
        <v>300</v>
      </c>
      <c r="J48" s="7">
        <v>300</v>
      </c>
      <c r="K48" s="7">
        <v>300</v>
      </c>
      <c r="L48" s="7">
        <v>312.5</v>
      </c>
      <c r="M48" s="7">
        <v>325</v>
      </c>
      <c r="N48" s="7">
        <v>325</v>
      </c>
      <c r="O48" s="7">
        <v>325</v>
      </c>
      <c r="P48" s="7">
        <v>325</v>
      </c>
      <c r="Q48" s="7">
        <v>325</v>
      </c>
      <c r="R48" s="2" t="s">
        <v>112</v>
      </c>
    </row>
  </sheetData>
  <mergeCells count="2">
    <mergeCell ref="A1:Q2"/>
    <mergeCell ref="A3:Q3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导览与假设</vt:lpstr>
      <vt:lpstr>经营分析</vt:lpstr>
      <vt:lpstr>利润表</vt:lpstr>
      <vt:lpstr>资产负债表</vt:lpstr>
      <vt:lpstr>现金流量表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晶序内存｜十六季度财务账簿</dc:title>
  <dc:subject>虚构经营模拟；金额十亿美元</dc:subject>
  <dc:creator>经营分析</dc:creator>
  <cp:lastModifiedBy>经营分析</cp:lastModifiedBy>
  <dcterms:created xsi:type="dcterms:W3CDTF">2026-10-22T19:55:44Z</dcterms:created>
  <dcterms:modified xsi:type="dcterms:W3CDTF">2026-10-22T19:55:44Z</dcterms:modified>
</cp:coreProperties>
</file>