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假设" sheetId="2" state="visible" r:id="rId4"/>
    <sheet name="原始数据" sheetId="3" state="visible" r:id="rId5"/>
    <sheet name="利润表" sheetId="4" state="visible" r:id="rId6"/>
    <sheet name="资产负债表" sheetId="5" state="visible" r:id="rId7"/>
    <sheet name="现金流量表" sheetId="6" state="visible" r:id="rId8"/>
    <sheet name="分析" sheetId="7" state="visible" r:id="rId9"/>
    <sheet name="模型复现与情景" sheetId="8" state="visible" r:id="rId10"/>
    <sheet name="决策备注" sheetId="9" state="visible" r:id="rId11"/>
  </sheets>
  <definedNames>
    <definedName function="false" hidden="false" name="ANNUAL" vbProcedure="false">假设!$B$25</definedName>
    <definedName function="false" hidden="false" name="CAP_COST" vbProcedure="false">假设!$B$11</definedName>
    <definedName function="false" hidden="false" name="DAYS_Q" vbProcedure="false">假设!$B$24</definedName>
    <definedName function="false" hidden="false" name="DEBT_FLOOR" vbProcedure="false">假设!$B$22</definedName>
    <definedName function="false" hidden="false" name="DEBT_RATIO" vbProcedure="false">假设!$B$21</definedName>
    <definedName function="false" hidden="false" name="DEP_BASE" vbProcedure="false">假设!$B$8</definedName>
    <definedName function="false" hidden="false" name="DEP_LIFE" vbProcedure="false">假设!$B$9</definedName>
    <definedName function="false" hidden="false" name="EMERG_FLOOR" vbProcedure="false">假设!$B$19</definedName>
    <definedName function="false" hidden="false" name="HBM_NEED" vbProcedure="false">假设!$B$23</definedName>
    <definedName function="false" hidden="false" name="HBM_PRICE_SCEN" vbProcedure="false">假设!$B$27</definedName>
    <definedName function="false" hidden="false" name="LAG_Q" vbProcedure="false">假设!$B$10</definedName>
    <definedName function="false" hidden="false" name="MAINT" vbProcedure="false">假设!$B$12</definedName>
    <definedName function="false" hidden="false" name="PLANT_FIXED" vbProcedure="false">假设!$B$7</definedName>
    <definedName function="false" hidden="false" name="PRICE_SCEN" vbProcedure="false">假设!$B$26</definedName>
    <definedName function="false" hidden="false" name="P_BASE" vbProcedure="false">假设!$B$5</definedName>
    <definedName function="false" hidden="false" name="RATE_CASH" vbProcedure="false">假设!$B$20</definedName>
    <definedName function="false" hidden="false" name="RATE_DEBT" vbProcedure="false">假设!$B$17</definedName>
    <definedName function="false" hidden="false" name="RATE_EMERG" vbProcedure="false">假设!$B$18</definedName>
    <definedName function="false" hidden="false" name="RND_BASE" vbProcedure="false">假设!$B$13</definedName>
    <definedName function="false" hidden="false" name="SELL_COST" vbProcedure="false">假设!$B$15</definedName>
    <definedName function="false" hidden="false" name="SGA_Q" vbProcedure="false">假设!$B$14</definedName>
    <definedName function="false" hidden="false" name="TAX_RATE" vbProcedure="false">假设!$B$16</definedName>
    <definedName function="false" hidden="false" name="V_COST" vbProcedure="false">假设!$B$6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<sst xmlns="http://schemas.openxmlformats.org/spreadsheetml/2006/main" count="645" uniqueCount="416">
  <si>
    <r>
      <rPr>
        <b val="true"/>
        <sz val="14"/>
        <color rgb="FF1F3864"/>
        <rFont val="Noto Sans CJK SC"/>
        <family val="2"/>
      </rPr>
      <t xml:space="preserve">内存芯片公司 </t>
    </r>
    <r>
      <rPr>
        <b val="true"/>
        <sz val="14"/>
        <color rgb="FF1F3864"/>
        <rFont val="Microsoft YaHei"/>
        <family val="0"/>
        <charset val="1"/>
      </rPr>
      <t xml:space="preserve">16 </t>
    </r>
    <r>
      <rPr>
        <b val="true"/>
        <sz val="14"/>
        <color rgb="FF1F3864"/>
        <rFont val="Noto Sans CJK SC"/>
        <family val="2"/>
      </rPr>
      <t xml:space="preserve">季经营：三张表与分析</t>
    </r>
  </si>
  <si>
    <r>
      <rPr>
        <sz val="9"/>
        <color rgb="FF595959"/>
        <rFont val="Noto Sans CJK SC"/>
        <family val="2"/>
      </rPr>
      <t xml:space="preserve">游戏编号 </t>
    </r>
    <r>
      <rPr>
        <sz val="9"/>
        <color rgb="FF595959"/>
        <rFont val="Microsoft YaHei"/>
        <family val="0"/>
        <charset val="1"/>
      </rPr>
      <t xml:space="preserve">memfab-opus · </t>
    </r>
    <r>
      <rPr>
        <sz val="9"/>
        <color rgb="FF595959"/>
        <rFont val="Noto Sans CJK SC"/>
        <family val="2"/>
      </rPr>
      <t xml:space="preserve">数据导出日期 </t>
    </r>
    <r>
      <rPr>
        <sz val="9"/>
        <color rgb="FF595959"/>
        <rFont val="Microsoft YaHei"/>
        <family val="0"/>
        <charset val="1"/>
      </rPr>
      <t xml:space="preserve">2026-10-22 · </t>
    </r>
    <r>
      <rPr>
        <sz val="9"/>
        <color rgb="FF595959"/>
        <rFont val="Noto Sans CJK SC"/>
        <family val="2"/>
      </rPr>
      <t xml:space="preserve">金额单位：十亿美元 </t>
    </r>
    <r>
      <rPr>
        <sz val="9"/>
        <color rgb="FF595959"/>
        <rFont val="Microsoft YaHei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片数单位：千片</t>
    </r>
    <r>
      <rPr>
        <sz val="9"/>
        <color rgb="FF595959"/>
        <rFont val="Microsoft YaHei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季</t>
    </r>
  </si>
  <si>
    <t xml:space="preserve">这本工作簿里有什么</t>
  </si>
  <si>
    <t xml:space="preserve">原始数据</t>
  </si>
  <si>
    <r>
      <rPr>
        <sz val="10"/>
        <color rgb="FF111111"/>
        <rFont val="Noto Sans CJK SC"/>
        <family val="2"/>
      </rPr>
      <t xml:space="preserve">引擎导出的逐季数字，原样录入（输入格）。来源：交付</t>
    </r>
    <r>
      <rPr>
        <sz val="10"/>
        <color rgb="FF111111"/>
        <rFont val="Microsoft YaHei"/>
        <family val="0"/>
        <charset val="1"/>
      </rPr>
      <t xml:space="preserve">/data/raw/export_final.json </t>
    </r>
    <r>
      <rPr>
        <sz val="10"/>
        <color rgb="FF111111"/>
        <rFont val="Noto Sans CJK SC"/>
        <family val="2"/>
      </rPr>
      <t xml:space="preserve">的 </t>
    </r>
    <r>
      <rPr>
        <sz val="10"/>
        <color rgb="FF111111"/>
        <rFont val="Microsoft YaHei"/>
        <family val="0"/>
        <charset val="1"/>
      </rPr>
      <t xml:space="preserve">history[i] </t>
    </r>
    <r>
      <rPr>
        <sz val="10"/>
        <color rgb="FF111111"/>
        <rFont val="Noto Sans CJK SC"/>
        <family val="2"/>
      </rPr>
      <t xml:space="preserve">各字段；期初数来自 </t>
    </r>
    <r>
      <rPr>
        <sz val="10"/>
        <color rgb="FF111111"/>
        <rFont val="Microsoft YaHei"/>
        <family val="0"/>
        <charset val="1"/>
      </rPr>
      <t xml:space="preserve">state_before_Q01.json</t>
    </r>
    <r>
      <rPr>
        <sz val="10"/>
        <color rgb="FF111111"/>
        <rFont val="Noto Sans CJK SC"/>
        <family val="2"/>
      </rPr>
      <t xml:space="preserve">。</t>
    </r>
  </si>
  <si>
    <t xml:space="preserve">假设</t>
  </si>
  <si>
    <r>
      <rPr>
        <sz val="10"/>
        <color rgb="FF111111"/>
        <rFont val="Noto Sans CJK SC"/>
        <family val="2"/>
      </rPr>
      <t xml:space="preserve">规则给定的参数（如税率</t>
    </r>
    <r>
      <rPr>
        <sz val="10"/>
        <color rgb="FF111111"/>
        <rFont val="Microsoft YaHei"/>
        <family val="0"/>
        <charset val="1"/>
      </rPr>
      <t xml:space="preserve">15%</t>
    </r>
    <r>
      <rPr>
        <sz val="10"/>
        <color rgb="FF111111"/>
        <rFont val="Noto Sans CJK SC"/>
        <family val="2"/>
      </rPr>
      <t xml:space="preserve">、借款季利率</t>
    </r>
    <r>
      <rPr>
        <sz val="10"/>
        <color rgb="FF111111"/>
        <rFont val="Microsoft YaHei"/>
        <family val="0"/>
        <charset val="1"/>
      </rPr>
      <t xml:space="preserve">1.5%</t>
    </r>
    <r>
      <rPr>
        <sz val="10"/>
        <color rgb="FF111111"/>
        <rFont val="Noto Sans CJK SC"/>
        <family val="2"/>
      </rPr>
      <t xml:space="preserve">）和我从报表反推的参数（如每千片变动成本</t>
    </r>
    <r>
      <rPr>
        <sz val="10"/>
        <color rgb="FF111111"/>
        <rFont val="Microsoft YaHei"/>
        <family val="0"/>
        <charset val="1"/>
      </rPr>
      <t xml:space="preserve">0.005</t>
    </r>
    <r>
      <rPr>
        <sz val="10"/>
        <color rgb="FF111111"/>
        <rFont val="Noto Sans CJK SC"/>
        <family val="2"/>
      </rPr>
      <t xml:space="preserve">），每项注明性质和出处。</t>
    </r>
  </si>
  <si>
    <r>
      <rPr>
        <sz val="10"/>
        <color rgb="FF111111"/>
        <rFont val="Noto Sans CJK SC"/>
        <family val="2"/>
      </rPr>
      <t xml:space="preserve">利润表 </t>
    </r>
    <r>
      <rPr>
        <sz val="10"/>
        <color rgb="FF111111"/>
        <rFont val="Microsoft YaHei"/>
        <family val="0"/>
        <charset val="1"/>
      </rPr>
      <t xml:space="preserve">/ </t>
    </r>
    <r>
      <rPr>
        <sz val="10"/>
        <color rgb="FF111111"/>
        <rFont val="Noto Sans CJK SC"/>
        <family val="2"/>
      </rPr>
      <t xml:space="preserve">资产负债表 </t>
    </r>
    <r>
      <rPr>
        <sz val="10"/>
        <color rgb="FF111111"/>
        <rFont val="Microsoft YaHei"/>
        <family val="0"/>
        <charset val="1"/>
      </rPr>
      <t xml:space="preserve">/ </t>
    </r>
    <r>
      <rPr>
        <sz val="10"/>
        <color rgb="FF111111"/>
        <rFont val="Noto Sans CJK SC"/>
        <family val="2"/>
      </rPr>
      <t xml:space="preserve">现金流量表</t>
    </r>
  </si>
  <si>
    <r>
      <rPr>
        <sz val="10"/>
        <color rgb="FF111111"/>
        <rFont val="Noto Sans CJK SC"/>
        <family val="2"/>
      </rPr>
      <t xml:space="preserve">逐季三张表。小计、合计、期末余额全部用公式从原始数据算出，三张表相互勾稽；底部绿色核对行显示与引擎数字的差额（应为</t>
    </r>
    <r>
      <rPr>
        <sz val="10"/>
        <color rgb="FF111111"/>
        <rFont val="Microsoft YaHei"/>
        <family val="0"/>
        <charset val="1"/>
      </rPr>
      <t xml:space="preserve">0</t>
    </r>
    <r>
      <rPr>
        <sz val="10"/>
        <color rgb="FF111111"/>
        <rFont val="Noto Sans CJK SC"/>
        <family val="2"/>
      </rPr>
      <t xml:space="preserve">）。</t>
    </r>
  </si>
  <si>
    <t xml:space="preserve">分析</t>
  </si>
  <si>
    <r>
      <rPr>
        <sz val="10"/>
        <color rgb="FF111111"/>
        <rFont val="Noto Sans CJK SC"/>
        <family val="2"/>
      </rPr>
      <t xml:space="preserve">毛利率、存货周转天数、经营现金流、自由现金流、净负债、</t>
    </r>
    <r>
      <rPr>
        <sz val="10"/>
        <color rgb="FF111111"/>
        <rFont val="Microsoft YaHei"/>
        <family val="0"/>
        <charset val="1"/>
      </rPr>
      <t xml:space="preserve">ROE</t>
    </r>
    <r>
      <rPr>
        <sz val="10"/>
        <color rgb="FF111111"/>
        <rFont val="Noto Sans CJK SC"/>
        <family val="2"/>
      </rPr>
      <t xml:space="preserve">等指标，全部是公式；下方配图表。改「假设」页的每季天数、年化倍数等，结果自动变。</t>
    </r>
  </si>
  <si>
    <t xml:space="preserve">模型复现与情景</t>
  </si>
  <si>
    <r>
      <rPr>
        <sz val="10"/>
        <color rgb="FF111111"/>
        <rFont val="Noto Sans CJK SC"/>
        <family val="2"/>
      </rPr>
      <t xml:space="preserve">用「假设」页的参数和每季决策，从头重算产量、成本、存货、收入、利润、现金和权益。默认复现实际结果（核对行≈</t>
    </r>
    <r>
      <rPr>
        <sz val="10"/>
        <color rgb="FF111111"/>
        <rFont val="Microsoft YaHei"/>
        <family val="0"/>
        <charset val="1"/>
      </rPr>
      <t xml:space="preserve">0</t>
    </r>
    <r>
      <rPr>
        <sz val="10"/>
        <color rgb="FF111111"/>
        <rFont val="Noto Sans CJK SC"/>
        <family val="2"/>
      </rPr>
      <t xml:space="preserve">）；在黄色情景格里改决策或价格系数，期末权益等结果自动重算。</t>
    </r>
  </si>
  <si>
    <t xml:space="preserve">决策备注</t>
  </si>
  <si>
    <t xml:space="preserve">每季提交给引擎的决策备注原文。</t>
  </si>
  <si>
    <t xml:space="preserve">颜色约定</t>
  </si>
  <si>
    <t xml:space="preserve">浅黄底、蓝字</t>
  </si>
  <si>
    <t xml:space="preserve">输入格：引擎导出的原始数字、规则参数、推断参数、情景输入。可以改。</t>
  </si>
  <si>
    <t xml:space="preserve">白底、黑字</t>
  </si>
  <si>
    <t xml:space="preserve">公式格：由输入格计算而来，不要手改。</t>
  </si>
  <si>
    <t xml:space="preserve">浅绿底、绿字</t>
  </si>
  <si>
    <r>
      <rPr>
        <sz val="10"/>
        <color rgb="FF111111"/>
        <rFont val="Noto Sans CJK SC"/>
        <family val="2"/>
      </rPr>
      <t xml:space="preserve">核对格：公式结果与引擎数字的差额，正常应为</t>
    </r>
    <r>
      <rPr>
        <sz val="10"/>
        <color rgb="FF111111"/>
        <rFont val="Microsoft YaHei"/>
        <family val="0"/>
        <charset val="1"/>
      </rPr>
      <t xml:space="preserve">0</t>
    </r>
    <r>
      <rPr>
        <sz val="10"/>
        <color rgb="FF111111"/>
        <rFont val="Noto Sans CJK SC"/>
        <family val="2"/>
      </rPr>
      <t xml:space="preserve">（四舍五入误差在</t>
    </r>
    <r>
      <rPr>
        <sz val="10"/>
        <color rgb="FF111111"/>
        <rFont val="Microsoft YaHei"/>
        <family val="0"/>
        <charset val="1"/>
      </rPr>
      <t xml:space="preserve">±0.01</t>
    </r>
    <r>
      <rPr>
        <sz val="10"/>
        <color rgb="FF111111"/>
        <rFont val="Noto Sans CJK SC"/>
        <family val="2"/>
      </rPr>
      <t xml:space="preserve">以内）。</t>
    </r>
  </si>
  <si>
    <t xml:space="preserve">浅紫底</t>
  </si>
  <si>
    <t xml:space="preserve">关键结果（公式）。</t>
  </si>
  <si>
    <t xml:space="preserve">口径说明</t>
  </si>
  <si>
    <t xml:space="preserve">营业成本</t>
  </si>
  <si>
    <r>
      <rPr>
        <sz val="10"/>
        <color rgb="FF111111"/>
        <rFont val="Noto Sans CJK SC"/>
        <family val="2"/>
      </rPr>
      <t xml:space="preserve">引擎的营业成本含存货跌价损失（期末按可变现净值</t>
    </r>
    <r>
      <rPr>
        <sz val="10"/>
        <color rgb="FF111111"/>
        <rFont val="Microsoft YaHei"/>
        <family val="0"/>
        <charset val="1"/>
      </rPr>
      <t xml:space="preserve">=0.95×</t>
    </r>
    <r>
      <rPr>
        <sz val="10"/>
        <color rgb="FF111111"/>
        <rFont val="Noto Sans CJK SC"/>
        <family val="2"/>
      </rPr>
      <t xml:space="preserve">市价减记，不转回），表中单列「其中：存货跌价」。</t>
    </r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片按订单生产，多产作废，其成本计入当季营业成本。</t>
    </r>
  </si>
  <si>
    <t xml:space="preserve">存货周转天数</t>
  </si>
  <si>
    <r>
      <rPr>
        <sz val="10"/>
        <color rgb="FF111111"/>
        <rFont val="Noto Sans CJK SC"/>
        <family val="2"/>
      </rPr>
      <t xml:space="preserve">公式：（期初存货</t>
    </r>
    <r>
      <rPr>
        <sz val="10"/>
        <color rgb="FF111111"/>
        <rFont val="Microsoft YaHei"/>
        <family val="0"/>
        <charset val="1"/>
      </rPr>
      <t xml:space="preserve">+</t>
    </r>
    <r>
      <rPr>
        <sz val="10"/>
        <color rgb="FF111111"/>
        <rFont val="Noto Sans CJK SC"/>
        <family val="2"/>
      </rPr>
      <t xml:space="preserve">期末存货）</t>
    </r>
    <r>
      <rPr>
        <sz val="10"/>
        <color rgb="FF111111"/>
        <rFont val="Microsoft YaHei"/>
        <family val="0"/>
        <charset val="1"/>
      </rPr>
      <t xml:space="preserve">/2 ÷ </t>
    </r>
    <r>
      <rPr>
        <sz val="10"/>
        <color rgb="FF111111"/>
        <rFont val="Noto Sans CJK SC"/>
        <family val="2"/>
      </rPr>
      <t xml:space="preserve">当季营业成本 </t>
    </r>
    <r>
      <rPr>
        <sz val="10"/>
        <color rgb="FF111111"/>
        <rFont val="Microsoft YaHei"/>
        <family val="0"/>
        <charset val="1"/>
      </rPr>
      <t xml:space="preserve">× </t>
    </r>
    <r>
      <rPr>
        <sz val="10"/>
        <color rgb="FF111111"/>
        <rFont val="Noto Sans CJK SC"/>
        <family val="2"/>
      </rPr>
      <t xml:space="preserve">每季天数（默认</t>
    </r>
    <r>
      <rPr>
        <sz val="10"/>
        <color rgb="FF111111"/>
        <rFont val="Microsoft YaHei"/>
        <family val="0"/>
        <charset val="1"/>
      </rPr>
      <t xml:space="preserve">91.25</t>
    </r>
    <r>
      <rPr>
        <sz val="10"/>
        <color rgb="FF111111"/>
        <rFont val="Noto Sans CJK SC"/>
        <family val="2"/>
      </rPr>
      <t xml:space="preserve">天，假设）。另给片数口径：期末库存千片 </t>
    </r>
    <r>
      <rPr>
        <sz val="10"/>
        <color rgb="FF111111"/>
        <rFont val="Microsoft YaHei"/>
        <family val="0"/>
        <charset val="1"/>
      </rPr>
      <t xml:space="preserve">÷ </t>
    </r>
    <r>
      <rPr>
        <sz val="10"/>
        <color rgb="FF111111"/>
        <rFont val="Noto Sans CJK SC"/>
        <family val="2"/>
      </rPr>
      <t xml:space="preserve">当季普通内存销量 </t>
    </r>
    <r>
      <rPr>
        <sz val="10"/>
        <color rgb="FF111111"/>
        <rFont val="Microsoft YaHei"/>
        <family val="0"/>
        <charset val="1"/>
      </rPr>
      <t xml:space="preserve">× </t>
    </r>
    <r>
      <rPr>
        <sz val="10"/>
        <color rgb="FF111111"/>
        <rFont val="Noto Sans CJK SC"/>
        <family val="2"/>
      </rPr>
      <t xml:space="preserve">每季天数。</t>
    </r>
  </si>
  <si>
    <t xml:space="preserve">净负债</t>
  </si>
  <si>
    <r>
      <rPr>
        <sz val="10"/>
        <color rgb="FF111111"/>
        <rFont val="Noto Sans CJK SC"/>
        <family val="2"/>
      </rPr>
      <t xml:space="preserve">公式：借款</t>
    </r>
    <r>
      <rPr>
        <sz val="10"/>
        <color rgb="FF111111"/>
        <rFont val="Microsoft YaHei"/>
        <family val="0"/>
        <charset val="1"/>
      </rPr>
      <t xml:space="preserve">+</t>
    </r>
    <r>
      <rPr>
        <sz val="10"/>
        <color rgb="FF111111"/>
        <rFont val="Noto Sans CJK SC"/>
        <family val="2"/>
      </rPr>
      <t xml:space="preserve">紧急授信−现金；负数表示净现金。</t>
    </r>
  </si>
  <si>
    <t xml:space="preserve">ROE</t>
  </si>
  <si>
    <r>
      <rPr>
        <sz val="10"/>
        <color rgb="FF111111"/>
        <rFont val="Noto Sans CJK SC"/>
        <family val="2"/>
      </rPr>
      <t xml:space="preserve">公式：季度</t>
    </r>
    <r>
      <rPr>
        <sz val="10"/>
        <color rgb="FF111111"/>
        <rFont val="Microsoft YaHei"/>
        <family val="0"/>
        <charset val="1"/>
      </rPr>
      <t xml:space="preserve">ROE=</t>
    </r>
    <r>
      <rPr>
        <sz val="10"/>
        <color rgb="FF111111"/>
        <rFont val="Noto Sans CJK SC"/>
        <family val="2"/>
      </rPr>
      <t xml:space="preserve">净利润</t>
    </r>
    <r>
      <rPr>
        <sz val="10"/>
        <color rgb="FF111111"/>
        <rFont val="Microsoft YaHei"/>
        <family val="0"/>
        <charset val="1"/>
      </rPr>
      <t xml:space="preserve">÷</t>
    </r>
    <r>
      <rPr>
        <sz val="10"/>
        <color rgb="FF111111"/>
        <rFont val="Noto Sans CJK SC"/>
        <family val="2"/>
      </rPr>
      <t xml:space="preserve">（期初权益</t>
    </r>
    <r>
      <rPr>
        <sz val="10"/>
        <color rgb="FF111111"/>
        <rFont val="Microsoft YaHei"/>
        <family val="0"/>
        <charset val="1"/>
      </rPr>
      <t xml:space="preserve">+</t>
    </r>
    <r>
      <rPr>
        <sz val="10"/>
        <color rgb="FF111111"/>
        <rFont val="Noto Sans CJK SC"/>
        <family val="2"/>
      </rPr>
      <t xml:space="preserve">期末权益）</t>
    </r>
    <r>
      <rPr>
        <sz val="10"/>
        <color rgb="FF111111"/>
        <rFont val="Microsoft YaHei"/>
        <family val="0"/>
        <charset val="1"/>
      </rPr>
      <t xml:space="preserve">/2</t>
    </r>
    <r>
      <rPr>
        <sz val="10"/>
        <color rgb="FF111111"/>
        <rFont val="Noto Sans CJK SC"/>
        <family val="2"/>
      </rPr>
      <t xml:space="preserve">；年化</t>
    </r>
    <r>
      <rPr>
        <sz val="10"/>
        <color rgb="FF111111"/>
        <rFont val="Microsoft YaHei"/>
        <family val="0"/>
        <charset val="1"/>
      </rPr>
      <t xml:space="preserve">=</t>
    </r>
    <r>
      <rPr>
        <sz val="10"/>
        <color rgb="FF111111"/>
        <rFont val="Noto Sans CJK SC"/>
        <family val="2"/>
      </rPr>
      <t xml:space="preserve">季度</t>
    </r>
    <r>
      <rPr>
        <sz val="10"/>
        <color rgb="FF111111"/>
        <rFont val="Microsoft YaHei"/>
        <family val="0"/>
        <charset val="1"/>
      </rPr>
      <t xml:space="preserve">×4</t>
    </r>
    <r>
      <rPr>
        <sz val="10"/>
        <color rgb="FF111111"/>
        <rFont val="Noto Sans CJK SC"/>
        <family val="2"/>
      </rPr>
      <t xml:space="preserve">（年化倍数是假设，可改）。</t>
    </r>
  </si>
  <si>
    <t xml:space="preserve">推断参数</t>
  </si>
  <si>
    <r>
      <rPr>
        <sz val="10"/>
        <color rgb="FF111111"/>
        <rFont val="Noto Sans CJK SC"/>
        <family val="2"/>
      </rPr>
      <t xml:space="preserve">「假设」页里标为「推断」的数字不是规则原文，是我用前两季报表反推、再用</t>
    </r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季数据逐季核对得到的（模型复现核对行≈</t>
    </r>
    <r>
      <rPr>
        <sz val="10"/>
        <color rgb="FF111111"/>
        <rFont val="Microsoft YaHei"/>
        <family val="0"/>
        <charset val="1"/>
      </rPr>
      <t xml:space="preserve">0</t>
    </r>
    <r>
      <rPr>
        <sz val="10"/>
        <color rgb="FF111111"/>
        <rFont val="Noto Sans CJK SC"/>
        <family val="2"/>
      </rPr>
      <t xml:space="preserve">）。它们是假设，不是引擎公开的事实。</t>
    </r>
  </si>
  <si>
    <t xml:space="preserve">免责声明</t>
  </si>
  <si>
    <t xml:space="preserve">这是经营模拟的研究和展示材料，市场、公司和数字都是虚构的，不构成任何投资建议。</t>
  </si>
  <si>
    <t xml:space="preserve">假设与参数</t>
  </si>
  <si>
    <r>
      <rPr>
        <sz val="9"/>
        <color rgb="FF595959"/>
        <rFont val="Noto Sans CJK SC"/>
        <family val="2"/>
      </rPr>
      <t xml:space="preserve">黄色为输入格。性质：规则</t>
    </r>
    <r>
      <rPr>
        <sz val="9"/>
        <color rgb="FF595959"/>
        <rFont val="Microsoft YaHei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规则原文给定；推断</t>
    </r>
    <r>
      <rPr>
        <sz val="9"/>
        <color rgb="FF595959"/>
        <rFont val="Microsoft YaHei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从报表反推并用</t>
    </r>
    <r>
      <rPr>
        <sz val="9"/>
        <color rgb="FF595959"/>
        <rFont val="Microsoft YaHei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季数据核对；假设</t>
    </r>
    <r>
      <rPr>
        <sz val="9"/>
        <color rgb="FF595959"/>
        <rFont val="Microsoft YaHei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分析口径。</t>
    </r>
  </si>
  <si>
    <t xml:space="preserve">参数</t>
  </si>
  <si>
    <t xml:space="preserve">数值</t>
  </si>
  <si>
    <t xml:space="preserve">单位</t>
  </si>
  <si>
    <t xml:space="preserve">性质</t>
  </si>
  <si>
    <r>
      <rPr>
        <b val="true"/>
        <sz val="10"/>
        <color rgb="FFFFFFFF"/>
        <rFont val="Noto Sans CJK SC"/>
        <family val="2"/>
      </rPr>
      <t xml:space="preserve">出处</t>
    </r>
    <r>
      <rPr>
        <b val="true"/>
        <sz val="10"/>
        <color rgb="FFFFFFFF"/>
        <rFont val="Microsoft Ya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说明</t>
    </r>
  </si>
  <si>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1.00</t>
    </r>
    <r>
      <rPr>
        <sz val="10"/>
        <color rgb="FF111111"/>
        <rFont val="Noto Sans CJK SC"/>
        <family val="2"/>
      </rPr>
      <t xml:space="preserve">对应的普通内存售价</t>
    </r>
  </si>
  <si>
    <r>
      <rPr>
        <sz val="9"/>
        <color rgb="FF595959"/>
        <rFont val="Noto Sans CJK SC"/>
        <family val="2"/>
      </rPr>
      <t xml:space="preserve">十亿美元</t>
    </r>
    <r>
      <rPr>
        <sz val="9"/>
        <color rgb="FF595959"/>
        <rFont val="Microsoft YaHei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千片</t>
    </r>
  </si>
  <si>
    <t xml:space="preserve">推断</t>
  </si>
  <si>
    <r>
      <rPr>
        <sz val="9"/>
        <color rgb="FF595959"/>
        <rFont val="Microsoft YaHei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Microsoft YaHei"/>
        <family val="0"/>
        <charset val="1"/>
      </rPr>
      <t xml:space="preserve">4.608÷</t>
    </r>
    <r>
      <rPr>
        <sz val="9"/>
        <color rgb="FF595959"/>
        <rFont val="Noto Sans CJK SC"/>
        <family val="2"/>
      </rPr>
      <t xml:space="preserve">销量</t>
    </r>
    <r>
      <rPr>
        <sz val="9"/>
        <color rgb="FF595959"/>
        <rFont val="Microsoft YaHei"/>
        <family val="0"/>
        <charset val="1"/>
      </rPr>
      <t xml:space="preserve">240÷</t>
    </r>
    <r>
      <rPr>
        <sz val="9"/>
        <color rgb="FF595959"/>
        <rFont val="Noto Sans CJK SC"/>
        <family val="2"/>
      </rPr>
      <t xml:space="preserve">指数</t>
    </r>
    <r>
      <rPr>
        <sz val="9"/>
        <color rgb="FF595959"/>
        <rFont val="Microsoft YaHei"/>
        <family val="0"/>
        <charset val="1"/>
      </rPr>
      <t xml:space="preserve">0.80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Microsoft YaHei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季逐季核对</t>
    </r>
  </si>
  <si>
    <t xml:space="preserve">每千片变动成本</t>
  </si>
  <si>
    <r>
      <rPr>
        <sz val="9"/>
        <color rgb="FF595959"/>
        <rFont val="Microsoft YaHei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（产</t>
    </r>
    <r>
      <rPr>
        <sz val="9"/>
        <color rgb="FF595959"/>
        <rFont val="Microsoft YaHei"/>
        <family val="0"/>
        <charset val="1"/>
      </rPr>
      <t xml:space="preserve">255</t>
    </r>
    <r>
      <rPr>
        <sz val="9"/>
        <color rgb="FF595959"/>
        <rFont val="Noto Sans CJK SC"/>
        <family val="2"/>
      </rPr>
      <t xml:space="preserve">）与</t>
    </r>
    <r>
      <rPr>
        <sz val="9"/>
        <color rgb="FF595959"/>
        <rFont val="Microsoft YaHei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（产</t>
    </r>
    <r>
      <rPr>
        <sz val="9"/>
        <color rgb="FF595959"/>
        <rFont val="Microsoft YaHei"/>
        <family val="0"/>
        <charset val="1"/>
      </rPr>
      <t xml:space="preserve">300</t>
    </r>
    <r>
      <rPr>
        <sz val="9"/>
        <color rgb="FF595959"/>
        <rFont val="Noto Sans CJK SC"/>
        <family val="2"/>
      </rPr>
      <t xml:space="preserve">）单位成本对比反推</t>
    </r>
  </si>
  <si>
    <t xml:space="preserve">工厂固定费用（不含折旧）</t>
  </si>
  <si>
    <r>
      <rPr>
        <sz val="9"/>
        <color rgb="FF595959"/>
        <rFont val="Noto Sans CJK SC"/>
        <family val="2"/>
      </rPr>
      <t xml:space="preserve">十亿美元</t>
    </r>
    <r>
      <rPr>
        <sz val="9"/>
        <color rgb="FF595959"/>
        <rFont val="Microsoft YaHei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季</t>
    </r>
  </si>
  <si>
    <r>
      <rPr>
        <sz val="9"/>
        <color rgb="FF595959"/>
        <rFont val="Noto Sans CJK SC"/>
        <family val="2"/>
      </rPr>
      <t xml:space="preserve">同上；扩产后不变（</t>
    </r>
    <r>
      <rPr>
        <sz val="9"/>
        <color rgb="FF595959"/>
        <rFont val="Microsoft YaHei"/>
        <family val="0"/>
        <charset val="1"/>
      </rPr>
      <t xml:space="preserve">Q9</t>
    </r>
    <r>
      <rPr>
        <sz val="9"/>
        <color rgb="FF595959"/>
        <rFont val="Noto Sans CJK SC"/>
        <family val="2"/>
      </rPr>
      <t xml:space="preserve">起验证）</t>
    </r>
  </si>
  <si>
    <t xml:space="preserve">期初固定资产每季折旧</t>
  </si>
  <si>
    <r>
      <rPr>
        <sz val="9"/>
        <color rgb="FF595959"/>
        <rFont val="Microsoft YaHei"/>
        <family val="0"/>
        <charset val="1"/>
      </rPr>
      <t xml:space="preserve">Q1-Q4 </t>
    </r>
    <r>
      <rPr>
        <sz val="9"/>
        <color rgb="FF595959"/>
        <rFont val="Noto Sans CJK SC"/>
        <family val="2"/>
      </rPr>
      <t xml:space="preserve">折旧均为</t>
    </r>
    <r>
      <rPr>
        <sz val="9"/>
        <color rgb="FF595959"/>
        <rFont val="Microsoft YaHei"/>
        <family val="0"/>
        <charset val="1"/>
      </rPr>
      <t xml:space="preserve">2.0</t>
    </r>
  </si>
  <si>
    <t xml:space="preserve">资本开支折旧期</t>
  </si>
  <si>
    <t xml:space="preserve">季</t>
  </si>
  <si>
    <t xml:space="preserve">规则</t>
  </si>
  <si>
    <r>
      <rPr>
        <sz val="9"/>
        <color rgb="FF595959"/>
        <rFont val="Noto Sans CJK SC"/>
        <family val="2"/>
      </rPr>
      <t xml:space="preserve">规则：资本开支按</t>
    </r>
    <r>
      <rPr>
        <sz val="9"/>
        <color rgb="FF595959"/>
        <rFont val="Microsoft YaHei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个季度直线折旧</t>
    </r>
  </si>
  <si>
    <t xml:space="preserve">资本开支投产（并开始折旧）滞后</t>
  </si>
  <si>
    <r>
      <rPr>
        <sz val="9"/>
        <color rgb="FF595959"/>
        <rFont val="Noto Sans CJK SC"/>
        <family val="2"/>
      </rPr>
      <t xml:space="preserve">规则</t>
    </r>
    <r>
      <rPr>
        <sz val="9"/>
        <color rgb="FF595959"/>
        <rFont val="Microsoft YaHei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推断</t>
    </r>
  </si>
  <si>
    <r>
      <rPr>
        <sz val="9"/>
        <color rgb="FF595959"/>
        <rFont val="Noto Sans CJK SC"/>
        <family val="2"/>
      </rPr>
      <t xml:space="preserve">规则：超出维持部分</t>
    </r>
    <r>
      <rPr>
        <sz val="9"/>
        <color rgb="FF595959"/>
        <rFont val="Microsoft YaHei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个季度后形成新产能；折旧也从投产季开始（推断）</t>
    </r>
  </si>
  <si>
    <r>
      <rPr>
        <sz val="10"/>
        <color rgb="FF111111"/>
        <rFont val="Noto Sans CJK SC"/>
        <family val="2"/>
      </rPr>
      <t xml:space="preserve">每千片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季新增产能投资</t>
    </r>
  </si>
  <si>
    <t xml:space="preserve">十亿美元</t>
  </si>
  <si>
    <r>
      <rPr>
        <sz val="9"/>
        <color rgb="FF595959"/>
        <rFont val="Noto Sans CJK SC"/>
        <family val="2"/>
      </rPr>
      <t xml:space="preserve">规则：每</t>
    </r>
    <r>
      <rPr>
        <sz val="9"/>
        <color rgb="FF595959"/>
        <rFont val="Microsoft YaHei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亿美元增加</t>
    </r>
    <r>
      <rPr>
        <sz val="9"/>
        <color rgb="FF595959"/>
        <rFont val="Microsoft YaHei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千片</t>
    </r>
    <r>
      <rPr>
        <sz val="9"/>
        <color rgb="FF595959"/>
        <rFont val="Microsoft YaHei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季</t>
    </r>
  </si>
  <si>
    <t xml:space="preserve">每季维持性资本开支</t>
  </si>
  <si>
    <r>
      <rPr>
        <sz val="9"/>
        <color rgb="FF595959"/>
        <rFont val="Noto Sans CJK SC"/>
        <family val="2"/>
      </rPr>
      <t xml:space="preserve">规则：每季先要</t>
    </r>
    <r>
      <rPr>
        <sz val="9"/>
        <color rgb="FF595959"/>
        <rFont val="Microsoft YaHei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亿美元维持现有产能</t>
    </r>
  </si>
  <si>
    <t xml:space="preserve">每季固定研发费用</t>
  </si>
  <si>
    <r>
      <rPr>
        <sz val="9"/>
        <color rgb="FF595959"/>
        <rFont val="Microsoft YaHei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研发</t>
    </r>
    <r>
      <rPr>
        <sz val="9"/>
        <color rgb="FF595959"/>
        <rFont val="Microsoft YaHei"/>
        <family val="0"/>
        <charset val="1"/>
      </rPr>
      <t xml:space="preserve">3.8=</t>
    </r>
    <r>
      <rPr>
        <sz val="9"/>
        <color rgb="FF595959"/>
        <rFont val="Noto Sans CJK SC"/>
        <family val="2"/>
      </rPr>
      <t xml:space="preserve">固定</t>
    </r>
    <r>
      <rPr>
        <sz val="9"/>
        <color rgb="FF595959"/>
        <rFont val="Microsoft YaHei"/>
        <family val="0"/>
        <charset val="1"/>
      </rPr>
      <t xml:space="preserve">0.8+HBM</t>
    </r>
    <r>
      <rPr>
        <sz val="9"/>
        <color rgb="FF595959"/>
        <rFont val="Noto Sans CJK SC"/>
        <family val="2"/>
      </rPr>
      <t xml:space="preserve">研发</t>
    </r>
    <r>
      <rPr>
        <sz val="9"/>
        <color rgb="FF595959"/>
        <rFont val="Microsoft YaHei"/>
        <family val="0"/>
        <charset val="1"/>
      </rPr>
      <t xml:space="preserve">3.0</t>
    </r>
    <r>
      <rPr>
        <sz val="9"/>
        <color rgb="FF595959"/>
        <rFont val="Noto Sans CJK SC"/>
        <family val="2"/>
      </rPr>
      <t xml:space="preserve">；其余各季</t>
    </r>
    <r>
      <rPr>
        <sz val="9"/>
        <color rgb="FF595959"/>
        <rFont val="Microsoft YaHei"/>
        <family val="0"/>
        <charset val="1"/>
      </rPr>
      <t xml:space="preserve">0.8</t>
    </r>
  </si>
  <si>
    <t xml:space="preserve">每季销售及管理费用</t>
  </si>
  <si>
    <r>
      <rPr>
        <sz val="9"/>
        <color rgb="FF595959"/>
        <rFont val="Microsoft YaHei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季均为</t>
    </r>
    <r>
      <rPr>
        <sz val="9"/>
        <color rgb="FF595959"/>
        <rFont val="Microsoft YaHei"/>
        <family val="0"/>
        <charset val="1"/>
      </rPr>
      <t xml:space="preserve">0.25</t>
    </r>
  </si>
  <si>
    <t xml:space="preserve">存货减记测试中的销售费用率</t>
  </si>
  <si>
    <t xml:space="preserve">比例</t>
  </si>
  <si>
    <r>
      <rPr>
        <sz val="9"/>
        <color rgb="FF595959"/>
        <rFont val="Noto Sans CJK SC"/>
        <family val="2"/>
      </rPr>
      <t xml:space="preserve">规则：市价扣</t>
    </r>
    <r>
      <rPr>
        <sz val="9"/>
        <color rgb="FF595959"/>
        <rFont val="Microsoft YaHei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销售费用后低于成本则减记</t>
    </r>
  </si>
  <si>
    <t xml:space="preserve">所得税率（只对盈利征）</t>
  </si>
  <si>
    <t xml:space="preserve">借款季利率</t>
  </si>
  <si>
    <r>
      <rPr>
        <sz val="9"/>
        <color rgb="FF595959"/>
        <rFont val="Noto Sans CJK SC"/>
        <family val="2"/>
      </rPr>
      <t xml:space="preserve">比例</t>
    </r>
    <r>
      <rPr>
        <sz val="9"/>
        <color rgb="FF595959"/>
        <rFont val="Microsoft YaHei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季</t>
    </r>
  </si>
  <si>
    <t xml:space="preserve">紧急授信季利率</t>
  </si>
  <si>
    <t xml:space="preserve">触发紧急授信的现金下限</t>
  </si>
  <si>
    <r>
      <rPr>
        <sz val="9"/>
        <color rgb="FF595959"/>
        <rFont val="Noto Sans CJK SC"/>
        <family val="2"/>
      </rPr>
      <t xml:space="preserve">规则：现金低于</t>
    </r>
    <r>
      <rPr>
        <sz val="9"/>
        <color rgb="FF595959"/>
        <rFont val="Microsoft YaHei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亿美元自动动用紧急授信（补足到下限为假设）</t>
    </r>
  </si>
  <si>
    <t xml:space="preserve">现金季收益率</t>
  </si>
  <si>
    <r>
      <rPr>
        <sz val="9"/>
        <color rgb="FF595959"/>
        <rFont val="Noto Sans CJK SC"/>
        <family val="2"/>
      </rPr>
      <t xml:space="preserve">净利息</t>
    </r>
    <r>
      <rPr>
        <sz val="9"/>
        <color rgb="FF595959"/>
        <rFont val="Microsoft YaHei"/>
        <family val="0"/>
        <charset val="1"/>
      </rPr>
      <t xml:space="preserve">=1.5%×</t>
    </r>
    <r>
      <rPr>
        <sz val="9"/>
        <color rgb="FF595959"/>
        <rFont val="Noto Sans CJK SC"/>
        <family val="2"/>
      </rPr>
      <t xml:space="preserve">期初借款−</t>
    </r>
    <r>
      <rPr>
        <sz val="9"/>
        <color rgb="FF595959"/>
        <rFont val="Microsoft YaHei"/>
        <family val="0"/>
        <charset val="1"/>
      </rPr>
      <t xml:space="preserve">0.8%×</t>
    </r>
    <r>
      <rPr>
        <sz val="9"/>
        <color rgb="FF595959"/>
        <rFont val="Noto Sans CJK SC"/>
        <family val="2"/>
      </rPr>
      <t xml:space="preserve">期初现金，</t>
    </r>
    <r>
      <rPr>
        <sz val="9"/>
        <color rgb="FF595959"/>
        <rFont val="Microsoft YaHei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季逐季核对</t>
    </r>
  </si>
  <si>
    <t xml:space="preserve">借款上限占股东权益比例</t>
  </si>
  <si>
    <r>
      <rPr>
        <sz val="9"/>
        <color rgb="FF595959"/>
        <rFont val="Noto Sans CJK SC"/>
        <family val="2"/>
      </rPr>
      <t xml:space="preserve">规则：约为股东权益的</t>
    </r>
    <r>
      <rPr>
        <sz val="9"/>
        <color rgb="FF595959"/>
        <rFont val="Microsoft YaHei"/>
        <family val="0"/>
        <charset val="1"/>
      </rPr>
      <t xml:space="preserve">60%</t>
    </r>
  </si>
  <si>
    <t xml:space="preserve">借款上限下限</t>
  </si>
  <si>
    <r>
      <rPr>
        <sz val="9"/>
        <color rgb="FF595959"/>
        <rFont val="Noto Sans CJK SC"/>
        <family val="2"/>
      </rPr>
      <t xml:space="preserve">规则：不低于</t>
    </r>
    <r>
      <rPr>
        <sz val="9"/>
        <color rgb="FF595959"/>
        <rFont val="Microsoft YaHei"/>
        <family val="0"/>
        <charset val="1"/>
      </rPr>
      <t xml:space="preserve">80</t>
    </r>
    <r>
      <rPr>
        <sz val="9"/>
        <color rgb="FF595959"/>
        <rFont val="Noto Sans CJK SC"/>
        <family val="2"/>
      </rPr>
      <t xml:space="preserve">亿美元</t>
    </r>
  </si>
  <si>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研发累计门槛</t>
    </r>
  </si>
  <si>
    <r>
      <rPr>
        <sz val="9"/>
        <color rgb="FF595959"/>
        <rFont val="Noto Sans CJK SC"/>
        <family val="2"/>
      </rPr>
      <t xml:space="preserve">规则：累计满</t>
    </r>
    <r>
      <rPr>
        <sz val="9"/>
        <color rgb="FF595959"/>
        <rFont val="Microsoft YaHei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亿美元后再过</t>
    </r>
    <r>
      <rPr>
        <sz val="9"/>
        <color rgb="FF595959"/>
        <rFont val="Microsoft YaHei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个季度可量产</t>
    </r>
  </si>
  <si>
    <t xml:space="preserve">每季天数（周转天数用）</t>
  </si>
  <si>
    <t xml:space="preserve">天</t>
  </si>
  <si>
    <t xml:space="preserve">365÷4</t>
  </si>
  <si>
    <r>
      <rPr>
        <sz val="10"/>
        <color rgb="FF111111"/>
        <rFont val="Noto Sans CJK SC"/>
        <family val="2"/>
      </rPr>
      <t xml:space="preserve">年化倍数（</t>
    </r>
    <r>
      <rPr>
        <sz val="10"/>
        <color rgb="FF111111"/>
        <rFont val="Microsoft YaHei"/>
        <family val="0"/>
        <charset val="1"/>
      </rPr>
      <t xml:space="preserve">ROE</t>
    </r>
    <r>
      <rPr>
        <sz val="10"/>
        <color rgb="FF111111"/>
        <rFont val="Noto Sans CJK SC"/>
        <family val="2"/>
      </rPr>
      <t xml:space="preserve">年化用）</t>
    </r>
  </si>
  <si>
    <t xml:space="preserve">倍</t>
  </si>
  <si>
    <r>
      <rPr>
        <sz val="9"/>
        <color rgb="FF595959"/>
        <rFont val="Noto Sans CJK SC"/>
        <family val="2"/>
      </rPr>
      <t xml:space="preserve">一年</t>
    </r>
    <r>
      <rPr>
        <sz val="9"/>
        <color rgb="FF595959"/>
        <rFont val="Microsoft YaHei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个季度，简单年化</t>
    </r>
  </si>
  <si>
    <t xml:space="preserve">情景：普通内存价格系数</t>
  </si>
  <si>
    <t xml:space="preserve">情景输入</t>
  </si>
  <si>
    <r>
      <rPr>
        <sz val="9"/>
        <color rgb="FF595959"/>
        <rFont val="Noto Sans CJK SC"/>
        <family val="2"/>
      </rPr>
      <t xml:space="preserve">只影响「模型复现与情景」页；</t>
    </r>
    <r>
      <rPr>
        <sz val="9"/>
        <color rgb="FF595959"/>
        <rFont val="Microsoft YaHei"/>
        <family val="0"/>
        <charset val="1"/>
      </rPr>
      <t xml:space="preserve">1.0=</t>
    </r>
    <r>
      <rPr>
        <sz val="9"/>
        <color rgb="FF595959"/>
        <rFont val="Noto Sans CJK SC"/>
        <family val="2"/>
      </rPr>
      <t xml:space="preserve">实际价格</t>
    </r>
  </si>
  <si>
    <r>
      <rPr>
        <sz val="10"/>
        <color rgb="FF111111"/>
        <rFont val="Noto Sans CJK SC"/>
        <family val="2"/>
      </rPr>
      <t xml:space="preserve">情景：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价格系数</t>
    </r>
  </si>
  <si>
    <t xml:space="preserve">引擎导出数据（原样录入，输入格）</t>
  </si>
  <si>
    <r>
      <rPr>
        <sz val="9"/>
        <color rgb="FF595959"/>
        <rFont val="Noto Sans CJK SC"/>
        <family val="2"/>
      </rPr>
      <t xml:space="preserve">来源：交付</t>
    </r>
    <r>
      <rPr>
        <sz val="9"/>
        <color rgb="FF595959"/>
        <rFont val="Microsoft YaHei"/>
        <family val="0"/>
        <charset val="1"/>
      </rPr>
      <t xml:space="preserve">/data/raw/export_final.json → history[</t>
    </r>
    <r>
      <rPr>
        <sz val="9"/>
        <color rgb="FF595959"/>
        <rFont val="Noto Sans CJK SC"/>
        <family val="2"/>
      </rPr>
      <t xml:space="preserve">第</t>
    </r>
    <r>
      <rPr>
        <sz val="9"/>
        <color rgb="FF595959"/>
        <rFont val="Microsoft YaHei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季</t>
    </r>
    <r>
      <rPr>
        <sz val="9"/>
        <color rgb="FF595959"/>
        <rFont val="Microsoft YaHei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Microsoft YaHei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列为字段路径。金额：十亿美元；片数：千片</t>
    </r>
    <r>
      <rPr>
        <sz val="9"/>
        <color rgb="FF595959"/>
        <rFont val="Microsoft YaHei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季。</t>
    </r>
  </si>
  <si>
    <t xml:space="preserve">项目</t>
  </si>
  <si>
    <t xml:space="preserve">来源字段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</si>
  <si>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</si>
  <si>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</si>
  <si>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</si>
  <si>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</si>
  <si>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</si>
  <si>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</si>
  <si>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</si>
  <si>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</si>
  <si>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</si>
  <si>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</si>
  <si>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</si>
  <si>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</si>
  <si>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</si>
  <si>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</si>
  <si>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</si>
  <si>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</si>
  <si>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决策</t>
  </si>
  <si>
    <t xml:space="preserve">开工率</t>
  </si>
  <si>
    <t xml:space="preserve">decision.utilization</t>
  </si>
  <si>
    <t xml:space="preserve">出货比例</t>
  </si>
  <si>
    <t xml:space="preserve">decision.sell_fraction</t>
  </si>
  <si>
    <t xml:space="preserve">资本开支</t>
  </si>
  <si>
    <t xml:space="preserve">decision.capex</t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</si>
  <si>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研发投入</t>
    </r>
  </si>
  <si>
    <t xml:space="preserve">decision.hbm_rnd</t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</si>
  <si>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产能占比</t>
    </r>
  </si>
  <si>
    <t xml:space="preserve">decision.hbm_share</t>
  </si>
  <si>
    <t xml:space="preserve">新增借款（还款为负）</t>
  </si>
  <si>
    <t xml:space="preserve">decision.borrow</t>
  </si>
  <si>
    <t xml:space="preserve">市场</t>
  </si>
  <si>
    <t xml:space="preserve">普通内存价格指数</t>
  </si>
  <si>
    <t xml:space="preserve">market.price_index</t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</si>
  <si>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价格指数</t>
    </r>
  </si>
  <si>
    <t xml:space="preserve">market.hbm_price_index</t>
  </si>
  <si>
    <t xml:space="preserve">普通内存需求（千片）</t>
  </si>
  <si>
    <t xml:space="preserve">market.demand_kwafers</t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</si>
  <si>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需求（千片）</t>
    </r>
  </si>
  <si>
    <t xml:space="preserve">market.hbm_demand_kwafers</t>
  </si>
  <si>
    <t xml:space="preserve">运营</t>
  </si>
  <si>
    <r>
      <rPr>
        <sz val="10"/>
        <color rgb="FF111111"/>
        <rFont val="Noto Sans CJK SC"/>
        <family val="2"/>
      </rPr>
      <t xml:space="preserve">产能（千片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季）</t>
    </r>
  </si>
  <si>
    <t xml:space="preserve">operations.capacity_kwafers</t>
  </si>
  <si>
    <t xml:space="preserve">产量（千片）</t>
  </si>
  <si>
    <t xml:space="preserve">operations.produced_kwafers</t>
  </si>
  <si>
    <r>
      <rPr>
        <sz val="10"/>
        <color rgb="FF111111"/>
        <rFont val="Noto Sans CJK SC"/>
        <family val="2"/>
      </rPr>
      <t xml:space="preserve">其中 </t>
    </r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产量（千片）</t>
    </r>
  </si>
  <si>
    <t xml:space="preserve">operations.hbm_kwafers</t>
  </si>
  <si>
    <t xml:space="preserve">普通内存销量（千片）</t>
  </si>
  <si>
    <t xml:space="preserve">operations.std_sold_kwafers</t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</si>
  <si>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销量（千片）</t>
    </r>
  </si>
  <si>
    <t xml:space="preserve">operations.hbm_sold_kwafers</t>
  </si>
  <si>
    <r>
      <rPr>
        <sz val="10"/>
        <color rgb="FF111111"/>
        <rFont val="Noto Sans CJK SC"/>
        <family val="2"/>
      </rPr>
      <t xml:space="preserve">单位生产成本（百万美元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千片）</t>
    </r>
  </si>
  <si>
    <t xml:space="preserve">operations.unit_cost_musd</t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</si>
  <si>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量产资格（</t>
    </r>
    <r>
      <rPr>
        <sz val="10"/>
        <color rgb="FF111111"/>
        <rFont val="Microsoft YaHei"/>
        <family val="0"/>
        <charset val="1"/>
      </rPr>
      <t xml:space="preserve">1=</t>
    </r>
    <r>
      <rPr>
        <sz val="10"/>
        <color rgb="FF111111"/>
        <rFont val="Noto Sans CJK SC"/>
        <family val="2"/>
      </rPr>
      <t xml:space="preserve">有）</t>
    </r>
  </si>
  <si>
    <t xml:space="preserve">operations.hbm_qualified</t>
  </si>
  <si>
    <t xml:space="preserve">利润表（引擎）</t>
  </si>
  <si>
    <t xml:space="preserve">营业收入</t>
  </si>
  <si>
    <t xml:space="preserve">income_statement.revenue</t>
  </si>
  <si>
    <t xml:space="preserve">普通内存收入</t>
  </si>
  <si>
    <t xml:space="preserve">income_statement.revenue_std</t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</si>
  <si>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收入</t>
    </r>
  </si>
  <si>
    <t xml:space="preserve">income_statement.revenue_hbm</t>
  </si>
  <si>
    <t xml:space="preserve">营业成本（含存货跌价）</t>
  </si>
  <si>
    <t xml:space="preserve">income_statement.cogs</t>
  </si>
  <si>
    <t xml:space="preserve">存货跌价损失</t>
  </si>
  <si>
    <t xml:space="preserve">income_statement.inventory_writedown</t>
  </si>
  <si>
    <t xml:space="preserve">毛利</t>
  </si>
  <si>
    <t xml:space="preserve">income_statement.gross_profit</t>
  </si>
  <si>
    <t xml:space="preserve">研发费用</t>
  </si>
  <si>
    <t xml:space="preserve">income_statement.rnd</t>
  </si>
  <si>
    <t xml:space="preserve">销售及管理费用</t>
  </si>
  <si>
    <t xml:space="preserve">income_statement.sga</t>
  </si>
  <si>
    <t xml:space="preserve">营业利润</t>
  </si>
  <si>
    <t xml:space="preserve">income_statement.operating_income</t>
  </si>
  <si>
    <t xml:space="preserve">净利息支出</t>
  </si>
  <si>
    <t xml:space="preserve">income_statement.net_interest</t>
  </si>
  <si>
    <t xml:space="preserve">所得税</t>
  </si>
  <si>
    <t xml:space="preserve">income_statement.tax</t>
  </si>
  <si>
    <t xml:space="preserve">净利润</t>
  </si>
  <si>
    <t xml:space="preserve">income_statement.net_income</t>
  </si>
  <si>
    <t xml:space="preserve">现金流量（引擎）</t>
  </si>
  <si>
    <t xml:space="preserve">经营活动现金流</t>
  </si>
  <si>
    <t xml:space="preserve">cash_flow.operating</t>
  </si>
  <si>
    <t xml:space="preserve">投资活动现金流</t>
  </si>
  <si>
    <t xml:space="preserve">cash_flow.investing</t>
  </si>
  <si>
    <t xml:space="preserve">筹资活动现金流（不含紧急授信）</t>
  </si>
  <si>
    <t xml:space="preserve">cash_flow.financing</t>
  </si>
  <si>
    <t xml:space="preserve">折旧</t>
  </si>
  <si>
    <t xml:space="preserve">cash_flow.depreciation</t>
  </si>
  <si>
    <t xml:space="preserve">紧急授信提取</t>
  </si>
  <si>
    <t xml:space="preserve">cash_flow.emergency_borrowing</t>
  </si>
  <si>
    <t xml:space="preserve">资产负债（引擎，期末）</t>
  </si>
  <si>
    <t xml:space="preserve">现金</t>
  </si>
  <si>
    <t xml:space="preserve">balance_sheet.cash</t>
  </si>
  <si>
    <t xml:space="preserve">存货</t>
  </si>
  <si>
    <t xml:space="preserve">balance_sheet.inventory</t>
  </si>
  <si>
    <t xml:space="preserve">固定资产净值</t>
  </si>
  <si>
    <t xml:space="preserve">balance_sheet.ppe_net</t>
  </si>
  <si>
    <t xml:space="preserve">资产合计</t>
  </si>
  <si>
    <t xml:space="preserve">balance_sheet.total_assets</t>
  </si>
  <si>
    <t xml:space="preserve">借款</t>
  </si>
  <si>
    <t xml:space="preserve">balance_sheet.debt</t>
  </si>
  <si>
    <t xml:space="preserve">紧急授信余额</t>
  </si>
  <si>
    <t xml:space="preserve">balance_sheet.emergency_debt</t>
  </si>
  <si>
    <t xml:space="preserve">股东权益</t>
  </si>
  <si>
    <t xml:space="preserve">balance_sheet.equity</t>
  </si>
  <si>
    <t xml:space="preserve">库存（千片）</t>
  </si>
  <si>
    <t xml:space="preserve">balance_sheet.inventory_kwafers</t>
  </si>
  <si>
    <t xml:space="preserve">利润表（逐季）</t>
  </si>
  <si>
    <t xml:space="preserve">单位：十亿美元。所有数字为公式：引用「原始数据」页，小计由公式计算；底部为与引擎数字的核对。</t>
  </si>
  <si>
    <r>
      <rPr>
        <b val="true"/>
        <sz val="10"/>
        <color rgb="FFFFFFFF"/>
        <rFont val="Noto Sans CJK SC"/>
        <family val="2"/>
      </rPr>
      <t xml:space="preserve">单位</t>
    </r>
    <r>
      <rPr>
        <b val="true"/>
        <sz val="10"/>
        <color rgb="FFFFFFFF"/>
        <rFont val="Microsoft Ya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口径</t>
    </r>
  </si>
  <si>
    <r>
      <rPr>
        <b val="true"/>
        <sz val="10"/>
        <color rgb="FFFFFFFF"/>
        <rFont val="Microsoft YaHei"/>
        <family val="0"/>
        <charset val="1"/>
      </rPr>
      <t xml:space="preserve">16</t>
    </r>
    <r>
      <rPr>
        <b val="true"/>
        <sz val="10"/>
        <color rgb="FFFFFFFF"/>
        <rFont val="Noto Sans CJK SC"/>
        <family val="2"/>
      </rPr>
      <t xml:space="preserve">季合计</t>
    </r>
  </si>
  <si>
    <t xml:space="preserve">  其中：存货跌价损失</t>
  </si>
  <si>
    <t xml:space="preserve">毛利率</t>
  </si>
  <si>
    <t xml:space="preserve">%</t>
  </si>
  <si>
    <r>
      <rPr>
        <sz val="10"/>
        <color rgb="FF111111"/>
        <rFont val="Noto Sans CJK SC"/>
        <family val="2"/>
      </rPr>
      <t xml:space="preserve">  其中：</t>
    </r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专项研发</t>
    </r>
  </si>
  <si>
    <t xml:space="preserve">净利息支出（收入为负）</t>
  </si>
  <si>
    <t xml:space="preserve">税前利润</t>
  </si>
  <si>
    <t xml:space="preserve">累计净利润</t>
  </si>
  <si>
    <r>
      <rPr>
        <b val="true"/>
        <sz val="10"/>
        <color rgb="FF111111"/>
        <rFont val="Noto Sans CJK SC"/>
        <family val="2"/>
      </rPr>
      <t xml:space="preserve">核对（公式结果 − 引擎数字，应为 </t>
    </r>
    <r>
      <rPr>
        <b val="true"/>
        <sz val="10"/>
        <color rgb="FF111111"/>
        <rFont val="Microsoft YaHei"/>
        <family val="0"/>
        <charset val="1"/>
      </rPr>
      <t xml:space="preserve">0</t>
    </r>
    <r>
      <rPr>
        <b val="true"/>
        <sz val="10"/>
        <color rgb="FF111111"/>
        <rFont val="Noto Sans CJK SC"/>
        <family val="2"/>
      </rPr>
      <t xml:space="preserve">）</t>
    </r>
  </si>
  <si>
    <t xml:space="preserve">营业收入差额</t>
  </si>
  <si>
    <r>
      <rPr>
        <sz val="9"/>
        <color rgb="FF595959"/>
        <rFont val="Noto Sans CJK SC"/>
        <family val="2"/>
      </rPr>
      <t xml:space="preserve">应为</t>
    </r>
    <r>
      <rPr>
        <sz val="9"/>
        <color rgb="FF595959"/>
        <rFont val="Microsoft YaHei"/>
        <family val="0"/>
        <charset val="1"/>
      </rPr>
      <t xml:space="preserve">0</t>
    </r>
  </si>
  <si>
    <t xml:space="preserve">毛利差额</t>
  </si>
  <si>
    <t xml:space="preserve">营业利润差额</t>
  </si>
  <si>
    <t xml:space="preserve">净利润差额</t>
  </si>
  <si>
    <r>
      <rPr>
        <sz val="10"/>
        <color rgb="FF111111"/>
        <rFont val="Noto Sans CJK SC"/>
        <family val="2"/>
      </rPr>
      <t xml:space="preserve">所得税 − 税率</t>
    </r>
    <r>
      <rPr>
        <sz val="10"/>
        <color rgb="FF111111"/>
        <rFont val="Microsoft YaHei"/>
        <family val="0"/>
        <charset val="1"/>
      </rPr>
      <t xml:space="preserve">×MAX(0,</t>
    </r>
    <r>
      <rPr>
        <sz val="10"/>
        <color rgb="FF111111"/>
        <rFont val="Noto Sans CJK SC"/>
        <family val="2"/>
      </rPr>
      <t xml:space="preserve">税前利润</t>
    </r>
    <r>
      <rPr>
        <sz val="10"/>
        <color rgb="FF111111"/>
        <rFont val="Microsoft YaHei"/>
        <family val="0"/>
        <charset val="1"/>
      </rPr>
      <t xml:space="preserve">)</t>
    </r>
  </si>
  <si>
    <t xml:space="preserve">资产负债表（逐季期末）</t>
  </si>
  <si>
    <r>
      <rPr>
        <sz val="9"/>
        <color rgb="FF595959"/>
        <rFont val="Noto Sans CJK SC"/>
        <family val="2"/>
      </rPr>
      <t xml:space="preserve">单位：十亿美元。</t>
    </r>
    <r>
      <rPr>
        <sz val="9"/>
        <color rgb="FF595959"/>
        <rFont val="Microsoft YaHei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列期初数来自 </t>
    </r>
    <r>
      <rPr>
        <sz val="9"/>
        <color rgb="FF595959"/>
        <rFont val="Microsoft YaHei"/>
        <family val="0"/>
        <charset val="1"/>
      </rPr>
      <t xml:space="preserve">state_before_Q01.json</t>
    </r>
    <r>
      <rPr>
        <sz val="9"/>
        <color rgb="FF595959"/>
        <rFont val="Noto Sans CJK SC"/>
        <family val="2"/>
      </rPr>
      <t xml:space="preserve">（输入格）；之后各季：现金取自现金流量表，固定资产</t>
    </r>
    <r>
      <rPr>
        <sz val="9"/>
        <color rgb="FF595959"/>
        <rFont val="Microsoft YaHei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上期</t>
    </r>
    <r>
      <rPr>
        <sz val="9"/>
        <color rgb="FF595959"/>
        <rFont val="Microsoft YaHei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资本开支−折旧，借款</t>
    </r>
    <r>
      <rPr>
        <sz val="9"/>
        <color rgb="FF595959"/>
        <rFont val="Microsoft YaHei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上期</t>
    </r>
    <r>
      <rPr>
        <sz val="9"/>
        <color rgb="FF595959"/>
        <rFont val="Microsoft YaHei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新增借款，股东权益</t>
    </r>
    <r>
      <rPr>
        <sz val="9"/>
        <color rgb="FF595959"/>
        <rFont val="Microsoft YaHei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上期</t>
    </r>
    <r>
      <rPr>
        <sz val="9"/>
        <color rgb="FF595959"/>
        <rFont val="Microsoft YaHei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净利润。</t>
    </r>
  </si>
  <si>
    <t xml:space="preserve">期初</t>
  </si>
  <si>
    <t xml:space="preserve">紧急授信</t>
  </si>
  <si>
    <t xml:space="preserve">负债合计</t>
  </si>
  <si>
    <t xml:space="preserve">负债和股东权益合计</t>
  </si>
  <si>
    <t xml:space="preserve">备查（片数与单位价值）</t>
  </si>
  <si>
    <t xml:space="preserve">每千片库存账面价值</t>
  </si>
  <si>
    <r>
      <rPr>
        <b val="true"/>
        <sz val="10"/>
        <color rgb="FF111111"/>
        <rFont val="Noto Sans CJK SC"/>
        <family val="2"/>
      </rPr>
      <t xml:space="preserve">核对（应为 </t>
    </r>
    <r>
      <rPr>
        <b val="true"/>
        <sz val="10"/>
        <color rgb="FF111111"/>
        <rFont val="Microsoft YaHei"/>
        <family val="0"/>
        <charset val="1"/>
      </rPr>
      <t xml:space="preserve">0</t>
    </r>
    <r>
      <rPr>
        <b val="true"/>
        <sz val="10"/>
        <color rgb="FF111111"/>
        <rFont val="Noto Sans CJK SC"/>
        <family val="2"/>
      </rPr>
      <t xml:space="preserve">）</t>
    </r>
  </si>
  <si>
    <t xml:space="preserve">资产 − 负债 − 股东权益</t>
  </si>
  <si>
    <t xml:space="preserve">现金 − 引擎期末现金</t>
  </si>
  <si>
    <t xml:space="preserve">固定资产 − 引擎数</t>
  </si>
  <si>
    <t xml:space="preserve">资产合计 − 引擎数</t>
  </si>
  <si>
    <t xml:space="preserve">借款 − 引擎数</t>
  </si>
  <si>
    <t xml:space="preserve">股东权益 − 引擎数</t>
  </si>
  <si>
    <t xml:space="preserve">现金流量表（逐季，间接法）</t>
  </si>
  <si>
    <r>
      <rPr>
        <sz val="9"/>
        <color rgb="FF595959"/>
        <rFont val="Noto Sans CJK SC"/>
        <family val="2"/>
      </rPr>
      <t xml:space="preserve">单位：十亿美元。经营现金流</t>
    </r>
    <r>
      <rPr>
        <sz val="9"/>
        <color rgb="FF595959"/>
        <rFont val="Microsoft YaHei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净利润</t>
    </r>
    <r>
      <rPr>
        <sz val="9"/>
        <color rgb="FF595959"/>
        <rFont val="Microsoft YaHei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折旧−存货增加（本模拟没有应收应付）；期末现金滚动计算后与引擎核对。</t>
    </r>
  </si>
  <si>
    <t xml:space="preserve">加：折旧</t>
  </si>
  <si>
    <t xml:space="preserve">减：存货增加（减少为正）</t>
  </si>
  <si>
    <t xml:space="preserve">筹资活动现金流</t>
  </si>
  <si>
    <t xml:space="preserve">现金净增加</t>
  </si>
  <si>
    <t xml:space="preserve">期初现金</t>
  </si>
  <si>
    <t xml:space="preserve">期末现金</t>
  </si>
  <si>
    <r>
      <rPr>
        <b val="true"/>
        <sz val="10"/>
        <color rgb="FF111111"/>
        <rFont val="Noto Sans CJK SC"/>
        <family val="2"/>
      </rPr>
      <t xml:space="preserve">自由现金流（经营</t>
    </r>
    <r>
      <rPr>
        <b val="true"/>
        <sz val="10"/>
        <color rgb="FF111111"/>
        <rFont val="Microsoft YaHei"/>
        <family val="0"/>
        <charset val="1"/>
      </rPr>
      <t xml:space="preserve">+</t>
    </r>
    <r>
      <rPr>
        <b val="true"/>
        <sz val="10"/>
        <color rgb="FF111111"/>
        <rFont val="Noto Sans CJK SC"/>
        <family val="2"/>
      </rPr>
      <t xml:space="preserve">投资）</t>
    </r>
  </si>
  <si>
    <t xml:space="preserve">经营活动现金流差额</t>
  </si>
  <si>
    <t xml:space="preserve">投资活动现金流差额</t>
  </si>
  <si>
    <t xml:space="preserve">筹资活动现金流差额（引擎筹资不含紧急授信）</t>
  </si>
  <si>
    <t xml:space="preserve">期末现金差额</t>
  </si>
  <si>
    <t xml:space="preserve">经营分析（全部为公式）</t>
  </si>
  <si>
    <t xml:space="preserve">引用三张表、原始数据和「假设」页参数（每季天数、年化倍数、价格基准等）。改假设，指标和图表自动更新。</t>
  </si>
  <si>
    <t xml:space="preserve">指标</t>
  </si>
  <si>
    <t xml:space="preserve">口径</t>
  </si>
  <si>
    <t xml:space="preserve">全程</t>
  </si>
  <si>
    <t xml:space="preserve">盈利能力</t>
  </si>
  <si>
    <t xml:space="preserve">营业收入环比增速</t>
  </si>
  <si>
    <t xml:space="preserve">—</t>
  </si>
  <si>
    <r>
      <rPr>
        <sz val="9"/>
        <color rgb="FF595959"/>
        <rFont val="Noto Sans CJK SC"/>
        <family val="2"/>
      </rPr>
      <t xml:space="preserve">毛利</t>
    </r>
    <r>
      <rPr>
        <sz val="9"/>
        <color rgb="FF595959"/>
        <rFont val="Microsoft YaHei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营收</t>
    </r>
  </si>
  <si>
    <t xml:space="preserve">营业利润率</t>
  </si>
  <si>
    <r>
      <rPr>
        <sz val="9"/>
        <color rgb="FF595959"/>
        <rFont val="Noto Sans CJK SC"/>
        <family val="2"/>
      </rPr>
      <t xml:space="preserve">营业利润</t>
    </r>
    <r>
      <rPr>
        <sz val="9"/>
        <color rgb="FF595959"/>
        <rFont val="Microsoft YaHei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营收</t>
    </r>
  </si>
  <si>
    <t xml:space="preserve">净利率</t>
  </si>
  <si>
    <r>
      <rPr>
        <sz val="9"/>
        <color rgb="FF595959"/>
        <rFont val="Noto Sans CJK SC"/>
        <family val="2"/>
      </rPr>
      <t xml:space="preserve">净利润</t>
    </r>
    <r>
      <rPr>
        <sz val="9"/>
        <color rgb="FF595959"/>
        <rFont val="Microsoft YaHei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营收</t>
    </r>
  </si>
  <si>
    <t xml:space="preserve">EBITDA</t>
  </si>
  <si>
    <r>
      <rPr>
        <sz val="9"/>
        <color rgb="FF595959"/>
        <rFont val="Noto Sans CJK SC"/>
        <family val="2"/>
      </rPr>
      <t xml:space="preserve">营业利润</t>
    </r>
    <r>
      <rPr>
        <sz val="9"/>
        <color rgb="FF595959"/>
        <rFont val="Microsoft YaHei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折旧</t>
    </r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</si>
  <si>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收入占比</t>
    </r>
  </si>
  <si>
    <r>
      <rPr>
        <sz val="9"/>
        <color rgb="FF595959"/>
        <rFont val="Microsoft YaHei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收入</t>
    </r>
    <r>
      <rPr>
        <sz val="9"/>
        <color rgb="FF595959"/>
        <rFont val="Microsoft YaHei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营收</t>
    </r>
  </si>
  <si>
    <t xml:space="preserve">单位经济（每千片，百万美元）</t>
  </si>
  <si>
    <t xml:space="preserve">普通内存售价</t>
  </si>
  <si>
    <r>
      <rPr>
        <sz val="9"/>
        <color rgb="FF595959"/>
        <rFont val="Noto Sans CJK SC"/>
        <family val="2"/>
      </rPr>
      <t xml:space="preserve">价格指数</t>
    </r>
    <r>
      <rPr>
        <sz val="9"/>
        <color rgb="FF595959"/>
        <rFont val="Microsoft YaHei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基准价</t>
    </r>
    <r>
      <rPr>
        <sz val="9"/>
        <color rgb="FF595959"/>
        <rFont val="Microsoft YaHei"/>
        <family val="0"/>
        <charset val="1"/>
      </rPr>
      <t xml:space="preserve">×1000</t>
    </r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</si>
  <si>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售价</t>
    </r>
  </si>
  <si>
    <r>
      <rPr>
        <sz val="9"/>
        <color rgb="FF595959"/>
        <rFont val="Microsoft YaHei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价格指数</t>
    </r>
    <r>
      <rPr>
        <sz val="9"/>
        <color rgb="FF595959"/>
        <rFont val="Microsoft YaHei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基准价</t>
    </r>
    <r>
      <rPr>
        <sz val="9"/>
        <color rgb="FF595959"/>
        <rFont val="Microsoft YaHei"/>
        <family val="0"/>
        <charset val="1"/>
      </rPr>
      <t xml:space="preserve">×1000</t>
    </r>
  </si>
  <si>
    <t xml:space="preserve">单位生产成本（含折旧）</t>
  </si>
  <si>
    <t xml:space="preserve">引擎单位成本</t>
  </si>
  <si>
    <t xml:space="preserve">单位变动成本</t>
  </si>
  <si>
    <t xml:space="preserve">假设页参数</t>
  </si>
  <si>
    <t xml:space="preserve">单位现金成本</t>
  </si>
  <si>
    <r>
      <rPr>
        <sz val="9"/>
        <color rgb="FF595959"/>
        <rFont val="Microsoft YaHei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工厂费用</t>
    </r>
    <r>
      <rPr>
        <sz val="9"/>
        <color rgb="FF595959"/>
        <rFont val="Microsoft YaHei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变动成本</t>
    </r>
    <r>
      <rPr>
        <sz val="9"/>
        <color rgb="FF595959"/>
        <rFont val="Microsoft YaHei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固定研发</t>
    </r>
    <r>
      <rPr>
        <sz val="9"/>
        <color rgb="FF595959"/>
        <rFont val="Microsoft YaHei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管理费</t>
    </r>
    <r>
      <rPr>
        <sz val="9"/>
        <color rgb="FF595959"/>
        <rFont val="Microsoft YaHei"/>
        <family val="0"/>
        <charset val="1"/>
      </rPr>
      <t xml:space="preserve">)÷</t>
    </r>
    <r>
      <rPr>
        <sz val="9"/>
        <color rgb="FF595959"/>
        <rFont val="Noto Sans CJK SC"/>
        <family val="2"/>
      </rPr>
      <t xml:space="preserve">产量</t>
    </r>
  </si>
  <si>
    <t xml:space="preserve">普通内存单片毛利</t>
  </si>
  <si>
    <t xml:space="preserve">售价−单位生产成本</t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</si>
  <si>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售价 </t>
    </r>
    <r>
      <rPr>
        <sz val="10"/>
        <color rgb="FF111111"/>
        <rFont val="Microsoft YaHei"/>
        <family val="0"/>
        <charset val="1"/>
      </rPr>
      <t xml:space="preserve">÷ </t>
    </r>
    <r>
      <rPr>
        <sz val="10"/>
        <color rgb="FF111111"/>
        <rFont val="Noto Sans CJK SC"/>
        <family val="2"/>
      </rPr>
      <t xml:space="preserve">普通内存售价</t>
    </r>
  </si>
  <si>
    <t xml:space="preserve">产能利用率</t>
  </si>
  <si>
    <r>
      <rPr>
        <sz val="9"/>
        <color rgb="FF595959"/>
        <rFont val="Noto Sans CJK SC"/>
        <family val="2"/>
      </rPr>
      <t xml:space="preserve">产量</t>
    </r>
    <r>
      <rPr>
        <sz val="9"/>
        <color rgb="FF595959"/>
        <rFont val="Microsoft YaHei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产能</t>
    </r>
  </si>
  <si>
    <t xml:space="preserve">普通内存需求满足率</t>
  </si>
  <si>
    <r>
      <rPr>
        <sz val="9"/>
        <color rgb="FF595959"/>
        <rFont val="Noto Sans CJK SC"/>
        <family val="2"/>
      </rPr>
      <t xml:space="preserve">销量</t>
    </r>
    <r>
      <rPr>
        <sz val="9"/>
        <color rgb="FF595959"/>
        <rFont val="Microsoft YaHei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需求</t>
    </r>
  </si>
  <si>
    <t xml:space="preserve">普通内存需求缺口（千片）</t>
  </si>
  <si>
    <t xml:space="preserve">需求−销量</t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</si>
  <si>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作废量（千片）</t>
    </r>
  </si>
  <si>
    <r>
      <rPr>
        <sz val="9"/>
        <color rgb="FF595959"/>
        <rFont val="Microsoft YaHei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产量−</t>
    </r>
    <r>
      <rPr>
        <sz val="9"/>
        <color rgb="FF595959"/>
        <rFont val="Microsoft YaHei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销量</t>
    </r>
  </si>
  <si>
    <t xml:space="preserve">存货周转天数（金额口径）</t>
  </si>
  <si>
    <r>
      <rPr>
        <sz val="9"/>
        <color rgb="FF595959"/>
        <rFont val="Noto Sans CJK SC"/>
        <family val="2"/>
      </rPr>
      <t xml:space="preserve">平均存货</t>
    </r>
    <r>
      <rPr>
        <sz val="9"/>
        <color rgb="FF595959"/>
        <rFont val="Microsoft YaHei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营业成本</t>
    </r>
    <r>
      <rPr>
        <sz val="9"/>
        <color rgb="FF595959"/>
        <rFont val="Microsoft YaHei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每季天数</t>
    </r>
  </si>
  <si>
    <t xml:space="preserve">库存可售天数（片数口径）</t>
  </si>
  <si>
    <r>
      <rPr>
        <sz val="9"/>
        <color rgb="FF595959"/>
        <rFont val="Noto Sans CJK SC"/>
        <family val="2"/>
      </rPr>
      <t xml:space="preserve">期末库存千片</t>
    </r>
    <r>
      <rPr>
        <sz val="9"/>
        <color rgb="FF595959"/>
        <rFont val="Microsoft YaHei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普通内存销量</t>
    </r>
    <r>
      <rPr>
        <sz val="9"/>
        <color rgb="FF595959"/>
        <rFont val="Microsoft YaHei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每季天数</t>
    </r>
  </si>
  <si>
    <t xml:space="preserve">现金与杠杆</t>
  </si>
  <si>
    <t xml:space="preserve">现金流量表</t>
  </si>
  <si>
    <t xml:space="preserve">自由现金流</t>
  </si>
  <si>
    <r>
      <rPr>
        <sz val="9"/>
        <color rgb="FF595959"/>
        <rFont val="Noto Sans CJK SC"/>
        <family val="2"/>
      </rPr>
      <t xml:space="preserve">经营</t>
    </r>
    <r>
      <rPr>
        <sz val="9"/>
        <color rgb="FF595959"/>
        <rFont val="Microsoft YaHei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投资</t>
    </r>
  </si>
  <si>
    <r>
      <rPr>
        <sz val="10"/>
        <color rgb="FF111111"/>
        <rFont val="Noto Sans CJK SC"/>
        <family val="2"/>
      </rPr>
      <t xml:space="preserve">经营现金流 </t>
    </r>
    <r>
      <rPr>
        <sz val="10"/>
        <color rgb="FF111111"/>
        <rFont val="Microsoft YaHei"/>
        <family val="0"/>
        <charset val="1"/>
      </rPr>
      <t xml:space="preserve">÷ </t>
    </r>
    <r>
      <rPr>
        <sz val="10"/>
        <color rgb="FF111111"/>
        <rFont val="Noto Sans CJK SC"/>
        <family val="2"/>
      </rPr>
      <t xml:space="preserve">净利润</t>
    </r>
  </si>
  <si>
    <r>
      <rPr>
        <sz val="9"/>
        <color rgb="FF595959"/>
        <rFont val="Noto Sans CJK SC"/>
        <family val="2"/>
      </rPr>
      <t xml:space="preserve">借款</t>
    </r>
    <r>
      <rPr>
        <sz val="9"/>
        <color rgb="FF595959"/>
        <rFont val="Microsoft YaHei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紧急授信−现金</t>
    </r>
  </si>
  <si>
    <r>
      <rPr>
        <sz val="10"/>
        <color rgb="FF111111"/>
        <rFont val="Noto Sans CJK SC"/>
        <family val="2"/>
      </rPr>
      <t xml:space="preserve">净负债 </t>
    </r>
    <r>
      <rPr>
        <sz val="10"/>
        <color rgb="FF111111"/>
        <rFont val="Microsoft YaHei"/>
        <family val="0"/>
        <charset val="1"/>
      </rPr>
      <t xml:space="preserve">÷ </t>
    </r>
    <r>
      <rPr>
        <sz val="10"/>
        <color rgb="FF111111"/>
        <rFont val="Noto Sans CJK SC"/>
        <family val="2"/>
      </rPr>
      <t xml:space="preserve">股东权益</t>
    </r>
  </si>
  <si>
    <t xml:space="preserve">资产负债率</t>
  </si>
  <si>
    <r>
      <rPr>
        <sz val="9"/>
        <color rgb="FF595959"/>
        <rFont val="Noto Sans CJK SC"/>
        <family val="2"/>
      </rPr>
      <t xml:space="preserve">负债合计</t>
    </r>
    <r>
      <rPr>
        <sz val="9"/>
        <color rgb="FF595959"/>
        <rFont val="Microsoft YaHei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资产合计</t>
    </r>
  </si>
  <si>
    <t xml:space="preserve">借款上限（按期末权益）</t>
  </si>
  <si>
    <r>
      <rPr>
        <sz val="9"/>
        <color rgb="FF595959"/>
        <rFont val="Microsoft YaHei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Microsoft YaHei"/>
        <family val="0"/>
        <charset val="1"/>
      </rPr>
      <t xml:space="preserve">,</t>
    </r>
    <r>
      <rPr>
        <sz val="9"/>
        <color rgb="FF595959"/>
        <rFont val="Noto Sans CJK SC"/>
        <family val="2"/>
      </rPr>
      <t xml:space="preserve">比例</t>
    </r>
    <r>
      <rPr>
        <sz val="9"/>
        <color rgb="FF595959"/>
        <rFont val="Microsoft YaHei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权益</t>
    </r>
    <r>
      <rPr>
        <sz val="9"/>
        <color rgb="FF595959"/>
        <rFont val="Microsoft YaHei"/>
        <family val="0"/>
        <charset val="1"/>
      </rPr>
      <t xml:space="preserve">)</t>
    </r>
  </si>
  <si>
    <t xml:space="preserve">借款占上限比例</t>
  </si>
  <si>
    <r>
      <rPr>
        <sz val="9"/>
        <color rgb="FF595959"/>
        <rFont val="Noto Sans CJK SC"/>
        <family val="2"/>
      </rPr>
      <t xml:space="preserve">借款</t>
    </r>
    <r>
      <rPr>
        <sz val="9"/>
        <color rgb="FF595959"/>
        <rFont val="Microsoft YaHei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借款上限</t>
    </r>
  </si>
  <si>
    <t xml:space="preserve">回报</t>
  </si>
  <si>
    <t xml:space="preserve">平均股东权益</t>
  </si>
  <si>
    <r>
      <rPr>
        <sz val="9"/>
        <color rgb="FF595959"/>
        <rFont val="Microsoft YaHei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Microsoft YaHei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Microsoft YaHei"/>
        <family val="0"/>
        <charset val="1"/>
      </rPr>
      <t xml:space="preserve">)÷2</t>
    </r>
  </si>
  <si>
    <r>
      <rPr>
        <sz val="10"/>
        <color rgb="FF111111"/>
        <rFont val="Microsoft YaHei"/>
        <family val="0"/>
        <charset val="1"/>
      </rPr>
      <t xml:space="preserve">ROE</t>
    </r>
    <r>
      <rPr>
        <sz val="10"/>
        <color rgb="FF111111"/>
        <rFont val="Noto Sans CJK SC"/>
        <family val="2"/>
      </rPr>
      <t xml:space="preserve">（季度）</t>
    </r>
  </si>
  <si>
    <r>
      <rPr>
        <sz val="9"/>
        <color rgb="FF595959"/>
        <rFont val="Noto Sans CJK SC"/>
        <family val="2"/>
      </rPr>
      <t xml:space="preserve">净利润</t>
    </r>
    <r>
      <rPr>
        <sz val="9"/>
        <color rgb="FF595959"/>
        <rFont val="Microsoft YaHei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平均权益</t>
    </r>
  </si>
  <si>
    <r>
      <rPr>
        <sz val="10"/>
        <color rgb="FF111111"/>
        <rFont val="Microsoft YaHei"/>
        <family val="0"/>
        <charset val="1"/>
      </rPr>
      <t xml:space="preserve">ROE</t>
    </r>
    <r>
      <rPr>
        <sz val="10"/>
        <color rgb="FF111111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</si>
  <si>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季度</t>
    </r>
    <r>
      <rPr>
        <sz val="9"/>
        <color rgb="FF595959"/>
        <rFont val="Microsoft YaHei"/>
        <family val="0"/>
        <charset val="1"/>
      </rPr>
      <t xml:space="preserve">ROE×</t>
    </r>
    <r>
      <rPr>
        <sz val="9"/>
        <color rgb="FF595959"/>
        <rFont val="Noto Sans CJK SC"/>
        <family val="2"/>
      </rPr>
      <t xml:space="preserve">年化倍数</t>
    </r>
  </si>
  <si>
    <t xml:space="preserve">累计回报（相对期初权益）</t>
  </si>
  <si>
    <r>
      <rPr>
        <sz val="9"/>
        <color rgb="FF595959"/>
        <rFont val="Noto Sans CJK SC"/>
        <family val="2"/>
      </rPr>
      <t xml:space="preserve">累计净利润</t>
    </r>
    <r>
      <rPr>
        <sz val="9"/>
        <color rgb="FF595959"/>
        <rFont val="Microsoft YaHei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期初权益</t>
    </r>
  </si>
  <si>
    <r>
      <rPr>
        <sz val="10"/>
        <color rgb="FF111111"/>
        <rFont val="Noto Sans CJK SC"/>
        <family val="2"/>
      </rPr>
      <t xml:space="preserve">股东权益 </t>
    </r>
    <r>
      <rPr>
        <sz val="10"/>
        <color rgb="FF111111"/>
        <rFont val="Microsoft YaHei"/>
        <family val="0"/>
        <charset val="1"/>
      </rPr>
      <t xml:space="preserve">÷ </t>
    </r>
    <r>
      <rPr>
        <sz val="10"/>
        <color rgb="FF111111"/>
        <rFont val="Noto Sans CJK SC"/>
        <family val="2"/>
      </rPr>
      <t xml:space="preserve">期初权益</t>
    </r>
  </si>
  <si>
    <t xml:space="preserve">全程汇总（关键结果）</t>
  </si>
  <si>
    <t xml:space="preserve">期末股东权益</t>
  </si>
  <si>
    <t xml:space="preserve">期初股东权益</t>
  </si>
  <si>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季累计净利润</t>
    </r>
  </si>
  <si>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季累计营业收入</t>
    </r>
  </si>
  <si>
    <r>
      <rPr>
        <sz val="10"/>
        <color rgb="FF111111"/>
        <rFont val="Noto Sans CJK SC"/>
        <family val="2"/>
      </rPr>
      <t xml:space="preserve">  其中 </t>
    </r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收入</t>
    </r>
  </si>
  <si>
    <t xml:space="preserve">全程毛利率</t>
  </si>
  <si>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季累计经营现金流</t>
    </r>
  </si>
  <si>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季累计资本开支</t>
    </r>
  </si>
  <si>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季累计自由现金流</t>
    </r>
  </si>
  <si>
    <t xml:space="preserve">最低季末现金</t>
  </si>
  <si>
    <t xml:space="preserve">最高季末借款</t>
  </si>
  <si>
    <t xml:space="preserve">最高净负债</t>
  </si>
  <si>
    <t xml:space="preserve">紧急授信累计提取</t>
  </si>
  <si>
    <t xml:space="preserve">季度复合权益增长率</t>
  </si>
  <si>
    <t xml:space="preserve">折合年化权益增长率</t>
  </si>
  <si>
    <r>
      <rPr>
        <sz val="10"/>
        <color rgb="FF111111"/>
        <rFont val="Noto Sans CJK SC"/>
        <family val="2"/>
      </rPr>
      <t xml:space="preserve">扩产新增产能（千片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季）</t>
    </r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</si>
  <si>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累计作废（千片）</t>
    </r>
  </si>
  <si>
    <t xml:space="preserve">普通内存累计需求缺口（千片）</t>
  </si>
  <si>
    <t xml:space="preserve">图表（数据随上方公式自动更新；所有图均为单一纵轴）</t>
  </si>
  <si>
    <t xml:space="preserve">模型复现与情景（按推断参数从头重算）</t>
  </si>
  <si>
    <r>
      <rPr>
        <sz val="9"/>
        <color rgb="FF595959"/>
        <rFont val="Noto Sans CJK SC"/>
        <family val="2"/>
      </rPr>
      <t xml:space="preserve">黄色情景格留空</t>
    </r>
    <r>
      <rPr>
        <sz val="9"/>
        <color rgb="FF595959"/>
        <rFont val="Microsoft YaHei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使用实际决策；填入数字即覆盖该季决策。价格系数在「假设」页。</t>
    </r>
    <r>
      <rPr>
        <sz val="9"/>
        <color rgb="FF595959"/>
        <rFont val="Microsoft YaHei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产量</t>
    </r>
    <r>
      <rPr>
        <sz val="9"/>
        <color rgb="FF595959"/>
        <rFont val="Microsoft YaHei"/>
        <family val="0"/>
        <charset val="1"/>
      </rPr>
      <t xml:space="preserve">=</t>
    </r>
    <r>
      <rPr>
        <sz val="9"/>
        <color rgb="FF595959"/>
        <rFont val="Noto Sans CJK SC"/>
        <family val="2"/>
      </rPr>
      <t xml:space="preserve">产量</t>
    </r>
    <r>
      <rPr>
        <sz val="9"/>
        <color rgb="FF595959"/>
        <rFont val="Microsoft YaHei"/>
        <family val="0"/>
        <charset val="1"/>
      </rPr>
      <t xml:space="preserve">×HBM</t>
    </r>
    <r>
      <rPr>
        <sz val="9"/>
        <color rgb="FF595959"/>
        <rFont val="Noto Sans CJK SC"/>
        <family val="2"/>
      </rPr>
      <t xml:space="preserve">占比（假设开工率同样作用于</t>
    </r>
    <r>
      <rPr>
        <sz val="9"/>
        <color rgb="FF595959"/>
        <rFont val="Microsoft YaHei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）；现金低于下限时紧急授信补足到下限（假设）。</t>
    </r>
  </si>
  <si>
    <t xml:space="preserve">项目〔算法〕</t>
  </si>
  <si>
    <r>
      <rPr>
        <b val="true"/>
        <sz val="10"/>
        <color rgb="FF111111"/>
        <rFont val="Noto Sans CJK SC"/>
        <family val="2"/>
      </rPr>
      <t xml:space="preserve">情景输入（留空</t>
    </r>
    <r>
      <rPr>
        <b val="true"/>
        <sz val="10"/>
        <color rgb="FF111111"/>
        <rFont val="Microsoft YaHei"/>
        <family val="0"/>
        <charset val="1"/>
      </rPr>
      <t xml:space="preserve">=</t>
    </r>
    <r>
      <rPr>
        <b val="true"/>
        <sz val="10"/>
        <color rgb="FF111111"/>
        <rFont val="Noto Sans CJK SC"/>
        <family val="2"/>
      </rPr>
      <t xml:space="preserve">实际决策）</t>
    </r>
  </si>
  <si>
    <r>
      <rPr>
        <sz val="10"/>
        <color rgb="FF111111"/>
        <rFont val="Noto Sans CJK SC"/>
        <family val="2"/>
      </rPr>
      <t xml:space="preserve">开工率（情景）  〔留空</t>
    </r>
    <r>
      <rPr>
        <sz val="10"/>
        <color rgb="FF111111"/>
        <rFont val="Microsoft YaHei"/>
        <family val="0"/>
        <charset val="1"/>
      </rPr>
      <t xml:space="preserve">=</t>
    </r>
    <r>
      <rPr>
        <sz val="10"/>
        <color rgb="FF111111"/>
        <rFont val="Noto Sans CJK SC"/>
        <family val="2"/>
      </rPr>
      <t xml:space="preserve">实际〕</t>
    </r>
  </si>
  <si>
    <r>
      <rPr>
        <sz val="10"/>
        <color rgb="FF111111"/>
        <rFont val="Noto Sans CJK SC"/>
        <family val="2"/>
      </rPr>
      <t xml:space="preserve">出货比例（情景）  〔留空</t>
    </r>
    <r>
      <rPr>
        <sz val="10"/>
        <color rgb="FF111111"/>
        <rFont val="Microsoft YaHei"/>
        <family val="0"/>
        <charset val="1"/>
      </rPr>
      <t xml:space="preserve">=</t>
    </r>
    <r>
      <rPr>
        <sz val="10"/>
        <color rgb="FF111111"/>
        <rFont val="Noto Sans CJK SC"/>
        <family val="2"/>
      </rPr>
      <t xml:space="preserve">实际〕</t>
    </r>
  </si>
  <si>
    <r>
      <rPr>
        <sz val="10"/>
        <color rgb="FF111111"/>
        <rFont val="Noto Sans CJK SC"/>
        <family val="2"/>
      </rPr>
      <t xml:space="preserve">资本开支（情景）  〔留空</t>
    </r>
    <r>
      <rPr>
        <sz val="10"/>
        <color rgb="FF111111"/>
        <rFont val="Microsoft YaHei"/>
        <family val="0"/>
        <charset val="1"/>
      </rPr>
      <t xml:space="preserve">=</t>
    </r>
    <r>
      <rPr>
        <sz val="10"/>
        <color rgb="FF111111"/>
        <rFont val="Noto Sans CJK SC"/>
        <family val="2"/>
      </rPr>
      <t xml:space="preserve">实际〕</t>
    </r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</si>
  <si>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产能占比（情景）  〔留空</t>
    </r>
    <r>
      <rPr>
        <sz val="10"/>
        <color rgb="FF111111"/>
        <rFont val="Microsoft YaHei"/>
        <family val="0"/>
        <charset val="1"/>
      </rPr>
      <t xml:space="preserve">=</t>
    </r>
    <r>
      <rPr>
        <sz val="10"/>
        <color rgb="FF111111"/>
        <rFont val="Noto Sans CJK SC"/>
        <family val="2"/>
      </rPr>
      <t xml:space="preserve">实际〕</t>
    </r>
  </si>
  <si>
    <r>
      <rPr>
        <sz val="10"/>
        <color rgb="FF111111"/>
        <rFont val="Noto Sans CJK SC"/>
        <family val="2"/>
      </rPr>
      <t xml:space="preserve">新增借款（情景）  〔留空</t>
    </r>
    <r>
      <rPr>
        <sz val="10"/>
        <color rgb="FF111111"/>
        <rFont val="Microsoft YaHei"/>
        <family val="0"/>
        <charset val="1"/>
      </rPr>
      <t xml:space="preserve">=</t>
    </r>
    <r>
      <rPr>
        <sz val="10"/>
        <color rgb="FF111111"/>
        <rFont val="Noto Sans CJK SC"/>
        <family val="2"/>
      </rPr>
      <t xml:space="preserve">实际〕</t>
    </r>
  </si>
  <si>
    <t xml:space="preserve">实际生效的决策</t>
  </si>
  <si>
    <t xml:space="preserve">新增借款</t>
  </si>
  <si>
    <t xml:space="preserve">产能、产量与成本</t>
  </si>
  <si>
    <r>
      <rPr>
        <sz val="10"/>
        <color rgb="FF111111"/>
        <rFont val="Noto Sans CJK SC"/>
        <family val="2"/>
      </rPr>
      <t xml:space="preserve">产能（千片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季）  〔</t>
    </r>
    <r>
      <rPr>
        <sz val="10"/>
        <color rgb="FF111111"/>
        <rFont val="Microsoft YaHei"/>
        <family val="0"/>
        <charset val="1"/>
      </rPr>
      <t xml:space="preserve">300+</t>
    </r>
    <r>
      <rPr>
        <sz val="10"/>
        <color rgb="FF111111"/>
        <rFont val="Noto Sans CJK SC"/>
        <family val="2"/>
      </rPr>
      <t xml:space="preserve">已投产扩产〕</t>
    </r>
  </si>
  <si>
    <r>
      <rPr>
        <sz val="10"/>
        <color rgb="FF111111"/>
        <rFont val="Noto Sans CJK SC"/>
        <family val="2"/>
      </rPr>
      <t xml:space="preserve">折旧  〔基础</t>
    </r>
    <r>
      <rPr>
        <sz val="10"/>
        <color rgb="FF111111"/>
        <rFont val="Microsoft YaHei"/>
        <family val="0"/>
        <charset val="1"/>
      </rPr>
      <t xml:space="preserve">+</t>
    </r>
    <r>
      <rPr>
        <sz val="10"/>
        <color rgb="FF111111"/>
        <rFont val="Noto Sans CJK SC"/>
        <family val="2"/>
      </rPr>
      <t xml:space="preserve">已投产资本开支</t>
    </r>
    <r>
      <rPr>
        <sz val="10"/>
        <color rgb="FF111111"/>
        <rFont val="Microsoft YaHei"/>
        <family val="0"/>
        <charset val="1"/>
      </rPr>
      <t xml:space="preserve">÷</t>
    </r>
    <r>
      <rPr>
        <sz val="10"/>
        <color rgb="FF111111"/>
        <rFont val="Noto Sans CJK SC"/>
        <family val="2"/>
      </rPr>
      <t xml:space="preserve">折旧期〕</t>
    </r>
  </si>
  <si>
    <r>
      <rPr>
        <sz val="10"/>
        <color rgb="FF111111"/>
        <rFont val="Noto Sans CJK SC"/>
        <family val="2"/>
      </rPr>
      <t xml:space="preserve">产量（千片）  〔产能</t>
    </r>
    <r>
      <rPr>
        <sz val="10"/>
        <color rgb="FF111111"/>
        <rFont val="Microsoft YaHei"/>
        <family val="0"/>
        <charset val="1"/>
      </rPr>
      <t xml:space="preserve">×</t>
    </r>
    <r>
      <rPr>
        <sz val="10"/>
        <color rgb="FF111111"/>
        <rFont val="Noto Sans CJK SC"/>
        <family val="2"/>
      </rPr>
      <t xml:space="preserve">开工率〕</t>
    </r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</si>
  <si>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量产资格  〔取实际〕</t>
    </r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</si>
  <si>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产量（千片）  〔产量</t>
    </r>
    <r>
      <rPr>
        <sz val="10"/>
        <color rgb="FF111111"/>
        <rFont val="Microsoft YaHei"/>
        <family val="0"/>
        <charset val="1"/>
      </rPr>
      <t xml:space="preserve">×HBM</t>
    </r>
    <r>
      <rPr>
        <sz val="10"/>
        <color rgb="FF111111"/>
        <rFont val="Noto Sans CJK SC"/>
        <family val="2"/>
      </rPr>
      <t xml:space="preserve">占比</t>
    </r>
    <r>
      <rPr>
        <sz val="10"/>
        <color rgb="FF111111"/>
        <rFont val="Microsoft YaHei"/>
        <family val="0"/>
        <charset val="1"/>
      </rPr>
      <t xml:space="preserve">×</t>
    </r>
    <r>
      <rPr>
        <sz val="10"/>
        <color rgb="FF111111"/>
        <rFont val="Noto Sans CJK SC"/>
        <family val="2"/>
      </rPr>
      <t xml:space="preserve">资格〕</t>
    </r>
  </si>
  <si>
    <r>
      <rPr>
        <sz val="10"/>
        <color rgb="FF111111"/>
        <rFont val="Noto Sans CJK SC"/>
        <family val="2"/>
      </rPr>
      <t xml:space="preserve">普通内存产量（千片）  〔产量−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〕</t>
    </r>
  </si>
  <si>
    <r>
      <rPr>
        <sz val="10"/>
        <color rgb="FF111111"/>
        <rFont val="Noto Sans CJK SC"/>
        <family val="2"/>
      </rPr>
      <t xml:space="preserve">单位成本（十亿美元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千片）  〔</t>
    </r>
    <r>
      <rPr>
        <sz val="10"/>
        <color rgb="FF111111"/>
        <rFont val="Microsoft YaHei"/>
        <family val="0"/>
        <charset val="1"/>
      </rPr>
      <t xml:space="preserve">(</t>
    </r>
    <r>
      <rPr>
        <sz val="10"/>
        <color rgb="FF111111"/>
        <rFont val="Noto Sans CJK SC"/>
        <family val="2"/>
      </rPr>
      <t xml:space="preserve">折旧</t>
    </r>
    <r>
      <rPr>
        <sz val="10"/>
        <color rgb="FF111111"/>
        <rFont val="Microsoft YaHei"/>
        <family val="0"/>
        <charset val="1"/>
      </rPr>
      <t xml:space="preserve">+</t>
    </r>
    <r>
      <rPr>
        <sz val="10"/>
        <color rgb="FF111111"/>
        <rFont val="Noto Sans CJK SC"/>
        <family val="2"/>
      </rPr>
      <t xml:space="preserve">工厂费用</t>
    </r>
    <r>
      <rPr>
        <sz val="10"/>
        <color rgb="FF111111"/>
        <rFont val="Microsoft YaHei"/>
        <family val="0"/>
        <charset val="1"/>
      </rPr>
      <t xml:space="preserve">+</t>
    </r>
    <r>
      <rPr>
        <sz val="10"/>
        <color rgb="FF111111"/>
        <rFont val="Noto Sans CJK SC"/>
        <family val="2"/>
      </rPr>
      <t xml:space="preserve">变动成本</t>
    </r>
    <r>
      <rPr>
        <sz val="10"/>
        <color rgb="FF111111"/>
        <rFont val="Microsoft YaHei"/>
        <family val="0"/>
        <charset val="1"/>
      </rPr>
      <t xml:space="preserve">×</t>
    </r>
    <r>
      <rPr>
        <sz val="10"/>
        <color rgb="FF111111"/>
        <rFont val="Noto Sans CJK SC"/>
        <family val="2"/>
      </rPr>
      <t xml:space="preserve">产量</t>
    </r>
    <r>
      <rPr>
        <sz val="10"/>
        <color rgb="FF111111"/>
        <rFont val="Microsoft YaHei"/>
        <family val="0"/>
        <charset val="1"/>
      </rPr>
      <t xml:space="preserve">)÷</t>
    </r>
    <r>
      <rPr>
        <sz val="10"/>
        <color rgb="FF111111"/>
        <rFont val="Noto Sans CJK SC"/>
        <family val="2"/>
      </rPr>
      <t xml:space="preserve">产量〕</t>
    </r>
  </si>
  <si>
    <t xml:space="preserve">存货与销售</t>
  </si>
  <si>
    <t xml:space="preserve">期初库存（千片）</t>
  </si>
  <si>
    <t xml:space="preserve">期初存货金额</t>
  </si>
  <si>
    <r>
      <rPr>
        <sz val="10"/>
        <color rgb="FF111111"/>
        <rFont val="Noto Sans CJK SC"/>
        <family val="2"/>
      </rPr>
      <t xml:space="preserve">可售片数  〔期初</t>
    </r>
    <r>
      <rPr>
        <sz val="10"/>
        <color rgb="FF111111"/>
        <rFont val="Microsoft YaHei"/>
        <family val="0"/>
        <charset val="1"/>
      </rPr>
      <t xml:space="preserve">+</t>
    </r>
    <r>
      <rPr>
        <sz val="10"/>
        <color rgb="FF111111"/>
        <rFont val="Noto Sans CJK SC"/>
        <family val="2"/>
      </rPr>
      <t xml:space="preserve">普通产量〕</t>
    </r>
  </si>
  <si>
    <r>
      <rPr>
        <sz val="10"/>
        <color rgb="FF111111"/>
        <rFont val="Noto Sans CJK SC"/>
        <family val="2"/>
      </rPr>
      <t xml:space="preserve">可售成本池  〔期初金额</t>
    </r>
    <r>
      <rPr>
        <sz val="10"/>
        <color rgb="FF111111"/>
        <rFont val="Microsoft YaHei"/>
        <family val="0"/>
        <charset val="1"/>
      </rPr>
      <t xml:space="preserve">+</t>
    </r>
    <r>
      <rPr>
        <sz val="10"/>
        <color rgb="FF111111"/>
        <rFont val="Noto Sans CJK SC"/>
        <family val="2"/>
      </rPr>
      <t xml:space="preserve">普通产量</t>
    </r>
    <r>
      <rPr>
        <sz val="10"/>
        <color rgb="FF111111"/>
        <rFont val="Microsoft YaHei"/>
        <family val="0"/>
        <charset val="1"/>
      </rPr>
      <t xml:space="preserve">×</t>
    </r>
    <r>
      <rPr>
        <sz val="10"/>
        <color rgb="FF111111"/>
        <rFont val="Noto Sans CJK SC"/>
        <family val="2"/>
      </rPr>
      <t xml:space="preserve">单位成本〕</t>
    </r>
  </si>
  <si>
    <r>
      <rPr>
        <sz val="10"/>
        <color rgb="FF111111"/>
        <rFont val="Noto Sans CJK SC"/>
        <family val="2"/>
      </rPr>
      <t xml:space="preserve">加权平均成本（十亿美元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千片）</t>
    </r>
  </si>
  <si>
    <r>
      <rPr>
        <sz val="10"/>
        <color rgb="FF111111"/>
        <rFont val="Noto Sans CJK SC"/>
        <family val="2"/>
      </rPr>
      <t xml:space="preserve">普通内存销量（千片）  〔</t>
    </r>
    <r>
      <rPr>
        <sz val="10"/>
        <color rgb="FF111111"/>
        <rFont val="Microsoft YaHei"/>
        <family val="0"/>
        <charset val="1"/>
      </rPr>
      <t xml:space="preserve">MIN(</t>
    </r>
    <r>
      <rPr>
        <sz val="10"/>
        <color rgb="FF111111"/>
        <rFont val="Noto Sans CJK SC"/>
        <family val="2"/>
      </rPr>
      <t xml:space="preserve">出货比例</t>
    </r>
    <r>
      <rPr>
        <sz val="10"/>
        <color rgb="FF111111"/>
        <rFont val="Microsoft YaHei"/>
        <family val="0"/>
        <charset val="1"/>
      </rPr>
      <t xml:space="preserve">×</t>
    </r>
    <r>
      <rPr>
        <sz val="10"/>
        <color rgb="FF111111"/>
        <rFont val="Noto Sans CJK SC"/>
        <family val="2"/>
      </rPr>
      <t xml:space="preserve">可售</t>
    </r>
    <r>
      <rPr>
        <sz val="10"/>
        <color rgb="FF111111"/>
        <rFont val="Microsoft YaHei"/>
        <family val="0"/>
        <charset val="1"/>
      </rPr>
      <t xml:space="preserve">,</t>
    </r>
    <r>
      <rPr>
        <sz val="10"/>
        <color rgb="FF111111"/>
        <rFont val="Noto Sans CJK SC"/>
        <family val="2"/>
      </rPr>
      <t xml:space="preserve">需求</t>
    </r>
    <r>
      <rPr>
        <sz val="10"/>
        <color rgb="FF111111"/>
        <rFont val="Microsoft YaHei"/>
        <family val="0"/>
        <charset val="1"/>
      </rPr>
      <t xml:space="preserve">)</t>
    </r>
    <r>
      <rPr>
        <sz val="10"/>
        <color rgb="FF111111"/>
        <rFont val="Noto Sans CJK SC"/>
        <family val="2"/>
      </rPr>
      <t xml:space="preserve">〕</t>
    </r>
  </si>
  <si>
    <r>
      <rPr>
        <sz val="10"/>
        <color rgb="FF111111"/>
        <rFont val="Microsoft YaHei"/>
        <family val="0"/>
        <charset val="1"/>
      </rPr>
      <t xml:space="preserve">HBM </t>
    </r>
    <r>
      <rPr>
        <sz val="10"/>
        <color rgb="FF111111"/>
        <rFont val="Noto Sans CJK SC"/>
        <family val="2"/>
      </rPr>
      <t xml:space="preserve">销量（千片）  〔</t>
    </r>
    <r>
      <rPr>
        <sz val="10"/>
        <color rgb="FF111111"/>
        <rFont val="Microsoft YaHei"/>
        <family val="0"/>
        <charset val="1"/>
      </rPr>
      <t xml:space="preserve">MIN(HBM</t>
    </r>
    <r>
      <rPr>
        <sz val="10"/>
        <color rgb="FF111111"/>
        <rFont val="Noto Sans CJK SC"/>
        <family val="2"/>
      </rPr>
      <t xml:space="preserve">产量</t>
    </r>
    <r>
      <rPr>
        <sz val="10"/>
        <color rgb="FF111111"/>
        <rFont val="Microsoft YaHei"/>
        <family val="0"/>
        <charset val="1"/>
      </rPr>
      <t xml:space="preserve">,HBM</t>
    </r>
    <r>
      <rPr>
        <sz val="10"/>
        <color rgb="FF111111"/>
        <rFont val="Noto Sans CJK SC"/>
        <family val="2"/>
      </rPr>
      <t xml:space="preserve">需求</t>
    </r>
    <r>
      <rPr>
        <sz val="10"/>
        <color rgb="FF111111"/>
        <rFont val="Microsoft YaHei"/>
        <family val="0"/>
        <charset val="1"/>
      </rPr>
      <t xml:space="preserve">)</t>
    </r>
    <r>
      <rPr>
        <sz val="10"/>
        <color rgb="FF111111"/>
        <rFont val="Noto Sans CJK SC"/>
        <family val="2"/>
      </rPr>
      <t xml:space="preserve">〕</t>
    </r>
  </si>
  <si>
    <t xml:space="preserve">期末库存（千片）</t>
  </si>
  <si>
    <r>
      <rPr>
        <sz val="10"/>
        <color rgb="FF111111"/>
        <rFont val="Noto Sans CJK SC"/>
        <family val="2"/>
      </rPr>
      <t xml:space="preserve">可变现净值（十亿美元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千片）  〔</t>
    </r>
    <r>
      <rPr>
        <sz val="10"/>
        <color rgb="FF111111"/>
        <rFont val="Microsoft YaHei"/>
        <family val="0"/>
        <charset val="1"/>
      </rPr>
      <t xml:space="preserve">(1−</t>
    </r>
    <r>
      <rPr>
        <sz val="10"/>
        <color rgb="FF111111"/>
        <rFont val="Noto Sans CJK SC"/>
        <family val="2"/>
      </rPr>
      <t xml:space="preserve">销售费用率</t>
    </r>
    <r>
      <rPr>
        <sz val="10"/>
        <color rgb="FF111111"/>
        <rFont val="Microsoft YaHei"/>
        <family val="0"/>
        <charset val="1"/>
      </rPr>
      <t xml:space="preserve">)×</t>
    </r>
    <r>
      <rPr>
        <sz val="10"/>
        <color rgb="FF111111"/>
        <rFont val="Noto Sans CJK SC"/>
        <family val="2"/>
      </rPr>
      <t xml:space="preserve">价格〕</t>
    </r>
  </si>
  <si>
    <r>
      <rPr>
        <sz val="10"/>
        <color rgb="FF111111"/>
        <rFont val="Noto Sans CJK SC"/>
        <family val="2"/>
      </rPr>
      <t xml:space="preserve">存货跌价  〔</t>
    </r>
    <r>
      <rPr>
        <sz val="10"/>
        <color rgb="FF111111"/>
        <rFont val="Microsoft YaHei"/>
        <family val="0"/>
        <charset val="1"/>
      </rPr>
      <t xml:space="preserve">MAX(0,</t>
    </r>
    <r>
      <rPr>
        <sz val="10"/>
        <color rgb="FF111111"/>
        <rFont val="Noto Sans CJK SC"/>
        <family val="2"/>
      </rPr>
      <t xml:space="preserve">期末片</t>
    </r>
    <r>
      <rPr>
        <sz val="10"/>
        <color rgb="FF111111"/>
        <rFont val="Microsoft YaHei"/>
        <family val="0"/>
        <charset val="1"/>
      </rPr>
      <t xml:space="preserve">×(</t>
    </r>
    <r>
      <rPr>
        <sz val="10"/>
        <color rgb="FF111111"/>
        <rFont val="Noto Sans CJK SC"/>
        <family val="2"/>
      </rPr>
      <t xml:space="preserve">平均成本−净值</t>
    </r>
    <r>
      <rPr>
        <sz val="10"/>
        <color rgb="FF111111"/>
        <rFont val="Microsoft YaHei"/>
        <family val="0"/>
        <charset val="1"/>
      </rPr>
      <t xml:space="preserve">))</t>
    </r>
    <r>
      <rPr>
        <sz val="10"/>
        <color rgb="FF111111"/>
        <rFont val="Noto Sans CJK SC"/>
        <family val="2"/>
      </rPr>
      <t xml:space="preserve">〕</t>
    </r>
  </si>
  <si>
    <t xml:space="preserve">期末存货金额</t>
  </si>
  <si>
    <t xml:space="preserve">利润</t>
  </si>
  <si>
    <t xml:space="preserve">营业成本（含跌价）</t>
  </si>
  <si>
    <r>
      <rPr>
        <sz val="10"/>
        <color rgb="FF111111"/>
        <rFont val="Noto Sans CJK SC"/>
        <family val="2"/>
      </rPr>
      <t xml:space="preserve">研发费用  〔固定</t>
    </r>
    <r>
      <rPr>
        <sz val="10"/>
        <color rgb="FF111111"/>
        <rFont val="Microsoft YaHei"/>
        <family val="0"/>
        <charset val="1"/>
      </rPr>
      <t xml:space="preserve">+HBM</t>
    </r>
    <r>
      <rPr>
        <sz val="10"/>
        <color rgb="FF111111"/>
        <rFont val="Noto Sans CJK SC"/>
        <family val="2"/>
      </rPr>
      <t xml:space="preserve">研发〕</t>
    </r>
  </si>
  <si>
    <r>
      <rPr>
        <sz val="10"/>
        <color rgb="FF111111"/>
        <rFont val="Noto Sans CJK SC"/>
        <family val="2"/>
      </rPr>
      <t xml:space="preserve">净利息支出  〔借款</t>
    </r>
    <r>
      <rPr>
        <sz val="10"/>
        <color rgb="FF111111"/>
        <rFont val="Microsoft YaHei"/>
        <family val="0"/>
        <charset val="1"/>
      </rPr>
      <t xml:space="preserve">×1.5%+</t>
    </r>
    <r>
      <rPr>
        <sz val="10"/>
        <color rgb="FF111111"/>
        <rFont val="Noto Sans CJK SC"/>
        <family val="2"/>
      </rPr>
      <t xml:space="preserve">紧急</t>
    </r>
    <r>
      <rPr>
        <sz val="10"/>
        <color rgb="FF111111"/>
        <rFont val="Microsoft YaHei"/>
        <family val="0"/>
        <charset val="1"/>
      </rPr>
      <t xml:space="preserve">×3%−</t>
    </r>
    <r>
      <rPr>
        <sz val="10"/>
        <color rgb="FF111111"/>
        <rFont val="Noto Sans CJK SC"/>
        <family val="2"/>
      </rPr>
      <t xml:space="preserve">现金</t>
    </r>
    <r>
      <rPr>
        <sz val="10"/>
        <color rgb="FF111111"/>
        <rFont val="Microsoft YaHei"/>
        <family val="0"/>
        <charset val="1"/>
      </rPr>
      <t xml:space="preserve">×0.8%</t>
    </r>
    <r>
      <rPr>
        <sz val="10"/>
        <color rgb="FF111111"/>
        <rFont val="Noto Sans CJK SC"/>
        <family val="2"/>
      </rPr>
      <t xml:space="preserve">〕</t>
    </r>
  </si>
  <si>
    <t xml:space="preserve">现金与资本</t>
  </si>
  <si>
    <t xml:space="preserve">期末现金（紧急授信前）</t>
  </si>
  <si>
    <t xml:space="preserve">紧急授信提取  〔补足到下限〕</t>
  </si>
  <si>
    <t xml:space="preserve">期末借款</t>
  </si>
  <si>
    <r>
      <rPr>
        <b val="true"/>
        <sz val="10"/>
        <color rgb="FF111111"/>
        <rFont val="Noto Sans CJK SC"/>
        <family val="2"/>
      </rPr>
      <t xml:space="preserve">核对：模型 − 引擎（情景格留空、价格系数</t>
    </r>
    <r>
      <rPr>
        <b val="true"/>
        <sz val="10"/>
        <color rgb="FF111111"/>
        <rFont val="Microsoft YaHei"/>
        <family val="0"/>
        <charset val="1"/>
      </rPr>
      <t xml:space="preserve">=1</t>
    </r>
    <r>
      <rPr>
        <b val="true"/>
        <sz val="10"/>
        <color rgb="FF111111"/>
        <rFont val="Noto Sans CJK SC"/>
        <family val="2"/>
      </rPr>
      <t xml:space="preserve">时应约为</t>
    </r>
    <r>
      <rPr>
        <b val="true"/>
        <sz val="10"/>
        <color rgb="FF111111"/>
        <rFont val="Microsoft YaHei"/>
        <family val="0"/>
        <charset val="1"/>
      </rPr>
      <t xml:space="preserve">0</t>
    </r>
    <r>
      <rPr>
        <b val="true"/>
        <sz val="10"/>
        <color rgb="FF111111"/>
        <rFont val="Noto Sans CJK SC"/>
        <family val="2"/>
      </rPr>
      <t xml:space="preserve">）</t>
    </r>
  </si>
  <si>
    <r>
      <rPr>
        <sz val="10"/>
        <color rgb="FF111111"/>
        <rFont val="Noto Sans CJK SC"/>
        <family val="2"/>
      </rPr>
      <t xml:space="preserve">营业收入差额  〔应约为</t>
    </r>
    <r>
      <rPr>
        <sz val="10"/>
        <color rgb="FF111111"/>
        <rFont val="Microsoft YaHei"/>
        <family val="0"/>
        <charset val="1"/>
      </rPr>
      <t xml:space="preserve">0</t>
    </r>
    <r>
      <rPr>
        <sz val="10"/>
        <color rgb="FF111111"/>
        <rFont val="Noto Sans CJK SC"/>
        <family val="2"/>
      </rPr>
      <t xml:space="preserve">〕</t>
    </r>
  </si>
  <si>
    <r>
      <rPr>
        <sz val="10"/>
        <color rgb="FF111111"/>
        <rFont val="Noto Sans CJK SC"/>
        <family val="2"/>
      </rPr>
      <t xml:space="preserve">净利润差额  〔应约为</t>
    </r>
    <r>
      <rPr>
        <sz val="10"/>
        <color rgb="FF111111"/>
        <rFont val="Microsoft YaHei"/>
        <family val="0"/>
        <charset val="1"/>
      </rPr>
      <t xml:space="preserve">0</t>
    </r>
    <r>
      <rPr>
        <sz val="10"/>
        <color rgb="FF111111"/>
        <rFont val="Noto Sans CJK SC"/>
        <family val="2"/>
      </rPr>
      <t xml:space="preserve">〕</t>
    </r>
  </si>
  <si>
    <r>
      <rPr>
        <sz val="10"/>
        <color rgb="FF111111"/>
        <rFont val="Noto Sans CJK SC"/>
        <family val="2"/>
      </rPr>
      <t xml:space="preserve">期末现金差额  〔应约为</t>
    </r>
    <r>
      <rPr>
        <sz val="10"/>
        <color rgb="FF111111"/>
        <rFont val="Microsoft YaHei"/>
        <family val="0"/>
        <charset val="1"/>
      </rPr>
      <t xml:space="preserve">0</t>
    </r>
    <r>
      <rPr>
        <sz val="10"/>
        <color rgb="FF111111"/>
        <rFont val="Noto Sans CJK SC"/>
        <family val="2"/>
      </rPr>
      <t xml:space="preserve">〕</t>
    </r>
  </si>
  <si>
    <r>
      <rPr>
        <sz val="10"/>
        <color rgb="FF111111"/>
        <rFont val="Noto Sans CJK SC"/>
        <family val="2"/>
      </rPr>
      <t xml:space="preserve">股东权益差额  〔应约为</t>
    </r>
    <r>
      <rPr>
        <sz val="10"/>
        <color rgb="FF111111"/>
        <rFont val="Microsoft YaHei"/>
        <family val="0"/>
        <charset val="1"/>
      </rPr>
      <t xml:space="preserve">0</t>
    </r>
    <r>
      <rPr>
        <sz val="10"/>
        <color rgb="FF111111"/>
        <rFont val="Noto Sans CJK SC"/>
        <family val="2"/>
      </rPr>
      <t xml:space="preserve">〕</t>
    </r>
  </si>
  <si>
    <r>
      <rPr>
        <sz val="10"/>
        <color rgb="FF111111"/>
        <rFont val="Noto Sans CJK SC"/>
        <family val="2"/>
      </rPr>
      <t xml:space="preserve">期末库存片数差额  〔应约为</t>
    </r>
    <r>
      <rPr>
        <sz val="10"/>
        <color rgb="FF111111"/>
        <rFont val="Microsoft YaHei"/>
        <family val="0"/>
        <charset val="1"/>
      </rPr>
      <t xml:space="preserve">0</t>
    </r>
    <r>
      <rPr>
        <sz val="10"/>
        <color rgb="FF111111"/>
        <rFont val="Noto Sans CJK SC"/>
        <family val="2"/>
      </rPr>
      <t xml:space="preserve">〕</t>
    </r>
  </si>
  <si>
    <t xml:space="preserve">情景结果</t>
  </si>
  <si>
    <t xml:space="preserve">模型期末股东权益</t>
  </si>
  <si>
    <t xml:space="preserve">实际期末股东权益</t>
  </si>
  <si>
    <t xml:space="preserve">差额（情景 − 实际）</t>
  </si>
  <si>
    <r>
      <rPr>
        <sz val="10"/>
        <color rgb="FF111111"/>
        <rFont val="Noto Sans CJK SC"/>
        <family val="2"/>
      </rPr>
      <t xml:space="preserve">模型</t>
    </r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季累计营业收入</t>
    </r>
  </si>
  <si>
    <t xml:space="preserve">模型最低季末现金</t>
  </si>
  <si>
    <t xml:space="preserve">模型紧急授信累计提取</t>
  </si>
  <si>
    <t xml:space="preserve">模型期末库存（千片）</t>
  </si>
  <si>
    <r>
      <rPr>
        <sz val="9"/>
        <color rgb="FF595959"/>
        <rFont val="Noto Sans CJK SC"/>
        <family val="2"/>
      </rPr>
      <t xml:space="preserve">用法示例：在「开工率（情景）」行的 </t>
    </r>
    <r>
      <rPr>
        <sz val="9"/>
        <color rgb="FF595959"/>
        <rFont val="Microsoft YaHei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Microsoft YaHei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列（第</t>
    </r>
    <r>
      <rPr>
        <sz val="9"/>
        <color rgb="FF595959"/>
        <rFont val="Microsoft YaHei"/>
        <family val="0"/>
        <charset val="1"/>
      </rPr>
      <t xml:space="preserve">2-5</t>
    </r>
    <r>
      <rPr>
        <sz val="9"/>
        <color rgb="FF595959"/>
        <rFont val="Noto Sans CJK SC"/>
        <family val="2"/>
      </rPr>
      <t xml:space="preserve">季）填 </t>
    </r>
    <r>
      <rPr>
        <sz val="9"/>
        <color rgb="FF595959"/>
        <rFont val="Microsoft YaHei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，可以看到下行期减产对期末权益的影响（复盘报告里的情景</t>
    </r>
    <r>
      <rPr>
        <sz val="9"/>
        <color rgb="FF595959"/>
        <rFont val="Microsoft YaHei"/>
        <family val="0"/>
        <charset val="1"/>
      </rPr>
      <t xml:space="preserve">S1</t>
    </r>
    <r>
      <rPr>
        <sz val="9"/>
        <color rgb="FF595959"/>
        <rFont val="Noto Sans CJK SC"/>
        <family val="2"/>
      </rPr>
      <t xml:space="preserve">）。</t>
    </r>
  </si>
  <si>
    <t xml:space="preserve">每季决策与备注原文</t>
  </si>
  <si>
    <r>
      <rPr>
        <sz val="9"/>
        <color rgb="FF595959"/>
        <rFont val="Noto Sans CJK SC"/>
        <family val="2"/>
      </rPr>
      <t xml:space="preserve">来源：</t>
    </r>
    <r>
      <rPr>
        <sz val="9"/>
        <color rgb="FF595959"/>
        <rFont val="Microsoft YaHei"/>
        <family val="0"/>
        <charset val="1"/>
      </rPr>
      <t xml:space="preserve">export_final.json → history[i].decision</t>
    </r>
    <r>
      <rPr>
        <sz val="9"/>
        <color rgb="FF595959"/>
        <rFont val="Noto Sans CJK SC"/>
        <family val="2"/>
      </rPr>
      <t xml:space="preserve">；数字为输入格（原样）。</t>
    </r>
  </si>
  <si>
    <t xml:space="preserve">季度</t>
  </si>
  <si>
    <r>
      <rPr>
        <b val="true"/>
        <sz val="10"/>
        <color rgb="FFFFFFFF"/>
        <rFont val="Microsoft YaHei"/>
        <family val="0"/>
        <charset val="1"/>
      </rPr>
      <t xml:space="preserve">HBM</t>
    </r>
    <r>
      <rPr>
        <b val="true"/>
        <sz val="10"/>
        <color rgb="FFFFFFFF"/>
        <rFont val="Noto Sans CJK SC"/>
        <family val="2"/>
      </rPr>
      <t xml:space="preserve">研发</t>
    </r>
  </si>
  <si>
    <r>
      <rPr>
        <b val="true"/>
        <sz val="10"/>
        <color rgb="FFFFFFFF"/>
        <rFont val="Microsoft YaHei"/>
        <family val="0"/>
        <charset val="1"/>
      </rPr>
      <t xml:space="preserve">HBM</t>
    </r>
    <r>
      <rPr>
        <b val="true"/>
        <sz val="10"/>
        <color rgb="FFFFFFFF"/>
        <rFont val="Noto Sans CJK SC"/>
        <family val="2"/>
      </rPr>
      <t xml:space="preserve">占比</t>
    </r>
  </si>
  <si>
    <t xml:space="preserve">提交给引擎的备注原文</t>
  </si>
  <si>
    <r>
      <rPr>
        <sz val="10"/>
        <color rgb="FF111111"/>
        <rFont val="Microsoft YaHei"/>
        <family val="0"/>
        <charset val="1"/>
      </rPr>
      <t xml:space="preserve">Q1</t>
    </r>
    <r>
      <rPr>
        <sz val="10"/>
        <color rgb="FF111111"/>
        <rFont val="Noto Sans CJK SC"/>
        <family val="2"/>
      </rPr>
      <t xml:space="preserve">：景气刚过顶，一致预期本季合约价跌</t>
    </r>
    <r>
      <rPr>
        <sz val="10"/>
        <color rgb="FF111111"/>
        <rFont val="Microsoft YaHei"/>
        <family val="0"/>
        <charset val="1"/>
      </rPr>
      <t xml:space="preserve">15%-25%</t>
    </r>
    <r>
      <rPr>
        <sz val="10"/>
        <color rgb="FF111111"/>
        <rFont val="Noto Sans CJK SC"/>
        <family val="2"/>
      </rPr>
      <t xml:space="preserve">，客户下单谨慎。判断：下行周期刚开始，库存越早卖越好，价格大概率还会继续走低。决定：开工率降到</t>
    </r>
    <r>
      <rPr>
        <sz val="10"/>
        <color rgb="FF111111"/>
        <rFont val="Microsoft YaHei"/>
        <family val="0"/>
        <charset val="1"/>
      </rPr>
      <t xml:space="preserve">85%</t>
    </r>
    <r>
      <rPr>
        <sz val="10"/>
        <color rgb="FF111111"/>
        <rFont val="Noto Sans CJK SC"/>
        <family val="2"/>
      </rPr>
      <t xml:space="preserve">，避免在需求转弱时堆库存；可售库存全部挂出去卖（</t>
    </r>
    <r>
      <rPr>
        <sz val="10"/>
        <color rgb="FF111111"/>
        <rFont val="Microsoft YaHei"/>
        <family val="0"/>
        <charset val="1"/>
      </rPr>
      <t xml:space="preserve">60</t>
    </r>
    <r>
      <rPr>
        <sz val="10"/>
        <color rgb="FF111111"/>
        <rFont val="Noto Sans CJK SC"/>
        <family val="2"/>
      </rPr>
      <t xml:space="preserve">千片期初库存</t>
    </r>
    <r>
      <rPr>
        <sz val="10"/>
        <color rgb="FF111111"/>
        <rFont val="Microsoft YaHei"/>
        <family val="0"/>
        <charset val="1"/>
      </rPr>
      <t xml:space="preserve">+</t>
    </r>
    <r>
      <rPr>
        <sz val="10"/>
        <color rgb="FF111111"/>
        <rFont val="Noto Sans CJK SC"/>
        <family val="2"/>
      </rPr>
      <t xml:space="preserve">本季产出）；资本开支只做</t>
    </r>
    <r>
      <rPr>
        <sz val="10"/>
        <color rgb="FF111111"/>
        <rFont val="Microsoft YaHei"/>
        <family val="0"/>
        <charset val="1"/>
      </rPr>
      <t xml:space="preserve">15</t>
    </r>
    <r>
      <rPr>
        <sz val="10"/>
        <color rgb="FF111111"/>
        <rFont val="Noto Sans CJK SC"/>
        <family val="2"/>
      </rPr>
      <t xml:space="preserve">亿美元维持，不扩产，等看清单位成本和需求再说；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研发一次投满</t>
    </r>
    <r>
      <rPr>
        <sz val="10"/>
        <color rgb="FF111111"/>
        <rFont val="Microsoft YaHei"/>
        <family val="0"/>
        <charset val="1"/>
      </rPr>
      <t xml:space="preserve">30</t>
    </r>
    <r>
      <rPr>
        <sz val="10"/>
        <color rgb="FF111111"/>
        <rFont val="Noto Sans CJK SC"/>
        <family val="2"/>
      </rPr>
      <t xml:space="preserve">亿美元，抢在</t>
    </r>
    <r>
      <rPr>
        <sz val="10"/>
        <color rgb="FF111111"/>
        <rFont val="Microsoft YaHei"/>
        <family val="0"/>
        <charset val="1"/>
      </rPr>
      <t xml:space="preserve">AI</t>
    </r>
    <r>
      <rPr>
        <sz val="10"/>
        <color rgb="FF111111"/>
        <rFont val="Noto Sans CJK SC"/>
        <family val="2"/>
      </rPr>
      <t xml:space="preserve">需求起来前拿到量产资格（最早约第</t>
    </r>
    <r>
      <rPr>
        <sz val="10"/>
        <color rgb="FF111111"/>
        <rFont val="Microsoft YaHei"/>
        <family val="0"/>
        <charset val="1"/>
      </rPr>
      <t xml:space="preserve">3-4</t>
    </r>
    <r>
      <rPr>
        <sz val="10"/>
        <color rgb="FF111111"/>
        <rFont val="Noto Sans CJK SC"/>
        <family val="2"/>
      </rPr>
      <t xml:space="preserve">季可量产）；不新增借款，现金</t>
    </r>
    <r>
      <rPr>
        <sz val="10"/>
        <color rgb="FF111111"/>
        <rFont val="Microsoft YaHei"/>
        <family val="0"/>
        <charset val="1"/>
      </rPr>
      <t xml:space="preserve">100</t>
    </r>
    <r>
      <rPr>
        <sz val="10"/>
        <color rgb="FF111111"/>
        <rFont val="Noto Sans CJK SC"/>
        <family val="2"/>
      </rPr>
      <t xml:space="preserve">亿美元足够覆盖研发和维持开支。</t>
    </r>
  </si>
  <si>
    <r>
      <rPr>
        <sz val="10"/>
        <color rgb="FF111111"/>
        <rFont val="Microsoft YaHei"/>
        <family val="0"/>
        <charset val="1"/>
      </rPr>
      <t xml:space="preserve">Q2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Q1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0.80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1920</t>
    </r>
    <r>
      <rPr>
        <sz val="10"/>
        <color rgb="FF111111"/>
        <rFont val="Noto Sans CJK SC"/>
        <family val="2"/>
      </rPr>
      <t xml:space="preserve">万美元），需求只有</t>
    </r>
    <r>
      <rPr>
        <sz val="10"/>
        <color rgb="FF111111"/>
        <rFont val="Microsoft YaHei"/>
        <family val="0"/>
        <charset val="1"/>
      </rPr>
      <t xml:space="preserve">240</t>
    </r>
    <r>
      <rPr>
        <sz val="10"/>
        <color rgb="FF111111"/>
        <rFont val="Noto Sans CJK SC"/>
        <family val="2"/>
      </rPr>
      <t xml:space="preserve">千片，我们挂了</t>
    </r>
    <r>
      <rPr>
        <sz val="10"/>
        <color rgb="FF111111"/>
        <rFont val="Microsoft YaHei"/>
        <family val="0"/>
        <charset val="1"/>
      </rPr>
      <t xml:space="preserve">315</t>
    </r>
    <r>
      <rPr>
        <sz val="10"/>
        <color rgb="FF111111"/>
        <rFont val="Noto Sans CJK SC"/>
        <family val="2"/>
      </rPr>
      <t xml:space="preserve">千片，剩</t>
    </r>
    <r>
      <rPr>
        <sz val="10"/>
        <color rgb="FF111111"/>
        <rFont val="Microsoft YaHei"/>
        <family val="0"/>
        <charset val="1"/>
      </rPr>
      <t xml:space="preserve">75</t>
    </r>
    <r>
      <rPr>
        <sz val="10"/>
        <color rgb="FF111111"/>
        <rFont val="Noto Sans CJK SC"/>
        <family val="2"/>
      </rPr>
      <t xml:space="preserve">千片库存。反推成本：每季固定成本约</t>
    </r>
    <r>
      <rPr>
        <sz val="10"/>
        <color rgb="FF111111"/>
        <rFont val="Microsoft YaHei"/>
        <family val="0"/>
        <charset val="1"/>
      </rPr>
      <t xml:space="preserve">30</t>
    </r>
    <r>
      <rPr>
        <sz val="10"/>
        <color rgb="FF111111"/>
        <rFont val="Noto Sans CJK SC"/>
        <family val="2"/>
      </rPr>
      <t xml:space="preserve">亿美元（折旧</t>
    </r>
    <r>
      <rPr>
        <sz val="10"/>
        <color rgb="FF111111"/>
        <rFont val="Microsoft YaHei"/>
        <family val="0"/>
        <charset val="1"/>
      </rPr>
      <t xml:space="preserve">20</t>
    </r>
    <r>
      <rPr>
        <sz val="10"/>
        <color rgb="FF111111"/>
        <rFont val="Noto Sans CJK SC"/>
        <family val="2"/>
      </rPr>
      <t xml:space="preserve">亿</t>
    </r>
    <r>
      <rPr>
        <sz val="10"/>
        <color rgb="FF111111"/>
        <rFont val="Microsoft YaHei"/>
        <family val="0"/>
        <charset val="1"/>
      </rPr>
      <t xml:space="preserve">+</t>
    </r>
    <r>
      <rPr>
        <sz val="10"/>
        <color rgb="FF111111"/>
        <rFont val="Noto Sans CJK SC"/>
        <family val="2"/>
      </rPr>
      <t xml:space="preserve">工厂费用约</t>
    </r>
    <r>
      <rPr>
        <sz val="10"/>
        <color rgb="FF111111"/>
        <rFont val="Microsoft YaHei"/>
        <family val="0"/>
        <charset val="1"/>
      </rPr>
      <t xml:space="preserve">10</t>
    </r>
    <r>
      <rPr>
        <sz val="10"/>
        <color rgb="FF111111"/>
        <rFont val="Noto Sans CJK SC"/>
        <family val="2"/>
      </rPr>
      <t xml:space="preserve">亿，假设），每千片变动成本约</t>
    </r>
    <r>
      <rPr>
        <sz val="10"/>
        <color rgb="FF111111"/>
        <rFont val="Microsoft YaHei"/>
        <family val="0"/>
        <charset val="1"/>
      </rPr>
      <t xml:space="preserve">500</t>
    </r>
    <r>
      <rPr>
        <sz val="10"/>
        <color rgb="FF111111"/>
        <rFont val="Noto Sans CJK SC"/>
        <family val="2"/>
      </rPr>
      <t xml:space="preserve">万美元（假设，本季用不同开工率验证）。判断：售价远高于变动成本，少开工只省</t>
    </r>
    <r>
      <rPr>
        <sz val="10"/>
        <color rgb="FF111111"/>
        <rFont val="Microsoft YaHei"/>
        <family val="0"/>
        <charset val="1"/>
      </rPr>
      <t xml:space="preserve">500</t>
    </r>
    <r>
      <rPr>
        <sz val="10"/>
        <color rgb="FF111111"/>
        <rFont val="Noto Sans CJK SC"/>
        <family val="2"/>
      </rPr>
      <t xml:space="preserve">万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千片的现金，却把固定成本摊到更少的片子上；多出来的片子可以留到复苏时卖，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量产后普通内存产能还会被挤占。决定：开工率提到</t>
    </r>
    <r>
      <rPr>
        <sz val="10"/>
        <color rgb="FF111111"/>
        <rFont val="Microsoft YaHei"/>
        <family val="0"/>
        <charset val="1"/>
      </rPr>
      <t xml:space="preserve">100%</t>
    </r>
    <r>
      <rPr>
        <sz val="10"/>
        <color rgb="FF111111"/>
        <rFont val="Noto Sans CJK SC"/>
        <family val="2"/>
      </rPr>
      <t xml:space="preserve">，可售库存全部挂出；资本开支维持</t>
    </r>
    <r>
      <rPr>
        <sz val="10"/>
        <color rgb="FF111111"/>
        <rFont val="Microsoft YaHei"/>
        <family val="0"/>
        <charset val="1"/>
      </rPr>
      <t xml:space="preserve">15</t>
    </r>
    <r>
      <rPr>
        <sz val="10"/>
        <color rgb="FF111111"/>
        <rFont val="Noto Sans CJK SC"/>
        <family val="2"/>
      </rPr>
      <t xml:space="preserve">亿；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研发已满</t>
    </r>
    <r>
      <rPr>
        <sz val="10"/>
        <color rgb="FF111111"/>
        <rFont val="Microsoft YaHei"/>
        <family val="0"/>
        <charset val="1"/>
      </rPr>
      <t xml:space="preserve">30</t>
    </r>
    <r>
      <rPr>
        <sz val="10"/>
        <color rgb="FF111111"/>
        <rFont val="Noto Sans CJK SC"/>
        <family val="2"/>
      </rPr>
      <t xml:space="preserve">亿，第</t>
    </r>
    <r>
      <rPr>
        <sz val="10"/>
        <color rgb="FF111111"/>
        <rFont val="Microsoft YaHei"/>
        <family val="0"/>
        <charset val="1"/>
      </rPr>
      <t xml:space="preserve">4</t>
    </r>
    <r>
      <rPr>
        <sz val="10"/>
        <color rgb="FF111111"/>
        <rFont val="Noto Sans CJK SC"/>
        <family val="2"/>
      </rPr>
      <t xml:space="preserve">季起可量产；本季不借款，预计季末现金约</t>
    </r>
    <r>
      <rPr>
        <sz val="10"/>
        <color rgb="FF111111"/>
        <rFont val="Microsoft YaHei"/>
        <family val="0"/>
        <charset val="1"/>
      </rPr>
      <t xml:space="preserve">45-50</t>
    </r>
    <r>
      <rPr>
        <sz val="10"/>
        <color rgb="FF111111"/>
        <rFont val="Noto Sans CJK SC"/>
        <family val="2"/>
      </rPr>
      <t xml:space="preserve">亿美元。一致预期下季再跌</t>
    </r>
    <r>
      <rPr>
        <sz val="10"/>
        <color rgb="FF111111"/>
        <rFont val="Microsoft YaHei"/>
        <family val="0"/>
        <charset val="1"/>
      </rPr>
      <t xml:space="preserve">20%-30%</t>
    </r>
    <r>
      <rPr>
        <sz val="10"/>
        <color rgb="FF111111"/>
        <rFont val="Noto Sans CJK SC"/>
        <family val="2"/>
      </rPr>
      <t xml:space="preserve">，同业削减资本开支，扩产等下季看清需求再定。</t>
    </r>
  </si>
  <si>
    <r>
      <rPr>
        <sz val="10"/>
        <color rgb="FF111111"/>
        <rFont val="Microsoft YaHei"/>
        <family val="0"/>
        <charset val="1"/>
      </rPr>
      <t xml:space="preserve">Q3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Q2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0.56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1344</t>
    </r>
    <r>
      <rPr>
        <sz val="10"/>
        <color rgb="FF111111"/>
        <rFont val="Noto Sans CJK SC"/>
        <family val="2"/>
      </rPr>
      <t xml:space="preserve">万美元），需求降到</t>
    </r>
    <r>
      <rPr>
        <sz val="10"/>
        <color rgb="FF111111"/>
        <rFont val="Microsoft YaHei"/>
        <family val="0"/>
        <charset val="1"/>
      </rPr>
      <t xml:space="preserve">210</t>
    </r>
    <r>
      <rPr>
        <sz val="10"/>
        <color rgb="FF111111"/>
        <rFont val="Noto Sans CJK SC"/>
        <family val="2"/>
      </rPr>
      <t xml:space="preserve">千片，库存升到</t>
    </r>
    <r>
      <rPr>
        <sz val="10"/>
        <color rgb="FF111111"/>
        <rFont val="Microsoft YaHei"/>
        <family val="0"/>
        <charset val="1"/>
      </rPr>
      <t xml:space="preserve">165</t>
    </r>
    <r>
      <rPr>
        <sz val="10"/>
        <color rgb="FF111111"/>
        <rFont val="Noto Sans CJK SC"/>
        <family val="2"/>
      </rPr>
      <t xml:space="preserve">千片并按可变现净值减记</t>
    </r>
    <r>
      <rPr>
        <sz val="10"/>
        <color rgb="FF111111"/>
        <rFont val="Microsoft YaHei"/>
        <family val="0"/>
        <charset val="1"/>
      </rPr>
      <t xml:space="preserve">4.2</t>
    </r>
    <r>
      <rPr>
        <sz val="10"/>
        <color rgb="FF111111"/>
        <rFont val="Noto Sans CJK SC"/>
        <family val="2"/>
      </rPr>
      <t xml:space="preserve">亿美元。验证了成本结构：满开工单位成本</t>
    </r>
    <r>
      <rPr>
        <sz val="10"/>
        <color rgb="FF111111"/>
        <rFont val="Microsoft YaHei"/>
        <family val="0"/>
        <charset val="1"/>
      </rPr>
      <t xml:space="preserve">1500</t>
    </r>
    <r>
      <rPr>
        <sz val="10"/>
        <color rgb="FF111111"/>
        <rFont val="Noto Sans CJK SC"/>
        <family val="2"/>
      </rPr>
      <t xml:space="preserve">万美元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千片</t>
    </r>
    <r>
      <rPr>
        <sz val="10"/>
        <color rgb="FF111111"/>
        <rFont val="Microsoft YaHei"/>
        <family val="0"/>
        <charset val="1"/>
      </rPr>
      <t xml:space="preserve">=</t>
    </r>
    <r>
      <rPr>
        <sz val="10"/>
        <color rgb="FF111111"/>
        <rFont val="Noto Sans CJK SC"/>
        <family val="2"/>
      </rPr>
      <t xml:space="preserve">固定</t>
    </r>
    <r>
      <rPr>
        <sz val="10"/>
        <color rgb="FF111111"/>
        <rFont val="Microsoft YaHei"/>
        <family val="0"/>
        <charset val="1"/>
      </rPr>
      <t xml:space="preserve">30</t>
    </r>
    <r>
      <rPr>
        <sz val="10"/>
        <color rgb="FF111111"/>
        <rFont val="Noto Sans CJK SC"/>
        <family val="2"/>
      </rPr>
      <t xml:space="preserve">亿</t>
    </r>
    <r>
      <rPr>
        <sz val="10"/>
        <color rgb="FF111111"/>
        <rFont val="Microsoft YaHei"/>
        <family val="0"/>
        <charset val="1"/>
      </rPr>
      <t xml:space="preserve">/300</t>
    </r>
    <r>
      <rPr>
        <sz val="10"/>
        <color rgb="FF111111"/>
        <rFont val="Noto Sans CJK SC"/>
        <family val="2"/>
      </rPr>
      <t xml:space="preserve">千片</t>
    </r>
    <r>
      <rPr>
        <sz val="10"/>
        <color rgb="FF111111"/>
        <rFont val="Microsoft YaHei"/>
        <family val="0"/>
        <charset val="1"/>
      </rPr>
      <t xml:space="preserve">+</t>
    </r>
    <r>
      <rPr>
        <sz val="10"/>
        <color rgb="FF111111"/>
        <rFont val="Noto Sans CJK SC"/>
        <family val="2"/>
      </rPr>
      <t xml:space="preserve">变动</t>
    </r>
    <r>
      <rPr>
        <sz val="10"/>
        <color rgb="FF111111"/>
        <rFont val="Microsoft YaHei"/>
        <family val="0"/>
        <charset val="1"/>
      </rPr>
      <t xml:space="preserve">500</t>
    </r>
    <r>
      <rPr>
        <sz val="10"/>
        <color rgb="FF111111"/>
        <rFont val="Noto Sans CJK SC"/>
        <family val="2"/>
      </rPr>
      <t xml:space="preserve">万。一致预期下季只再跌</t>
    </r>
    <r>
      <rPr>
        <sz val="10"/>
        <color rgb="FF111111"/>
        <rFont val="Microsoft YaHei"/>
        <family val="0"/>
        <charset val="1"/>
      </rPr>
      <t xml:space="preserve">5%-15%</t>
    </r>
    <r>
      <rPr>
        <sz val="10"/>
        <color rgb="FF111111"/>
        <rFont val="Noto Sans CJK SC"/>
        <family val="2"/>
      </rPr>
      <t xml:space="preserve">，新闻说价格跌破多数厂商现金成本、同业开始减产——跌幅收窄、供给收缩，底部临近。判断：继续满开工，每多产</t>
    </r>
    <r>
      <rPr>
        <sz val="10"/>
        <color rgb="FF111111"/>
        <rFont val="Microsoft YaHei"/>
        <family val="0"/>
        <charset val="1"/>
      </rPr>
      <t xml:space="preserve">1</t>
    </r>
    <r>
      <rPr>
        <sz val="10"/>
        <color rgb="FF111111"/>
        <rFont val="Noto Sans CJK SC"/>
        <family val="2"/>
      </rPr>
      <t xml:space="preserve">千片只花</t>
    </r>
    <r>
      <rPr>
        <sz val="10"/>
        <color rgb="FF111111"/>
        <rFont val="Microsoft YaHei"/>
        <family val="0"/>
        <charset val="1"/>
      </rPr>
      <t xml:space="preserve">500</t>
    </r>
    <r>
      <rPr>
        <sz val="10"/>
        <color rgb="FF111111"/>
        <rFont val="Noto Sans CJK SC"/>
        <family val="2"/>
      </rPr>
      <t xml:space="preserve">万现金，按减记后的价值入账还高于现金成本，库存留给复苏和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挤占产能后的缺口；扩产先不做，下行期每季烧现金约</t>
    </r>
    <r>
      <rPr>
        <sz val="10"/>
        <color rgb="FF111111"/>
        <rFont val="Microsoft YaHei"/>
        <family val="0"/>
        <charset val="1"/>
      </rPr>
      <t xml:space="preserve">27</t>
    </r>
    <r>
      <rPr>
        <sz val="10"/>
        <color rgb="FF111111"/>
        <rFont val="Noto Sans CJK SC"/>
        <family val="2"/>
      </rPr>
      <t xml:space="preserve">亿美元，借款上限随权益下降，流动性优先；借</t>
    </r>
    <r>
      <rPr>
        <sz val="10"/>
        <color rgb="FF111111"/>
        <rFont val="Microsoft YaHei"/>
        <family val="0"/>
        <charset val="1"/>
      </rPr>
      <t xml:space="preserve">20</t>
    </r>
    <r>
      <rPr>
        <sz val="10"/>
        <color rgb="FF111111"/>
        <rFont val="Noto Sans CJK SC"/>
        <family val="2"/>
      </rPr>
      <t xml:space="preserve">亿美元保持现金缓冲，避免触发</t>
    </r>
    <r>
      <rPr>
        <sz val="10"/>
        <color rgb="FF111111"/>
        <rFont val="Microsoft YaHei"/>
        <family val="0"/>
        <charset val="1"/>
      </rPr>
      <t xml:space="preserve">3%</t>
    </r>
    <r>
      <rPr>
        <sz val="10"/>
        <color rgb="FF111111"/>
        <rFont val="Noto Sans CJK SC"/>
        <family val="2"/>
      </rPr>
      <t xml:space="preserve">的紧急授信。</t>
    </r>
  </si>
  <si>
    <r>
      <rPr>
        <sz val="10"/>
        <color rgb="FF111111"/>
        <rFont val="Microsoft YaHei"/>
        <family val="0"/>
        <charset val="1"/>
      </rPr>
      <t xml:space="preserve">Q4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Q3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0.50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1200</t>
    </r>
    <r>
      <rPr>
        <sz val="10"/>
        <color rgb="FF111111"/>
        <rFont val="Noto Sans CJK SC"/>
        <family val="2"/>
      </rPr>
      <t xml:space="preserve">万美元），需求</t>
    </r>
    <r>
      <rPr>
        <sz val="10"/>
        <color rgb="FF111111"/>
        <rFont val="Microsoft YaHei"/>
        <family val="0"/>
        <charset val="1"/>
      </rPr>
      <t xml:space="preserve">205</t>
    </r>
    <r>
      <rPr>
        <sz val="10"/>
        <color rgb="FF111111"/>
        <rFont val="Noto Sans CJK SC"/>
        <family val="2"/>
      </rPr>
      <t xml:space="preserve">千片，库存</t>
    </r>
    <r>
      <rPr>
        <sz val="10"/>
        <color rgb="FF111111"/>
        <rFont val="Microsoft YaHei"/>
        <family val="0"/>
        <charset val="1"/>
      </rPr>
      <t xml:space="preserve">260</t>
    </r>
    <r>
      <rPr>
        <sz val="10"/>
        <color rgb="FF111111"/>
        <rFont val="Noto Sans CJK SC"/>
        <family val="2"/>
      </rPr>
      <t xml:space="preserve">千片、账面按可变现净值每千片</t>
    </r>
    <r>
      <rPr>
        <sz val="10"/>
        <color rgb="FF111111"/>
        <rFont val="Microsoft YaHei"/>
        <family val="0"/>
        <charset val="1"/>
      </rPr>
      <t xml:space="preserve">1140</t>
    </r>
    <r>
      <rPr>
        <sz val="10"/>
        <color rgb="FF111111"/>
        <rFont val="Noto Sans CJK SC"/>
        <family val="2"/>
      </rPr>
      <t xml:space="preserve">万美元。一致预期下季持平到小幅上涨，两家同业减产超</t>
    </r>
    <r>
      <rPr>
        <sz val="10"/>
        <color rgb="FF111111"/>
        <rFont val="Microsoft YaHei"/>
        <family val="0"/>
        <charset val="1"/>
      </rPr>
      <t xml:space="preserve">20%</t>
    </r>
    <r>
      <rPr>
        <sz val="10"/>
        <color rgb="FF111111"/>
        <rFont val="Noto Sans CJK SC"/>
        <family val="2"/>
      </rPr>
      <t xml:space="preserve">，跌幅收窄——判断这里就是底部区域。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本季起可量产，但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需求只有</t>
    </r>
    <r>
      <rPr>
        <sz val="10"/>
        <color rgb="FF111111"/>
        <rFont val="Microsoft YaHei"/>
        <family val="0"/>
        <charset val="1"/>
      </rPr>
      <t xml:space="preserve">5-6</t>
    </r>
    <r>
      <rPr>
        <sz val="10"/>
        <color rgb="FF111111"/>
        <rFont val="Noto Sans CJK SC"/>
        <family val="2"/>
      </rPr>
      <t xml:space="preserve">千片、价格指数从</t>
    </r>
    <r>
      <rPr>
        <sz val="10"/>
        <color rgb="FF111111"/>
        <rFont val="Microsoft YaHei"/>
        <family val="0"/>
        <charset val="1"/>
      </rPr>
      <t xml:space="preserve">1.6</t>
    </r>
    <r>
      <rPr>
        <sz val="10"/>
        <color rgb="FF111111"/>
        <rFont val="Noto Sans CJK SC"/>
        <family val="2"/>
      </rPr>
      <t xml:space="preserve">滑到</t>
    </r>
    <r>
      <rPr>
        <sz val="10"/>
        <color rgb="FF111111"/>
        <rFont val="Microsoft YaHei"/>
        <family val="0"/>
        <charset val="1"/>
      </rPr>
      <t xml:space="preserve">1.3</t>
    </r>
    <r>
      <rPr>
        <sz val="10"/>
        <color rgb="FF111111"/>
        <rFont val="Noto Sans CJK SC"/>
        <family val="2"/>
      </rPr>
      <t xml:space="preserve">，先小量试产：划</t>
    </r>
    <r>
      <rPr>
        <sz val="10"/>
        <color rgb="FF111111"/>
        <rFont val="Microsoft YaHei"/>
        <family val="0"/>
        <charset val="1"/>
      </rPr>
      <t xml:space="preserve">4%</t>
    </r>
    <r>
      <rPr>
        <sz val="10"/>
        <color rgb="FF111111"/>
        <rFont val="Noto Sans CJK SC"/>
        <family val="2"/>
      </rPr>
      <t xml:space="preserve">产能（约</t>
    </r>
    <r>
      <rPr>
        <sz val="10"/>
        <color rgb="FF111111"/>
        <rFont val="Microsoft YaHei"/>
        <family val="0"/>
        <charset val="1"/>
      </rPr>
      <t xml:space="preserve">12</t>
    </r>
    <r>
      <rPr>
        <sz val="10"/>
        <color rgb="FF111111"/>
        <rFont val="Noto Sans CJK SC"/>
        <family val="2"/>
      </rPr>
      <t xml:space="preserve">千片），宁可略多、多出的片子成本只有变动成本。普通内存继续满开工，库存已够</t>
    </r>
    <r>
      <rPr>
        <sz val="10"/>
        <color rgb="FF111111"/>
        <rFont val="Microsoft YaHei"/>
        <family val="0"/>
        <charset val="1"/>
      </rPr>
      <t xml:space="preserve">1.3</t>
    </r>
    <r>
      <rPr>
        <sz val="10"/>
        <color rgb="FF111111"/>
        <rFont val="Noto Sans CJK SC"/>
        <family val="2"/>
      </rPr>
      <t xml:space="preserve">个季度销量，边际一片更可能很久以后才卖得掉，所以本季仍按需求全部出货、不惜售。扩产暂缓：每季仍在烧现金约</t>
    </r>
    <r>
      <rPr>
        <sz val="10"/>
        <color rgb="FF111111"/>
        <rFont val="Microsoft YaHei"/>
        <family val="0"/>
        <charset val="1"/>
      </rPr>
      <t xml:space="preserve">24</t>
    </r>
    <r>
      <rPr>
        <sz val="10"/>
        <color rgb="FF111111"/>
        <rFont val="Noto Sans CJK SC"/>
        <family val="2"/>
      </rPr>
      <t xml:space="preserve">亿美元，借款上限随权益下降到约</t>
    </r>
    <r>
      <rPr>
        <sz val="10"/>
        <color rgb="FF111111"/>
        <rFont val="Microsoft YaHei"/>
        <family val="0"/>
        <charset val="1"/>
      </rPr>
      <t xml:space="preserve">164</t>
    </r>
    <r>
      <rPr>
        <sz val="10"/>
        <color rgb="FF111111"/>
        <rFont val="Noto Sans CJK SC"/>
        <family val="2"/>
      </rPr>
      <t xml:space="preserve">亿美元，等复苏信号和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需求更明确再投。借</t>
    </r>
    <r>
      <rPr>
        <sz val="10"/>
        <color rgb="FF111111"/>
        <rFont val="Microsoft YaHei"/>
        <family val="0"/>
        <charset val="1"/>
      </rPr>
      <t xml:space="preserve">20</t>
    </r>
    <r>
      <rPr>
        <sz val="10"/>
        <color rgb="FF111111"/>
        <rFont val="Noto Sans CJK SC"/>
        <family val="2"/>
      </rPr>
      <t xml:space="preserve">亿美元维持约</t>
    </r>
    <r>
      <rPr>
        <sz val="10"/>
        <color rgb="FF111111"/>
        <rFont val="Microsoft YaHei"/>
        <family val="0"/>
        <charset val="1"/>
      </rPr>
      <t xml:space="preserve">35</t>
    </r>
    <r>
      <rPr>
        <sz val="10"/>
        <color rgb="FF111111"/>
        <rFont val="Noto Sans CJK SC"/>
        <family val="2"/>
      </rPr>
      <t xml:space="preserve">亿美元现金缓冲。</t>
    </r>
  </si>
  <si>
    <r>
      <rPr>
        <sz val="10"/>
        <color rgb="FF111111"/>
        <rFont val="Microsoft YaHei"/>
        <family val="0"/>
        <charset val="1"/>
      </rPr>
      <t xml:space="preserve">Q5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Q4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0.53</t>
    </r>
    <r>
      <rPr>
        <sz val="10"/>
        <color rgb="FF111111"/>
        <rFont val="Noto Sans CJK SC"/>
        <family val="2"/>
      </rPr>
      <t xml:space="preserve">，需求回升到</t>
    </r>
    <r>
      <rPr>
        <sz val="10"/>
        <color rgb="FF111111"/>
        <rFont val="Microsoft YaHei"/>
        <family val="0"/>
        <charset val="1"/>
      </rPr>
      <t xml:space="preserve">215</t>
    </r>
    <r>
      <rPr>
        <sz val="10"/>
        <color rgb="FF111111"/>
        <rFont val="Noto Sans CJK SC"/>
        <family val="2"/>
      </rPr>
      <t xml:space="preserve">千片；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首季量产，需求</t>
    </r>
    <r>
      <rPr>
        <sz val="10"/>
        <color rgb="FF111111"/>
        <rFont val="Microsoft YaHei"/>
        <family val="0"/>
        <charset val="1"/>
      </rPr>
      <t xml:space="preserve">8</t>
    </r>
    <r>
      <rPr>
        <sz val="10"/>
        <color rgb="FF111111"/>
        <rFont val="Noto Sans CJK SC"/>
        <family val="2"/>
      </rPr>
      <t xml:space="preserve">千片、每千片售价</t>
    </r>
    <r>
      <rPr>
        <sz val="10"/>
        <color rgb="FF111111"/>
        <rFont val="Microsoft YaHei"/>
        <family val="0"/>
        <charset val="1"/>
      </rPr>
      <t xml:space="preserve">3360</t>
    </r>
    <r>
      <rPr>
        <sz val="10"/>
        <color rgb="FF111111"/>
        <rFont val="Noto Sans CJK SC"/>
        <family val="2"/>
      </rPr>
      <t xml:space="preserve">万美元（</t>
    </r>
    <r>
      <rPr>
        <sz val="10"/>
        <color rgb="FF111111"/>
        <rFont val="Microsoft YaHei"/>
        <family val="0"/>
        <charset val="1"/>
      </rPr>
      <t xml:space="preserve">=2400</t>
    </r>
    <r>
      <rPr>
        <sz val="10"/>
        <color rgb="FF111111"/>
        <rFont val="Noto Sans CJK SC"/>
        <family val="2"/>
      </rPr>
      <t xml:space="preserve">万</t>
    </r>
    <r>
      <rPr>
        <sz val="10"/>
        <color rgb="FF111111"/>
        <rFont val="Microsoft YaHei"/>
        <family val="0"/>
        <charset val="1"/>
      </rPr>
      <t xml:space="preserve">×HBM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1.4</t>
    </r>
    <r>
      <rPr>
        <sz val="10"/>
        <color rgb="FF111111"/>
        <rFont val="Noto Sans CJK SC"/>
        <family val="2"/>
      </rPr>
      <t xml:space="preserve">），产</t>
    </r>
    <r>
      <rPr>
        <sz val="10"/>
        <color rgb="FF111111"/>
        <rFont val="Microsoft YaHei"/>
        <family val="0"/>
        <charset val="1"/>
      </rPr>
      <t xml:space="preserve">12</t>
    </r>
    <r>
      <rPr>
        <sz val="10"/>
        <color rgb="FF111111"/>
        <rFont val="Noto Sans CJK SC"/>
        <family val="2"/>
      </rPr>
      <t xml:space="preserve">卖</t>
    </r>
    <r>
      <rPr>
        <sz val="10"/>
        <color rgb="FF111111"/>
        <rFont val="Microsoft YaHei"/>
        <family val="0"/>
        <charset val="1"/>
      </rPr>
      <t xml:space="preserve">8</t>
    </r>
    <r>
      <rPr>
        <sz val="10"/>
        <color rgb="FF111111"/>
        <rFont val="Noto Sans CJK SC"/>
        <family val="2"/>
      </rPr>
      <t xml:space="preserve">。新闻：渠道开始补库、客户愿签长约、云厂商测试新一代</t>
    </r>
    <r>
      <rPr>
        <sz val="10"/>
        <color rgb="FF111111"/>
        <rFont val="Microsoft YaHei"/>
        <family val="0"/>
        <charset val="1"/>
      </rPr>
      <t xml:space="preserve">AI</t>
    </r>
    <r>
      <rPr>
        <sz val="10"/>
        <color rgb="FF111111"/>
        <rFont val="Noto Sans CJK SC"/>
        <family val="2"/>
      </rPr>
      <t xml:space="preserve">服务器；一致预期下季涨</t>
    </r>
    <r>
      <rPr>
        <sz val="10"/>
        <color rgb="FF111111"/>
        <rFont val="Microsoft YaHei"/>
        <family val="0"/>
        <charset val="1"/>
      </rPr>
      <t xml:space="preserve">5%-10%</t>
    </r>
    <r>
      <rPr>
        <sz val="10"/>
        <color rgb="FF111111"/>
        <rFont val="Noto Sans CJK SC"/>
        <family val="2"/>
      </rPr>
      <t xml:space="preserve">。判断：普通内存已过底，</t>
    </r>
    <r>
      <rPr>
        <sz val="10"/>
        <color rgb="FF111111"/>
        <rFont val="Microsoft YaHei"/>
        <family val="0"/>
        <charset val="1"/>
      </rPr>
      <t xml:space="preserve">AI</t>
    </r>
    <r>
      <rPr>
        <sz val="10"/>
        <color rgb="FF111111"/>
        <rFont val="Noto Sans CJK SC"/>
        <family val="2"/>
      </rPr>
      <t xml:space="preserve">服务器会在几个季度后拉动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需求；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每千片毛利远高于普通内存，产能将成为瓶颈。决定：在底部做逆周期扩产，资本开支</t>
    </r>
    <r>
      <rPr>
        <sz val="10"/>
        <color rgb="FF111111"/>
        <rFont val="Microsoft YaHei"/>
        <family val="0"/>
        <charset val="1"/>
      </rPr>
      <t xml:space="preserve">45</t>
    </r>
    <r>
      <rPr>
        <sz val="10"/>
        <color rgb="FF111111"/>
        <rFont val="Noto Sans CJK SC"/>
        <family val="2"/>
      </rPr>
      <t xml:space="preserve">亿美元（维持</t>
    </r>
    <r>
      <rPr>
        <sz val="10"/>
        <color rgb="FF111111"/>
        <rFont val="Microsoft YaHei"/>
        <family val="0"/>
        <charset val="1"/>
      </rPr>
      <t xml:space="preserve">15</t>
    </r>
    <r>
      <rPr>
        <sz val="10"/>
        <color rgb="FF111111"/>
        <rFont val="Noto Sans CJK SC"/>
        <family val="2"/>
      </rPr>
      <t xml:space="preserve">亿</t>
    </r>
    <r>
      <rPr>
        <sz val="10"/>
        <color rgb="FF111111"/>
        <rFont val="Microsoft YaHei"/>
        <family val="0"/>
        <charset val="1"/>
      </rPr>
      <t xml:space="preserve">+</t>
    </r>
    <r>
      <rPr>
        <sz val="10"/>
        <color rgb="FF111111"/>
        <rFont val="Noto Sans CJK SC"/>
        <family val="2"/>
      </rPr>
      <t xml:space="preserve">扩产</t>
    </r>
    <r>
      <rPr>
        <sz val="10"/>
        <color rgb="FF111111"/>
        <rFont val="Microsoft YaHei"/>
        <family val="0"/>
        <charset val="1"/>
      </rPr>
      <t xml:space="preserve">30</t>
    </r>
    <r>
      <rPr>
        <sz val="10"/>
        <color rgb="FF111111"/>
        <rFont val="Noto Sans CJK SC"/>
        <family val="2"/>
      </rPr>
      <t xml:space="preserve">亿，约增加</t>
    </r>
    <r>
      <rPr>
        <sz val="10"/>
        <color rgb="FF111111"/>
        <rFont val="Microsoft YaHei"/>
        <family val="0"/>
        <charset val="1"/>
      </rPr>
      <t xml:space="preserve">25</t>
    </r>
    <r>
      <rPr>
        <sz val="10"/>
        <color rgb="FF111111"/>
        <rFont val="Noto Sans CJK SC"/>
        <family val="2"/>
      </rPr>
      <t xml:space="preserve">千片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季，第</t>
    </r>
    <r>
      <rPr>
        <sz val="10"/>
        <color rgb="FF111111"/>
        <rFont val="Microsoft YaHei"/>
        <family val="0"/>
        <charset val="1"/>
      </rPr>
      <t xml:space="preserve">9</t>
    </r>
    <r>
      <rPr>
        <sz val="10"/>
        <color rgb="FF111111"/>
        <rFont val="Noto Sans CJK SC"/>
        <family val="2"/>
      </rPr>
      <t xml:space="preserve">季投产）；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划</t>
    </r>
    <r>
      <rPr>
        <sz val="10"/>
        <color rgb="FF111111"/>
        <rFont val="Microsoft YaHei"/>
        <family val="0"/>
        <charset val="1"/>
      </rPr>
      <t xml:space="preserve">5%</t>
    </r>
    <r>
      <rPr>
        <sz val="10"/>
        <color rgb="FF111111"/>
        <rFont val="Noto Sans CJK SC"/>
        <family val="2"/>
      </rPr>
      <t xml:space="preserve">产能（约</t>
    </r>
    <r>
      <rPr>
        <sz val="10"/>
        <color rgb="FF111111"/>
        <rFont val="Microsoft YaHei"/>
        <family val="0"/>
        <charset val="1"/>
      </rPr>
      <t xml:space="preserve">15</t>
    </r>
    <r>
      <rPr>
        <sz val="10"/>
        <color rgb="FF111111"/>
        <rFont val="Noto Sans CJK SC"/>
        <family val="2"/>
      </rPr>
      <t xml:space="preserve">千片），按报童模型宁多勿少；普通内存满开工、按需求全部出货，现金优先给扩产；借</t>
    </r>
    <r>
      <rPr>
        <sz val="10"/>
        <color rgb="FF111111"/>
        <rFont val="Microsoft YaHei"/>
        <family val="0"/>
        <charset val="1"/>
      </rPr>
      <t xml:space="preserve">35</t>
    </r>
    <r>
      <rPr>
        <sz val="10"/>
        <color rgb="FF111111"/>
        <rFont val="Noto Sans CJK SC"/>
        <family val="2"/>
      </rPr>
      <t xml:space="preserve">亿美元，预计季末现金约</t>
    </r>
    <r>
      <rPr>
        <sz val="10"/>
        <color rgb="FF111111"/>
        <rFont val="Microsoft YaHei"/>
        <family val="0"/>
        <charset val="1"/>
      </rPr>
      <t xml:space="preserve">25</t>
    </r>
    <r>
      <rPr>
        <sz val="10"/>
        <color rgb="FF111111"/>
        <rFont val="Noto Sans CJK SC"/>
        <family val="2"/>
      </rPr>
      <t xml:space="preserve">亿、负债</t>
    </r>
    <r>
      <rPr>
        <sz val="10"/>
        <color rgb="FF111111"/>
        <rFont val="Microsoft YaHei"/>
        <family val="0"/>
        <charset val="1"/>
      </rPr>
      <t xml:space="preserve">135</t>
    </r>
    <r>
      <rPr>
        <sz val="10"/>
        <color rgb="FF111111"/>
        <rFont val="Noto Sans CJK SC"/>
        <family val="2"/>
      </rPr>
      <t xml:space="preserve">亿，低于约</t>
    </r>
    <r>
      <rPr>
        <sz val="10"/>
        <color rgb="FF111111"/>
        <rFont val="Microsoft YaHei"/>
        <family val="0"/>
        <charset val="1"/>
      </rPr>
      <t xml:space="preserve">148</t>
    </r>
    <r>
      <rPr>
        <sz val="10"/>
        <color rgb="FF111111"/>
        <rFont val="Noto Sans CJK SC"/>
        <family val="2"/>
      </rPr>
      <t xml:space="preserve">亿的上限。</t>
    </r>
  </si>
  <si>
    <r>
      <rPr>
        <sz val="10"/>
        <color rgb="FF111111"/>
        <rFont val="Microsoft YaHei"/>
        <family val="0"/>
        <charset val="1"/>
      </rPr>
      <t xml:space="preserve">Q6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Q5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0.60</t>
    </r>
    <r>
      <rPr>
        <sz val="10"/>
        <color rgb="FF111111"/>
        <rFont val="Noto Sans CJK SC"/>
        <family val="2"/>
      </rPr>
      <t xml:space="preserve">，需求</t>
    </r>
    <r>
      <rPr>
        <sz val="10"/>
        <color rgb="FF111111"/>
        <rFont val="Microsoft YaHei"/>
        <family val="0"/>
        <charset val="1"/>
      </rPr>
      <t xml:space="preserve">235</t>
    </r>
    <r>
      <rPr>
        <sz val="10"/>
        <color rgb="FF111111"/>
        <rFont val="Noto Sans CJK SC"/>
        <family val="2"/>
      </rPr>
      <t xml:space="preserve">千片；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价格指数回到</t>
    </r>
    <r>
      <rPr>
        <sz val="10"/>
        <color rgb="FF111111"/>
        <rFont val="Microsoft YaHei"/>
        <family val="0"/>
        <charset val="1"/>
      </rPr>
      <t xml:space="preserve">1.6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3840</t>
    </r>
    <r>
      <rPr>
        <sz val="10"/>
        <color rgb="FF111111"/>
        <rFont val="Noto Sans CJK SC"/>
        <family val="2"/>
      </rPr>
      <t xml:space="preserve">万美元），需求</t>
    </r>
    <r>
      <rPr>
        <sz val="10"/>
        <color rgb="FF111111"/>
        <rFont val="Microsoft YaHei"/>
        <family val="0"/>
        <charset val="1"/>
      </rPr>
      <t xml:space="preserve">12</t>
    </r>
    <r>
      <rPr>
        <sz val="10"/>
        <color rgb="FF111111"/>
        <rFont val="Noto Sans CJK SC"/>
        <family val="2"/>
      </rPr>
      <t xml:space="preserve">千片，连续加速（</t>
    </r>
    <r>
      <rPr>
        <sz val="10"/>
        <color rgb="FF111111"/>
        <rFont val="Microsoft YaHei"/>
        <family val="0"/>
        <charset val="1"/>
      </rPr>
      <t xml:space="preserve">5→5→6→8→12</t>
    </r>
    <r>
      <rPr>
        <sz val="10"/>
        <color rgb="FF111111"/>
        <rFont val="Noto Sans CJK SC"/>
        <family val="2"/>
      </rPr>
      <t xml:space="preserve">）。新闻：合约价连续回升、同业开工率回到八成、</t>
    </r>
    <r>
      <rPr>
        <sz val="10"/>
        <color rgb="FF111111"/>
        <rFont val="Microsoft YaHei"/>
        <family val="0"/>
        <charset val="1"/>
      </rPr>
      <t xml:space="preserve">AI</t>
    </r>
    <r>
      <rPr>
        <sz val="10"/>
        <color rgb="FF111111"/>
        <rFont val="Noto Sans CJK SC"/>
        <family val="2"/>
      </rPr>
      <t xml:space="preserve">加速卡订单传闻增多；一致预期下季涨</t>
    </r>
    <r>
      <rPr>
        <sz val="10"/>
        <color rgb="FF111111"/>
        <rFont val="Microsoft YaHei"/>
        <family val="0"/>
        <charset val="1"/>
      </rPr>
      <t xml:space="preserve">10%-20%</t>
    </r>
    <r>
      <rPr>
        <sz val="10"/>
        <color rgb="FF111111"/>
        <rFont val="Noto Sans CJK SC"/>
        <family val="2"/>
      </rPr>
      <t xml:space="preserve">。本季首次毛利转正，存货不再减记。判断：复苏确认，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需求进入加速期，未来瓶颈在产能而不是需求；普通内存库存</t>
    </r>
    <r>
      <rPr>
        <sz val="10"/>
        <color rgb="FF111111"/>
        <rFont val="Microsoft YaHei"/>
        <family val="0"/>
        <charset val="1"/>
      </rPr>
      <t xml:space="preserve">383</t>
    </r>
    <r>
      <rPr>
        <sz val="10"/>
        <color rgb="FF111111"/>
        <rFont val="Noto Sans CJK SC"/>
        <family val="2"/>
      </rPr>
      <t xml:space="preserve">千片足够应付复苏初期的缺口。决定：继续逆周期扩产，资本开支</t>
    </r>
    <r>
      <rPr>
        <sz val="10"/>
        <color rgb="FF111111"/>
        <rFont val="Microsoft YaHei"/>
        <family val="0"/>
        <charset val="1"/>
      </rPr>
      <t xml:space="preserve">39</t>
    </r>
    <r>
      <rPr>
        <sz val="10"/>
        <color rgb="FF111111"/>
        <rFont val="Noto Sans CJK SC"/>
        <family val="2"/>
      </rPr>
      <t xml:space="preserve">亿美元（扩产</t>
    </r>
    <r>
      <rPr>
        <sz val="10"/>
        <color rgb="FF111111"/>
        <rFont val="Microsoft YaHei"/>
        <family val="0"/>
        <charset val="1"/>
      </rPr>
      <t xml:space="preserve">24</t>
    </r>
    <r>
      <rPr>
        <sz val="10"/>
        <color rgb="FF111111"/>
        <rFont val="Noto Sans CJK SC"/>
        <family val="2"/>
      </rPr>
      <t xml:space="preserve">亿，约</t>
    </r>
    <r>
      <rPr>
        <sz val="10"/>
        <color rgb="FF111111"/>
        <rFont val="Microsoft YaHei"/>
        <family val="0"/>
        <charset val="1"/>
      </rPr>
      <t xml:space="preserve">20</t>
    </r>
    <r>
      <rPr>
        <sz val="10"/>
        <color rgb="FF111111"/>
        <rFont val="Noto Sans CJK SC"/>
        <family val="2"/>
      </rPr>
      <t xml:space="preserve">千片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季，第</t>
    </r>
    <r>
      <rPr>
        <sz val="10"/>
        <color rgb="FF111111"/>
        <rFont val="Microsoft YaHei"/>
        <family val="0"/>
        <charset val="1"/>
      </rPr>
      <t xml:space="preserve">10</t>
    </r>
    <r>
      <rPr>
        <sz val="10"/>
        <color rgb="FF111111"/>
        <rFont val="Noto Sans CJK SC"/>
        <family val="2"/>
      </rPr>
      <t xml:space="preserve">季投产）；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划</t>
    </r>
    <r>
      <rPr>
        <sz val="10"/>
        <color rgb="FF111111"/>
        <rFont val="Microsoft YaHei"/>
        <family val="0"/>
        <charset val="1"/>
      </rPr>
      <t xml:space="preserve">7%</t>
    </r>
    <r>
      <rPr>
        <sz val="10"/>
        <color rgb="FF111111"/>
        <rFont val="Noto Sans CJK SC"/>
        <family val="2"/>
      </rPr>
      <t xml:space="preserve">产能（约</t>
    </r>
    <r>
      <rPr>
        <sz val="10"/>
        <color rgb="FF111111"/>
        <rFont val="Microsoft YaHei"/>
        <family val="0"/>
        <charset val="1"/>
      </rPr>
      <t xml:space="preserve">21</t>
    </r>
    <r>
      <rPr>
        <sz val="10"/>
        <color rgb="FF111111"/>
        <rFont val="Noto Sans CJK SC"/>
        <family val="2"/>
      </rPr>
      <t xml:space="preserve">千片），按报童模型取需求分布的六成分位；普通内存满开工、按需求出货；借</t>
    </r>
    <r>
      <rPr>
        <sz val="10"/>
        <color rgb="FF111111"/>
        <rFont val="Microsoft YaHei"/>
        <family val="0"/>
        <charset val="1"/>
      </rPr>
      <t xml:space="preserve">15</t>
    </r>
    <r>
      <rPr>
        <sz val="10"/>
        <color rgb="FF111111"/>
        <rFont val="Noto Sans CJK SC"/>
        <family val="2"/>
      </rPr>
      <t xml:space="preserve">亿美元到</t>
    </r>
    <r>
      <rPr>
        <sz val="10"/>
        <color rgb="FF111111"/>
        <rFont val="Microsoft YaHei"/>
        <family val="0"/>
        <charset val="1"/>
      </rPr>
      <t xml:space="preserve">150</t>
    </r>
    <r>
      <rPr>
        <sz val="10"/>
        <color rgb="FF111111"/>
        <rFont val="Noto Sans CJK SC"/>
        <family val="2"/>
      </rPr>
      <t xml:space="preserve">亿，几乎用满上限，预计季末现金约</t>
    </r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亿美元，下季开始经营现金流转正。</t>
    </r>
  </si>
  <si>
    <r>
      <rPr>
        <sz val="10"/>
        <color rgb="FF111111"/>
        <rFont val="Microsoft YaHei"/>
        <family val="0"/>
        <charset val="1"/>
      </rPr>
      <t xml:space="preserve">Q7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Q6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0.72</t>
    </r>
    <r>
      <rPr>
        <sz val="10"/>
        <color rgb="FF111111"/>
        <rFont val="Noto Sans CJK SC"/>
        <family val="2"/>
      </rPr>
      <t xml:space="preserve">，需求</t>
    </r>
    <r>
      <rPr>
        <sz val="10"/>
        <color rgb="FF111111"/>
        <rFont val="Microsoft YaHei"/>
        <family val="0"/>
        <charset val="1"/>
      </rPr>
      <t xml:space="preserve">260</t>
    </r>
    <r>
      <rPr>
        <sz val="10"/>
        <color rgb="FF111111"/>
        <rFont val="Noto Sans CJK SC"/>
        <family val="2"/>
      </rPr>
      <t xml:space="preserve">千片；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1.9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4560</t>
    </r>
    <r>
      <rPr>
        <sz val="10"/>
        <color rgb="FF111111"/>
        <rFont val="Noto Sans CJK SC"/>
        <family val="2"/>
      </rPr>
      <t xml:space="preserve">万美元），需求</t>
    </r>
    <r>
      <rPr>
        <sz val="10"/>
        <color rgb="FF111111"/>
        <rFont val="Microsoft YaHei"/>
        <family val="0"/>
        <charset val="1"/>
      </rPr>
      <t xml:space="preserve">18</t>
    </r>
    <r>
      <rPr>
        <sz val="10"/>
        <color rgb="FF111111"/>
        <rFont val="Noto Sans CJK SC"/>
        <family val="2"/>
      </rPr>
      <t xml:space="preserve">千片，每季约增长</t>
    </r>
    <r>
      <rPr>
        <sz val="10"/>
        <color rgb="FF111111"/>
        <rFont val="Microsoft YaHei"/>
        <family val="0"/>
        <charset val="1"/>
      </rPr>
      <t xml:space="preserve">50%</t>
    </r>
    <r>
      <rPr>
        <sz val="10"/>
        <color rgb="FF111111"/>
        <rFont val="Noto Sans CJK SC"/>
        <family val="2"/>
      </rPr>
      <t xml:space="preserve">。本季净利润首次转正（</t>
    </r>
    <r>
      <rPr>
        <sz val="10"/>
        <color rgb="FF111111"/>
        <rFont val="Microsoft YaHei"/>
        <family val="0"/>
        <charset val="1"/>
      </rPr>
      <t xml:space="preserve">0.2</t>
    </r>
    <r>
      <rPr>
        <sz val="10"/>
        <color rgb="FF111111"/>
        <rFont val="Noto Sans CJK SC"/>
        <family val="2"/>
      </rPr>
      <t xml:space="preserve">亿美元）。新闻：服务器内存需求转强，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认证名额紧张、只有少数厂商通过——我们已在第</t>
    </r>
    <r>
      <rPr>
        <sz val="10"/>
        <color rgb="FF111111"/>
        <rFont val="Microsoft YaHei"/>
        <family val="0"/>
        <charset val="1"/>
      </rPr>
      <t xml:space="preserve">4</t>
    </r>
    <r>
      <rPr>
        <sz val="10"/>
        <color rgb="FF111111"/>
        <rFont val="Noto Sans CJK SC"/>
        <family val="2"/>
      </rPr>
      <t xml:space="preserve">季通过认证。一致预期下季涨</t>
    </r>
    <r>
      <rPr>
        <sz val="10"/>
        <color rgb="FF111111"/>
        <rFont val="Microsoft YaHei"/>
        <family val="0"/>
        <charset val="1"/>
      </rPr>
      <t xml:space="preserve">10%-15%</t>
    </r>
    <r>
      <rPr>
        <sz val="10"/>
        <color rgb="FF111111"/>
        <rFont val="Noto Sans CJK SC"/>
        <family val="2"/>
      </rPr>
      <t xml:space="preserve">。判断：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需求会继续高速增长，几个季度后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会占用大量产能，普通内存反而会出现缺口，产能是最稀缺的资源。决定：继续扩产，资本开支</t>
    </r>
    <r>
      <rPr>
        <sz val="10"/>
        <color rgb="FF111111"/>
        <rFont val="Microsoft YaHei"/>
        <family val="0"/>
        <charset val="1"/>
      </rPr>
      <t xml:space="preserve">33</t>
    </r>
    <r>
      <rPr>
        <sz val="10"/>
        <color rgb="FF111111"/>
        <rFont val="Noto Sans CJK SC"/>
        <family val="2"/>
      </rPr>
      <t xml:space="preserve">亿美元（扩产</t>
    </r>
    <r>
      <rPr>
        <sz val="10"/>
        <color rgb="FF111111"/>
        <rFont val="Microsoft YaHei"/>
        <family val="0"/>
        <charset val="1"/>
      </rPr>
      <t xml:space="preserve">18</t>
    </r>
    <r>
      <rPr>
        <sz val="10"/>
        <color rgb="FF111111"/>
        <rFont val="Noto Sans CJK SC"/>
        <family val="2"/>
      </rPr>
      <t xml:space="preserve">亿，约</t>
    </r>
    <r>
      <rPr>
        <sz val="10"/>
        <color rgb="FF111111"/>
        <rFont val="Microsoft YaHei"/>
        <family val="0"/>
        <charset val="1"/>
      </rPr>
      <t xml:space="preserve">15</t>
    </r>
    <r>
      <rPr>
        <sz val="10"/>
        <color rgb="FF111111"/>
        <rFont val="Noto Sans CJK SC"/>
        <family val="2"/>
      </rPr>
      <t xml:space="preserve">千片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季，第</t>
    </r>
    <r>
      <rPr>
        <sz val="10"/>
        <color rgb="FF111111"/>
        <rFont val="Microsoft YaHei"/>
        <family val="0"/>
        <charset val="1"/>
      </rPr>
      <t xml:space="preserve">11</t>
    </r>
    <r>
      <rPr>
        <sz val="10"/>
        <color rgb="FF111111"/>
        <rFont val="Noto Sans CJK SC"/>
        <family val="2"/>
      </rPr>
      <t xml:space="preserve">季投产），这是在借款已到上限（</t>
    </r>
    <r>
      <rPr>
        <sz val="10"/>
        <color rgb="FF111111"/>
        <rFont val="Microsoft YaHei"/>
        <family val="0"/>
        <charset val="1"/>
      </rPr>
      <t xml:space="preserve">150</t>
    </r>
    <r>
      <rPr>
        <sz val="10"/>
        <color rgb="FF111111"/>
        <rFont val="Noto Sans CJK SC"/>
        <family val="2"/>
      </rPr>
      <t xml:space="preserve">亿）情况下用经营现金能承受的最大规模；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划</t>
    </r>
    <r>
      <rPr>
        <sz val="10"/>
        <color rgb="FF111111"/>
        <rFont val="Microsoft YaHei"/>
        <family val="0"/>
        <charset val="1"/>
      </rPr>
      <t xml:space="preserve">11%</t>
    </r>
    <r>
      <rPr>
        <sz val="10"/>
        <color rgb="FF111111"/>
        <rFont val="Noto Sans CJK SC"/>
        <family val="2"/>
      </rPr>
      <t xml:space="preserve">产能（约</t>
    </r>
    <r>
      <rPr>
        <sz val="10"/>
        <color rgb="FF111111"/>
        <rFont val="Microsoft YaHei"/>
        <family val="0"/>
        <charset val="1"/>
      </rPr>
      <t xml:space="preserve">33</t>
    </r>
    <r>
      <rPr>
        <sz val="10"/>
        <color rgb="FF111111"/>
        <rFont val="Noto Sans CJK SC"/>
        <family val="2"/>
      </rPr>
      <t xml:space="preserve">千片），按需求约</t>
    </r>
    <r>
      <rPr>
        <sz val="10"/>
        <color rgb="FF111111"/>
        <rFont val="Microsoft YaHei"/>
        <family val="0"/>
        <charset val="1"/>
      </rPr>
      <t xml:space="preserve">27-30</t>
    </r>
    <r>
      <rPr>
        <sz val="10"/>
        <color rgb="FF111111"/>
        <rFont val="Noto Sans CJK SC"/>
        <family val="2"/>
      </rPr>
      <t xml:space="preserve">千片、宁多勿少；普通内存满开工、按需求全部出货，把现金留给扩产；本季不借款。</t>
    </r>
  </si>
  <si>
    <r>
      <rPr>
        <sz val="10"/>
        <color rgb="FF111111"/>
        <rFont val="Microsoft YaHei"/>
        <family val="0"/>
        <charset val="1"/>
      </rPr>
      <t xml:space="preserve">Q8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Q7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0.83</t>
    </r>
    <r>
      <rPr>
        <sz val="10"/>
        <color rgb="FF111111"/>
        <rFont val="Noto Sans CJK SC"/>
        <family val="2"/>
      </rPr>
      <t xml:space="preserve">，需求</t>
    </r>
    <r>
      <rPr>
        <sz val="10"/>
        <color rgb="FF111111"/>
        <rFont val="Microsoft YaHei"/>
        <family val="0"/>
        <charset val="1"/>
      </rPr>
      <t xml:space="preserve">285</t>
    </r>
    <r>
      <rPr>
        <sz val="10"/>
        <color rgb="FF111111"/>
        <rFont val="Noto Sans CJK SC"/>
        <family val="2"/>
      </rPr>
      <t xml:space="preserve">千片；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2.3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5520</t>
    </r>
    <r>
      <rPr>
        <sz val="10"/>
        <color rgb="FF111111"/>
        <rFont val="Noto Sans CJK SC"/>
        <family val="2"/>
      </rPr>
      <t xml:space="preserve">万美元，是普通内存的</t>
    </r>
    <r>
      <rPr>
        <sz val="10"/>
        <color rgb="FF111111"/>
        <rFont val="Microsoft YaHei"/>
        <family val="0"/>
        <charset val="1"/>
      </rPr>
      <t xml:space="preserve">2.8</t>
    </r>
    <r>
      <rPr>
        <sz val="10"/>
        <color rgb="FF111111"/>
        <rFont val="Noto Sans CJK SC"/>
        <family val="2"/>
      </rPr>
      <t xml:space="preserve">倍），需求</t>
    </r>
    <r>
      <rPr>
        <sz val="10"/>
        <color rgb="FF111111"/>
        <rFont val="Microsoft YaHei"/>
        <family val="0"/>
        <charset val="1"/>
      </rPr>
      <t xml:space="preserve">26</t>
    </r>
    <r>
      <rPr>
        <sz val="10"/>
        <color rgb="FF111111"/>
        <rFont val="Noto Sans CJK SC"/>
        <family val="2"/>
      </rPr>
      <t xml:space="preserve">千片，仍以每季约</t>
    </r>
    <r>
      <rPr>
        <sz val="10"/>
        <color rgb="FF111111"/>
        <rFont val="Microsoft YaHei"/>
        <family val="0"/>
        <charset val="1"/>
      </rPr>
      <t xml:space="preserve">45%</t>
    </r>
    <r>
      <rPr>
        <sz val="10"/>
        <color rgb="FF111111"/>
        <rFont val="Noto Sans CJK SC"/>
        <family val="2"/>
      </rPr>
      <t xml:space="preserve">的速度增长；本季净利润</t>
    </r>
    <r>
      <rPr>
        <sz val="10"/>
        <color rgb="FF111111"/>
        <rFont val="Microsoft YaHei"/>
        <family val="0"/>
        <charset val="1"/>
      </rPr>
      <t xml:space="preserve">9.2</t>
    </r>
    <r>
      <rPr>
        <sz val="10"/>
        <color rgb="FF111111"/>
        <rFont val="Noto Sans CJK SC"/>
        <family val="2"/>
      </rPr>
      <t xml:space="preserve">亿美元。新闻：主要云厂商上调全年资本开支、</t>
    </r>
    <r>
      <rPr>
        <sz val="10"/>
        <color rgb="FF111111"/>
        <rFont val="Microsoft YaHei"/>
        <family val="0"/>
        <charset val="1"/>
      </rPr>
      <t xml:space="preserve">AI</t>
    </r>
    <r>
      <rPr>
        <sz val="10"/>
        <color rgb="FF111111"/>
        <rFont val="Noto Sans CJK SC"/>
        <family val="2"/>
      </rPr>
      <t xml:space="preserve">服务器出货预期上修；一致预期下季涨约</t>
    </r>
    <r>
      <rPr>
        <sz val="10"/>
        <color rgb="FF111111"/>
        <rFont val="Microsoft YaHei"/>
        <family val="0"/>
        <charset val="1"/>
      </rPr>
      <t xml:space="preserve">10%</t>
    </r>
    <r>
      <rPr>
        <sz val="10"/>
        <color rgb="FF111111"/>
        <rFont val="Noto Sans CJK SC"/>
        <family val="2"/>
      </rPr>
      <t xml:space="preserve">。判断：按目前增速，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需求到第</t>
    </r>
    <r>
      <rPr>
        <sz val="10"/>
        <color rgb="FF111111"/>
        <rFont val="Microsoft YaHei"/>
        <family val="0"/>
        <charset val="1"/>
      </rPr>
      <t xml:space="preserve">12-13</t>
    </r>
    <r>
      <rPr>
        <sz val="10"/>
        <color rgb="FF111111"/>
        <rFont val="Noto Sans CJK SC"/>
        <family val="2"/>
      </rPr>
      <t xml:space="preserve">季可能超过</t>
    </r>
    <r>
      <rPr>
        <sz val="10"/>
        <color rgb="FF111111"/>
        <rFont val="Microsoft YaHei"/>
        <family val="0"/>
        <charset val="1"/>
      </rPr>
      <t xml:space="preserve">200</t>
    </r>
    <r>
      <rPr>
        <sz val="10"/>
        <color rgb="FF111111"/>
        <rFont val="Noto Sans CJK SC"/>
        <family val="2"/>
      </rPr>
      <t xml:space="preserve">千片，碰到</t>
    </r>
    <r>
      <rPr>
        <sz val="10"/>
        <color rgb="FF111111"/>
        <rFont val="Microsoft YaHei"/>
        <family val="0"/>
        <charset val="1"/>
      </rPr>
      <t xml:space="preserve">60%</t>
    </r>
    <r>
      <rPr>
        <sz val="10"/>
        <color rgb="FF111111"/>
        <rFont val="Noto Sans CJK SC"/>
        <family val="2"/>
      </rPr>
      <t xml:space="preserve">产能上限，普通内存同时会缺货，产能是最值钱的东西；每千片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产能投入</t>
    </r>
    <r>
      <rPr>
        <sz val="10"/>
        <color rgb="FF111111"/>
        <rFont val="Microsoft YaHei"/>
        <family val="0"/>
        <charset val="1"/>
      </rPr>
      <t xml:space="preserve">1.2</t>
    </r>
    <r>
      <rPr>
        <sz val="10"/>
        <color rgb="FF111111"/>
        <rFont val="Noto Sans CJK SC"/>
        <family val="2"/>
      </rPr>
      <t xml:space="preserve">亿美元、每季可赚约</t>
    </r>
    <r>
      <rPr>
        <sz val="10"/>
        <color rgb="FF111111"/>
        <rFont val="Microsoft YaHei"/>
        <family val="0"/>
        <charset val="1"/>
      </rPr>
      <t xml:space="preserve">5000</t>
    </r>
    <r>
      <rPr>
        <sz val="10"/>
        <color rgb="FF111111"/>
        <rFont val="Noto Sans CJK SC"/>
        <family val="2"/>
      </rPr>
      <t xml:space="preserve">万美元毛利，两三个季度回本。决定：加大扩产，资本开支</t>
    </r>
    <r>
      <rPr>
        <sz val="10"/>
        <color rgb="FF111111"/>
        <rFont val="Microsoft YaHei"/>
        <family val="0"/>
        <charset val="1"/>
      </rPr>
      <t xml:space="preserve">57</t>
    </r>
    <r>
      <rPr>
        <sz val="10"/>
        <color rgb="FF111111"/>
        <rFont val="Noto Sans CJK SC"/>
        <family val="2"/>
      </rPr>
      <t xml:space="preserve">亿美元（扩产</t>
    </r>
    <r>
      <rPr>
        <sz val="10"/>
        <color rgb="FF111111"/>
        <rFont val="Microsoft YaHei"/>
        <family val="0"/>
        <charset val="1"/>
      </rPr>
      <t xml:space="preserve">42</t>
    </r>
    <r>
      <rPr>
        <sz val="10"/>
        <color rgb="FF111111"/>
        <rFont val="Noto Sans CJK SC"/>
        <family val="2"/>
      </rPr>
      <t xml:space="preserve">亿，约</t>
    </r>
    <r>
      <rPr>
        <sz val="10"/>
        <color rgb="FF111111"/>
        <rFont val="Microsoft YaHei"/>
        <family val="0"/>
        <charset val="1"/>
      </rPr>
      <t xml:space="preserve">35</t>
    </r>
    <r>
      <rPr>
        <sz val="10"/>
        <color rgb="FF111111"/>
        <rFont val="Noto Sans CJK SC"/>
        <family val="2"/>
      </rPr>
      <t xml:space="preserve">千片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季，第</t>
    </r>
    <r>
      <rPr>
        <sz val="10"/>
        <color rgb="FF111111"/>
        <rFont val="Microsoft YaHei"/>
        <family val="0"/>
        <charset val="1"/>
      </rPr>
      <t xml:space="preserve">12</t>
    </r>
    <r>
      <rPr>
        <sz val="10"/>
        <color rgb="FF111111"/>
        <rFont val="Noto Sans CJK SC"/>
        <family val="2"/>
      </rPr>
      <t xml:space="preserve">季投产）；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划</t>
    </r>
    <r>
      <rPr>
        <sz val="10"/>
        <color rgb="FF111111"/>
        <rFont val="Microsoft YaHei"/>
        <family val="0"/>
        <charset val="1"/>
      </rPr>
      <t xml:space="preserve">14%</t>
    </r>
    <r>
      <rPr>
        <sz val="10"/>
        <color rgb="FF111111"/>
        <rFont val="Noto Sans CJK SC"/>
        <family val="2"/>
      </rPr>
      <t xml:space="preserve">产能（约</t>
    </r>
    <r>
      <rPr>
        <sz val="10"/>
        <color rgb="FF111111"/>
        <rFont val="Microsoft YaHei"/>
        <family val="0"/>
        <charset val="1"/>
      </rPr>
      <t xml:space="preserve">42</t>
    </r>
    <r>
      <rPr>
        <sz val="10"/>
        <color rgb="FF111111"/>
        <rFont val="Noto Sans CJK SC"/>
        <family val="2"/>
      </rPr>
      <t xml:space="preserve">千片），按报童模型取需求分布约七成分位；普通内存满开工、按需求出货，库存开始下降；借</t>
    </r>
    <r>
      <rPr>
        <sz val="10"/>
        <color rgb="FF111111"/>
        <rFont val="Microsoft YaHei"/>
        <family val="0"/>
        <charset val="1"/>
      </rPr>
      <t xml:space="preserve">5</t>
    </r>
    <r>
      <rPr>
        <sz val="10"/>
        <color rgb="FF111111"/>
        <rFont val="Noto Sans CJK SC"/>
        <family val="2"/>
      </rPr>
      <t xml:space="preserve">亿美元用满上限。</t>
    </r>
  </si>
  <si>
    <r>
      <rPr>
        <sz val="10"/>
        <color rgb="FF111111"/>
        <rFont val="Microsoft YaHei"/>
        <family val="0"/>
        <charset val="1"/>
      </rPr>
      <t xml:space="preserve">Q9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Q8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0.92</t>
    </r>
    <r>
      <rPr>
        <sz val="10"/>
        <color rgb="FF111111"/>
        <rFont val="Noto Sans CJK SC"/>
        <family val="2"/>
      </rPr>
      <t xml:space="preserve">，需求</t>
    </r>
    <r>
      <rPr>
        <sz val="10"/>
        <color rgb="FF111111"/>
        <rFont val="Microsoft YaHei"/>
        <family val="0"/>
        <charset val="1"/>
      </rPr>
      <t xml:space="preserve">305</t>
    </r>
    <r>
      <rPr>
        <sz val="10"/>
        <color rgb="FF111111"/>
        <rFont val="Noto Sans CJK SC"/>
        <family val="2"/>
      </rPr>
      <t xml:space="preserve">千片；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2.8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6720</t>
    </r>
    <r>
      <rPr>
        <sz val="10"/>
        <color rgb="FF111111"/>
        <rFont val="Noto Sans CJK SC"/>
        <family val="2"/>
      </rPr>
      <t xml:space="preserve">万美元），需求</t>
    </r>
    <r>
      <rPr>
        <sz val="10"/>
        <color rgb="FF111111"/>
        <rFont val="Microsoft YaHei"/>
        <family val="0"/>
        <charset val="1"/>
      </rPr>
      <t xml:space="preserve">36</t>
    </r>
    <r>
      <rPr>
        <sz val="10"/>
        <color rgb="FF111111"/>
        <rFont val="Noto Sans CJK SC"/>
        <family val="2"/>
      </rPr>
      <t xml:space="preserve">千片，本季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收入</t>
    </r>
    <r>
      <rPr>
        <sz val="10"/>
        <color rgb="FF111111"/>
        <rFont val="Microsoft YaHei"/>
        <family val="0"/>
        <charset val="1"/>
      </rPr>
      <t xml:space="preserve">24</t>
    </r>
    <r>
      <rPr>
        <sz val="10"/>
        <color rgb="FF111111"/>
        <rFont val="Noto Sans CJK SC"/>
        <family val="2"/>
      </rPr>
      <t xml:space="preserve">亿美元；净利润</t>
    </r>
    <r>
      <rPr>
        <sz val="10"/>
        <color rgb="FF111111"/>
        <rFont val="Microsoft YaHei"/>
        <family val="0"/>
        <charset val="1"/>
      </rPr>
      <t xml:space="preserve">21.6</t>
    </r>
    <r>
      <rPr>
        <sz val="10"/>
        <color rgb="FF111111"/>
        <rFont val="Noto Sans CJK SC"/>
        <family val="2"/>
      </rPr>
      <t xml:space="preserve">亿美元。新闻：普通内存涨势放缓，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供不应求、排产到明年；一致预期普通内存持平到小涨、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继续涨。判断：普通内存接近这一轮的顶部，库存</t>
    </r>
    <r>
      <rPr>
        <sz val="10"/>
        <color rgb="FF111111"/>
        <rFont val="Microsoft YaHei"/>
        <family val="0"/>
        <charset val="1"/>
      </rPr>
      <t xml:space="preserve">337</t>
    </r>
    <r>
      <rPr>
        <sz val="10"/>
        <color rgb="FF111111"/>
        <rFont val="Noto Sans CJK SC"/>
        <family val="2"/>
      </rPr>
      <t xml:space="preserve">千片应在高价区尽量卖掉；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需求还会以每季约</t>
    </r>
    <r>
      <rPr>
        <sz val="10"/>
        <color rgb="FF111111"/>
        <rFont val="Microsoft YaHei"/>
        <family val="0"/>
        <charset val="1"/>
      </rPr>
      <t xml:space="preserve">40%</t>
    </r>
    <r>
      <rPr>
        <sz val="10"/>
        <color rgb="FF111111"/>
        <rFont val="Noto Sans CJK SC"/>
        <family val="2"/>
      </rPr>
      <t xml:space="preserve">增长，第</t>
    </r>
    <r>
      <rPr>
        <sz val="10"/>
        <color rgb="FF111111"/>
        <rFont val="Microsoft YaHei"/>
        <family val="0"/>
        <charset val="1"/>
      </rPr>
      <t xml:space="preserve">13</t>
    </r>
    <r>
      <rPr>
        <sz val="10"/>
        <color rgb="FF111111"/>
        <rFont val="Noto Sans CJK SC"/>
        <family val="2"/>
      </rPr>
      <t xml:space="preserve">季起产能会成为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和普通内存共同的瓶颈。本季下单的产能第</t>
    </r>
    <r>
      <rPr>
        <sz val="10"/>
        <color rgb="FF111111"/>
        <rFont val="Microsoft YaHei"/>
        <family val="0"/>
        <charset val="1"/>
      </rPr>
      <t xml:space="preserve">13</t>
    </r>
    <r>
      <rPr>
        <sz val="10"/>
        <color rgb="FF111111"/>
        <rFont val="Noto Sans CJK SC"/>
        <family val="2"/>
      </rPr>
      <t xml:space="preserve">季投产，只剩</t>
    </r>
    <r>
      <rPr>
        <sz val="10"/>
        <color rgb="FF111111"/>
        <rFont val="Microsoft YaHei"/>
        <family val="0"/>
        <charset val="1"/>
      </rPr>
      <t xml:space="preserve">4</t>
    </r>
    <r>
      <rPr>
        <sz val="10"/>
        <color rgb="FF111111"/>
        <rFont val="Noto Sans CJK SC"/>
        <family val="2"/>
      </rPr>
      <t xml:space="preserve">个季度可用，按每千片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毛利约</t>
    </r>
    <r>
      <rPr>
        <sz val="10"/>
        <color rgb="FF111111"/>
        <rFont val="Microsoft YaHei"/>
        <family val="0"/>
        <charset val="1"/>
      </rPr>
      <t xml:space="preserve">6000</t>
    </r>
    <r>
      <rPr>
        <sz val="10"/>
        <color rgb="FF111111"/>
        <rFont val="Noto Sans CJK SC"/>
        <family val="2"/>
      </rPr>
      <t xml:space="preserve">万美元测算仍明显划算，但这是扩产的最后窗口，之后不再大规模扩产。决定：资本开支</t>
    </r>
    <r>
      <rPr>
        <sz val="10"/>
        <color rgb="FF111111"/>
        <rFont val="Microsoft YaHei"/>
        <family val="0"/>
        <charset val="1"/>
      </rPr>
      <t xml:space="preserve">63</t>
    </r>
    <r>
      <rPr>
        <sz val="10"/>
        <color rgb="FF111111"/>
        <rFont val="Noto Sans CJK SC"/>
        <family val="2"/>
      </rPr>
      <t xml:space="preserve">亿美元（扩产</t>
    </r>
    <r>
      <rPr>
        <sz val="10"/>
        <color rgb="FF111111"/>
        <rFont val="Microsoft YaHei"/>
        <family val="0"/>
        <charset val="1"/>
      </rPr>
      <t xml:space="preserve">48</t>
    </r>
    <r>
      <rPr>
        <sz val="10"/>
        <color rgb="FF111111"/>
        <rFont val="Noto Sans CJK SC"/>
        <family val="2"/>
      </rPr>
      <t xml:space="preserve">亿，约</t>
    </r>
    <r>
      <rPr>
        <sz val="10"/>
        <color rgb="FF111111"/>
        <rFont val="Microsoft YaHei"/>
        <family val="0"/>
        <charset val="1"/>
      </rPr>
      <t xml:space="preserve">40</t>
    </r>
    <r>
      <rPr>
        <sz val="10"/>
        <color rgb="FF111111"/>
        <rFont val="Noto Sans CJK SC"/>
        <family val="2"/>
      </rPr>
      <t xml:space="preserve">千片</t>
    </r>
    <r>
      <rPr>
        <sz val="10"/>
        <color rgb="FF111111"/>
        <rFont val="Microsoft YaHei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季）；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划</t>
    </r>
    <r>
      <rPr>
        <sz val="10"/>
        <color rgb="FF111111"/>
        <rFont val="Microsoft YaHei"/>
        <family val="0"/>
        <charset val="1"/>
      </rPr>
      <t xml:space="preserve">17%</t>
    </r>
    <r>
      <rPr>
        <sz val="10"/>
        <color rgb="FF111111"/>
        <rFont val="Noto Sans CJK SC"/>
        <family val="2"/>
      </rPr>
      <t xml:space="preserve">产能（第</t>
    </r>
    <r>
      <rPr>
        <sz val="10"/>
        <color rgb="FF111111"/>
        <rFont val="Microsoft YaHei"/>
        <family val="0"/>
        <charset val="1"/>
      </rPr>
      <t xml:space="preserve">9</t>
    </r>
    <r>
      <rPr>
        <sz val="10"/>
        <color rgb="FF111111"/>
        <rFont val="Noto Sans CJK SC"/>
        <family val="2"/>
      </rPr>
      <t xml:space="preserve">季产能</t>
    </r>
    <r>
      <rPr>
        <sz val="10"/>
        <color rgb="FF111111"/>
        <rFont val="Microsoft YaHei"/>
        <family val="0"/>
        <charset val="1"/>
      </rPr>
      <t xml:space="preserve">325</t>
    </r>
    <r>
      <rPr>
        <sz val="10"/>
        <color rgb="FF111111"/>
        <rFont val="Noto Sans CJK SC"/>
        <family val="2"/>
      </rPr>
      <t xml:space="preserve">千片，约</t>
    </r>
    <r>
      <rPr>
        <sz val="10"/>
        <color rgb="FF111111"/>
        <rFont val="Microsoft YaHei"/>
        <family val="0"/>
        <charset val="1"/>
      </rPr>
      <t xml:space="preserve">55</t>
    </r>
    <r>
      <rPr>
        <sz val="10"/>
        <color rgb="FF111111"/>
        <rFont val="Noto Sans CJK SC"/>
        <family val="2"/>
      </rPr>
      <t xml:space="preserve">千片）；普通内存满开工、按需求全部出货；借</t>
    </r>
    <r>
      <rPr>
        <sz val="10"/>
        <color rgb="FF111111"/>
        <rFont val="Microsoft YaHei"/>
        <family val="0"/>
        <charset val="1"/>
      </rPr>
      <t xml:space="preserve">13</t>
    </r>
    <r>
      <rPr>
        <sz val="10"/>
        <color rgb="FF111111"/>
        <rFont val="Noto Sans CJK SC"/>
        <family val="2"/>
      </rPr>
      <t xml:space="preserve">亿美元，负债</t>
    </r>
    <r>
      <rPr>
        <sz val="10"/>
        <color rgb="FF111111"/>
        <rFont val="Microsoft YaHei"/>
        <family val="0"/>
        <charset val="1"/>
      </rPr>
      <t xml:space="preserve">168</t>
    </r>
    <r>
      <rPr>
        <sz val="10"/>
        <color rgb="FF111111"/>
        <rFont val="Noto Sans CJK SC"/>
        <family val="2"/>
      </rPr>
      <t xml:space="preserve">亿，贴近上限。</t>
    </r>
  </si>
  <si>
    <r>
      <rPr>
        <sz val="10"/>
        <color rgb="FF111111"/>
        <rFont val="Microsoft YaHei"/>
        <family val="0"/>
        <charset val="1"/>
      </rPr>
      <t xml:space="preserve">Q10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Q9</t>
    </r>
    <r>
      <rPr>
        <sz val="10"/>
        <color rgb="FF111111"/>
        <rFont val="Noto Sans CJK SC"/>
        <family val="2"/>
      </rPr>
      <t xml:space="preserve">普通内存价格指数</t>
    </r>
    <r>
      <rPr>
        <sz val="10"/>
        <color rgb="FF111111"/>
        <rFont val="Microsoft YaHei"/>
        <family val="0"/>
        <charset val="1"/>
      </rPr>
      <t xml:space="preserve">1.00</t>
    </r>
    <r>
      <rPr>
        <sz val="10"/>
        <color rgb="FF111111"/>
        <rFont val="Noto Sans CJK SC"/>
        <family val="2"/>
      </rPr>
      <t xml:space="preserve">、需求</t>
    </r>
    <r>
      <rPr>
        <sz val="10"/>
        <color rgb="FF111111"/>
        <rFont val="Microsoft YaHei"/>
        <family val="0"/>
        <charset val="1"/>
      </rPr>
      <t xml:space="preserve">320</t>
    </r>
    <r>
      <rPr>
        <sz val="10"/>
        <color rgb="FF111111"/>
        <rFont val="Noto Sans CJK SC"/>
        <family val="2"/>
      </rPr>
      <t xml:space="preserve">千片；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3.4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8160</t>
    </r>
    <r>
      <rPr>
        <sz val="10"/>
        <color rgb="FF111111"/>
        <rFont val="Noto Sans CJK SC"/>
        <family val="2"/>
      </rPr>
      <t xml:space="preserve">万美元），需求</t>
    </r>
    <r>
      <rPr>
        <sz val="10"/>
        <color rgb="FF111111"/>
        <rFont val="Microsoft YaHei"/>
        <family val="0"/>
        <charset val="1"/>
      </rPr>
      <t xml:space="preserve">48</t>
    </r>
    <r>
      <rPr>
        <sz val="10"/>
        <color rgb="FF111111"/>
        <rFont val="Noto Sans CJK SC"/>
        <family val="2"/>
      </rPr>
      <t xml:space="preserve">千片，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收入</t>
    </r>
    <r>
      <rPr>
        <sz val="10"/>
        <color rgb="FF111111"/>
        <rFont val="Microsoft YaHei"/>
        <family val="0"/>
        <charset val="1"/>
      </rPr>
      <t xml:space="preserve">39</t>
    </r>
    <r>
      <rPr>
        <sz val="10"/>
        <color rgb="FF111111"/>
        <rFont val="Noto Sans CJK SC"/>
        <family val="2"/>
      </rPr>
      <t xml:space="preserve">亿美元；净利润</t>
    </r>
    <r>
      <rPr>
        <sz val="10"/>
        <color rgb="FF111111"/>
        <rFont val="Microsoft YaHei"/>
        <family val="0"/>
        <charset val="1"/>
      </rPr>
      <t xml:space="preserve">38</t>
    </r>
    <r>
      <rPr>
        <sz val="10"/>
        <color rgb="FF111111"/>
        <rFont val="Noto Sans CJK SC"/>
        <family val="2"/>
      </rPr>
      <t xml:space="preserve">亿美元，经营现金流</t>
    </r>
    <r>
      <rPr>
        <sz val="10"/>
        <color rgb="FF111111"/>
        <rFont val="Microsoft YaHei"/>
        <family val="0"/>
        <charset val="1"/>
      </rPr>
      <t xml:space="preserve">70</t>
    </r>
    <r>
      <rPr>
        <sz val="10"/>
        <color rgb="FF111111"/>
        <rFont val="Noto Sans CJK SC"/>
        <family val="2"/>
      </rPr>
      <t xml:space="preserve">亿美元。从报表还看出：扩产投资在投产当季才开始折旧，工厂费用不随产能增加。新闻：消费电子平淡，普通内存短暂回调；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订单继续增加；一致预期普通内存小幅波动、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上涨。判断：普通内存到顶，不再为它扩产；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需求增量每季多</t>
    </r>
    <r>
      <rPr>
        <sz val="10"/>
        <color rgb="FF111111"/>
        <rFont val="Microsoft YaHei"/>
        <family val="0"/>
        <charset val="1"/>
      </rPr>
      <t xml:space="preserve">2</t>
    </r>
    <r>
      <rPr>
        <sz val="10"/>
        <color rgb="FF111111"/>
        <rFont val="Noto Sans CJK SC"/>
        <family val="2"/>
      </rPr>
      <t xml:space="preserve">千片左右（</t>
    </r>
    <r>
      <rPr>
        <sz val="10"/>
        <color rgb="FF111111"/>
        <rFont val="Microsoft YaHei"/>
        <family val="0"/>
        <charset val="1"/>
      </rPr>
      <t xml:space="preserve">6</t>
    </r>
    <r>
      <rPr>
        <sz val="10"/>
        <color rgb="FF111111"/>
        <rFont val="Noto Sans CJK SC"/>
        <family val="2"/>
      </rPr>
      <t xml:space="preserve">、</t>
    </r>
    <r>
      <rPr>
        <sz val="10"/>
        <color rgb="FF111111"/>
        <rFont val="Microsoft YaHei"/>
        <family val="0"/>
        <charset val="1"/>
      </rPr>
      <t xml:space="preserve">8</t>
    </r>
    <r>
      <rPr>
        <sz val="10"/>
        <color rgb="FF111111"/>
        <rFont val="Noto Sans CJK SC"/>
        <family val="2"/>
      </rPr>
      <t xml:space="preserve">、</t>
    </r>
    <r>
      <rPr>
        <sz val="10"/>
        <color rgb="FF111111"/>
        <rFont val="Microsoft YaHei"/>
        <family val="0"/>
        <charset val="1"/>
      </rPr>
      <t xml:space="preserve">10</t>
    </r>
    <r>
      <rPr>
        <sz val="10"/>
        <color rgb="FF111111"/>
        <rFont val="Noto Sans CJK SC"/>
        <family val="2"/>
      </rPr>
      <t xml:space="preserve">、</t>
    </r>
    <r>
      <rPr>
        <sz val="10"/>
        <color rgb="FF111111"/>
        <rFont val="Microsoft YaHei"/>
        <family val="0"/>
        <charset val="1"/>
      </rPr>
      <t xml:space="preserve">12</t>
    </r>
    <r>
      <rPr>
        <sz val="10"/>
        <color rgb="FF111111"/>
        <rFont val="Noto Sans CJK SC"/>
        <family val="2"/>
      </rPr>
      <t xml:space="preserve">），按此推算第</t>
    </r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季约</t>
    </r>
    <r>
      <rPr>
        <sz val="10"/>
        <color rgb="FF111111"/>
        <rFont val="Microsoft YaHei"/>
        <family val="0"/>
        <charset val="1"/>
      </rPr>
      <t xml:space="preserve">190</t>
    </r>
    <r>
      <rPr>
        <sz val="10"/>
        <color rgb="FF111111"/>
        <rFont val="Noto Sans CJK SC"/>
        <family val="2"/>
      </rPr>
      <t xml:space="preserve">千片，现有在建产能基本够用，但若</t>
    </r>
    <r>
      <rPr>
        <sz val="10"/>
        <color rgb="FF111111"/>
        <rFont val="Microsoft YaHei"/>
        <family val="0"/>
        <charset val="1"/>
      </rPr>
      <t xml:space="preserve">AI</t>
    </r>
    <r>
      <rPr>
        <sz val="10"/>
        <color rgb="FF111111"/>
        <rFont val="Noto Sans CJK SC"/>
        <family val="2"/>
      </rPr>
      <t xml:space="preserve">需求更快，第</t>
    </r>
    <r>
      <rPr>
        <sz val="10"/>
        <color rgb="FF111111"/>
        <rFont val="Microsoft YaHei"/>
        <family val="0"/>
        <charset val="1"/>
      </rPr>
      <t xml:space="preserve">15-16</t>
    </r>
    <r>
      <rPr>
        <sz val="10"/>
        <color rgb="FF111111"/>
        <rFont val="Noto Sans CJK SC"/>
        <family val="2"/>
      </rPr>
      <t xml:space="preserve">季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会碰到</t>
    </r>
    <r>
      <rPr>
        <sz val="10"/>
        <color rgb="FF111111"/>
        <rFont val="Microsoft YaHei"/>
        <family val="0"/>
        <charset val="1"/>
      </rPr>
      <t xml:space="preserve">60%</t>
    </r>
    <r>
      <rPr>
        <sz val="10"/>
        <color rgb="FF111111"/>
        <rFont val="Noto Sans CJK SC"/>
        <family val="2"/>
      </rPr>
      <t xml:space="preserve">上限。决定：最后一笔中等规模扩产</t>
    </r>
    <r>
      <rPr>
        <sz val="10"/>
        <color rgb="FF111111"/>
        <rFont val="Microsoft YaHei"/>
        <family val="0"/>
        <charset val="1"/>
      </rPr>
      <t xml:space="preserve">36</t>
    </r>
    <r>
      <rPr>
        <sz val="10"/>
        <color rgb="FF111111"/>
        <rFont val="Noto Sans CJK SC"/>
        <family val="2"/>
      </rPr>
      <t xml:space="preserve">亿美元（约</t>
    </r>
    <r>
      <rPr>
        <sz val="10"/>
        <color rgb="FF111111"/>
        <rFont val="Microsoft YaHei"/>
        <family val="0"/>
        <charset val="1"/>
      </rPr>
      <t xml:space="preserve">30</t>
    </r>
    <r>
      <rPr>
        <sz val="10"/>
        <color rgb="FF111111"/>
        <rFont val="Noto Sans CJK SC"/>
        <family val="2"/>
      </rPr>
      <t xml:space="preserve">千片，第</t>
    </r>
    <r>
      <rPr>
        <sz val="10"/>
        <color rgb="FF111111"/>
        <rFont val="Microsoft YaHei"/>
        <family val="0"/>
        <charset val="1"/>
      </rPr>
      <t xml:space="preserve">14</t>
    </r>
    <r>
      <rPr>
        <sz val="10"/>
        <color rgb="FF111111"/>
        <rFont val="Noto Sans CJK SC"/>
        <family val="2"/>
      </rPr>
      <t xml:space="preserve">季投产）作为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上行情景的保险，资本开支合计</t>
    </r>
    <r>
      <rPr>
        <sz val="10"/>
        <color rgb="FF111111"/>
        <rFont val="Microsoft YaHei"/>
        <family val="0"/>
        <charset val="1"/>
      </rPr>
      <t xml:space="preserve">51</t>
    </r>
    <r>
      <rPr>
        <sz val="10"/>
        <color rgb="FF111111"/>
        <rFont val="Noto Sans CJK SC"/>
        <family val="2"/>
      </rPr>
      <t xml:space="preserve">亿；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划</t>
    </r>
    <r>
      <rPr>
        <sz val="10"/>
        <color rgb="FF111111"/>
        <rFont val="Microsoft YaHei"/>
        <family val="0"/>
        <charset val="1"/>
      </rPr>
      <t xml:space="preserve">20%</t>
    </r>
    <r>
      <rPr>
        <sz val="10"/>
        <color rgb="FF111111"/>
        <rFont val="Noto Sans CJK SC"/>
        <family val="2"/>
      </rPr>
      <t xml:space="preserve">产能（约</t>
    </r>
    <r>
      <rPr>
        <sz val="10"/>
        <color rgb="FF111111"/>
        <rFont val="Microsoft YaHei"/>
        <family val="0"/>
        <charset val="1"/>
      </rPr>
      <t xml:space="preserve">69</t>
    </r>
    <r>
      <rPr>
        <sz val="10"/>
        <color rgb="FF111111"/>
        <rFont val="Noto Sans CJK SC"/>
        <family val="2"/>
      </rPr>
      <t xml:space="preserve">千片），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单片毛利远高于普通内存，按报童模型取高分位；普通内存满开工、按需求出货；经营现金充裕，先还</t>
    </r>
    <r>
      <rPr>
        <sz val="10"/>
        <color rgb="FF111111"/>
        <rFont val="Microsoft YaHei"/>
        <family val="0"/>
        <charset val="1"/>
      </rPr>
      <t xml:space="preserve">20</t>
    </r>
    <r>
      <rPr>
        <sz val="10"/>
        <color rgb="FF111111"/>
        <rFont val="Noto Sans CJK SC"/>
        <family val="2"/>
      </rPr>
      <t xml:space="preserve">亿美元借款。</t>
    </r>
  </si>
  <si>
    <r>
      <rPr>
        <sz val="10"/>
        <color rgb="FF111111"/>
        <rFont val="Microsoft YaHei"/>
        <family val="0"/>
        <charset val="1"/>
      </rPr>
      <t xml:space="preserve">Q11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Q10</t>
    </r>
    <r>
      <rPr>
        <sz val="10"/>
        <color rgb="FF111111"/>
        <rFont val="Noto Sans CJK SC"/>
        <family val="2"/>
      </rPr>
      <t xml:space="preserve">普通内存价格指数</t>
    </r>
    <r>
      <rPr>
        <sz val="10"/>
        <color rgb="FF111111"/>
        <rFont val="Microsoft YaHei"/>
        <family val="0"/>
        <charset val="1"/>
      </rPr>
      <t xml:space="preserve">0.97</t>
    </r>
    <r>
      <rPr>
        <sz val="10"/>
        <color rgb="FF111111"/>
        <rFont val="Noto Sans CJK SC"/>
        <family val="2"/>
      </rPr>
      <t xml:space="preserve">、需求</t>
    </r>
    <r>
      <rPr>
        <sz val="10"/>
        <color rgb="FF111111"/>
        <rFont val="Microsoft YaHei"/>
        <family val="0"/>
        <charset val="1"/>
      </rPr>
      <t xml:space="preserve">320</t>
    </r>
    <r>
      <rPr>
        <sz val="10"/>
        <color rgb="FF111111"/>
        <rFont val="Noto Sans CJK SC"/>
        <family val="2"/>
      </rPr>
      <t xml:space="preserve">千片；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4.0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9600</t>
    </r>
    <r>
      <rPr>
        <sz val="10"/>
        <color rgb="FF111111"/>
        <rFont val="Noto Sans CJK SC"/>
        <family val="2"/>
      </rPr>
      <t xml:space="preserve">万美元），需求</t>
    </r>
    <r>
      <rPr>
        <sz val="10"/>
        <color rgb="FF111111"/>
        <rFont val="Microsoft YaHei"/>
        <family val="0"/>
        <charset val="1"/>
      </rPr>
      <t xml:space="preserve">60</t>
    </r>
    <r>
      <rPr>
        <sz val="10"/>
        <color rgb="FF111111"/>
        <rFont val="Noto Sans CJK SC"/>
        <family val="2"/>
      </rPr>
      <t xml:space="preserve">千片，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收入</t>
    </r>
    <r>
      <rPr>
        <sz val="10"/>
        <color rgb="FF111111"/>
        <rFont val="Microsoft YaHei"/>
        <family val="0"/>
        <charset val="1"/>
      </rPr>
      <t xml:space="preserve">58</t>
    </r>
    <r>
      <rPr>
        <sz val="10"/>
        <color rgb="FF111111"/>
        <rFont val="Noto Sans CJK SC"/>
        <family val="2"/>
      </rPr>
      <t xml:space="preserve">亿美元，已占营收</t>
    </r>
    <r>
      <rPr>
        <sz val="10"/>
        <color rgb="FF111111"/>
        <rFont val="Microsoft YaHei"/>
        <family val="0"/>
        <charset val="1"/>
      </rPr>
      <t xml:space="preserve">44%</t>
    </r>
    <r>
      <rPr>
        <sz val="10"/>
        <color rgb="FF111111"/>
        <rFont val="Noto Sans CJK SC"/>
        <family val="2"/>
      </rPr>
      <t xml:space="preserve">；净利润</t>
    </r>
    <r>
      <rPr>
        <sz val="10"/>
        <color rgb="FF111111"/>
        <rFont val="Microsoft YaHei"/>
        <family val="0"/>
        <charset val="1"/>
      </rPr>
      <t xml:space="preserve">50</t>
    </r>
    <r>
      <rPr>
        <sz val="10"/>
        <color rgb="FF111111"/>
        <rFont val="Noto Sans CJK SC"/>
        <family val="2"/>
      </rPr>
      <t xml:space="preserve">亿美元，经营现金流</t>
    </r>
    <r>
      <rPr>
        <sz val="10"/>
        <color rgb="FF111111"/>
        <rFont val="Microsoft YaHei"/>
        <family val="0"/>
        <charset val="1"/>
      </rPr>
      <t xml:space="preserve">83</t>
    </r>
    <r>
      <rPr>
        <sz val="10"/>
        <color rgb="FF111111"/>
        <rFont val="Noto Sans CJK SC"/>
        <family val="2"/>
      </rPr>
      <t xml:space="preserve">亿美元。新闻：新一代</t>
    </r>
    <r>
      <rPr>
        <sz val="10"/>
        <color rgb="FF111111"/>
        <rFont val="Microsoft YaHei"/>
        <family val="0"/>
        <charset val="1"/>
      </rPr>
      <t xml:space="preserve">AI</t>
    </r>
    <r>
      <rPr>
        <sz val="10"/>
        <color rgb="FF111111"/>
        <rFont val="Noto Sans CJK SC"/>
        <family val="2"/>
      </rPr>
      <t xml:space="preserve">芯片发布带动服务器内存需求，同业扩产谨慎、新产能一年后才出来；一致预期下季涨</t>
    </r>
    <r>
      <rPr>
        <sz val="10"/>
        <color rgb="FF111111"/>
        <rFont val="Microsoft YaHei"/>
        <family val="0"/>
        <charset val="1"/>
      </rPr>
      <t xml:space="preserve">5%-15%</t>
    </r>
    <r>
      <rPr>
        <sz val="10"/>
        <color rgb="FF111111"/>
        <rFont val="Noto Sans CJK SC"/>
        <family val="2"/>
      </rPr>
      <t xml:space="preserve">。判断：未来</t>
    </r>
    <r>
      <rPr>
        <sz val="10"/>
        <color rgb="FF111111"/>
        <rFont val="Microsoft YaHei"/>
        <family val="0"/>
        <charset val="1"/>
      </rPr>
      <t xml:space="preserve">3-4</t>
    </r>
    <r>
      <rPr>
        <sz val="10"/>
        <color rgb="FF111111"/>
        <rFont val="Noto Sans CJK SC"/>
        <family val="2"/>
      </rPr>
      <t xml:space="preserve">个季度供给偏紧、价格向上，但同业新产能约在第</t>
    </r>
    <r>
      <rPr>
        <sz val="10"/>
        <color rgb="FF111111"/>
        <rFont val="Microsoft YaHei"/>
        <family val="0"/>
        <charset val="1"/>
      </rPr>
      <t xml:space="preserve">14-15</t>
    </r>
    <r>
      <rPr>
        <sz val="10"/>
        <color rgb="FF111111"/>
        <rFont val="Noto Sans CJK SC"/>
        <family val="2"/>
      </rPr>
      <t xml:space="preserve">季释放，届时普通内存可能转弱。按在建产能推算（第</t>
    </r>
    <r>
      <rPr>
        <sz val="10"/>
        <color rgb="FF111111"/>
        <rFont val="Microsoft YaHei"/>
        <family val="0"/>
        <charset val="1"/>
      </rPr>
      <t xml:space="preserve">14</t>
    </r>
    <r>
      <rPr>
        <sz val="10"/>
        <color rgb="FF111111"/>
        <rFont val="Noto Sans CJK SC"/>
        <family val="2"/>
      </rPr>
      <t xml:space="preserve">季起</t>
    </r>
    <r>
      <rPr>
        <sz val="10"/>
        <color rgb="FF111111"/>
        <rFont val="Microsoft YaHei"/>
        <family val="0"/>
        <charset val="1"/>
      </rPr>
      <t xml:space="preserve">465</t>
    </r>
    <r>
      <rPr>
        <sz val="10"/>
        <color rgb="FF111111"/>
        <rFont val="Noto Sans CJK SC"/>
        <family val="2"/>
      </rPr>
      <t xml:space="preserve">千片），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需求和普通内存需求基本都能满足，库存还剩约</t>
    </r>
    <r>
      <rPr>
        <sz val="10"/>
        <color rgb="FF111111"/>
        <rFont val="Microsoft YaHei"/>
        <family val="0"/>
        <charset val="1"/>
      </rPr>
      <t xml:space="preserve">170-240</t>
    </r>
    <r>
      <rPr>
        <sz val="10"/>
        <color rgb="FF111111"/>
        <rFont val="Noto Sans CJK SC"/>
        <family val="2"/>
      </rPr>
      <t xml:space="preserve">千片缓冲；现在下单的产能第</t>
    </r>
    <r>
      <rPr>
        <sz val="10"/>
        <color rgb="FF111111"/>
        <rFont val="Microsoft YaHei"/>
        <family val="0"/>
        <charset val="1"/>
      </rPr>
      <t xml:space="preserve">15</t>
    </r>
    <r>
      <rPr>
        <sz val="10"/>
        <color rgb="FF111111"/>
        <rFont val="Noto Sans CJK SC"/>
        <family val="2"/>
      </rPr>
      <t xml:space="preserve">季才投产，只能用</t>
    </r>
    <r>
      <rPr>
        <sz val="10"/>
        <color rgb="FF111111"/>
        <rFont val="Microsoft YaHei"/>
        <family val="0"/>
        <charset val="1"/>
      </rPr>
      <t xml:space="preserve">2</t>
    </r>
    <r>
      <rPr>
        <sz val="10"/>
        <color rgb="FF111111"/>
        <rFont val="Noto Sans CJK SC"/>
        <family val="2"/>
      </rPr>
      <t xml:space="preserve">个季度，不再扩产，资本开支只做</t>
    </r>
    <r>
      <rPr>
        <sz val="10"/>
        <color rgb="FF111111"/>
        <rFont val="Microsoft YaHei"/>
        <family val="0"/>
        <charset val="1"/>
      </rPr>
      <t xml:space="preserve">15</t>
    </r>
    <r>
      <rPr>
        <sz val="10"/>
        <color rgb="FF111111"/>
        <rFont val="Noto Sans CJK SC"/>
        <family val="2"/>
      </rPr>
      <t xml:space="preserve">亿维持。决定：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划</t>
    </r>
    <r>
      <rPr>
        <sz val="10"/>
        <color rgb="FF111111"/>
        <rFont val="Microsoft YaHei"/>
        <family val="0"/>
        <charset val="1"/>
      </rPr>
      <t xml:space="preserve">23.5%</t>
    </r>
    <r>
      <rPr>
        <sz val="10"/>
        <color rgb="FF111111"/>
        <rFont val="Noto Sans CJK SC"/>
        <family val="2"/>
      </rPr>
      <t xml:space="preserve">产能（约</t>
    </r>
    <r>
      <rPr>
        <sz val="10"/>
        <color rgb="FF111111"/>
        <rFont val="Microsoft YaHei"/>
        <family val="0"/>
        <charset val="1"/>
      </rPr>
      <t xml:space="preserve">85</t>
    </r>
    <r>
      <rPr>
        <sz val="10"/>
        <color rgb="FF111111"/>
        <rFont val="Noto Sans CJK SC"/>
        <family val="2"/>
      </rPr>
      <t xml:space="preserve">千片），按需求约</t>
    </r>
    <r>
      <rPr>
        <sz val="10"/>
        <color rgb="FF111111"/>
        <rFont val="Microsoft YaHei"/>
        <family val="0"/>
        <charset val="1"/>
      </rPr>
      <t xml:space="preserve">75</t>
    </r>
    <r>
      <rPr>
        <sz val="10"/>
        <color rgb="FF111111"/>
        <rFont val="Noto Sans CJK SC"/>
        <family val="2"/>
      </rPr>
      <t xml:space="preserve">千片取高分位；普通内存满开工、按需求出货；经营现金充裕，还款</t>
    </r>
    <r>
      <rPr>
        <sz val="10"/>
        <color rgb="FF111111"/>
        <rFont val="Microsoft YaHei"/>
        <family val="0"/>
        <charset val="1"/>
      </rPr>
      <t xml:space="preserve">100</t>
    </r>
    <r>
      <rPr>
        <sz val="10"/>
        <color rgb="FF111111"/>
        <rFont val="Noto Sans CJK SC"/>
        <family val="2"/>
      </rPr>
      <t xml:space="preserve">亿美元，借款降到</t>
    </r>
    <r>
      <rPr>
        <sz val="10"/>
        <color rgb="FF111111"/>
        <rFont val="Microsoft YaHei"/>
        <family val="0"/>
        <charset val="1"/>
      </rPr>
      <t xml:space="preserve">48</t>
    </r>
    <r>
      <rPr>
        <sz val="10"/>
        <color rgb="FF111111"/>
        <rFont val="Noto Sans CJK SC"/>
        <family val="2"/>
      </rPr>
      <t xml:space="preserve">亿，省利息，需要时仍可在上限内再借。</t>
    </r>
  </si>
  <si>
    <r>
      <rPr>
        <sz val="10"/>
        <color rgb="FF111111"/>
        <rFont val="Microsoft YaHei"/>
        <family val="0"/>
        <charset val="1"/>
      </rPr>
      <t xml:space="preserve">Q12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Q11</t>
    </r>
    <r>
      <rPr>
        <sz val="10"/>
        <color rgb="FF111111"/>
        <rFont val="Noto Sans CJK SC"/>
        <family val="2"/>
      </rPr>
      <t xml:space="preserve">普通内存价格指数</t>
    </r>
    <r>
      <rPr>
        <sz val="10"/>
        <color rgb="FF111111"/>
        <rFont val="Microsoft YaHei"/>
        <family val="0"/>
        <charset val="1"/>
      </rPr>
      <t xml:space="preserve">1.06</t>
    </r>
    <r>
      <rPr>
        <sz val="10"/>
        <color rgb="FF111111"/>
        <rFont val="Noto Sans CJK SC"/>
        <family val="2"/>
      </rPr>
      <t xml:space="preserve">、需求升到</t>
    </r>
    <r>
      <rPr>
        <sz val="10"/>
        <color rgb="FF111111"/>
        <rFont val="Microsoft YaHei"/>
        <family val="0"/>
        <charset val="1"/>
      </rPr>
      <t xml:space="preserve">340</t>
    </r>
    <r>
      <rPr>
        <sz val="10"/>
        <color rgb="FF111111"/>
        <rFont val="Noto Sans CJK SC"/>
        <family val="2"/>
      </rPr>
      <t xml:space="preserve">千片；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4.6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1.1</t>
    </r>
    <r>
      <rPr>
        <sz val="10"/>
        <color rgb="FF111111"/>
        <rFont val="Noto Sans CJK SC"/>
        <family val="2"/>
      </rPr>
      <t xml:space="preserve">亿美元），需求</t>
    </r>
    <r>
      <rPr>
        <sz val="10"/>
        <color rgb="FF111111"/>
        <rFont val="Microsoft YaHei"/>
        <family val="0"/>
        <charset val="1"/>
      </rPr>
      <t xml:space="preserve">74</t>
    </r>
    <r>
      <rPr>
        <sz val="10"/>
        <color rgb="FF111111"/>
        <rFont val="Noto Sans CJK SC"/>
        <family val="2"/>
      </rPr>
      <t xml:space="preserve">千片；净利润</t>
    </r>
    <r>
      <rPr>
        <sz val="10"/>
        <color rgb="FF111111"/>
        <rFont val="Microsoft YaHei"/>
        <family val="0"/>
        <charset val="1"/>
      </rPr>
      <t xml:space="preserve">76</t>
    </r>
    <r>
      <rPr>
        <sz val="10"/>
        <color rgb="FF111111"/>
        <rFont val="Noto Sans CJK SC"/>
        <family val="2"/>
      </rPr>
      <t xml:space="preserve">亿美元，股东权益</t>
    </r>
    <r>
      <rPr>
        <sz val="10"/>
        <color rgb="FF111111"/>
        <rFont val="Microsoft YaHei"/>
        <family val="0"/>
        <charset val="1"/>
      </rPr>
      <t xml:space="preserve">444</t>
    </r>
    <r>
      <rPr>
        <sz val="10"/>
        <color rgb="FF111111"/>
        <rFont val="Noto Sans CJK SC"/>
        <family val="2"/>
      </rPr>
      <t xml:space="preserve">亿美元。新闻：多家云厂商再次上调资本开支，市场担心明年内存缺货；一致预期下季涨</t>
    </r>
    <r>
      <rPr>
        <sz val="10"/>
        <color rgb="FF111111"/>
        <rFont val="Microsoft YaHei"/>
        <family val="0"/>
        <charset val="1"/>
      </rPr>
      <t xml:space="preserve">15%-25%</t>
    </r>
    <r>
      <rPr>
        <sz val="10"/>
        <color rgb="FF111111"/>
        <rFont val="Noto Sans CJK SC"/>
        <family val="2"/>
      </rPr>
      <t xml:space="preserve">。判断：景气进入加速段，库存</t>
    </r>
    <r>
      <rPr>
        <sz val="10"/>
        <color rgb="FF111111"/>
        <rFont val="Microsoft YaHei"/>
        <family val="0"/>
        <charset val="1"/>
      </rPr>
      <t xml:space="preserve">178</t>
    </r>
    <r>
      <rPr>
        <sz val="10"/>
        <color rgb="FF111111"/>
        <rFont val="Noto Sans CJK SC"/>
        <family val="2"/>
      </rPr>
      <t xml:space="preserve">千片按当前节奏约在第</t>
    </r>
    <r>
      <rPr>
        <sz val="10"/>
        <color rgb="FF111111"/>
        <rFont val="Microsoft YaHei"/>
        <family val="0"/>
        <charset val="1"/>
      </rPr>
      <t xml:space="preserve">14-15</t>
    </r>
    <r>
      <rPr>
        <sz val="10"/>
        <color rgb="FF111111"/>
        <rFont val="Noto Sans CJK SC"/>
        <family val="2"/>
      </rPr>
      <t xml:space="preserve">季卖完，之后普通内存会供不应求。但现在下单的产能要第</t>
    </r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季才投产，正好撞上同业一年后释放的新产能，这是周期顶部扩产的老坑，坚持不在顶部扩产。决定：资本开支只做</t>
    </r>
    <r>
      <rPr>
        <sz val="10"/>
        <color rgb="FF111111"/>
        <rFont val="Microsoft YaHei"/>
        <family val="0"/>
        <charset val="1"/>
      </rPr>
      <t xml:space="preserve">15</t>
    </r>
    <r>
      <rPr>
        <sz val="10"/>
        <color rgb="FF111111"/>
        <rFont val="Noto Sans CJK SC"/>
        <family val="2"/>
      </rPr>
      <t xml:space="preserve">亿维持；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划</t>
    </r>
    <r>
      <rPr>
        <sz val="10"/>
        <color rgb="FF111111"/>
        <rFont val="Microsoft YaHei"/>
        <family val="0"/>
        <charset val="1"/>
      </rPr>
      <t xml:space="preserve">24.5%</t>
    </r>
    <r>
      <rPr>
        <sz val="10"/>
        <color rgb="FF111111"/>
        <rFont val="Noto Sans CJK SC"/>
        <family val="2"/>
      </rPr>
      <t xml:space="preserve">产能（第</t>
    </r>
    <r>
      <rPr>
        <sz val="10"/>
        <color rgb="FF111111"/>
        <rFont val="Microsoft YaHei"/>
        <family val="0"/>
        <charset val="1"/>
      </rPr>
      <t xml:space="preserve">12</t>
    </r>
    <r>
      <rPr>
        <sz val="10"/>
        <color rgb="FF111111"/>
        <rFont val="Noto Sans CJK SC"/>
        <family val="2"/>
      </rPr>
      <t xml:space="preserve">季产能</t>
    </r>
    <r>
      <rPr>
        <sz val="10"/>
        <color rgb="FF111111"/>
        <rFont val="Microsoft YaHei"/>
        <family val="0"/>
        <charset val="1"/>
      </rPr>
      <t xml:space="preserve">395</t>
    </r>
    <r>
      <rPr>
        <sz val="10"/>
        <color rgb="FF111111"/>
        <rFont val="Noto Sans CJK SC"/>
        <family val="2"/>
      </rPr>
      <t xml:space="preserve">千片，约</t>
    </r>
    <r>
      <rPr>
        <sz val="10"/>
        <color rgb="FF111111"/>
        <rFont val="Microsoft YaHei"/>
        <family val="0"/>
        <charset val="1"/>
      </rPr>
      <t xml:space="preserve">97</t>
    </r>
    <r>
      <rPr>
        <sz val="10"/>
        <color rgb="FF111111"/>
        <rFont val="Noto Sans CJK SC"/>
        <family val="2"/>
      </rPr>
      <t xml:space="preserve">千片），需求约</t>
    </r>
    <r>
      <rPr>
        <sz val="10"/>
        <color rgb="FF111111"/>
        <rFont val="Microsoft YaHei"/>
        <family val="0"/>
        <charset val="1"/>
      </rPr>
      <t xml:space="preserve">90</t>
    </r>
    <r>
      <rPr>
        <sz val="10"/>
        <color rgb="FF111111"/>
        <rFont val="Noto Sans CJK SC"/>
        <family val="2"/>
      </rPr>
      <t xml:space="preserve">千片，普通内存将来也缺货，所以多产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的机会成本上升，分位数比上季略低；普通内存满开工、按需求出货；经营现金预计约</t>
    </r>
    <r>
      <rPr>
        <sz val="10"/>
        <color rgb="FF111111"/>
        <rFont val="Microsoft YaHei"/>
        <family val="0"/>
        <charset val="1"/>
      </rPr>
      <t xml:space="preserve">160</t>
    </r>
    <r>
      <rPr>
        <sz val="10"/>
        <color rgb="FF111111"/>
        <rFont val="Noto Sans CJK SC"/>
        <family val="2"/>
      </rPr>
      <t xml:space="preserve">亿美元，全部还清</t>
    </r>
    <r>
      <rPr>
        <sz val="10"/>
        <color rgb="FF111111"/>
        <rFont val="Microsoft YaHei"/>
        <family val="0"/>
        <charset val="1"/>
      </rPr>
      <t xml:space="preserve">48</t>
    </r>
    <r>
      <rPr>
        <sz val="10"/>
        <color rgb="FF111111"/>
        <rFont val="Noto Sans CJK SC"/>
        <family val="2"/>
      </rPr>
      <t xml:space="preserve">亿美元正常借款。</t>
    </r>
  </si>
  <si>
    <r>
      <rPr>
        <sz val="10"/>
        <color rgb="FF111111"/>
        <rFont val="Microsoft YaHei"/>
        <family val="0"/>
        <charset val="1"/>
      </rPr>
      <t xml:space="preserve">Q13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Q12</t>
    </r>
    <r>
      <rPr>
        <sz val="10"/>
        <color rgb="FF111111"/>
        <rFont val="Noto Sans CJK SC"/>
        <family val="2"/>
      </rPr>
      <t xml:space="preserve">普通内存价格指数</t>
    </r>
    <r>
      <rPr>
        <sz val="10"/>
        <color rgb="FF111111"/>
        <rFont val="Microsoft YaHei"/>
        <family val="0"/>
        <charset val="1"/>
      </rPr>
      <t xml:space="preserve">1.28</t>
    </r>
    <r>
      <rPr>
        <sz val="10"/>
        <color rgb="FF111111"/>
        <rFont val="Noto Sans CJK SC"/>
        <family val="2"/>
      </rPr>
      <t xml:space="preserve">、需求</t>
    </r>
    <r>
      <rPr>
        <sz val="10"/>
        <color rgb="FF111111"/>
        <rFont val="Microsoft YaHei"/>
        <family val="0"/>
        <charset val="1"/>
      </rPr>
      <t xml:space="preserve">365</t>
    </r>
    <r>
      <rPr>
        <sz val="10"/>
        <color rgb="FF111111"/>
        <rFont val="Noto Sans CJK SC"/>
        <family val="2"/>
      </rPr>
      <t xml:space="preserve">千片；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5.4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1.3</t>
    </r>
    <r>
      <rPr>
        <sz val="10"/>
        <color rgb="FF111111"/>
        <rFont val="Noto Sans CJK SC"/>
        <family val="2"/>
      </rPr>
      <t xml:space="preserve">亿美元），需求</t>
    </r>
    <r>
      <rPr>
        <sz val="10"/>
        <color rgb="FF111111"/>
        <rFont val="Microsoft YaHei"/>
        <family val="0"/>
        <charset val="1"/>
      </rPr>
      <t xml:space="preserve">90</t>
    </r>
    <r>
      <rPr>
        <sz val="10"/>
        <color rgb="FF111111"/>
        <rFont val="Noto Sans CJK SC"/>
        <family val="2"/>
      </rPr>
      <t xml:space="preserve">千片；净利润</t>
    </r>
    <r>
      <rPr>
        <sz val="10"/>
        <color rgb="FF111111"/>
        <rFont val="Microsoft YaHei"/>
        <family val="0"/>
        <charset val="1"/>
      </rPr>
      <t xml:space="preserve">124</t>
    </r>
    <r>
      <rPr>
        <sz val="10"/>
        <color rgb="FF111111"/>
        <rFont val="Noto Sans CJK SC"/>
        <family val="2"/>
      </rPr>
      <t xml:space="preserve">亿美元，借款已全部还清，现金</t>
    </r>
    <r>
      <rPr>
        <sz val="10"/>
        <color rgb="FF111111"/>
        <rFont val="Microsoft YaHei"/>
        <family val="0"/>
        <charset val="1"/>
      </rPr>
      <t xml:space="preserve">153</t>
    </r>
    <r>
      <rPr>
        <sz val="10"/>
        <color rgb="FF111111"/>
        <rFont val="Noto Sans CJK SC"/>
        <family val="2"/>
      </rPr>
      <t xml:space="preserve">亿美元。新闻：现货大涨、客户提前锁量，部分普通内存产线改做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加剧缺货；一致预期下季再涨</t>
    </r>
    <r>
      <rPr>
        <sz val="10"/>
        <color rgb="FF111111"/>
        <rFont val="Microsoft YaHei"/>
        <family val="0"/>
        <charset val="1"/>
      </rPr>
      <t xml:space="preserve">25%-40%</t>
    </r>
    <r>
      <rPr>
        <sz val="10"/>
        <color rgb="FF111111"/>
        <rFont val="Noto Sans CJK SC"/>
        <family val="2"/>
      </rPr>
      <t xml:space="preserve">。判断：已经进入周期最热的阶段。库存</t>
    </r>
    <r>
      <rPr>
        <sz val="10"/>
        <color rgb="FF111111"/>
        <rFont val="Microsoft YaHei"/>
        <family val="0"/>
        <charset val="1"/>
      </rPr>
      <t xml:space="preserve">111</t>
    </r>
    <r>
      <rPr>
        <sz val="10"/>
        <color rgb="FF111111"/>
        <rFont val="Noto Sans CJK SC"/>
        <family val="2"/>
      </rPr>
      <t xml:space="preserve">千片，按需求约</t>
    </r>
    <r>
      <rPr>
        <sz val="10"/>
        <color rgb="FF111111"/>
        <rFont val="Microsoft YaHei"/>
        <family val="0"/>
        <charset val="1"/>
      </rPr>
      <t xml:space="preserve">380</t>
    </r>
    <r>
      <rPr>
        <sz val="10"/>
        <color rgb="FF111111"/>
        <rFont val="Noto Sans CJK SC"/>
        <family val="2"/>
      </rPr>
      <t xml:space="preserve">千片测算本季会降到约</t>
    </r>
    <r>
      <rPr>
        <sz val="10"/>
        <color rgb="FF111111"/>
        <rFont val="Microsoft YaHei"/>
        <family val="0"/>
        <charset val="1"/>
      </rPr>
      <t xml:space="preserve">50</t>
    </r>
    <r>
      <rPr>
        <sz val="10"/>
        <color rgb="FF111111"/>
        <rFont val="Noto Sans CJK SC"/>
        <family val="2"/>
      </rPr>
      <t xml:space="preserve">千片，第</t>
    </r>
    <r>
      <rPr>
        <sz val="10"/>
        <color rgb="FF111111"/>
        <rFont val="Microsoft YaHei"/>
        <family val="0"/>
        <charset val="1"/>
      </rPr>
      <t xml:space="preserve">15-16</t>
    </r>
    <r>
      <rPr>
        <sz val="10"/>
        <color rgb="FF111111"/>
        <rFont val="Noto Sans CJK SC"/>
        <family val="2"/>
      </rPr>
      <t xml:space="preserve">季普通内存将供不应求；但同业新产能预计第</t>
    </r>
    <r>
      <rPr>
        <sz val="10"/>
        <color rgb="FF111111"/>
        <rFont val="Microsoft YaHei"/>
        <family val="0"/>
        <charset val="1"/>
      </rPr>
      <t xml:space="preserve">14-15</t>
    </r>
    <r>
      <rPr>
        <sz val="10"/>
        <color rgb="FF111111"/>
        <rFont val="Noto Sans CJK SC"/>
        <family val="2"/>
      </rPr>
      <t xml:space="preserve">季释放，后两季价格未必比现在高，所以不囤货，按需求全部出货，在最高价附近兑现。现在下单的产能要第</t>
    </r>
    <r>
      <rPr>
        <sz val="10"/>
        <color rgb="FF111111"/>
        <rFont val="Microsoft YaHei"/>
        <family val="0"/>
        <charset val="1"/>
      </rPr>
      <t xml:space="preserve">17</t>
    </r>
    <r>
      <rPr>
        <sz val="10"/>
        <color rgb="FF111111"/>
        <rFont val="Noto Sans CJK SC"/>
        <family val="2"/>
      </rPr>
      <t xml:space="preserve">季才投产，对这</t>
    </r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个季度没有任何产出，而且正是周期顶部，不扩产。决定：开工率</t>
    </r>
    <r>
      <rPr>
        <sz val="10"/>
        <color rgb="FF111111"/>
        <rFont val="Microsoft YaHei"/>
        <family val="0"/>
        <charset val="1"/>
      </rPr>
      <t xml:space="preserve">100%</t>
    </r>
    <r>
      <rPr>
        <sz val="10"/>
        <color rgb="FF111111"/>
        <rFont val="Noto Sans CJK SC"/>
        <family val="2"/>
      </rPr>
      <t xml:space="preserve">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划</t>
    </r>
    <r>
      <rPr>
        <sz val="10"/>
        <color rgb="FF111111"/>
        <rFont val="Microsoft YaHei"/>
        <family val="0"/>
        <charset val="1"/>
      </rPr>
      <t xml:space="preserve">26%</t>
    </r>
    <r>
      <rPr>
        <sz val="10"/>
        <color rgb="FF111111"/>
        <rFont val="Noto Sans CJK SC"/>
        <family val="2"/>
      </rPr>
      <t xml:space="preserve">产能（第</t>
    </r>
    <r>
      <rPr>
        <sz val="10"/>
        <color rgb="FF111111"/>
        <rFont val="Microsoft YaHei"/>
        <family val="0"/>
        <charset val="1"/>
      </rPr>
      <t xml:space="preserve">13</t>
    </r>
    <r>
      <rPr>
        <sz val="10"/>
        <color rgb="FF111111"/>
        <rFont val="Noto Sans CJK SC"/>
        <family val="2"/>
      </rPr>
      <t xml:space="preserve">季产能</t>
    </r>
    <r>
      <rPr>
        <sz val="10"/>
        <color rgb="FF111111"/>
        <rFont val="Microsoft YaHei"/>
        <family val="0"/>
        <charset val="1"/>
      </rPr>
      <t xml:space="preserve">435</t>
    </r>
    <r>
      <rPr>
        <sz val="10"/>
        <color rgb="FF111111"/>
        <rFont val="Noto Sans CJK SC"/>
        <family val="2"/>
      </rPr>
      <t xml:space="preserve">千片，约</t>
    </r>
    <r>
      <rPr>
        <sz val="10"/>
        <color rgb="FF111111"/>
        <rFont val="Microsoft YaHei"/>
        <family val="0"/>
        <charset val="1"/>
      </rPr>
      <t xml:space="preserve">113</t>
    </r>
    <r>
      <rPr>
        <sz val="10"/>
        <color rgb="FF111111"/>
        <rFont val="Noto Sans CJK SC"/>
        <family val="2"/>
      </rPr>
      <t xml:space="preserve">千片），需求约</t>
    </r>
    <r>
      <rPr>
        <sz val="10"/>
        <color rgb="FF111111"/>
        <rFont val="Microsoft YaHei"/>
        <family val="0"/>
        <charset val="1"/>
      </rPr>
      <t xml:space="preserve">108</t>
    </r>
    <r>
      <rPr>
        <sz val="10"/>
        <color rgb="FF111111"/>
        <rFont val="Noto Sans CJK SC"/>
        <family val="2"/>
      </rPr>
      <t xml:space="preserve">千片，普通内存也缺货，多产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的机会成本已升到每千片约</t>
    </r>
    <r>
      <rPr>
        <sz val="10"/>
        <color rgb="FF111111"/>
        <rFont val="Microsoft YaHei"/>
        <family val="0"/>
        <charset val="1"/>
      </rPr>
      <t xml:space="preserve">4000</t>
    </r>
    <r>
      <rPr>
        <sz val="10"/>
        <color rgb="FF111111"/>
        <rFont val="Noto Sans CJK SC"/>
        <family val="2"/>
      </rPr>
      <t xml:space="preserve">万美元，分位数取七成左右；资本开支</t>
    </r>
    <r>
      <rPr>
        <sz val="10"/>
        <color rgb="FF111111"/>
        <rFont val="Microsoft YaHei"/>
        <family val="0"/>
        <charset val="1"/>
      </rPr>
      <t xml:space="preserve">15</t>
    </r>
    <r>
      <rPr>
        <sz val="10"/>
        <color rgb="FF111111"/>
        <rFont val="Noto Sans CJK SC"/>
        <family val="2"/>
      </rPr>
      <t xml:space="preserve">亿维持；不借款。</t>
    </r>
  </si>
  <si>
    <r>
      <rPr>
        <sz val="10"/>
        <color rgb="FF111111"/>
        <rFont val="Microsoft YaHei"/>
        <family val="0"/>
        <charset val="1"/>
      </rPr>
      <t xml:space="preserve">Q14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Q13</t>
    </r>
    <r>
      <rPr>
        <sz val="10"/>
        <color rgb="FF111111"/>
        <rFont val="Noto Sans CJK SC"/>
        <family val="2"/>
      </rPr>
      <t xml:space="preserve">普通内存价格指数</t>
    </r>
    <r>
      <rPr>
        <sz val="10"/>
        <color rgb="FF111111"/>
        <rFont val="Microsoft YaHei"/>
        <family val="0"/>
        <charset val="1"/>
      </rPr>
      <t xml:space="preserve">1.70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4080</t>
    </r>
    <r>
      <rPr>
        <sz val="10"/>
        <color rgb="FF111111"/>
        <rFont val="Noto Sans CJK SC"/>
        <family val="2"/>
      </rPr>
      <t xml:space="preserve">万美元），需求</t>
    </r>
    <r>
      <rPr>
        <sz val="10"/>
        <color rgb="FF111111"/>
        <rFont val="Microsoft YaHei"/>
        <family val="0"/>
        <charset val="1"/>
      </rPr>
      <t xml:space="preserve">400</t>
    </r>
    <r>
      <rPr>
        <sz val="10"/>
        <color rgb="FF111111"/>
        <rFont val="Noto Sans CJK SC"/>
        <family val="2"/>
      </rPr>
      <t xml:space="preserve">千片；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6.4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1.54</t>
    </r>
    <r>
      <rPr>
        <sz val="10"/>
        <color rgb="FF111111"/>
        <rFont val="Noto Sans CJK SC"/>
        <family val="2"/>
      </rPr>
      <t xml:space="preserve">亿美元），需求</t>
    </r>
    <r>
      <rPr>
        <sz val="10"/>
        <color rgb="FF111111"/>
        <rFont val="Microsoft YaHei"/>
        <family val="0"/>
        <charset val="1"/>
      </rPr>
      <t xml:space="preserve">110</t>
    </r>
    <r>
      <rPr>
        <sz val="10"/>
        <color rgb="FF111111"/>
        <rFont val="Noto Sans CJK SC"/>
        <family val="2"/>
      </rPr>
      <t xml:space="preserve">千片；单季净利润</t>
    </r>
    <r>
      <rPr>
        <sz val="10"/>
        <color rgb="FF111111"/>
        <rFont val="Microsoft YaHei"/>
        <family val="0"/>
        <charset val="1"/>
      </rPr>
      <t xml:space="preserve">207</t>
    </r>
    <r>
      <rPr>
        <sz val="10"/>
        <color rgb="FF111111"/>
        <rFont val="Noto Sans CJK SC"/>
        <family val="2"/>
      </rPr>
      <t xml:space="preserve">亿美元，现金</t>
    </r>
    <r>
      <rPr>
        <sz val="10"/>
        <color rgb="FF111111"/>
        <rFont val="Microsoft YaHei"/>
        <family val="0"/>
        <charset val="1"/>
      </rPr>
      <t xml:space="preserve">393</t>
    </r>
    <r>
      <rPr>
        <sz val="10"/>
        <color rgb="FF111111"/>
        <rFont val="Noto Sans CJK SC"/>
        <family val="2"/>
      </rPr>
      <t xml:space="preserve">亿美元、无借款，库存只剩</t>
    </r>
    <r>
      <rPr>
        <sz val="10"/>
        <color rgb="FF111111"/>
        <rFont val="Microsoft YaHei"/>
        <family val="0"/>
        <charset val="1"/>
      </rPr>
      <t xml:space="preserve">33</t>
    </r>
    <r>
      <rPr>
        <sz val="10"/>
        <color rgb="FF111111"/>
        <rFont val="Noto Sans CJK SC"/>
        <family val="2"/>
      </rPr>
      <t xml:space="preserve">千片。新闻：合约价大涨、渠道抢货，有分析师警告涨势过快可能透支需求；一致预期继续大涨但分歧加大。判断：抢货、透支需求、分歧加大是典型的顶部信号，渠道里的重复下单之后会反转；同业新产能也在第</t>
    </r>
    <r>
      <rPr>
        <sz val="10"/>
        <color rgb="FF111111"/>
        <rFont val="Microsoft YaHei"/>
        <family val="0"/>
        <charset val="1"/>
      </rPr>
      <t xml:space="preserve">14-15</t>
    </r>
    <r>
      <rPr>
        <sz val="10"/>
        <color rgb="FF111111"/>
        <rFont val="Noto Sans CJK SC"/>
        <family val="2"/>
      </rPr>
      <t xml:space="preserve">季陆续释放。策略是趁高价把能卖的全卖掉，不留库存过顶。决定：开工率</t>
    </r>
    <r>
      <rPr>
        <sz val="10"/>
        <color rgb="FF111111"/>
        <rFont val="Microsoft YaHei"/>
        <family val="0"/>
        <charset val="1"/>
      </rPr>
      <t xml:space="preserve">100%</t>
    </r>
    <r>
      <rPr>
        <sz val="10"/>
        <color rgb="FF111111"/>
        <rFont val="Noto Sans CJK SC"/>
        <family val="2"/>
      </rPr>
      <t xml:space="preserve">；可售库存全部挂出（需求大概率超过我们的供给）；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划</t>
    </r>
    <r>
      <rPr>
        <sz val="10"/>
        <color rgb="FF111111"/>
        <rFont val="Microsoft YaHei"/>
        <family val="0"/>
        <charset val="1"/>
      </rPr>
      <t xml:space="preserve">29.5%</t>
    </r>
    <r>
      <rPr>
        <sz val="10"/>
        <color rgb="FF111111"/>
        <rFont val="Noto Sans CJK SC"/>
        <family val="2"/>
      </rPr>
      <t xml:space="preserve">产能（第</t>
    </r>
    <r>
      <rPr>
        <sz val="10"/>
        <color rgb="FF111111"/>
        <rFont val="Microsoft YaHei"/>
        <family val="0"/>
        <charset val="1"/>
      </rPr>
      <t xml:space="preserve">14</t>
    </r>
    <r>
      <rPr>
        <sz val="10"/>
        <color rgb="FF111111"/>
        <rFont val="Noto Sans CJK SC"/>
        <family val="2"/>
      </rPr>
      <t xml:space="preserve">季产能</t>
    </r>
    <r>
      <rPr>
        <sz val="10"/>
        <color rgb="FF111111"/>
        <rFont val="Microsoft YaHei"/>
        <family val="0"/>
        <charset val="1"/>
      </rPr>
      <t xml:space="preserve">465</t>
    </r>
    <r>
      <rPr>
        <sz val="10"/>
        <color rgb="FF111111"/>
        <rFont val="Noto Sans CJK SC"/>
        <family val="2"/>
      </rPr>
      <t xml:space="preserve">千片，约</t>
    </r>
    <r>
      <rPr>
        <sz val="10"/>
        <color rgb="FF111111"/>
        <rFont val="Microsoft YaHei"/>
        <family val="0"/>
        <charset val="1"/>
      </rPr>
      <t xml:space="preserve">137</t>
    </r>
    <r>
      <rPr>
        <sz val="10"/>
        <color rgb="FF111111"/>
        <rFont val="Noto Sans CJK SC"/>
        <family val="2"/>
      </rPr>
      <t xml:space="preserve">千片），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需求按每季增</t>
    </r>
    <r>
      <rPr>
        <sz val="10"/>
        <color rgb="FF111111"/>
        <rFont val="Microsoft YaHei"/>
        <family val="0"/>
        <charset val="1"/>
      </rPr>
      <t xml:space="preserve">20</t>
    </r>
    <r>
      <rPr>
        <sz val="10"/>
        <color rgb="FF111111"/>
        <rFont val="Noto Sans CJK SC"/>
        <family val="2"/>
      </rPr>
      <t xml:space="preserve">千片推算约</t>
    </r>
    <r>
      <rPr>
        <sz val="10"/>
        <color rgb="FF111111"/>
        <rFont val="Microsoft YaHei"/>
        <family val="0"/>
        <charset val="1"/>
      </rPr>
      <t xml:space="preserve">130</t>
    </r>
    <r>
      <rPr>
        <sz val="10"/>
        <color rgb="FF111111"/>
        <rFont val="Noto Sans CJK SC"/>
        <family val="2"/>
      </rPr>
      <t xml:space="preserve">千片，普通内存缺货时多产</t>
    </r>
    <r>
      <rPr>
        <sz val="10"/>
        <color rgb="FF111111"/>
        <rFont val="Microsoft YaHei"/>
        <family val="0"/>
        <charset val="1"/>
      </rPr>
      <t xml:space="preserve">1</t>
    </r>
    <r>
      <rPr>
        <sz val="10"/>
        <color rgb="FF111111"/>
        <rFont val="Noto Sans CJK SC"/>
        <family val="2"/>
      </rPr>
      <t xml:space="preserve">千片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的机会成本约</t>
    </r>
    <r>
      <rPr>
        <sz val="10"/>
        <color rgb="FF111111"/>
        <rFont val="Microsoft YaHei"/>
        <family val="0"/>
        <charset val="1"/>
      </rPr>
      <t xml:space="preserve">5000</t>
    </r>
    <r>
      <rPr>
        <sz val="10"/>
        <color rgb="FF111111"/>
        <rFont val="Noto Sans CJK SC"/>
        <family val="2"/>
      </rPr>
      <t xml:space="preserve">万美元，取约七成分位；资本开支</t>
    </r>
    <r>
      <rPr>
        <sz val="10"/>
        <color rgb="FF111111"/>
        <rFont val="Microsoft YaHei"/>
        <family val="0"/>
        <charset val="1"/>
      </rPr>
      <t xml:space="preserve">15</t>
    </r>
    <r>
      <rPr>
        <sz val="10"/>
        <color rgb="FF111111"/>
        <rFont val="Noto Sans CJK SC"/>
        <family val="2"/>
      </rPr>
      <t xml:space="preserve">亿只做维持；不借款。</t>
    </r>
  </si>
  <si>
    <r>
      <rPr>
        <sz val="10"/>
        <color rgb="FF111111"/>
        <rFont val="Microsoft YaHei"/>
        <family val="0"/>
        <charset val="1"/>
      </rPr>
      <t xml:space="preserve">Q15</t>
    </r>
    <r>
      <rPr>
        <sz val="10"/>
        <color rgb="FF111111"/>
        <rFont val="Noto Sans CJK SC"/>
        <family val="2"/>
      </rPr>
      <t xml:space="preserve">：</t>
    </r>
    <r>
      <rPr>
        <sz val="10"/>
        <color rgb="FF111111"/>
        <rFont val="Microsoft YaHei"/>
        <family val="0"/>
        <charset val="1"/>
      </rPr>
      <t xml:space="preserve">Q14</t>
    </r>
    <r>
      <rPr>
        <sz val="10"/>
        <color rgb="FF111111"/>
        <rFont val="Noto Sans CJK SC"/>
        <family val="2"/>
      </rPr>
      <t xml:space="preserve">普通内存价格指数</t>
    </r>
    <r>
      <rPr>
        <sz val="10"/>
        <color rgb="FF111111"/>
        <rFont val="Microsoft YaHei"/>
        <family val="0"/>
        <charset val="1"/>
      </rPr>
      <t xml:space="preserve">2.65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6360</t>
    </r>
    <r>
      <rPr>
        <sz val="10"/>
        <color rgb="FF111111"/>
        <rFont val="Noto Sans CJK SC"/>
        <family val="2"/>
      </rPr>
      <t xml:space="preserve">万美元），需求</t>
    </r>
    <r>
      <rPr>
        <sz val="10"/>
        <color rgb="FF111111"/>
        <rFont val="Microsoft YaHei"/>
        <family val="0"/>
        <charset val="1"/>
      </rPr>
      <t xml:space="preserve">440</t>
    </r>
    <r>
      <rPr>
        <sz val="10"/>
        <color rgb="FF111111"/>
        <rFont val="Noto Sans CJK SC"/>
        <family val="2"/>
      </rPr>
      <t xml:space="preserve">千片，我们只供得出</t>
    </r>
    <r>
      <rPr>
        <sz val="10"/>
        <color rgb="FF111111"/>
        <rFont val="Microsoft YaHei"/>
        <family val="0"/>
        <charset val="1"/>
      </rPr>
      <t xml:space="preserve">361</t>
    </r>
    <r>
      <rPr>
        <sz val="10"/>
        <color rgb="FF111111"/>
        <rFont val="Noto Sans CJK SC"/>
        <family val="2"/>
      </rPr>
      <t xml:space="preserve">千片、库存清零；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7.6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1.82</t>
    </r>
    <r>
      <rPr>
        <sz val="10"/>
        <color rgb="FF111111"/>
        <rFont val="Noto Sans CJK SC"/>
        <family val="2"/>
      </rPr>
      <t xml:space="preserve">亿美元），需求</t>
    </r>
    <r>
      <rPr>
        <sz val="10"/>
        <color rgb="FF111111"/>
        <rFont val="Microsoft YaHei"/>
        <family val="0"/>
        <charset val="1"/>
      </rPr>
      <t xml:space="preserve">135</t>
    </r>
    <r>
      <rPr>
        <sz val="10"/>
        <color rgb="FF111111"/>
        <rFont val="Noto Sans CJK SC"/>
        <family val="2"/>
      </rPr>
      <t xml:space="preserve">千片；单季净利润</t>
    </r>
    <r>
      <rPr>
        <sz val="10"/>
        <color rgb="FF111111"/>
        <rFont val="Microsoft YaHei"/>
        <family val="0"/>
        <charset val="1"/>
      </rPr>
      <t xml:space="preserve">334</t>
    </r>
    <r>
      <rPr>
        <sz val="10"/>
        <color rgb="FF111111"/>
        <rFont val="Noto Sans CJK SC"/>
        <family val="2"/>
      </rPr>
      <t xml:space="preserve">亿美元，现金</t>
    </r>
    <r>
      <rPr>
        <sz val="10"/>
        <color rgb="FF111111"/>
        <rFont val="Microsoft YaHei"/>
        <family val="0"/>
        <charset val="1"/>
      </rPr>
      <t xml:space="preserve">754</t>
    </r>
    <r>
      <rPr>
        <sz val="10"/>
        <color rgb="FF111111"/>
        <rFont val="Noto Sans CJK SC"/>
        <family val="2"/>
      </rPr>
      <t xml:space="preserve">亿美元。上季我判断顶部临近，结果价格又涨了</t>
    </r>
    <r>
      <rPr>
        <sz val="10"/>
        <color rgb="FF111111"/>
        <rFont val="Microsoft YaHei"/>
        <family val="0"/>
        <charset val="1"/>
      </rPr>
      <t xml:space="preserve">56%</t>
    </r>
    <r>
      <rPr>
        <sz val="10"/>
        <color rgb="FF111111"/>
        <rFont val="Noto Sans CJK SC"/>
        <family val="2"/>
      </rPr>
      <t xml:space="preserve">，顶部判断偏早，但因为一直按需求全卖、没有囤货，判断偏早并没有造成损失。新闻：全行业满产仍供不应求，交期拉长到两个季度以上；一致预期下季再涨</t>
    </r>
    <r>
      <rPr>
        <sz val="10"/>
        <color rgb="FF111111"/>
        <rFont val="Microsoft YaHei"/>
        <family val="0"/>
        <charset val="1"/>
      </rPr>
      <t xml:space="preserve">30%-50%</t>
    </r>
    <r>
      <rPr>
        <sz val="10"/>
        <color rgb="FF111111"/>
        <rFont val="Noto Sans CJK SC"/>
        <family val="2"/>
      </rPr>
      <t xml:space="preserve">。判断：最后两个季度的关键是不把货留到第</t>
    </r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季末——期末库存只按成本（约每千片</t>
    </r>
    <r>
      <rPr>
        <sz val="10"/>
        <color rgb="FF111111"/>
        <rFont val="Microsoft YaHei"/>
        <family val="0"/>
        <charset val="1"/>
      </rPr>
      <t xml:space="preserve">1500</t>
    </r>
    <r>
      <rPr>
        <sz val="10"/>
        <color rgb="FF111111"/>
        <rFont val="Noto Sans CJK SC"/>
        <family val="2"/>
      </rPr>
      <t xml:space="preserve">万美元）入账，远低于市价，而一旦泡沫破裂，压在手里的货可能卖不出去。决定：开工率</t>
    </r>
    <r>
      <rPr>
        <sz val="10"/>
        <color rgb="FF111111"/>
        <rFont val="Microsoft YaHei"/>
        <family val="0"/>
        <charset val="1"/>
      </rPr>
      <t xml:space="preserve">100%</t>
    </r>
    <r>
      <rPr>
        <sz val="10"/>
        <color rgb="FF111111"/>
        <rFont val="Noto Sans CJK SC"/>
        <family val="2"/>
      </rPr>
      <t xml:space="preserve">，普通内存全部出货；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需求增量逐季放大（</t>
    </r>
    <r>
      <rPr>
        <sz val="10"/>
        <color rgb="FF111111"/>
        <rFont val="Microsoft YaHei"/>
        <family val="0"/>
        <charset val="1"/>
      </rPr>
      <t xml:space="preserve">14</t>
    </r>
    <r>
      <rPr>
        <sz val="10"/>
        <color rgb="FF111111"/>
        <rFont val="Noto Sans CJK SC"/>
        <family val="2"/>
      </rPr>
      <t xml:space="preserve">、</t>
    </r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、</t>
    </r>
    <r>
      <rPr>
        <sz val="10"/>
        <color rgb="FF111111"/>
        <rFont val="Microsoft YaHei"/>
        <family val="0"/>
        <charset val="1"/>
      </rPr>
      <t xml:space="preserve">20</t>
    </r>
    <r>
      <rPr>
        <sz val="10"/>
        <color rgb="FF111111"/>
        <rFont val="Noto Sans CJK SC"/>
        <family val="2"/>
      </rPr>
      <t xml:space="preserve">、</t>
    </r>
    <r>
      <rPr>
        <sz val="10"/>
        <color rgb="FF111111"/>
        <rFont val="Microsoft YaHei"/>
        <family val="0"/>
        <charset val="1"/>
      </rPr>
      <t xml:space="preserve">25</t>
    </r>
    <r>
      <rPr>
        <sz val="10"/>
        <color rgb="FF111111"/>
        <rFont val="Noto Sans CJK SC"/>
        <family val="2"/>
      </rPr>
      <t xml:space="preserve">），推算约</t>
    </r>
    <r>
      <rPr>
        <sz val="10"/>
        <color rgb="FF111111"/>
        <rFont val="Microsoft YaHei"/>
        <family val="0"/>
        <charset val="1"/>
      </rPr>
      <t xml:space="preserve">165</t>
    </r>
    <r>
      <rPr>
        <sz val="10"/>
        <color rgb="FF111111"/>
        <rFont val="Noto Sans CJK SC"/>
        <family val="2"/>
      </rPr>
      <t xml:space="preserve">千片，按普通内存每千片约</t>
    </r>
    <r>
      <rPr>
        <sz val="10"/>
        <color rgb="FF111111"/>
        <rFont val="Microsoft YaHei"/>
        <family val="0"/>
        <charset val="1"/>
      </rPr>
      <t xml:space="preserve">8900</t>
    </r>
    <r>
      <rPr>
        <sz val="10"/>
        <color rgb="FF111111"/>
        <rFont val="Noto Sans CJK SC"/>
        <family val="2"/>
      </rPr>
      <t xml:space="preserve">万美元的机会成本，取约六成分位，划</t>
    </r>
    <r>
      <rPr>
        <sz val="10"/>
        <color rgb="FF111111"/>
        <rFont val="Microsoft YaHei"/>
        <family val="0"/>
        <charset val="1"/>
      </rPr>
      <t xml:space="preserve">36%</t>
    </r>
    <r>
      <rPr>
        <sz val="10"/>
        <color rgb="FF111111"/>
        <rFont val="Noto Sans CJK SC"/>
        <family val="2"/>
      </rPr>
      <t xml:space="preserve">产能（约</t>
    </r>
    <r>
      <rPr>
        <sz val="10"/>
        <color rgb="FF111111"/>
        <rFont val="Microsoft YaHei"/>
        <family val="0"/>
        <charset val="1"/>
      </rPr>
      <t xml:space="preserve">167</t>
    </r>
    <r>
      <rPr>
        <sz val="10"/>
        <color rgb="FF111111"/>
        <rFont val="Noto Sans CJK SC"/>
        <family val="2"/>
      </rPr>
      <t xml:space="preserve">千片）；资本开支</t>
    </r>
    <r>
      <rPr>
        <sz val="10"/>
        <color rgb="FF111111"/>
        <rFont val="Microsoft YaHei"/>
        <family val="0"/>
        <charset val="1"/>
      </rPr>
      <t xml:space="preserve">15</t>
    </r>
    <r>
      <rPr>
        <sz val="10"/>
        <color rgb="FF111111"/>
        <rFont val="Noto Sans CJK SC"/>
        <family val="2"/>
      </rPr>
      <t xml:space="preserve">亿维持；不借款。</t>
    </r>
  </si>
  <si>
    <r>
      <rPr>
        <sz val="10"/>
        <color rgb="FF111111"/>
        <rFont val="Microsoft YaHei"/>
        <family val="0"/>
        <charset val="1"/>
      </rPr>
      <t xml:space="preserve">Q16</t>
    </r>
    <r>
      <rPr>
        <sz val="10"/>
        <color rgb="FF111111"/>
        <rFont val="Noto Sans CJK SC"/>
        <family val="2"/>
      </rPr>
      <t xml:space="preserve">（最后一季）：</t>
    </r>
    <r>
      <rPr>
        <sz val="10"/>
        <color rgb="FF111111"/>
        <rFont val="Microsoft YaHei"/>
        <family val="0"/>
        <charset val="1"/>
      </rPr>
      <t xml:space="preserve">Q15</t>
    </r>
    <r>
      <rPr>
        <sz val="10"/>
        <color rgb="FF111111"/>
        <rFont val="Noto Sans CJK SC"/>
        <family val="2"/>
      </rPr>
      <t xml:space="preserve">普通内存价格指数</t>
    </r>
    <r>
      <rPr>
        <sz val="10"/>
        <color rgb="FF111111"/>
        <rFont val="Microsoft YaHei"/>
        <family val="0"/>
        <charset val="1"/>
      </rPr>
      <t xml:space="preserve">3.90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9360</t>
    </r>
    <r>
      <rPr>
        <sz val="10"/>
        <color rgb="FF111111"/>
        <rFont val="Noto Sans CJK SC"/>
        <family val="2"/>
      </rPr>
      <t xml:space="preserve">万美元），需求</t>
    </r>
    <r>
      <rPr>
        <sz val="10"/>
        <color rgb="FF111111"/>
        <rFont val="Microsoft YaHei"/>
        <family val="0"/>
        <charset val="1"/>
      </rPr>
      <t xml:space="preserve">480</t>
    </r>
    <r>
      <rPr>
        <sz val="10"/>
        <color rgb="FF111111"/>
        <rFont val="Noto Sans CJK SC"/>
        <family val="2"/>
      </rPr>
      <t xml:space="preserve">千片，我们供</t>
    </r>
    <r>
      <rPr>
        <sz val="10"/>
        <color rgb="FF111111"/>
        <rFont val="Microsoft YaHei"/>
        <family val="0"/>
        <charset val="1"/>
      </rPr>
      <t xml:space="preserve">298</t>
    </r>
    <r>
      <rPr>
        <sz val="10"/>
        <color rgb="FF111111"/>
        <rFont val="Noto Sans CJK SC"/>
        <family val="2"/>
      </rPr>
      <t xml:space="preserve">千片；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价格指数</t>
    </r>
    <r>
      <rPr>
        <sz val="10"/>
        <color rgb="FF111111"/>
        <rFont val="Microsoft YaHei"/>
        <family val="0"/>
        <charset val="1"/>
      </rPr>
      <t xml:space="preserve">8.8</t>
    </r>
    <r>
      <rPr>
        <sz val="10"/>
        <color rgb="FF111111"/>
        <rFont val="Noto Sans CJK SC"/>
        <family val="2"/>
      </rPr>
      <t xml:space="preserve">（每千片</t>
    </r>
    <r>
      <rPr>
        <sz val="10"/>
        <color rgb="FF111111"/>
        <rFont val="Microsoft YaHei"/>
        <family val="0"/>
        <charset val="1"/>
      </rPr>
      <t xml:space="preserve">2.11</t>
    </r>
    <r>
      <rPr>
        <sz val="10"/>
        <color rgb="FF111111"/>
        <rFont val="Noto Sans CJK SC"/>
        <family val="2"/>
      </rPr>
      <t xml:space="preserve">亿美元），需求</t>
    </r>
    <r>
      <rPr>
        <sz val="10"/>
        <color rgb="FF111111"/>
        <rFont val="Microsoft YaHei"/>
        <family val="0"/>
        <charset val="1"/>
      </rPr>
      <t xml:space="preserve">160</t>
    </r>
    <r>
      <rPr>
        <sz val="10"/>
        <color rgb="FF111111"/>
        <rFont val="Noto Sans CJK SC"/>
        <family val="2"/>
      </rPr>
      <t xml:space="preserve">千片；单季净利润</t>
    </r>
    <r>
      <rPr>
        <sz val="10"/>
        <color rgb="FF111111"/>
        <rFont val="Microsoft YaHei"/>
        <family val="0"/>
        <charset val="1"/>
      </rPr>
      <t xml:space="preserve">460</t>
    </r>
    <r>
      <rPr>
        <sz val="10"/>
        <color rgb="FF111111"/>
        <rFont val="Noto Sans CJK SC"/>
        <family val="2"/>
      </rPr>
      <t xml:space="preserve">亿美元，股东权益</t>
    </r>
    <r>
      <rPr>
        <sz val="10"/>
        <color rgb="FF111111"/>
        <rFont val="Microsoft YaHei"/>
        <family val="0"/>
        <charset val="1"/>
      </rPr>
      <t xml:space="preserve">1569</t>
    </r>
    <r>
      <rPr>
        <sz val="10"/>
        <color rgb="FF111111"/>
        <rFont val="Noto Sans CJK SC"/>
        <family val="2"/>
      </rPr>
      <t xml:space="preserve">亿美元，现金</t>
    </r>
    <r>
      <rPr>
        <sz val="10"/>
        <color rgb="FF111111"/>
        <rFont val="Microsoft YaHei"/>
        <family val="0"/>
        <charset val="1"/>
      </rPr>
      <t xml:space="preserve">1237</t>
    </r>
    <r>
      <rPr>
        <sz val="10"/>
        <color rgb="FF111111"/>
        <rFont val="Noto Sans CJK SC"/>
        <family val="2"/>
      </rPr>
      <t xml:space="preserve">亿美元、无借款。新闻：涨幅开始收窄、客户抱怨价格、新产能陆续投产的消息增多；一致预期下季涨</t>
    </r>
    <r>
      <rPr>
        <sz val="10"/>
        <color rgb="FF111111"/>
        <rFont val="Microsoft YaHei"/>
        <family val="0"/>
        <charset val="1"/>
      </rPr>
      <t xml:space="preserve">10%-20%</t>
    </r>
    <r>
      <rPr>
        <sz val="10"/>
        <color rgb="FF111111"/>
        <rFont val="Noto Sans CJK SC"/>
        <family val="2"/>
      </rPr>
      <t xml:space="preserve">，明年可能转平。判断：这是周期见顶前的最后一季，需求仍大于我们的供给。最后一季的原则：不留库存（期末库存只按成本入账），不为</t>
    </r>
    <r>
      <rPr>
        <sz val="10"/>
        <color rgb="FF111111"/>
        <rFont val="Microsoft YaHei"/>
        <family val="0"/>
        <charset val="1"/>
      </rPr>
      <t xml:space="preserve">16</t>
    </r>
    <r>
      <rPr>
        <sz val="10"/>
        <color rgb="FF111111"/>
        <rFont val="Noto Sans CJK SC"/>
        <family val="2"/>
      </rPr>
      <t xml:space="preserve">季以后加杠杆或扩产。决定：开工率</t>
    </r>
    <r>
      <rPr>
        <sz val="10"/>
        <color rgb="FF111111"/>
        <rFont val="Microsoft YaHei"/>
        <family val="0"/>
        <charset val="1"/>
      </rPr>
      <t xml:space="preserve">100%</t>
    </r>
    <r>
      <rPr>
        <sz val="10"/>
        <color rgb="FF111111"/>
        <rFont val="Noto Sans CJK SC"/>
        <family val="2"/>
      </rPr>
      <t xml:space="preserve">，普通内存全部出货；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需求近四季每季增长约</t>
    </r>
    <r>
      <rPr>
        <sz val="10"/>
        <color rgb="FF111111"/>
        <rFont val="Microsoft YaHei"/>
        <family val="0"/>
        <charset val="1"/>
      </rPr>
      <t xml:space="preserve">20%</t>
    </r>
    <r>
      <rPr>
        <sz val="10"/>
        <color rgb="FF111111"/>
        <rFont val="Noto Sans CJK SC"/>
        <family val="2"/>
      </rPr>
      <t xml:space="preserve">，推算约</t>
    </r>
    <r>
      <rPr>
        <sz val="10"/>
        <color rgb="FF111111"/>
        <rFont val="Microsoft YaHei"/>
        <family val="0"/>
        <charset val="1"/>
      </rPr>
      <t xml:space="preserve">185-190</t>
    </r>
    <r>
      <rPr>
        <sz val="10"/>
        <color rgb="FF111111"/>
        <rFont val="Noto Sans CJK SC"/>
        <family val="2"/>
      </rPr>
      <t xml:space="preserve">千片，普通内存每千片约</t>
    </r>
    <r>
      <rPr>
        <sz val="10"/>
        <color rgb="FF111111"/>
        <rFont val="Microsoft YaHei"/>
        <family val="0"/>
        <charset val="1"/>
      </rPr>
      <t xml:space="preserve">1.06</t>
    </r>
    <r>
      <rPr>
        <sz val="10"/>
        <color rgb="FF111111"/>
        <rFont val="Noto Sans CJK SC"/>
        <family val="2"/>
      </rPr>
      <t xml:space="preserve">亿美元的机会成本和</t>
    </r>
    <r>
      <rPr>
        <sz val="10"/>
        <color rgb="FF111111"/>
        <rFont val="Microsoft YaHei"/>
        <family val="0"/>
        <charset val="1"/>
      </rPr>
      <t xml:space="preserve">HBM</t>
    </r>
    <r>
      <rPr>
        <sz val="10"/>
        <color rgb="FF111111"/>
        <rFont val="Noto Sans CJK SC"/>
        <family val="2"/>
      </rPr>
      <t xml:space="preserve">每千片约</t>
    </r>
    <r>
      <rPr>
        <sz val="10"/>
        <color rgb="FF111111"/>
        <rFont val="Microsoft YaHei"/>
        <family val="0"/>
        <charset val="1"/>
      </rPr>
      <t xml:space="preserve">2.3</t>
    </r>
    <r>
      <rPr>
        <sz val="10"/>
        <color rgb="FF111111"/>
        <rFont val="Noto Sans CJK SC"/>
        <family val="2"/>
      </rPr>
      <t xml:space="preserve">亿美元售价接近对半，按中位数划</t>
    </r>
    <r>
      <rPr>
        <sz val="10"/>
        <color rgb="FF111111"/>
        <rFont val="Microsoft YaHei"/>
        <family val="0"/>
        <charset val="1"/>
      </rPr>
      <t xml:space="preserve">40.5%</t>
    </r>
    <r>
      <rPr>
        <sz val="10"/>
        <color rgb="FF111111"/>
        <rFont val="Noto Sans CJK SC"/>
        <family val="2"/>
      </rPr>
      <t xml:space="preserve">产能（约</t>
    </r>
    <r>
      <rPr>
        <sz val="10"/>
        <color rgb="FF111111"/>
        <rFont val="Microsoft YaHei"/>
        <family val="0"/>
        <charset val="1"/>
      </rPr>
      <t xml:space="preserve">188</t>
    </r>
    <r>
      <rPr>
        <sz val="10"/>
        <color rgb="FF111111"/>
        <rFont val="Noto Sans CJK SC"/>
        <family val="2"/>
      </rPr>
      <t xml:space="preserve">千片）；资本开支</t>
    </r>
    <r>
      <rPr>
        <sz val="10"/>
        <color rgb="FF111111"/>
        <rFont val="Microsoft YaHei"/>
        <family val="0"/>
        <charset val="1"/>
      </rPr>
      <t xml:space="preserve">15</t>
    </r>
    <r>
      <rPr>
        <sz val="10"/>
        <color rgb="FF111111"/>
        <rFont val="Noto Sans CJK SC"/>
        <family val="2"/>
      </rPr>
      <t xml:space="preserve">亿只做维持，保证公司交接时产能完好；不借款。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</si>
</sst>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0;[RED]\-#,##0.000"/>
    <numFmt numFmtId="166" formatCode="#,##0.00;[RED]\-#,##0.00"/>
    <numFmt numFmtId="167" formatCode="0"/>
    <numFmt numFmtId="168" formatCode="0.0%;[RED]\-0.0%"/>
    <numFmt numFmtId="169" formatCode="0.0"/>
    <numFmt numFmtId="170" formatCode="0.00"/>
    <numFmt numFmtId="171" formatCode="#,##0.0"/>
    <numFmt numFmtId="172" formatCode="0.0000;[RED]\-0.0000;0.0000"/>
    <numFmt numFmtId="173" formatCode="0.00\x"/>
    <numFmt numFmtId="174" formatCode="0%"/>
  </numFmts>
  <fonts count="23">
    <font>
      <sz val="11"/>
      <color theme="1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Microsoft YaHei"/>
      <family val="0"/>
      <charset val="1"/>
    </font>
    <font>
      <sz val="9"/>
      <color rgb="FF595959"/>
      <name val="Noto Sans CJK SC"/>
      <family val="2"/>
    </font>
    <font>
      <sz val="9"/>
      <color rgb="FF595959"/>
      <name val="Microsoft YaHei"/>
      <family val="0"/>
      <charset val="1"/>
    </font>
    <font>
      <b val="true"/>
      <sz val="10"/>
      <color rgb="FF111111"/>
      <name val="Noto Sans CJK SC"/>
      <family val="2"/>
    </font>
    <font>
      <sz val="10"/>
      <color rgb="FF111111"/>
      <name val="Noto Sans CJK SC"/>
      <family val="2"/>
    </font>
    <font>
      <sz val="10"/>
      <color rgb="FF111111"/>
      <name val="Microsoft YaHei"/>
      <family val="0"/>
      <charset val="1"/>
    </font>
    <font>
      <sz val="10"/>
      <color rgb="FF1F4E99"/>
      <name val="Noto Sans CJK SC"/>
      <family val="2"/>
    </font>
    <font>
      <sz val="9"/>
      <color rgb="FF2E7D32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Microsoft YaHei"/>
      <family val="0"/>
      <charset val="1"/>
    </font>
    <font>
      <sz val="10"/>
      <color rgb="FF1F4E99"/>
      <name val="Microsoft YaHei"/>
      <family val="0"/>
      <charset val="1"/>
    </font>
    <font>
      <b val="true"/>
      <sz val="10"/>
      <color rgb="FF111111"/>
      <name val="Microsoft YaHei"/>
      <family val="0"/>
      <charset val="1"/>
    </font>
    <font>
      <sz val="9"/>
      <color rgb="FF2E7D32"/>
      <name val="Microsoft YaHei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8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CE8F5"/>
        <bgColor rgb="FFE3F1DF"/>
      </patternFill>
    </fill>
    <fill>
      <patternFill patternType="solid">
        <fgColor rgb="FFFFF4CC"/>
        <bgColor rgb="FFEFEFEF"/>
      </patternFill>
    </fill>
    <fill>
      <patternFill patternType="solid">
        <fgColor rgb="FFFFFFFF"/>
        <bgColor rgb="FFF3F0FA"/>
      </patternFill>
    </fill>
    <fill>
      <patternFill patternType="solid">
        <fgColor rgb="FFE3F1DF"/>
        <bgColor rgb="FFEFEFEF"/>
      </patternFill>
    </fill>
    <fill>
      <patternFill patternType="solid">
        <fgColor rgb="FFF3F0FA"/>
        <bgColor rgb="FFEFEFEF"/>
      </patternFill>
    </fill>
    <fill>
      <patternFill patternType="solid">
        <fgColor rgb="FF1F3864"/>
        <bgColor rgb="FF333333"/>
      </patternFill>
    </fill>
    <fill>
      <patternFill patternType="solid">
        <fgColor rgb="FFEFEFEF"/>
        <bgColor rgb="FFF3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3C2B7"/>
      <rgbColor rgb="FF808080"/>
      <rgbColor rgb="FF9999FF"/>
      <rgbColor rgb="FF993366"/>
      <rgbColor rgb="FFFFF4CC"/>
      <rgbColor rgb="FFDCE8F5"/>
      <rgbColor rgb="FF660066"/>
      <rgbColor rgb="FFFF8080"/>
      <rgbColor rgb="FF1F4E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E3F1DF"/>
      <rgbColor rgb="FFF3F0FA"/>
      <rgbColor rgb="FF99CCFF"/>
      <rgbColor rgb="FFFF99CC"/>
      <rgbColor rgb="FFCC99FF"/>
      <rgbColor rgb="FFE1E0D9"/>
      <rgbColor rgb="FF2A78D6"/>
      <rgbColor rgb="FF33CCCC"/>
      <rgbColor rgb="FF99CC00"/>
      <rgbColor rgb="FFFFCC00"/>
      <rgbColor rgb="FFFF9900"/>
      <rgbColor rgb="FFEB6834"/>
      <rgbColor rgb="FF595959"/>
      <rgbColor rgb="FF969696"/>
      <rgbColor rgb="FF1F3864"/>
      <rgbColor rgb="FF1BAF7A"/>
      <rgbColor rgb="FF111111"/>
      <rgbColor rgb="FF333300"/>
      <rgbColor rgb="FF993300"/>
      <rgbColor rgb="FF993366"/>
      <rgbColor rgb="FF4A3AA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营收结构与净利润（十亿美元）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"普通内存收入"</c:f>
              <c:strCache>
                <c:ptCount val="1"/>
                <c:pt idx="0">
                  <c:v>普通内存收入</c:v>
                </c:pt>
              </c:strCache>
            </c:strRef>
          </c:tx>
          <c:spPr>
            <a:solidFill>
              <a:srgbClr val="2A78D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利润表!$C$4:$R$4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利润表!$C$5:$R$5</c:f>
              <c:numCache>
                <c:formatCode>#,##0.00;[RED]\-#,##0.00</c:formatCode>
                <c:ptCount val="16"/>
                <c:pt idx="0">
                  <c:v>4.608</c:v>
                </c:pt>
                <c:pt idx="1">
                  <c:v>2.8224</c:v>
                </c:pt>
                <c:pt idx="2">
                  <c:v>2.46</c:v>
                </c:pt>
                <c:pt idx="3">
                  <c:v>2.7348</c:v>
                </c:pt>
                <c:pt idx="4">
                  <c:v>3.384</c:v>
                </c:pt>
                <c:pt idx="5">
                  <c:v>4.4928</c:v>
                </c:pt>
                <c:pt idx="6">
                  <c:v>5.6772</c:v>
                </c:pt>
                <c:pt idx="7">
                  <c:v>6.7344</c:v>
                </c:pt>
                <c:pt idx="8">
                  <c:v>7.68</c:v>
                </c:pt>
                <c:pt idx="9">
                  <c:v>7.4496</c:v>
                </c:pt>
                <c:pt idx="10">
                  <c:v>8.6496</c:v>
                </c:pt>
                <c:pt idx="11">
                  <c:v>11.2128</c:v>
                </c:pt>
                <c:pt idx="12">
                  <c:v>16.32</c:v>
                </c:pt>
                <c:pt idx="13">
                  <c:v>22.966</c:v>
                </c:pt>
                <c:pt idx="14">
                  <c:v>27.8554</c:v>
                </c:pt>
                <c:pt idx="15">
                  <c:v>30.2129</c:v>
                </c:pt>
              </c:numCache>
            </c:numRef>
          </c:val>
        </c:ser>
        <c:ser>
          <c:idx val="1"/>
          <c:order val="1"/>
          <c:tx>
            <c:strRef>
              <c:f>"HBM 收入"</c:f>
              <c:strCache>
                <c:ptCount val="1"/>
                <c:pt idx="0">
                  <c:v>HBM 收入</c:v>
                </c:pt>
              </c:strCache>
            </c:strRef>
          </c:tx>
          <c:spPr>
            <a:solidFill>
              <a:srgbClr val="4A3AA7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利润表!$C$4:$R$4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利润表!$C$6:$R$6</c:f>
              <c:numCache>
                <c:formatCode>#,##0.00;[RED]\-#,##0.00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0.2688</c:v>
                </c:pt>
                <c:pt idx="4">
                  <c:v>0.4608</c:v>
                </c:pt>
                <c:pt idx="5">
                  <c:v>0.8208</c:v>
                </c:pt>
                <c:pt idx="6">
                  <c:v>1.4352</c:v>
                </c:pt>
                <c:pt idx="7">
                  <c:v>2.4192</c:v>
                </c:pt>
                <c:pt idx="8">
                  <c:v>3.9168</c:v>
                </c:pt>
                <c:pt idx="9">
                  <c:v>5.76</c:v>
                </c:pt>
                <c:pt idx="10">
                  <c:v>8.1696</c:v>
                </c:pt>
                <c:pt idx="11">
                  <c:v>11.664</c:v>
                </c:pt>
                <c:pt idx="12">
                  <c:v>16.896</c:v>
                </c:pt>
                <c:pt idx="13">
                  <c:v>24.624</c:v>
                </c:pt>
                <c:pt idx="14">
                  <c:v>33.792</c:v>
                </c:pt>
                <c:pt idx="15">
                  <c:v>42.624</c:v>
                </c:pt>
              </c:numCache>
            </c:numRef>
          </c:val>
        </c:ser>
        <c:gapWidth val="60"/>
        <c:overlap val="100"/>
        <c:axId val="52289943"/>
        <c:axId val="23915793"/>
      </c:barChart>
      <c:lineChart>
        <c:grouping val="stacked"/>
        <c:varyColors val="0"/>
        <c:ser>
          <c:idx val="2"/>
          <c:order val="2"/>
          <c:tx>
            <c:strRef>
              <c:f>"净利润"</c:f>
              <c:strCache>
                <c:ptCount val="1"/>
                <c:pt idx="0">
                  <c:v>净利润</c:v>
                </c:pt>
              </c:strCache>
            </c:strRef>
          </c:tx>
          <c:spPr>
            <a:ln w="25560">
              <a:solidFill>
                <a:srgbClr val="EB6834"/>
              </a:solidFill>
              <a:round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利润表!$C$4:$R$4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利润表!$C$19:$R$19</c:f>
              <c:numCache>
                <c:formatCode>#,##0.00;[RED]\-#,##0.00</c:formatCode>
                <c:ptCount val="16"/>
                <c:pt idx="0">
                  <c:v>-3.4406</c:v>
                </c:pt>
                <c:pt idx="1">
                  <c:v>-1.9031</c:v>
                </c:pt>
                <c:pt idx="2">
                  <c:v>-2.2866</c:v>
                </c:pt>
                <c:pt idx="3">
                  <c:v>-1.5755</c:v>
                </c:pt>
                <c:pt idx="4">
                  <c:v>-0.737</c:v>
                </c:pt>
                <c:pt idx="5">
                  <c:v>0.0194999999999999</c:v>
                </c:pt>
                <c:pt idx="6">
                  <c:v>0.919900000000001</c:v>
                </c:pt>
                <c:pt idx="7">
                  <c:v>2.1586</c:v>
                </c:pt>
                <c:pt idx="8">
                  <c:v>3.7993</c:v>
                </c:pt>
                <c:pt idx="9">
                  <c:v>4.9581</c:v>
                </c:pt>
                <c:pt idx="10">
                  <c:v>7.5658</c:v>
                </c:pt>
                <c:pt idx="11">
                  <c:v>12.3985</c:v>
                </c:pt>
                <c:pt idx="12">
                  <c:v>20.7407</c:v>
                </c:pt>
                <c:pt idx="13">
                  <c:v>33.3857</c:v>
                </c:pt>
                <c:pt idx="14">
                  <c:v>45.9518</c:v>
                </c:pt>
                <c:pt idx="15">
                  <c:v>55.7273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289943"/>
        <c:axId val="23915793"/>
      </c:lineChart>
      <c:catAx>
        <c:axId val="52289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915793"/>
        <c:crosses val="autoZero"/>
        <c:auto val="1"/>
        <c:lblAlgn val="ctr"/>
        <c:lblOffset val="100"/>
        <c:noMultiLvlLbl val="0"/>
      </c:catAx>
      <c:valAx>
        <c:axId val="23915793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十亿美元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289943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毛利率与年化 ROE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"毛利率"</c:f>
              <c:strCache>
                <c:ptCount val="1"/>
                <c:pt idx="0">
                  <c:v>毛利率</c:v>
                </c:pt>
              </c:strCache>
            </c:strRef>
          </c:tx>
          <c:spPr>
            <a:ln w="255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分析!$C$4:$R$4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分析!$C$8:$R$8</c:f>
              <c:numCache>
                <c:formatCode>0.0%;[RED]\-0.0%</c:formatCode>
                <c:ptCount val="16"/>
                <c:pt idx="0">
                  <c:v>0.134418402777778</c:v>
                </c:pt>
                <c:pt idx="1">
                  <c:v>-0.289576247165533</c:v>
                </c:pt>
                <c:pt idx="2">
                  <c:v>-0.480772357723577</c:v>
                </c:pt>
                <c:pt idx="3">
                  <c:v>-0.145292315887602</c:v>
                </c:pt>
                <c:pt idx="4">
                  <c:v>0.112671660424469</c:v>
                </c:pt>
                <c:pt idx="5">
                  <c:v>0.235678259560373</c:v>
                </c:pt>
                <c:pt idx="6">
                  <c:v>0.329073167988302</c:v>
                </c:pt>
                <c:pt idx="7">
                  <c:v>0.414995193148051</c:v>
                </c:pt>
                <c:pt idx="8">
                  <c:v>0.494791666666667</c:v>
                </c:pt>
                <c:pt idx="9">
                  <c:v>0.537820978682171</c:v>
                </c:pt>
                <c:pt idx="10">
                  <c:v>0.602436501141553</c:v>
                </c:pt>
                <c:pt idx="11">
                  <c:v>0.684903483004616</c:v>
                </c:pt>
                <c:pt idx="12">
                  <c:v>0.76252408477842</c:v>
                </c:pt>
                <c:pt idx="13">
                  <c:v>0.840783778104644</c:v>
                </c:pt>
                <c:pt idx="14">
                  <c:v>0.884180030301359</c:v>
                </c:pt>
                <c:pt idx="15">
                  <c:v>0.90094306594597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"ROE（年化）"</c:f>
              <c:strCache>
                <c:ptCount val="1"/>
                <c:pt idx="0">
                  <c:v>ROE（年化）</c:v>
                </c:pt>
              </c:strCache>
            </c:strRef>
          </c:tx>
          <c:spPr>
            <a:ln w="25560">
              <a:solidFill>
                <a:srgbClr val="EB6834"/>
              </a:solidFill>
              <a:round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分析!$C$4:$R$4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分析!$C$40:$R$40</c:f>
              <c:numCache>
                <c:formatCode>0.0%;[RED]\-0.0%</c:formatCode>
                <c:ptCount val="16"/>
                <c:pt idx="0">
                  <c:v>-0.414035024383493</c:v>
                </c:pt>
                <c:pt idx="1">
                  <c:v>-0.249032889130246</c:v>
                </c:pt>
                <c:pt idx="2">
                  <c:v>-0.321230639553261</c:v>
                </c:pt>
                <c:pt idx="3">
                  <c:v>-0.237435455948037</c:v>
                </c:pt>
                <c:pt idx="4">
                  <c:v>-0.116128371484734</c:v>
                </c:pt>
                <c:pt idx="5">
                  <c:v>0.00311664026179777</c:v>
                </c:pt>
                <c:pt idx="6">
                  <c:v>0.144316998507647</c:v>
                </c:pt>
                <c:pt idx="7">
                  <c:v>0.319367951501522</c:v>
                </c:pt>
                <c:pt idx="8">
                  <c:v>0.506322703595054</c:v>
                </c:pt>
                <c:pt idx="9">
                  <c:v>0.576631374196615</c:v>
                </c:pt>
                <c:pt idx="10">
                  <c:v>0.74438144900444</c:v>
                </c:pt>
                <c:pt idx="11">
                  <c:v>0.979389841353222</c:v>
                </c:pt>
                <c:pt idx="12">
                  <c:v>1.2344322971108</c:v>
                </c:pt>
                <c:pt idx="13">
                  <c:v>1.416592368022</c:v>
                </c:pt>
                <c:pt idx="14">
                  <c:v>1.37231818616208</c:v>
                </c:pt>
                <c:pt idx="15">
                  <c:v>1.20635733275607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5952579"/>
        <c:axId val="77898249"/>
      </c:lineChart>
      <c:catAx>
        <c:axId val="559525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898249"/>
        <c:crosses val="autoZero"/>
        <c:auto val="1"/>
        <c:lblAlgn val="ctr"/>
        <c:lblOffset val="100"/>
        <c:noMultiLvlLbl val="0"/>
      </c:catAx>
      <c:valAx>
        <c:axId val="77898249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952579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现金、借款与股东权益（十亿美元）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"股东权益"</c:f>
              <c:strCache>
                <c:ptCount val="1"/>
                <c:pt idx="0">
                  <c:v>股东权益</c:v>
                </c:pt>
              </c:strCache>
            </c:strRef>
          </c:tx>
          <c:spPr>
            <a:ln w="255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资产负债表!$C$4:$R$4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资产负债表!$C$13:$R$13</c:f>
              <c:numCache>
                <c:formatCode>#,##0.00;[RED]\-#,##0.00</c:formatCode>
                <c:ptCount val="16"/>
                <c:pt idx="0">
                  <c:v>31.5194</c:v>
                </c:pt>
                <c:pt idx="1">
                  <c:v>29.6163</c:v>
                </c:pt>
                <c:pt idx="2">
                  <c:v>27.3297</c:v>
                </c:pt>
                <c:pt idx="3">
                  <c:v>25.7542</c:v>
                </c:pt>
                <c:pt idx="4">
                  <c:v>25.0172</c:v>
                </c:pt>
                <c:pt idx="5">
                  <c:v>25.0367</c:v>
                </c:pt>
                <c:pt idx="6">
                  <c:v>25.9566</c:v>
                </c:pt>
                <c:pt idx="7">
                  <c:v>28.1152</c:v>
                </c:pt>
                <c:pt idx="8">
                  <c:v>31.9145</c:v>
                </c:pt>
                <c:pt idx="9">
                  <c:v>36.8726</c:v>
                </c:pt>
                <c:pt idx="10">
                  <c:v>44.4384</c:v>
                </c:pt>
                <c:pt idx="11">
                  <c:v>56.8369</c:v>
                </c:pt>
                <c:pt idx="12">
                  <c:v>77.5776</c:v>
                </c:pt>
                <c:pt idx="13">
                  <c:v>110.9633</c:v>
                </c:pt>
                <c:pt idx="14">
                  <c:v>156.9151</c:v>
                </c:pt>
                <c:pt idx="15">
                  <c:v>212.6424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"借款"</c:f>
              <c:strCache>
                <c:ptCount val="1"/>
                <c:pt idx="0">
                  <c:v>借款</c:v>
                </c:pt>
              </c:strCache>
            </c:strRef>
          </c:tx>
          <c:spPr>
            <a:ln w="25560">
              <a:solidFill>
                <a:srgbClr val="EB6834"/>
              </a:solidFill>
              <a:round/>
            </a:ln>
          </c:spPr>
          <c:marker>
            <c:symbol val="circle"/>
            <c:size val="5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资产负债表!$C$4:$R$4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资产负债表!$C$10:$R$10</c:f>
              <c:numCache>
                <c:formatCode>#,##0.00;[RED]\-#,##0.00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8</c:v>
                </c:pt>
                <c:pt idx="3">
                  <c:v>10</c:v>
                </c:pt>
                <c:pt idx="4">
                  <c:v>13.5</c:v>
                </c:pt>
                <c:pt idx="5">
                  <c:v>15</c:v>
                </c:pt>
                <c:pt idx="6">
                  <c:v>15</c:v>
                </c:pt>
                <c:pt idx="7">
                  <c:v>15.5</c:v>
                </c:pt>
                <c:pt idx="8">
                  <c:v>16.8</c:v>
                </c:pt>
                <c:pt idx="9">
                  <c:v>14.8</c:v>
                </c:pt>
                <c:pt idx="10">
                  <c:v>4.8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"现金"</c:f>
              <c:strCache>
                <c:ptCount val="1"/>
                <c:pt idx="0">
                  <c:v>现金</c:v>
                </c:pt>
              </c:strCache>
            </c:strRef>
          </c:tx>
          <c:spPr>
            <a:ln w="25560">
              <a:solidFill>
                <a:srgbClr val="1BAF7A"/>
              </a:solidFill>
              <a:round/>
            </a:ln>
          </c:spPr>
          <c:marker>
            <c:symbol val="circle"/>
            <c:size val="5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资产负债表!$C$4:$R$4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资产负债表!$C$5:$R$5</c:f>
              <c:numCache>
                <c:formatCode>#,##0.00;[RED]\-#,##0.00</c:formatCode>
                <c:ptCount val="16"/>
                <c:pt idx="0">
                  <c:v>6.773</c:v>
                </c:pt>
                <c:pt idx="1">
                  <c:v>4.5096</c:v>
                </c:pt>
                <c:pt idx="2">
                  <c:v>3.8657</c:v>
                </c:pt>
                <c:pt idx="3">
                  <c:v>3.7302</c:v>
                </c:pt>
                <c:pt idx="4">
                  <c:v>2.9048</c:v>
                </c:pt>
                <c:pt idx="5">
                  <c:v>2.0856</c:v>
                </c:pt>
                <c:pt idx="6">
                  <c:v>1.9774</c:v>
                </c:pt>
                <c:pt idx="7">
                  <c:v>1.7909</c:v>
                </c:pt>
                <c:pt idx="8">
                  <c:v>3.824</c:v>
                </c:pt>
                <c:pt idx="9">
                  <c:v>5.0623</c:v>
                </c:pt>
                <c:pt idx="10">
                  <c:v>5.0148</c:v>
                </c:pt>
                <c:pt idx="11">
                  <c:v>15.3467</c:v>
                </c:pt>
                <c:pt idx="12">
                  <c:v>39.3005</c:v>
                </c:pt>
                <c:pt idx="13">
                  <c:v>75.4383</c:v>
                </c:pt>
                <c:pt idx="14">
                  <c:v>123.7051</c:v>
                </c:pt>
                <c:pt idx="15">
                  <c:v>181.8224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4646846"/>
        <c:axId val="42423566"/>
      </c:lineChart>
      <c:catAx>
        <c:axId val="346468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423566"/>
        <c:crosses val="autoZero"/>
        <c:auto val="1"/>
        <c:lblAlgn val="ctr"/>
        <c:lblOffset val="100"/>
        <c:noMultiLvlLbl val="0"/>
      </c:catAx>
      <c:valAx>
        <c:axId val="42423566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十亿美元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646846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期末库存（千片）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"期末库存"</c:f>
              <c:strCache>
                <c:ptCount val="1"/>
                <c:pt idx="0">
                  <c:v>期末库存</c:v>
                </c:pt>
              </c:strCache>
            </c:strRef>
          </c:tx>
          <c:spPr>
            <a:solidFill>
              <a:srgbClr val="2A78D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资产负债表!$C$4:$R$4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资产负债表!$C$17:$R$17</c:f>
              <c:numCache>
                <c:formatCode>#,##0.0</c:formatCode>
                <c:ptCount val="16"/>
                <c:pt idx="0">
                  <c:v>75</c:v>
                </c:pt>
                <c:pt idx="1">
                  <c:v>165</c:v>
                </c:pt>
                <c:pt idx="2">
                  <c:v>260</c:v>
                </c:pt>
                <c:pt idx="3">
                  <c:v>333</c:v>
                </c:pt>
                <c:pt idx="4">
                  <c:v>383</c:v>
                </c:pt>
                <c:pt idx="5">
                  <c:v>402</c:v>
                </c:pt>
                <c:pt idx="6">
                  <c:v>384</c:v>
                </c:pt>
                <c:pt idx="7">
                  <c:v>337</c:v>
                </c:pt>
                <c:pt idx="8">
                  <c:v>286.75</c:v>
                </c:pt>
                <c:pt idx="9">
                  <c:v>242.75</c:v>
                </c:pt>
                <c:pt idx="10">
                  <c:v>178.15</c:v>
                </c:pt>
                <c:pt idx="11">
                  <c:v>111.38</c:v>
                </c:pt>
                <c:pt idx="12">
                  <c:v>33.27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60"/>
        <c:overlap val="0"/>
        <c:axId val="41485991"/>
        <c:axId val="46867328"/>
      </c:barChart>
      <c:catAx>
        <c:axId val="41485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867328"/>
        <c:crosses val="autoZero"/>
        <c:auto val="1"/>
        <c:lblAlgn val="ctr"/>
        <c:lblOffset val="100"/>
        <c:noMultiLvlLbl val="0"/>
      </c:catAx>
      <c:valAx>
        <c:axId val="46867328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千片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485991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存货周转天数（金额口径，天）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"存货周转天数"</c:f>
              <c:strCache>
                <c:ptCount val="1"/>
                <c:pt idx="0">
                  <c:v>存货周转天数</c:v>
                </c:pt>
              </c:strCache>
            </c:strRef>
          </c:tx>
          <c:spPr>
            <a:ln w="255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分析!$C$4:$R$4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分析!$C$26:$R$26</c:f>
              <c:numCache>
                <c:formatCode>0.0</c:formatCode>
                <c:ptCount val="16"/>
                <c:pt idx="0">
                  <c:v>25.2386802386802</c:v>
                </c:pt>
                <c:pt idx="1">
                  <c:v>42.0323618704838</c:v>
                </c:pt>
                <c:pt idx="2">
                  <c:v>63.5107715430862</c:v>
                </c:pt>
                <c:pt idx="3">
                  <c:v>92.6824127906977</c:v>
                </c:pt>
                <c:pt idx="4">
                  <c:v>123.188569879236</c:v>
                </c:pt>
                <c:pt idx="5">
                  <c:v>123.164919483909</c:v>
                </c:pt>
                <c:pt idx="6">
                  <c:v>110.004256690207</c:v>
                </c:pt>
                <c:pt idx="7">
                  <c:v>92.9003692879419</c:v>
                </c:pt>
                <c:pt idx="8">
                  <c:v>75.0692761316311</c:v>
                </c:pt>
                <c:pt idx="9">
                  <c:v>61.8088269016576</c:v>
                </c:pt>
                <c:pt idx="10">
                  <c:v>45.0941514498931</c:v>
                </c:pt>
                <c:pt idx="11">
                  <c:v>28.7596241884468</c:v>
                </c:pt>
                <c:pt idx="12">
                  <c:v>13.0275339122718</c:v>
                </c:pt>
                <c:pt idx="13">
                  <c:v>3.08357584036109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324181"/>
        <c:axId val="82757576"/>
      </c:lineChart>
      <c:catAx>
        <c:axId val="523241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757576"/>
        <c:crosses val="autoZero"/>
        <c:auto val="1"/>
        <c:lblAlgn val="ctr"/>
        <c:lblOffset val="100"/>
        <c:noMultiLvlLbl val="0"/>
      </c:catAx>
      <c:valAx>
        <c:axId val="82757576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324181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经营现金流与自由现金流（十亿美元）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"经营活动现金流"</c:f>
              <c:strCache>
                <c:ptCount val="1"/>
                <c:pt idx="0">
                  <c:v>经营活动现金流</c:v>
                </c:pt>
              </c:strCache>
            </c:strRef>
          </c:tx>
          <c:spPr>
            <a:solidFill>
              <a:srgbClr val="2A78D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分析!$C$4:$R$4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分析!$C$29:$R$29</c:f>
              <c:numCache>
                <c:formatCode>#,##0.00;[RED]\-#,##0.00</c:formatCode>
                <c:ptCount val="16"/>
                <c:pt idx="0">
                  <c:v>-1.727</c:v>
                </c:pt>
                <c:pt idx="1">
                  <c:v>-0.7634</c:v>
                </c:pt>
                <c:pt idx="2">
                  <c:v>-1.1439</c:v>
                </c:pt>
                <c:pt idx="3">
                  <c:v>-0.6355</c:v>
                </c:pt>
                <c:pt idx="4">
                  <c:v>0.1746</c:v>
                </c:pt>
                <c:pt idx="5">
                  <c:v>1.5808</c:v>
                </c:pt>
                <c:pt idx="6">
                  <c:v>3.1918</c:v>
                </c:pt>
                <c:pt idx="7">
                  <c:v>5.0135</c:v>
                </c:pt>
                <c:pt idx="8">
                  <c:v>7.0331</c:v>
                </c:pt>
                <c:pt idx="9">
                  <c:v>8.3383</c:v>
                </c:pt>
                <c:pt idx="10">
                  <c:v>11.4525</c:v>
                </c:pt>
                <c:pt idx="11">
                  <c:v>16.6319</c:v>
                </c:pt>
                <c:pt idx="12">
                  <c:v>25.4538</c:v>
                </c:pt>
                <c:pt idx="13">
                  <c:v>37.6378</c:v>
                </c:pt>
                <c:pt idx="14">
                  <c:v>49.7668</c:v>
                </c:pt>
                <c:pt idx="15">
                  <c:v>59.6173</c:v>
                </c:pt>
              </c:numCache>
            </c:numRef>
          </c:val>
        </c:ser>
        <c:ser>
          <c:idx val="1"/>
          <c:order val="1"/>
          <c:tx>
            <c:strRef>
              <c:f>"自由现金流"</c:f>
              <c:strCache>
                <c:ptCount val="1"/>
                <c:pt idx="0">
                  <c:v>自由现金流</c:v>
                </c:pt>
              </c:strCache>
            </c:strRef>
          </c:tx>
          <c:spPr>
            <a:solidFill>
              <a:srgbClr val="EB6834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分析!$C$4:$R$4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分析!$C$30:$R$30</c:f>
              <c:numCache>
                <c:formatCode>#,##0.00;[RED]\-#,##0.00</c:formatCode>
                <c:ptCount val="16"/>
                <c:pt idx="0">
                  <c:v>-3.227</c:v>
                </c:pt>
                <c:pt idx="1">
                  <c:v>-2.2634</c:v>
                </c:pt>
                <c:pt idx="2">
                  <c:v>-2.6439</c:v>
                </c:pt>
                <c:pt idx="3">
                  <c:v>-2.1355</c:v>
                </c:pt>
                <c:pt idx="4">
                  <c:v>-4.3254</c:v>
                </c:pt>
                <c:pt idx="5">
                  <c:v>-2.3192</c:v>
                </c:pt>
                <c:pt idx="6">
                  <c:v>-0.108199999999999</c:v>
                </c:pt>
                <c:pt idx="7">
                  <c:v>-0.6865</c:v>
                </c:pt>
                <c:pt idx="8">
                  <c:v>0.7331</c:v>
                </c:pt>
                <c:pt idx="9">
                  <c:v>3.2383</c:v>
                </c:pt>
                <c:pt idx="10">
                  <c:v>9.9525</c:v>
                </c:pt>
                <c:pt idx="11">
                  <c:v>15.1319</c:v>
                </c:pt>
                <c:pt idx="12">
                  <c:v>23.9538</c:v>
                </c:pt>
                <c:pt idx="13">
                  <c:v>36.1378</c:v>
                </c:pt>
                <c:pt idx="14">
                  <c:v>48.2668</c:v>
                </c:pt>
                <c:pt idx="15">
                  <c:v>58.1173</c:v>
                </c:pt>
              </c:numCache>
            </c:numRef>
          </c:val>
        </c:ser>
        <c:gapWidth val="60"/>
        <c:overlap val="0"/>
        <c:axId val="92961183"/>
        <c:axId val="38073613"/>
      </c:barChart>
      <c:catAx>
        <c:axId val="9296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073613"/>
        <c:crosses val="autoZero"/>
        <c:auto val="1"/>
        <c:lblAlgn val="ctr"/>
        <c:lblOffset val="100"/>
        <c:noMultiLvlLbl val="0"/>
      </c:catAx>
      <c:valAx>
        <c:axId val="38073613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十亿美元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961183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净负债（负数=净现金，十亿美元）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"净负债"</c:f>
              <c:strCache>
                <c:ptCount val="1"/>
                <c:pt idx="0">
                  <c:v>净负债</c:v>
                </c:pt>
              </c:strCache>
            </c:strRef>
          </c:tx>
          <c:spPr>
            <a:solidFill>
              <a:srgbClr val="2A78D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分析!$C$4:$R$4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分析!$C$32:$R$32</c:f>
              <c:numCache>
                <c:formatCode>#,##0.00;[RED]\-#,##0.00</c:formatCode>
                <c:ptCount val="16"/>
                <c:pt idx="0">
                  <c:v>-0.773</c:v>
                </c:pt>
                <c:pt idx="1">
                  <c:v>1.4904</c:v>
                </c:pt>
                <c:pt idx="2">
                  <c:v>4.1343</c:v>
                </c:pt>
                <c:pt idx="3">
                  <c:v>6.2698</c:v>
                </c:pt>
                <c:pt idx="4">
                  <c:v>10.5952</c:v>
                </c:pt>
                <c:pt idx="5">
                  <c:v>12.9144</c:v>
                </c:pt>
                <c:pt idx="6">
                  <c:v>13.0226</c:v>
                </c:pt>
                <c:pt idx="7">
                  <c:v>13.7091</c:v>
                </c:pt>
                <c:pt idx="8">
                  <c:v>12.976</c:v>
                </c:pt>
                <c:pt idx="9">
                  <c:v>9.7377</c:v>
                </c:pt>
                <c:pt idx="10">
                  <c:v>-0.214800000000002</c:v>
                </c:pt>
                <c:pt idx="11">
                  <c:v>-15.3467</c:v>
                </c:pt>
                <c:pt idx="12">
                  <c:v>-39.3005</c:v>
                </c:pt>
                <c:pt idx="13">
                  <c:v>-75.4383</c:v>
                </c:pt>
                <c:pt idx="14">
                  <c:v>-123.7051</c:v>
                </c:pt>
                <c:pt idx="15">
                  <c:v>-181.8224</c:v>
                </c:pt>
              </c:numCache>
            </c:numRef>
          </c:val>
        </c:ser>
        <c:gapWidth val="60"/>
        <c:overlap val="0"/>
        <c:axId val="47166149"/>
        <c:axId val="58892066"/>
      </c:barChart>
      <c:catAx>
        <c:axId val="471661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892066"/>
        <c:crosses val="autoZero"/>
        <c:auto val="1"/>
        <c:lblAlgn val="ctr"/>
        <c:lblOffset val="100"/>
        <c:noMultiLvlLbl val="0"/>
      </c:catAx>
      <c:valAx>
        <c:axId val="58892066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十亿美元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166149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价格指数（1.00 = 每千片 0.024 十亿美元）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"普通内存价格指数"</c:f>
              <c:strCache>
                <c:ptCount val="1"/>
                <c:pt idx="0">
                  <c:v>普通内存价格指数</c:v>
                </c:pt>
              </c:strCache>
            </c:strRef>
          </c:tx>
          <c:spPr>
            <a:ln w="255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原始数据!$C$4:$R$4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原始数据!$C$13:$R$13</c:f>
              <c:numCache>
                <c:formatCode>0.00</c:formatCode>
                <c:ptCount val="16"/>
                <c:pt idx="0">
                  <c:v>0.8</c:v>
                </c:pt>
                <c:pt idx="1">
                  <c:v>0.56</c:v>
                </c:pt>
                <c:pt idx="2">
                  <c:v>0.5</c:v>
                </c:pt>
                <c:pt idx="3">
                  <c:v>0.53</c:v>
                </c:pt>
                <c:pt idx="4">
                  <c:v>0.6</c:v>
                </c:pt>
                <c:pt idx="5">
                  <c:v>0.72</c:v>
                </c:pt>
                <c:pt idx="6">
                  <c:v>0.83</c:v>
                </c:pt>
                <c:pt idx="7">
                  <c:v>0.92</c:v>
                </c:pt>
                <c:pt idx="8">
                  <c:v>1</c:v>
                </c:pt>
                <c:pt idx="9">
                  <c:v>0.97</c:v>
                </c:pt>
                <c:pt idx="10">
                  <c:v>1.06</c:v>
                </c:pt>
                <c:pt idx="11">
                  <c:v>1.28</c:v>
                </c:pt>
                <c:pt idx="12">
                  <c:v>1.7</c:v>
                </c:pt>
                <c:pt idx="13">
                  <c:v>2.65</c:v>
                </c:pt>
                <c:pt idx="14">
                  <c:v>3.9</c:v>
                </c:pt>
                <c:pt idx="15">
                  <c:v>4.55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"HBM 价格指数"</c:f>
              <c:strCache>
                <c:ptCount val="1"/>
                <c:pt idx="0">
                  <c:v>HBM 价格指数</c:v>
                </c:pt>
              </c:strCache>
            </c:strRef>
          </c:tx>
          <c:spPr>
            <a:ln w="25560">
              <a:solidFill>
                <a:srgbClr val="4A3AA7"/>
              </a:solidFill>
              <a:round/>
            </a:ln>
          </c:spPr>
          <c:marker>
            <c:symbol val="circle"/>
            <c:size val="5"/>
            <c:spPr>
              <a:solidFill>
                <a:srgbClr val="4A3AA7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原始数据!$C$4:$R$4</c:f>
              <c:multiLvlStrCache>
                <c:ptCount val="1"/>
                <c:lvl>
                  <c:pt idx="0">
                    <c:v>Q16</c:v>
                  </c:pt>
                </c:lvl>
                <c:lvl>
                  <c:pt idx="0">
                    <c:v>Q15</c:v>
                  </c:pt>
                </c:lvl>
                <c:lvl>
                  <c:pt idx="0">
                    <c:v>Q14</c:v>
                  </c:pt>
                </c:lvl>
                <c:lvl>
                  <c:pt idx="0">
                    <c:v>Q13</c:v>
                  </c:pt>
                </c:lvl>
                <c:lvl>
                  <c:pt idx="0">
                    <c:v>Q12</c:v>
                  </c:pt>
                </c:lvl>
                <c:lvl>
                  <c:pt idx="0">
                    <c:v>Q11</c:v>
                  </c:pt>
                </c:lvl>
                <c:lvl>
                  <c:pt idx="0">
                    <c:v>Q10</c:v>
                  </c:pt>
                </c:lvl>
                <c:lvl>
                  <c:pt idx="0">
                    <c:v>Q9</c:v>
                  </c:pt>
                </c:lvl>
                <c:lvl>
                  <c:pt idx="0">
                    <c:v>Q8</c:v>
                  </c:pt>
                </c:lvl>
                <c:lvl>
                  <c:pt idx="0">
                    <c:v>Q7</c:v>
                  </c:pt>
                </c:lvl>
                <c:lvl>
                  <c:pt idx="0">
                    <c:v>Q6</c:v>
                  </c:pt>
                </c:lvl>
                <c:lvl>
                  <c:pt idx="0">
                    <c:v>Q5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Q3</c:v>
                  </c:pt>
                </c:lvl>
                <c:lvl>
                  <c:pt idx="0">
                    <c:v>Q2</c:v>
                  </c:pt>
                </c:lvl>
                <c:lvl>
                  <c:pt idx="0">
                    <c:v>Q1</c:v>
                  </c:pt>
                </c:lvl>
              </c:multiLvlStrCache>
            </c:multiLvlStrRef>
          </c:cat>
          <c:val>
            <c:numRef>
              <c:f>原始数据!$C$14:$R$14</c:f>
              <c:numCache>
                <c:formatCode>0.00</c:formatCode>
                <c:ptCount val="16"/>
                <c:pt idx="0">
                  <c:v>1.6</c:v>
                </c:pt>
                <c:pt idx="1">
                  <c:v>1.4</c:v>
                </c:pt>
                <c:pt idx="2">
                  <c:v>1.3</c:v>
                </c:pt>
                <c:pt idx="3">
                  <c:v>1.4</c:v>
                </c:pt>
                <c:pt idx="4">
                  <c:v>1.6</c:v>
                </c:pt>
                <c:pt idx="5">
                  <c:v>1.9</c:v>
                </c:pt>
                <c:pt idx="6">
                  <c:v>2.3</c:v>
                </c:pt>
                <c:pt idx="7">
                  <c:v>2.8</c:v>
                </c:pt>
                <c:pt idx="8">
                  <c:v>3.4</c:v>
                </c:pt>
                <c:pt idx="9">
                  <c:v>4</c:v>
                </c:pt>
                <c:pt idx="10">
                  <c:v>4.6</c:v>
                </c:pt>
                <c:pt idx="11">
                  <c:v>5.4</c:v>
                </c:pt>
                <c:pt idx="12">
                  <c:v>6.4</c:v>
                </c:pt>
                <c:pt idx="13">
                  <c:v>7.6</c:v>
                </c:pt>
                <c:pt idx="14">
                  <c:v>8.8</c:v>
                </c:pt>
                <c:pt idx="15">
                  <c:v>9.6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924445"/>
        <c:axId val="64443306"/>
      </c:lineChart>
      <c:catAx>
        <c:axId val="849244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C3C2B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443306"/>
        <c:crosses val="autoZero"/>
        <c:auto val="1"/>
        <c:lblAlgn val="ctr"/>
        <c:lblOffset val="100"/>
        <c:noMultiLvlLbl val="0"/>
      </c:catAx>
      <c:valAx>
        <c:axId val="64443306"/>
        <c:scaling>
          <c:orientation val="minMax"/>
        </c:scaling>
        <c:delete val="0"/>
        <c:axPos val="l"/>
        <c:majorGridlines>
          <c:spPr>
            <a:ln w="6480">
              <a:solidFill>
                <a:srgbClr val="E1E0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指数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924445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64</xdr:row>
      <xdr:rowOff>0</xdr:rowOff>
    </xdr:from>
    <xdr:to>
      <xdr:col>5</xdr:col>
      <xdr:colOff>60840</xdr:colOff>
      <xdr:row>79</xdr:row>
      <xdr:rowOff>94320</xdr:rowOff>
    </xdr:to>
    <xdr:graphicFrame>
      <xdr:nvGraphicFramePr>
        <xdr:cNvPr id="1" name="Chart 1"/>
        <xdr:cNvGraphicFramePr/>
      </xdr:nvGraphicFramePr>
      <xdr:xfrm>
        <a:off x="0" y="1222200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64</xdr:row>
      <xdr:rowOff>0</xdr:rowOff>
    </xdr:from>
    <xdr:to>
      <xdr:col>18</xdr:col>
      <xdr:colOff>270360</xdr:colOff>
      <xdr:row>79</xdr:row>
      <xdr:rowOff>94320</xdr:rowOff>
    </xdr:to>
    <xdr:graphicFrame>
      <xdr:nvGraphicFramePr>
        <xdr:cNvPr id="2" name="Chart 2"/>
        <xdr:cNvGraphicFramePr/>
      </xdr:nvGraphicFramePr>
      <xdr:xfrm>
        <a:off x="8918640" y="1222200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82</xdr:row>
      <xdr:rowOff>0</xdr:rowOff>
    </xdr:from>
    <xdr:to>
      <xdr:col>5</xdr:col>
      <xdr:colOff>60840</xdr:colOff>
      <xdr:row>97</xdr:row>
      <xdr:rowOff>94320</xdr:rowOff>
    </xdr:to>
    <xdr:graphicFrame>
      <xdr:nvGraphicFramePr>
        <xdr:cNvPr id="3" name="Chart 3"/>
        <xdr:cNvGraphicFramePr/>
      </xdr:nvGraphicFramePr>
      <xdr:xfrm>
        <a:off x="0" y="1565100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82</xdr:row>
      <xdr:rowOff>0</xdr:rowOff>
    </xdr:from>
    <xdr:to>
      <xdr:col>18</xdr:col>
      <xdr:colOff>270360</xdr:colOff>
      <xdr:row>97</xdr:row>
      <xdr:rowOff>94320</xdr:rowOff>
    </xdr:to>
    <xdr:graphicFrame>
      <xdr:nvGraphicFramePr>
        <xdr:cNvPr id="4" name="Chart 4"/>
        <xdr:cNvGraphicFramePr/>
      </xdr:nvGraphicFramePr>
      <xdr:xfrm>
        <a:off x="8918640" y="1565100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100</xdr:row>
      <xdr:rowOff>0</xdr:rowOff>
    </xdr:from>
    <xdr:to>
      <xdr:col>5</xdr:col>
      <xdr:colOff>60840</xdr:colOff>
      <xdr:row>115</xdr:row>
      <xdr:rowOff>94320</xdr:rowOff>
    </xdr:to>
    <xdr:graphicFrame>
      <xdr:nvGraphicFramePr>
        <xdr:cNvPr id="5" name="Chart 5"/>
        <xdr:cNvGraphicFramePr/>
      </xdr:nvGraphicFramePr>
      <xdr:xfrm>
        <a:off x="0" y="1908000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100</xdr:row>
      <xdr:rowOff>0</xdr:rowOff>
    </xdr:from>
    <xdr:to>
      <xdr:col>18</xdr:col>
      <xdr:colOff>270360</xdr:colOff>
      <xdr:row>115</xdr:row>
      <xdr:rowOff>94320</xdr:rowOff>
    </xdr:to>
    <xdr:graphicFrame>
      <xdr:nvGraphicFramePr>
        <xdr:cNvPr id="6" name="Chart 6"/>
        <xdr:cNvGraphicFramePr/>
      </xdr:nvGraphicFramePr>
      <xdr:xfrm>
        <a:off x="8918640" y="1908000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118</xdr:row>
      <xdr:rowOff>0</xdr:rowOff>
    </xdr:from>
    <xdr:to>
      <xdr:col>5</xdr:col>
      <xdr:colOff>60840</xdr:colOff>
      <xdr:row>133</xdr:row>
      <xdr:rowOff>94320</xdr:rowOff>
    </xdr:to>
    <xdr:graphicFrame>
      <xdr:nvGraphicFramePr>
        <xdr:cNvPr id="7" name="Chart 7"/>
        <xdr:cNvGraphicFramePr/>
      </xdr:nvGraphicFramePr>
      <xdr:xfrm>
        <a:off x="0" y="2250900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118</xdr:row>
      <xdr:rowOff>0</xdr:rowOff>
    </xdr:from>
    <xdr:to>
      <xdr:col>18</xdr:col>
      <xdr:colOff>270360</xdr:colOff>
      <xdr:row>133</xdr:row>
      <xdr:rowOff>94320</xdr:rowOff>
    </xdr:to>
    <xdr:graphicFrame>
      <xdr:nvGraphicFramePr>
        <xdr:cNvPr id="8" name="Chart 8"/>
        <xdr:cNvGraphicFramePr/>
      </xdr:nvGraphicFramePr>
      <xdr:xfrm>
        <a:off x="8918640" y="22509000"/>
        <a:ext cx="629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7.3"/>
    <col collapsed="false" customWidth="true" hidden="false" outlineLevel="0" max="2" min="2" style="0" width="109.18"/>
  </cols>
  <sheetData>
    <row r="1" customFormat="false" ht="22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30" hidden="false" customHeight="true" outlineLevel="0" collapsed="false">
      <c r="A5" s="5" t="s">
        <v>3</v>
      </c>
      <c r="B5" s="6" t="s">
        <v>4</v>
      </c>
    </row>
    <row r="6" customFormat="false" ht="30" hidden="false" customHeight="true" outlineLevel="0" collapsed="false">
      <c r="A6" s="5" t="s">
        <v>5</v>
      </c>
      <c r="B6" s="6" t="s">
        <v>6</v>
      </c>
    </row>
    <row r="7" customFormat="false" ht="30" hidden="false" customHeight="true" outlineLevel="0" collapsed="false">
      <c r="A7" s="5" t="s">
        <v>7</v>
      </c>
      <c r="B7" s="6" t="s">
        <v>8</v>
      </c>
    </row>
    <row r="8" customFormat="false" ht="30" hidden="false" customHeight="true" outlineLevel="0" collapsed="false">
      <c r="A8" s="5" t="s">
        <v>9</v>
      </c>
      <c r="B8" s="6" t="s">
        <v>10</v>
      </c>
    </row>
    <row r="9" customFormat="false" ht="30" hidden="false" customHeight="true" outlineLevel="0" collapsed="false">
      <c r="A9" s="5" t="s">
        <v>11</v>
      </c>
      <c r="B9" s="6" t="s">
        <v>12</v>
      </c>
    </row>
    <row r="10" customFormat="false" ht="30" hidden="false" customHeight="true" outlineLevel="0" collapsed="false">
      <c r="A10" s="5" t="s">
        <v>13</v>
      </c>
      <c r="B10" s="6" t="s">
        <v>14</v>
      </c>
    </row>
    <row r="11" customFormat="false" ht="30" hidden="false" customHeight="true" outlineLevel="0" collapsed="false">
      <c r="A11" s="7"/>
      <c r="B11" s="4"/>
    </row>
    <row r="12" customFormat="false" ht="30" hidden="false" customHeight="true" outlineLevel="0" collapsed="false">
      <c r="A12" s="8" t="s">
        <v>15</v>
      </c>
      <c r="B12" s="4"/>
    </row>
    <row r="13" customFormat="false" ht="30" hidden="false" customHeight="true" outlineLevel="0" collapsed="false">
      <c r="A13" s="9" t="s">
        <v>16</v>
      </c>
      <c r="B13" s="6" t="s">
        <v>17</v>
      </c>
    </row>
    <row r="14" customFormat="false" ht="30" hidden="false" customHeight="true" outlineLevel="0" collapsed="false">
      <c r="A14" s="10" t="s">
        <v>18</v>
      </c>
      <c r="B14" s="6" t="s">
        <v>19</v>
      </c>
    </row>
    <row r="15" customFormat="false" ht="30" hidden="false" customHeight="true" outlineLevel="0" collapsed="false">
      <c r="A15" s="5" t="s">
        <v>20</v>
      </c>
      <c r="B15" s="6" t="s">
        <v>21</v>
      </c>
    </row>
    <row r="16" customFormat="false" ht="30" hidden="false" customHeight="true" outlineLevel="0" collapsed="false">
      <c r="A16" s="5" t="s">
        <v>22</v>
      </c>
      <c r="B16" s="6" t="s">
        <v>23</v>
      </c>
    </row>
    <row r="17" customFormat="false" ht="30" hidden="false" customHeight="true" outlineLevel="0" collapsed="false">
      <c r="A17" s="3"/>
      <c r="B17" s="4"/>
    </row>
    <row r="18" customFormat="false" ht="30" hidden="false" customHeight="true" outlineLevel="0" collapsed="false">
      <c r="A18" s="3" t="s">
        <v>24</v>
      </c>
      <c r="B18" s="4"/>
    </row>
    <row r="19" customFormat="false" ht="30" hidden="false" customHeight="true" outlineLevel="0" collapsed="false">
      <c r="A19" s="5" t="s">
        <v>25</v>
      </c>
      <c r="B19" s="6" t="s">
        <v>26</v>
      </c>
    </row>
    <row r="20" customFormat="false" ht="30" hidden="false" customHeight="true" outlineLevel="0" collapsed="false">
      <c r="A20" s="5" t="s">
        <v>27</v>
      </c>
      <c r="B20" s="6" t="s">
        <v>28</v>
      </c>
    </row>
    <row r="21" customFormat="false" ht="30" hidden="false" customHeight="true" outlineLevel="0" collapsed="false">
      <c r="A21" s="5" t="s">
        <v>29</v>
      </c>
      <c r="B21" s="6" t="s">
        <v>30</v>
      </c>
    </row>
    <row r="22" customFormat="false" ht="30" hidden="false" customHeight="true" outlineLevel="0" collapsed="false">
      <c r="A22" s="11" t="s">
        <v>31</v>
      </c>
      <c r="B22" s="6" t="s">
        <v>32</v>
      </c>
    </row>
    <row r="23" customFormat="false" ht="30" hidden="false" customHeight="true" outlineLevel="0" collapsed="false">
      <c r="A23" s="5" t="s">
        <v>33</v>
      </c>
      <c r="B23" s="6" t="s">
        <v>34</v>
      </c>
    </row>
    <row r="24" customFormat="false" ht="30" hidden="false" customHeight="true" outlineLevel="0" collapsed="false">
      <c r="A24" s="5" t="s">
        <v>35</v>
      </c>
      <c r="B24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0.93"/>
    <col collapsed="false" customWidth="true" hidden="false" outlineLevel="0" max="2" min="2" style="0" width="10.92"/>
    <col collapsed="false" customWidth="true" hidden="false" outlineLevel="0" max="3" min="3" style="0" width="13.65"/>
    <col collapsed="false" customWidth="true" hidden="false" outlineLevel="0" max="4" min="4" style="0" width="10.01"/>
    <col collapsed="false" customWidth="true" hidden="false" outlineLevel="0" max="5" min="5" style="0" width="63.69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12" t="s">
        <v>39</v>
      </c>
      <c r="B4" s="12" t="s">
        <v>40</v>
      </c>
      <c r="C4" s="12" t="s">
        <v>41</v>
      </c>
      <c r="D4" s="12" t="s">
        <v>42</v>
      </c>
      <c r="E4" s="12" t="s">
        <v>43</v>
      </c>
    </row>
    <row r="5" customFormat="false" ht="15" hidden="false" customHeight="false" outlineLevel="0" collapsed="false">
      <c r="A5" s="5" t="s">
        <v>44</v>
      </c>
      <c r="B5" s="13" t="n">
        <v>0.024</v>
      </c>
      <c r="C5" s="2" t="s">
        <v>45</v>
      </c>
      <c r="D5" s="2" t="s">
        <v>46</v>
      </c>
      <c r="E5" s="14" t="s">
        <v>47</v>
      </c>
    </row>
    <row r="6" customFormat="false" ht="15" hidden="false" customHeight="false" outlineLevel="0" collapsed="false">
      <c r="A6" s="5" t="s">
        <v>48</v>
      </c>
      <c r="B6" s="13" t="n">
        <v>0.005</v>
      </c>
      <c r="C6" s="2" t="s">
        <v>45</v>
      </c>
      <c r="D6" s="2" t="s">
        <v>46</v>
      </c>
      <c r="E6" s="14" t="s">
        <v>49</v>
      </c>
    </row>
    <row r="7" customFormat="false" ht="15" hidden="false" customHeight="false" outlineLevel="0" collapsed="false">
      <c r="A7" s="5" t="s">
        <v>50</v>
      </c>
      <c r="B7" s="15" t="n">
        <v>1</v>
      </c>
      <c r="C7" s="2" t="s">
        <v>51</v>
      </c>
      <c r="D7" s="2" t="s">
        <v>46</v>
      </c>
      <c r="E7" s="2" t="s">
        <v>52</v>
      </c>
    </row>
    <row r="8" customFormat="false" ht="15" hidden="false" customHeight="false" outlineLevel="0" collapsed="false">
      <c r="A8" s="5" t="s">
        <v>53</v>
      </c>
      <c r="B8" s="15" t="n">
        <v>2</v>
      </c>
      <c r="C8" s="2" t="s">
        <v>51</v>
      </c>
      <c r="D8" s="2" t="s">
        <v>46</v>
      </c>
      <c r="E8" s="14" t="s">
        <v>54</v>
      </c>
    </row>
    <row r="9" customFormat="false" ht="15" hidden="false" customHeight="false" outlineLevel="0" collapsed="false">
      <c r="A9" s="5" t="s">
        <v>55</v>
      </c>
      <c r="B9" s="16" t="n">
        <v>20</v>
      </c>
      <c r="C9" s="2" t="s">
        <v>56</v>
      </c>
      <c r="D9" s="2" t="s">
        <v>57</v>
      </c>
      <c r="E9" s="2" t="s">
        <v>58</v>
      </c>
    </row>
    <row r="10" customFormat="false" ht="15" hidden="false" customHeight="false" outlineLevel="0" collapsed="false">
      <c r="A10" s="5" t="s">
        <v>59</v>
      </c>
      <c r="B10" s="16" t="n">
        <v>4</v>
      </c>
      <c r="C10" s="2" t="s">
        <v>56</v>
      </c>
      <c r="D10" s="2" t="s">
        <v>60</v>
      </c>
      <c r="E10" s="2" t="s">
        <v>61</v>
      </c>
    </row>
    <row r="11" customFormat="false" ht="15" hidden="false" customHeight="false" outlineLevel="0" collapsed="false">
      <c r="A11" s="5" t="s">
        <v>62</v>
      </c>
      <c r="B11" s="15" t="n">
        <v>0.12</v>
      </c>
      <c r="C11" s="2" t="s">
        <v>63</v>
      </c>
      <c r="D11" s="2" t="s">
        <v>57</v>
      </c>
      <c r="E11" s="2" t="s">
        <v>64</v>
      </c>
    </row>
    <row r="12" customFormat="false" ht="15" hidden="false" customHeight="false" outlineLevel="0" collapsed="false">
      <c r="A12" s="5" t="s">
        <v>65</v>
      </c>
      <c r="B12" s="15" t="n">
        <v>1.5</v>
      </c>
      <c r="C12" s="2" t="s">
        <v>51</v>
      </c>
      <c r="D12" s="2" t="s">
        <v>57</v>
      </c>
      <c r="E12" s="2" t="s">
        <v>66</v>
      </c>
    </row>
    <row r="13" customFormat="false" ht="15" hidden="false" customHeight="false" outlineLevel="0" collapsed="false">
      <c r="A13" s="5" t="s">
        <v>67</v>
      </c>
      <c r="B13" s="15" t="n">
        <v>0.8</v>
      </c>
      <c r="C13" s="2" t="s">
        <v>51</v>
      </c>
      <c r="D13" s="2" t="s">
        <v>46</v>
      </c>
      <c r="E13" s="14" t="s">
        <v>68</v>
      </c>
    </row>
    <row r="14" customFormat="false" ht="15" hidden="false" customHeight="false" outlineLevel="0" collapsed="false">
      <c r="A14" s="5" t="s">
        <v>69</v>
      </c>
      <c r="B14" s="15" t="n">
        <v>0.25</v>
      </c>
      <c r="C14" s="2" t="s">
        <v>51</v>
      </c>
      <c r="D14" s="2" t="s">
        <v>46</v>
      </c>
      <c r="E14" s="14" t="s">
        <v>70</v>
      </c>
    </row>
    <row r="15" customFormat="false" ht="15" hidden="false" customHeight="false" outlineLevel="0" collapsed="false">
      <c r="A15" s="5" t="s">
        <v>71</v>
      </c>
      <c r="B15" s="17" t="n">
        <v>0.05</v>
      </c>
      <c r="C15" s="2" t="s">
        <v>72</v>
      </c>
      <c r="D15" s="2" t="s">
        <v>57</v>
      </c>
      <c r="E15" s="2" t="s">
        <v>73</v>
      </c>
    </row>
    <row r="16" customFormat="false" ht="15" hidden="false" customHeight="false" outlineLevel="0" collapsed="false">
      <c r="A16" s="5" t="s">
        <v>74</v>
      </c>
      <c r="B16" s="17" t="n">
        <v>0.15</v>
      </c>
      <c r="C16" s="2" t="s">
        <v>72</v>
      </c>
      <c r="D16" s="2" t="s">
        <v>57</v>
      </c>
      <c r="E16" s="2" t="s">
        <v>57</v>
      </c>
    </row>
    <row r="17" customFormat="false" ht="15" hidden="false" customHeight="false" outlineLevel="0" collapsed="false">
      <c r="A17" s="5" t="s">
        <v>75</v>
      </c>
      <c r="B17" s="17" t="n">
        <v>0.015</v>
      </c>
      <c r="C17" s="2" t="s">
        <v>76</v>
      </c>
      <c r="D17" s="2" t="s">
        <v>57</v>
      </c>
      <c r="E17" s="2" t="s">
        <v>57</v>
      </c>
    </row>
    <row r="18" customFormat="false" ht="15" hidden="false" customHeight="false" outlineLevel="0" collapsed="false">
      <c r="A18" s="5" t="s">
        <v>77</v>
      </c>
      <c r="B18" s="17" t="n">
        <v>0.03</v>
      </c>
      <c r="C18" s="2" t="s">
        <v>76</v>
      </c>
      <c r="D18" s="2" t="s">
        <v>57</v>
      </c>
      <c r="E18" s="2" t="s">
        <v>57</v>
      </c>
    </row>
    <row r="19" customFormat="false" ht="15" hidden="false" customHeight="false" outlineLevel="0" collapsed="false">
      <c r="A19" s="5" t="s">
        <v>78</v>
      </c>
      <c r="B19" s="15" t="n">
        <v>0.5</v>
      </c>
      <c r="C19" s="2" t="s">
        <v>63</v>
      </c>
      <c r="D19" s="2" t="s">
        <v>57</v>
      </c>
      <c r="E19" s="2" t="s">
        <v>79</v>
      </c>
    </row>
    <row r="20" customFormat="false" ht="15" hidden="false" customHeight="false" outlineLevel="0" collapsed="false">
      <c r="A20" s="5" t="s">
        <v>80</v>
      </c>
      <c r="B20" s="17" t="n">
        <v>0.008</v>
      </c>
      <c r="C20" s="2" t="s">
        <v>76</v>
      </c>
      <c r="D20" s="2" t="s">
        <v>46</v>
      </c>
      <c r="E20" s="2" t="s">
        <v>81</v>
      </c>
    </row>
    <row r="21" customFormat="false" ht="15" hidden="false" customHeight="false" outlineLevel="0" collapsed="false">
      <c r="A21" s="5" t="s">
        <v>82</v>
      </c>
      <c r="B21" s="17" t="n">
        <v>0.6</v>
      </c>
      <c r="C21" s="2" t="s">
        <v>72</v>
      </c>
      <c r="D21" s="2" t="s">
        <v>57</v>
      </c>
      <c r="E21" s="2" t="s">
        <v>83</v>
      </c>
    </row>
    <row r="22" customFormat="false" ht="15" hidden="false" customHeight="false" outlineLevel="0" collapsed="false">
      <c r="A22" s="5" t="s">
        <v>84</v>
      </c>
      <c r="B22" s="15" t="n">
        <v>8</v>
      </c>
      <c r="C22" s="2" t="s">
        <v>63</v>
      </c>
      <c r="D22" s="2" t="s">
        <v>57</v>
      </c>
      <c r="E22" s="2" t="s">
        <v>85</v>
      </c>
    </row>
    <row r="23" customFormat="false" ht="15" hidden="false" customHeight="false" outlineLevel="0" collapsed="false">
      <c r="A23" s="11" t="s">
        <v>86</v>
      </c>
      <c r="B23" s="15" t="n">
        <v>3</v>
      </c>
      <c r="C23" s="2" t="s">
        <v>63</v>
      </c>
      <c r="D23" s="2" t="s">
        <v>57</v>
      </c>
      <c r="E23" s="2" t="s">
        <v>87</v>
      </c>
    </row>
    <row r="24" customFormat="false" ht="15" hidden="false" customHeight="false" outlineLevel="0" collapsed="false">
      <c r="A24" s="5" t="s">
        <v>88</v>
      </c>
      <c r="B24" s="18" t="n">
        <v>91.25</v>
      </c>
      <c r="C24" s="2" t="s">
        <v>89</v>
      </c>
      <c r="D24" s="2" t="s">
        <v>5</v>
      </c>
      <c r="E24" s="14" t="s">
        <v>90</v>
      </c>
    </row>
    <row r="25" customFormat="false" ht="15" hidden="false" customHeight="false" outlineLevel="0" collapsed="false">
      <c r="A25" s="5" t="s">
        <v>91</v>
      </c>
      <c r="B25" s="16" t="n">
        <v>4</v>
      </c>
      <c r="C25" s="2" t="s">
        <v>92</v>
      </c>
      <c r="D25" s="2" t="s">
        <v>5</v>
      </c>
      <c r="E25" s="2" t="s">
        <v>93</v>
      </c>
    </row>
    <row r="26" customFormat="false" ht="15" hidden="false" customHeight="false" outlineLevel="0" collapsed="false">
      <c r="A26" s="5" t="s">
        <v>94</v>
      </c>
      <c r="B26" s="19" t="n">
        <v>1</v>
      </c>
      <c r="C26" s="2" t="s">
        <v>92</v>
      </c>
      <c r="D26" s="2" t="s">
        <v>95</v>
      </c>
      <c r="E26" s="2" t="s">
        <v>96</v>
      </c>
    </row>
    <row r="27" customFormat="false" ht="15" hidden="false" customHeight="false" outlineLevel="0" collapsed="false">
      <c r="A27" s="5" t="s">
        <v>97</v>
      </c>
      <c r="B27" s="19" t="n">
        <v>1</v>
      </c>
      <c r="C27" s="2" t="s">
        <v>92</v>
      </c>
      <c r="D27" s="2" t="s">
        <v>95</v>
      </c>
      <c r="E27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7.3"/>
    <col collapsed="false" customWidth="true" hidden="false" outlineLevel="0" max="2" min="2" style="0" width="30.93"/>
    <col collapsed="false" customWidth="true" hidden="false" outlineLevel="0" max="19" min="3" style="0" width="8.65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20" t="s">
        <v>100</v>
      </c>
      <c r="B4" s="20" t="s">
        <v>101</v>
      </c>
      <c r="C4" s="21" t="s">
        <v>102</v>
      </c>
      <c r="D4" s="21" t="s">
        <v>103</v>
      </c>
      <c r="E4" s="21" t="s">
        <v>104</v>
      </c>
      <c r="F4" s="21" t="s">
        <v>105</v>
      </c>
      <c r="G4" s="21" t="s">
        <v>106</v>
      </c>
      <c r="H4" s="21" t="s">
        <v>107</v>
      </c>
      <c r="I4" s="21" t="s">
        <v>108</v>
      </c>
      <c r="J4" s="21" t="s">
        <v>109</v>
      </c>
      <c r="K4" s="21" t="s">
        <v>110</v>
      </c>
      <c r="L4" s="21" t="s">
        <v>111</v>
      </c>
      <c r="M4" s="21" t="s">
        <v>112</v>
      </c>
      <c r="N4" s="21" t="s">
        <v>113</v>
      </c>
      <c r="O4" s="21" t="s">
        <v>114</v>
      </c>
      <c r="P4" s="21" t="s">
        <v>115</v>
      </c>
      <c r="Q4" s="21" t="s">
        <v>116</v>
      </c>
      <c r="R4" s="21" t="s">
        <v>117</v>
      </c>
    </row>
    <row r="5" customFormat="false" ht="15" hidden="false" customHeight="false" outlineLevel="0" collapsed="false">
      <c r="A5" s="3" t="s">
        <v>118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15" hidden="false" customHeight="false" outlineLevel="0" collapsed="false">
      <c r="A6" s="22" t="s">
        <v>119</v>
      </c>
      <c r="B6" s="23" t="s">
        <v>120</v>
      </c>
      <c r="C6" s="17" t="n">
        <v>0.85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7" t="n">
        <v>1</v>
      </c>
      <c r="M6" s="17" t="n">
        <v>1</v>
      </c>
      <c r="N6" s="17" t="n">
        <v>1</v>
      </c>
      <c r="O6" s="17" t="n">
        <v>1</v>
      </c>
      <c r="P6" s="17" t="n">
        <v>1</v>
      </c>
      <c r="Q6" s="17" t="n">
        <v>1</v>
      </c>
      <c r="R6" s="17" t="n">
        <v>1</v>
      </c>
    </row>
    <row r="7" customFormat="false" ht="15" hidden="false" customHeight="false" outlineLevel="0" collapsed="false">
      <c r="A7" s="22" t="s">
        <v>121</v>
      </c>
      <c r="B7" s="23" t="s">
        <v>122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  <c r="K7" s="17" t="n">
        <v>1</v>
      </c>
      <c r="L7" s="17" t="n">
        <v>1</v>
      </c>
      <c r="M7" s="17" t="n">
        <v>1</v>
      </c>
      <c r="N7" s="17" t="n">
        <v>1</v>
      </c>
      <c r="O7" s="17" t="n">
        <v>1</v>
      </c>
      <c r="P7" s="17" t="n">
        <v>1</v>
      </c>
      <c r="Q7" s="17" t="n">
        <v>1</v>
      </c>
      <c r="R7" s="17" t="n">
        <v>1</v>
      </c>
    </row>
    <row r="8" customFormat="false" ht="15" hidden="false" customHeight="false" outlineLevel="0" collapsed="false">
      <c r="A8" s="22" t="s">
        <v>123</v>
      </c>
      <c r="B8" s="23" t="s">
        <v>124</v>
      </c>
      <c r="C8" s="15" t="n">
        <v>1.5</v>
      </c>
      <c r="D8" s="15" t="n">
        <v>1.5</v>
      </c>
      <c r="E8" s="15" t="n">
        <v>1.5</v>
      </c>
      <c r="F8" s="15" t="n">
        <v>1.5</v>
      </c>
      <c r="G8" s="15" t="n">
        <v>4.5</v>
      </c>
      <c r="H8" s="15" t="n">
        <v>3.9</v>
      </c>
      <c r="I8" s="15" t="n">
        <v>3.3</v>
      </c>
      <c r="J8" s="15" t="n">
        <v>5.7</v>
      </c>
      <c r="K8" s="15" t="n">
        <v>6.3</v>
      </c>
      <c r="L8" s="15" t="n">
        <v>5.1</v>
      </c>
      <c r="M8" s="15" t="n">
        <v>1.5</v>
      </c>
      <c r="N8" s="15" t="n">
        <v>1.5</v>
      </c>
      <c r="O8" s="15" t="n">
        <v>1.5</v>
      </c>
      <c r="P8" s="15" t="n">
        <v>1.5</v>
      </c>
      <c r="Q8" s="15" t="n">
        <v>1.5</v>
      </c>
      <c r="R8" s="15" t="n">
        <v>1.5</v>
      </c>
    </row>
    <row r="9" customFormat="false" ht="15" hidden="false" customHeight="false" outlineLevel="0" collapsed="false">
      <c r="A9" s="24" t="s">
        <v>125</v>
      </c>
      <c r="B9" s="23" t="s">
        <v>126</v>
      </c>
      <c r="C9" s="15" t="n">
        <v>3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</row>
    <row r="10" customFormat="false" ht="15" hidden="false" customHeight="false" outlineLevel="0" collapsed="false">
      <c r="A10" s="24" t="s">
        <v>127</v>
      </c>
      <c r="B10" s="23" t="s">
        <v>128</v>
      </c>
      <c r="C10" s="17" t="n">
        <v>0</v>
      </c>
      <c r="D10" s="17" t="n">
        <v>0</v>
      </c>
      <c r="E10" s="17" t="n">
        <v>0</v>
      </c>
      <c r="F10" s="17" t="n">
        <v>0.04</v>
      </c>
      <c r="G10" s="17" t="n">
        <v>0.05</v>
      </c>
      <c r="H10" s="17" t="n">
        <v>0.07</v>
      </c>
      <c r="I10" s="17" t="n">
        <v>0.11</v>
      </c>
      <c r="J10" s="17" t="n">
        <v>0.14</v>
      </c>
      <c r="K10" s="17" t="n">
        <v>0.17</v>
      </c>
      <c r="L10" s="17" t="n">
        <v>0.2</v>
      </c>
      <c r="M10" s="17" t="n">
        <v>0.235</v>
      </c>
      <c r="N10" s="17" t="n">
        <v>0.245</v>
      </c>
      <c r="O10" s="17" t="n">
        <v>0.26</v>
      </c>
      <c r="P10" s="17" t="n">
        <v>0.295</v>
      </c>
      <c r="Q10" s="17" t="n">
        <v>0.36</v>
      </c>
      <c r="R10" s="17" t="n">
        <v>0.405</v>
      </c>
    </row>
    <row r="11" customFormat="false" ht="15" hidden="false" customHeight="false" outlineLevel="0" collapsed="false">
      <c r="A11" s="22" t="s">
        <v>129</v>
      </c>
      <c r="B11" s="23" t="s">
        <v>130</v>
      </c>
      <c r="C11" s="15" t="n">
        <v>0</v>
      </c>
      <c r="D11" s="15" t="n">
        <v>0</v>
      </c>
      <c r="E11" s="15" t="n">
        <v>2</v>
      </c>
      <c r="F11" s="15" t="n">
        <v>2</v>
      </c>
      <c r="G11" s="15" t="n">
        <v>3.5</v>
      </c>
      <c r="H11" s="15" t="n">
        <v>1.5</v>
      </c>
      <c r="I11" s="15" t="n">
        <v>0</v>
      </c>
      <c r="J11" s="15" t="n">
        <v>0.5</v>
      </c>
      <c r="K11" s="15" t="n">
        <v>1.3</v>
      </c>
      <c r="L11" s="15" t="n">
        <v>-2</v>
      </c>
      <c r="M11" s="15" t="n">
        <v>-10</v>
      </c>
      <c r="N11" s="15" t="n">
        <v>-4.8</v>
      </c>
      <c r="O11" s="15" t="n">
        <v>0</v>
      </c>
      <c r="P11" s="15" t="n">
        <v>0</v>
      </c>
      <c r="Q11" s="15" t="n">
        <v>0</v>
      </c>
      <c r="R11" s="15" t="n">
        <v>0</v>
      </c>
    </row>
    <row r="12" customFormat="false" ht="15" hidden="false" customHeight="false" outlineLevel="0" collapsed="false">
      <c r="A12" s="3" t="s">
        <v>131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customFormat="false" ht="15" hidden="false" customHeight="false" outlineLevel="0" collapsed="false">
      <c r="A13" s="22" t="s">
        <v>132</v>
      </c>
      <c r="B13" s="23" t="s">
        <v>133</v>
      </c>
      <c r="C13" s="19" t="n">
        <v>0.8</v>
      </c>
      <c r="D13" s="19" t="n">
        <v>0.56</v>
      </c>
      <c r="E13" s="19" t="n">
        <v>0.5</v>
      </c>
      <c r="F13" s="19" t="n">
        <v>0.53</v>
      </c>
      <c r="G13" s="19" t="n">
        <v>0.6</v>
      </c>
      <c r="H13" s="19" t="n">
        <v>0.72</v>
      </c>
      <c r="I13" s="19" t="n">
        <v>0.83</v>
      </c>
      <c r="J13" s="19" t="n">
        <v>0.92</v>
      </c>
      <c r="K13" s="19" t="n">
        <v>1</v>
      </c>
      <c r="L13" s="19" t="n">
        <v>0.97</v>
      </c>
      <c r="M13" s="19" t="n">
        <v>1.06</v>
      </c>
      <c r="N13" s="19" t="n">
        <v>1.28</v>
      </c>
      <c r="O13" s="19" t="n">
        <v>1.7</v>
      </c>
      <c r="P13" s="19" t="n">
        <v>2.65</v>
      </c>
      <c r="Q13" s="19" t="n">
        <v>3.9</v>
      </c>
      <c r="R13" s="19" t="n">
        <v>4.55</v>
      </c>
    </row>
    <row r="14" customFormat="false" ht="15" hidden="false" customHeight="false" outlineLevel="0" collapsed="false">
      <c r="A14" s="24" t="s">
        <v>134</v>
      </c>
      <c r="B14" s="23" t="s">
        <v>135</v>
      </c>
      <c r="C14" s="19" t="n">
        <v>1.6</v>
      </c>
      <c r="D14" s="19" t="n">
        <v>1.4</v>
      </c>
      <c r="E14" s="19" t="n">
        <v>1.3</v>
      </c>
      <c r="F14" s="19" t="n">
        <v>1.4</v>
      </c>
      <c r="G14" s="19" t="n">
        <v>1.6</v>
      </c>
      <c r="H14" s="19" t="n">
        <v>1.9</v>
      </c>
      <c r="I14" s="19" t="n">
        <v>2.3</v>
      </c>
      <c r="J14" s="19" t="n">
        <v>2.8</v>
      </c>
      <c r="K14" s="19" t="n">
        <v>3.4</v>
      </c>
      <c r="L14" s="19" t="n">
        <v>4</v>
      </c>
      <c r="M14" s="19" t="n">
        <v>4.6</v>
      </c>
      <c r="N14" s="19" t="n">
        <v>5.4</v>
      </c>
      <c r="O14" s="19" t="n">
        <v>6.4</v>
      </c>
      <c r="P14" s="19" t="n">
        <v>7.6</v>
      </c>
      <c r="Q14" s="19" t="n">
        <v>8.8</v>
      </c>
      <c r="R14" s="19" t="n">
        <v>9.6</v>
      </c>
    </row>
    <row r="15" customFormat="false" ht="15" hidden="false" customHeight="false" outlineLevel="0" collapsed="false">
      <c r="A15" s="22" t="s">
        <v>136</v>
      </c>
      <c r="B15" s="23" t="s">
        <v>137</v>
      </c>
      <c r="C15" s="25" t="n">
        <v>240</v>
      </c>
      <c r="D15" s="25" t="n">
        <v>210</v>
      </c>
      <c r="E15" s="25" t="n">
        <v>205</v>
      </c>
      <c r="F15" s="25" t="n">
        <v>215</v>
      </c>
      <c r="G15" s="25" t="n">
        <v>235</v>
      </c>
      <c r="H15" s="25" t="n">
        <v>260</v>
      </c>
      <c r="I15" s="25" t="n">
        <v>285</v>
      </c>
      <c r="J15" s="25" t="n">
        <v>305</v>
      </c>
      <c r="K15" s="25" t="n">
        <v>320</v>
      </c>
      <c r="L15" s="25" t="n">
        <v>320</v>
      </c>
      <c r="M15" s="25" t="n">
        <v>340</v>
      </c>
      <c r="N15" s="25" t="n">
        <v>365</v>
      </c>
      <c r="O15" s="25" t="n">
        <v>400</v>
      </c>
      <c r="P15" s="25" t="n">
        <v>440</v>
      </c>
      <c r="Q15" s="25" t="n">
        <v>480</v>
      </c>
      <c r="R15" s="25" t="n">
        <v>510</v>
      </c>
    </row>
    <row r="16" customFormat="false" ht="15" hidden="false" customHeight="false" outlineLevel="0" collapsed="false">
      <c r="A16" s="24" t="s">
        <v>138</v>
      </c>
      <c r="B16" s="23" t="s">
        <v>139</v>
      </c>
      <c r="C16" s="25" t="n">
        <v>5</v>
      </c>
      <c r="D16" s="25" t="n">
        <v>5</v>
      </c>
      <c r="E16" s="25" t="n">
        <v>6</v>
      </c>
      <c r="F16" s="25" t="n">
        <v>8</v>
      </c>
      <c r="G16" s="25" t="n">
        <v>12</v>
      </c>
      <c r="H16" s="25" t="n">
        <v>18</v>
      </c>
      <c r="I16" s="25" t="n">
        <v>26</v>
      </c>
      <c r="J16" s="25" t="n">
        <v>36</v>
      </c>
      <c r="K16" s="25" t="n">
        <v>48</v>
      </c>
      <c r="L16" s="25" t="n">
        <v>60</v>
      </c>
      <c r="M16" s="25" t="n">
        <v>74</v>
      </c>
      <c r="N16" s="25" t="n">
        <v>90</v>
      </c>
      <c r="O16" s="25" t="n">
        <v>110</v>
      </c>
      <c r="P16" s="25" t="n">
        <v>135</v>
      </c>
      <c r="Q16" s="25" t="n">
        <v>160</v>
      </c>
      <c r="R16" s="25" t="n">
        <v>185</v>
      </c>
    </row>
    <row r="17" customFormat="false" ht="15" hidden="false" customHeight="false" outlineLevel="0" collapsed="false">
      <c r="A17" s="3" t="s">
        <v>140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customFormat="false" ht="15" hidden="false" customHeight="false" outlineLevel="0" collapsed="false">
      <c r="A18" s="22" t="s">
        <v>141</v>
      </c>
      <c r="B18" s="23" t="s">
        <v>142</v>
      </c>
      <c r="C18" s="25" t="n">
        <v>300</v>
      </c>
      <c r="D18" s="25" t="n">
        <v>300</v>
      </c>
      <c r="E18" s="25" t="n">
        <v>300</v>
      </c>
      <c r="F18" s="25" t="n">
        <v>300</v>
      </c>
      <c r="G18" s="25" t="n">
        <v>300</v>
      </c>
      <c r="H18" s="25" t="n">
        <v>300</v>
      </c>
      <c r="I18" s="25" t="n">
        <v>300</v>
      </c>
      <c r="J18" s="25" t="n">
        <v>300</v>
      </c>
      <c r="K18" s="25" t="n">
        <v>325</v>
      </c>
      <c r="L18" s="25" t="n">
        <v>345</v>
      </c>
      <c r="M18" s="25" t="n">
        <v>360</v>
      </c>
      <c r="N18" s="25" t="n">
        <v>395</v>
      </c>
      <c r="O18" s="25" t="n">
        <v>435</v>
      </c>
      <c r="P18" s="25" t="n">
        <v>465</v>
      </c>
      <c r="Q18" s="25" t="n">
        <v>465</v>
      </c>
      <c r="R18" s="25" t="n">
        <v>465</v>
      </c>
    </row>
    <row r="19" customFormat="false" ht="15" hidden="false" customHeight="false" outlineLevel="0" collapsed="false">
      <c r="A19" s="22" t="s">
        <v>143</v>
      </c>
      <c r="B19" s="23" t="s">
        <v>144</v>
      </c>
      <c r="C19" s="25" t="n">
        <v>255</v>
      </c>
      <c r="D19" s="25" t="n">
        <v>300</v>
      </c>
      <c r="E19" s="25" t="n">
        <v>300</v>
      </c>
      <c r="F19" s="25" t="n">
        <v>300</v>
      </c>
      <c r="G19" s="25" t="n">
        <v>300</v>
      </c>
      <c r="H19" s="25" t="n">
        <v>300</v>
      </c>
      <c r="I19" s="25" t="n">
        <v>300</v>
      </c>
      <c r="J19" s="25" t="n">
        <v>300</v>
      </c>
      <c r="K19" s="25" t="n">
        <v>325</v>
      </c>
      <c r="L19" s="25" t="n">
        <v>345</v>
      </c>
      <c r="M19" s="25" t="n">
        <v>360</v>
      </c>
      <c r="N19" s="25" t="n">
        <v>395</v>
      </c>
      <c r="O19" s="25" t="n">
        <v>435</v>
      </c>
      <c r="P19" s="25" t="n">
        <v>465</v>
      </c>
      <c r="Q19" s="25" t="n">
        <v>465</v>
      </c>
      <c r="R19" s="25" t="n">
        <v>465</v>
      </c>
    </row>
    <row r="20" customFormat="false" ht="15" hidden="false" customHeight="false" outlineLevel="0" collapsed="false">
      <c r="A20" s="22" t="s">
        <v>145</v>
      </c>
      <c r="B20" s="23" t="s">
        <v>146</v>
      </c>
      <c r="C20" s="25" t="n">
        <v>0</v>
      </c>
      <c r="D20" s="25" t="n">
        <v>0</v>
      </c>
      <c r="E20" s="25" t="n">
        <v>0</v>
      </c>
      <c r="F20" s="25" t="n">
        <v>12</v>
      </c>
      <c r="G20" s="25" t="n">
        <v>15</v>
      </c>
      <c r="H20" s="25" t="n">
        <v>21</v>
      </c>
      <c r="I20" s="25" t="n">
        <v>33</v>
      </c>
      <c r="J20" s="25" t="n">
        <v>42</v>
      </c>
      <c r="K20" s="25" t="n">
        <v>55.25</v>
      </c>
      <c r="L20" s="25" t="n">
        <v>69</v>
      </c>
      <c r="M20" s="25" t="n">
        <v>84.6</v>
      </c>
      <c r="N20" s="25" t="n">
        <v>96.77</v>
      </c>
      <c r="O20" s="25" t="n">
        <v>113.1</v>
      </c>
      <c r="P20" s="25" t="n">
        <v>137.17</v>
      </c>
      <c r="Q20" s="25" t="n">
        <v>167.4</v>
      </c>
      <c r="R20" s="25" t="n">
        <v>188.33</v>
      </c>
    </row>
    <row r="21" customFormat="false" ht="15" hidden="false" customHeight="false" outlineLevel="0" collapsed="false">
      <c r="A21" s="22" t="s">
        <v>147</v>
      </c>
      <c r="B21" s="23" t="s">
        <v>148</v>
      </c>
      <c r="C21" s="25" t="n">
        <v>240</v>
      </c>
      <c r="D21" s="25" t="n">
        <v>210</v>
      </c>
      <c r="E21" s="25" t="n">
        <v>205</v>
      </c>
      <c r="F21" s="25" t="n">
        <v>215</v>
      </c>
      <c r="G21" s="25" t="n">
        <v>235</v>
      </c>
      <c r="H21" s="25" t="n">
        <v>260</v>
      </c>
      <c r="I21" s="25" t="n">
        <v>285</v>
      </c>
      <c r="J21" s="25" t="n">
        <v>305</v>
      </c>
      <c r="K21" s="25" t="n">
        <v>320</v>
      </c>
      <c r="L21" s="25" t="n">
        <v>320</v>
      </c>
      <c r="M21" s="25" t="n">
        <v>340</v>
      </c>
      <c r="N21" s="25" t="n">
        <v>365</v>
      </c>
      <c r="O21" s="25" t="n">
        <v>400</v>
      </c>
      <c r="P21" s="25" t="n">
        <v>361.1</v>
      </c>
      <c r="Q21" s="25" t="n">
        <v>297.6</v>
      </c>
      <c r="R21" s="25" t="n">
        <v>276.67</v>
      </c>
    </row>
    <row r="22" customFormat="false" ht="15" hidden="false" customHeight="false" outlineLevel="0" collapsed="false">
      <c r="A22" s="24" t="s">
        <v>149</v>
      </c>
      <c r="B22" s="23" t="s">
        <v>150</v>
      </c>
      <c r="C22" s="25" t="n">
        <v>0</v>
      </c>
      <c r="D22" s="25" t="n">
        <v>0</v>
      </c>
      <c r="E22" s="25" t="n">
        <v>0</v>
      </c>
      <c r="F22" s="25" t="n">
        <v>8</v>
      </c>
      <c r="G22" s="25" t="n">
        <v>12</v>
      </c>
      <c r="H22" s="25" t="n">
        <v>18</v>
      </c>
      <c r="I22" s="25" t="n">
        <v>26</v>
      </c>
      <c r="J22" s="25" t="n">
        <v>36</v>
      </c>
      <c r="K22" s="25" t="n">
        <v>48</v>
      </c>
      <c r="L22" s="25" t="n">
        <v>60</v>
      </c>
      <c r="M22" s="25" t="n">
        <v>74</v>
      </c>
      <c r="N22" s="25" t="n">
        <v>90</v>
      </c>
      <c r="O22" s="25" t="n">
        <v>110</v>
      </c>
      <c r="P22" s="25" t="n">
        <v>135</v>
      </c>
      <c r="Q22" s="25" t="n">
        <v>160</v>
      </c>
      <c r="R22" s="25" t="n">
        <v>185</v>
      </c>
    </row>
    <row r="23" customFormat="false" ht="15" hidden="false" customHeight="false" outlineLevel="0" collapsed="false">
      <c r="A23" s="22" t="s">
        <v>151</v>
      </c>
      <c r="B23" s="23" t="s">
        <v>152</v>
      </c>
      <c r="C23" s="25" t="n">
        <v>16.765</v>
      </c>
      <c r="D23" s="25" t="n">
        <v>15</v>
      </c>
      <c r="E23" s="25" t="n">
        <v>15</v>
      </c>
      <c r="F23" s="25" t="n">
        <v>15</v>
      </c>
      <c r="G23" s="25" t="n">
        <v>15.25</v>
      </c>
      <c r="H23" s="25" t="n">
        <v>15.5</v>
      </c>
      <c r="I23" s="25" t="n">
        <v>15.75</v>
      </c>
      <c r="J23" s="25" t="n">
        <v>16</v>
      </c>
      <c r="K23" s="25" t="n">
        <v>15.846</v>
      </c>
      <c r="L23" s="25" t="n">
        <v>15.783</v>
      </c>
      <c r="M23" s="25" t="n">
        <v>15.792</v>
      </c>
      <c r="N23" s="25" t="n">
        <v>15.557</v>
      </c>
      <c r="O23" s="25" t="n">
        <v>15.31</v>
      </c>
      <c r="P23" s="25" t="n">
        <v>15.194</v>
      </c>
      <c r="Q23" s="25" t="n">
        <v>15.355</v>
      </c>
      <c r="R23" s="25" t="n">
        <v>15.516</v>
      </c>
    </row>
    <row r="24" customFormat="false" ht="15" hidden="false" customHeight="false" outlineLevel="0" collapsed="false">
      <c r="A24" s="24" t="s">
        <v>153</v>
      </c>
      <c r="B24" s="23" t="s">
        <v>154</v>
      </c>
      <c r="C24" s="16" t="n">
        <v>0</v>
      </c>
      <c r="D24" s="16" t="n">
        <v>0</v>
      </c>
      <c r="E24" s="16" t="n">
        <v>0</v>
      </c>
      <c r="F24" s="16" t="n">
        <v>1</v>
      </c>
      <c r="G24" s="16" t="n">
        <v>1</v>
      </c>
      <c r="H24" s="16" t="n">
        <v>1</v>
      </c>
      <c r="I24" s="16" t="n">
        <v>1</v>
      </c>
      <c r="J24" s="16" t="n">
        <v>1</v>
      </c>
      <c r="K24" s="16" t="n">
        <v>1</v>
      </c>
      <c r="L24" s="16" t="n">
        <v>1</v>
      </c>
      <c r="M24" s="16" t="n">
        <v>1</v>
      </c>
      <c r="N24" s="16" t="n">
        <v>1</v>
      </c>
      <c r="O24" s="16" t="n">
        <v>1</v>
      </c>
      <c r="P24" s="16" t="n">
        <v>1</v>
      </c>
      <c r="Q24" s="16" t="n">
        <v>1</v>
      </c>
      <c r="R24" s="16" t="n">
        <v>1</v>
      </c>
    </row>
    <row r="25" customFormat="false" ht="15" hidden="false" customHeight="false" outlineLevel="0" collapsed="false">
      <c r="A25" s="3" t="s">
        <v>155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customFormat="false" ht="15" hidden="false" customHeight="false" outlineLevel="0" collapsed="false">
      <c r="A26" s="22" t="s">
        <v>156</v>
      </c>
      <c r="B26" s="23" t="s">
        <v>157</v>
      </c>
      <c r="C26" s="15" t="n">
        <v>4.608</v>
      </c>
      <c r="D26" s="15" t="n">
        <v>2.8224</v>
      </c>
      <c r="E26" s="15" t="n">
        <v>2.46</v>
      </c>
      <c r="F26" s="15" t="n">
        <v>3.0036</v>
      </c>
      <c r="G26" s="15" t="n">
        <v>3.8448</v>
      </c>
      <c r="H26" s="15" t="n">
        <v>5.3136</v>
      </c>
      <c r="I26" s="15" t="n">
        <v>7.1124</v>
      </c>
      <c r="J26" s="15" t="n">
        <v>9.1536</v>
      </c>
      <c r="K26" s="15" t="n">
        <v>11.5968</v>
      </c>
      <c r="L26" s="15" t="n">
        <v>13.2096</v>
      </c>
      <c r="M26" s="15" t="n">
        <v>16.8192</v>
      </c>
      <c r="N26" s="15" t="n">
        <v>22.8768</v>
      </c>
      <c r="O26" s="15" t="n">
        <v>33.216</v>
      </c>
      <c r="P26" s="15" t="n">
        <v>47.59</v>
      </c>
      <c r="Q26" s="15" t="n">
        <v>61.6474</v>
      </c>
      <c r="R26" s="15" t="n">
        <v>72.8369</v>
      </c>
    </row>
    <row r="27" customFormat="false" ht="15" hidden="false" customHeight="false" outlineLevel="0" collapsed="false">
      <c r="A27" s="22" t="s">
        <v>158</v>
      </c>
      <c r="B27" s="23" t="s">
        <v>159</v>
      </c>
      <c r="C27" s="15" t="n">
        <v>4.608</v>
      </c>
      <c r="D27" s="15" t="n">
        <v>2.8224</v>
      </c>
      <c r="E27" s="15" t="n">
        <v>2.46</v>
      </c>
      <c r="F27" s="15" t="n">
        <v>2.7348</v>
      </c>
      <c r="G27" s="15" t="n">
        <v>3.384</v>
      </c>
      <c r="H27" s="15" t="n">
        <v>4.4928</v>
      </c>
      <c r="I27" s="15" t="n">
        <v>5.6772</v>
      </c>
      <c r="J27" s="15" t="n">
        <v>6.7344</v>
      </c>
      <c r="K27" s="15" t="n">
        <v>7.68</v>
      </c>
      <c r="L27" s="15" t="n">
        <v>7.4496</v>
      </c>
      <c r="M27" s="15" t="n">
        <v>8.6496</v>
      </c>
      <c r="N27" s="15" t="n">
        <v>11.2128</v>
      </c>
      <c r="O27" s="15" t="n">
        <v>16.32</v>
      </c>
      <c r="P27" s="15" t="n">
        <v>22.966</v>
      </c>
      <c r="Q27" s="15" t="n">
        <v>27.8554</v>
      </c>
      <c r="R27" s="15" t="n">
        <v>30.2129</v>
      </c>
    </row>
    <row r="28" customFormat="false" ht="15" hidden="false" customHeight="false" outlineLevel="0" collapsed="false">
      <c r="A28" s="24" t="s">
        <v>160</v>
      </c>
      <c r="B28" s="23" t="s">
        <v>161</v>
      </c>
      <c r="C28" s="15" t="n">
        <v>0</v>
      </c>
      <c r="D28" s="15" t="n">
        <v>0</v>
      </c>
      <c r="E28" s="15" t="n">
        <v>0</v>
      </c>
      <c r="F28" s="15" t="n">
        <v>0.2688</v>
      </c>
      <c r="G28" s="15" t="n">
        <v>0.4608</v>
      </c>
      <c r="H28" s="15" t="n">
        <v>0.8208</v>
      </c>
      <c r="I28" s="15" t="n">
        <v>1.4352</v>
      </c>
      <c r="J28" s="15" t="n">
        <v>2.4192</v>
      </c>
      <c r="K28" s="15" t="n">
        <v>3.9168</v>
      </c>
      <c r="L28" s="15" t="n">
        <v>5.76</v>
      </c>
      <c r="M28" s="15" t="n">
        <v>8.1696</v>
      </c>
      <c r="N28" s="15" t="n">
        <v>11.664</v>
      </c>
      <c r="O28" s="15" t="n">
        <v>16.896</v>
      </c>
      <c r="P28" s="15" t="n">
        <v>24.624</v>
      </c>
      <c r="Q28" s="15" t="n">
        <v>33.792</v>
      </c>
      <c r="R28" s="15" t="n">
        <v>42.624</v>
      </c>
    </row>
    <row r="29" customFormat="false" ht="15" hidden="false" customHeight="false" outlineLevel="0" collapsed="false">
      <c r="A29" s="22" t="s">
        <v>162</v>
      </c>
      <c r="B29" s="23" t="s">
        <v>163</v>
      </c>
      <c r="C29" s="15" t="n">
        <v>3.9886</v>
      </c>
      <c r="D29" s="15" t="n">
        <v>3.6397</v>
      </c>
      <c r="E29" s="15" t="n">
        <v>3.6427</v>
      </c>
      <c r="F29" s="15" t="n">
        <v>3.44</v>
      </c>
      <c r="G29" s="15" t="n">
        <v>3.4116</v>
      </c>
      <c r="H29" s="15" t="n">
        <v>4.0613</v>
      </c>
      <c r="I29" s="15" t="n">
        <v>4.7719</v>
      </c>
      <c r="J29" s="15" t="n">
        <v>5.3549</v>
      </c>
      <c r="K29" s="15" t="n">
        <v>5.8588</v>
      </c>
      <c r="L29" s="15" t="n">
        <v>6.1052</v>
      </c>
      <c r="M29" s="15" t="n">
        <v>6.6867</v>
      </c>
      <c r="N29" s="15" t="n">
        <v>7.2084</v>
      </c>
      <c r="O29" s="15" t="n">
        <v>7.888</v>
      </c>
      <c r="P29" s="15" t="n">
        <v>7.5771</v>
      </c>
      <c r="Q29" s="15" t="n">
        <v>7.14</v>
      </c>
      <c r="R29" s="15" t="n">
        <v>7.215</v>
      </c>
    </row>
    <row r="30" customFormat="false" ht="15" hidden="false" customHeight="false" outlineLevel="0" collapsed="false">
      <c r="A30" s="22" t="s">
        <v>164</v>
      </c>
      <c r="B30" s="23" t="s">
        <v>165</v>
      </c>
      <c r="C30" s="15" t="n">
        <v>0</v>
      </c>
      <c r="D30" s="15" t="n">
        <v>0.4217</v>
      </c>
      <c r="E30" s="15" t="n">
        <v>0.7301</v>
      </c>
      <c r="F30" s="15" t="n">
        <v>0.4023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  <c r="N30" s="15" t="n">
        <v>0</v>
      </c>
      <c r="O30" s="15" t="n">
        <v>0</v>
      </c>
      <c r="P30" s="15" t="n">
        <v>0</v>
      </c>
      <c r="Q30" s="15" t="n">
        <v>0</v>
      </c>
      <c r="R30" s="15" t="n">
        <v>0</v>
      </c>
    </row>
    <row r="31" customFormat="false" ht="15" hidden="false" customHeight="false" outlineLevel="0" collapsed="false">
      <c r="A31" s="22" t="s">
        <v>166</v>
      </c>
      <c r="B31" s="23" t="s">
        <v>167</v>
      </c>
      <c r="C31" s="15" t="n">
        <v>0.6194</v>
      </c>
      <c r="D31" s="15" t="n">
        <v>-0.8173</v>
      </c>
      <c r="E31" s="15" t="n">
        <v>-1.1827</v>
      </c>
      <c r="F31" s="15" t="n">
        <v>-0.4364</v>
      </c>
      <c r="G31" s="15" t="n">
        <v>0.4332</v>
      </c>
      <c r="H31" s="15" t="n">
        <v>1.2523</v>
      </c>
      <c r="I31" s="15" t="n">
        <v>2.3405</v>
      </c>
      <c r="J31" s="15" t="n">
        <v>3.7987</v>
      </c>
      <c r="K31" s="15" t="n">
        <v>5.738</v>
      </c>
      <c r="L31" s="15" t="n">
        <v>7.1044</v>
      </c>
      <c r="M31" s="15" t="n">
        <v>10.1325</v>
      </c>
      <c r="N31" s="15" t="n">
        <v>15.6684</v>
      </c>
      <c r="O31" s="15" t="n">
        <v>25.328</v>
      </c>
      <c r="P31" s="15" t="n">
        <v>40.0128</v>
      </c>
      <c r="Q31" s="15" t="n">
        <v>54.5074</v>
      </c>
      <c r="R31" s="15" t="n">
        <v>65.6219</v>
      </c>
    </row>
    <row r="32" customFormat="false" ht="15" hidden="false" customHeight="false" outlineLevel="0" collapsed="false">
      <c r="A32" s="22" t="s">
        <v>168</v>
      </c>
      <c r="B32" s="23" t="s">
        <v>169</v>
      </c>
      <c r="C32" s="15" t="n">
        <v>3.8</v>
      </c>
      <c r="D32" s="15" t="n">
        <v>0.8</v>
      </c>
      <c r="E32" s="15" t="n">
        <v>0.8</v>
      </c>
      <c r="F32" s="15" t="n">
        <v>0.8</v>
      </c>
      <c r="G32" s="15" t="n">
        <v>0.8</v>
      </c>
      <c r="H32" s="15" t="n">
        <v>0.8</v>
      </c>
      <c r="I32" s="15" t="n">
        <v>0.8</v>
      </c>
      <c r="J32" s="15" t="n">
        <v>0.8</v>
      </c>
      <c r="K32" s="15" t="n">
        <v>0.8</v>
      </c>
      <c r="L32" s="15" t="n">
        <v>0.8</v>
      </c>
      <c r="M32" s="15" t="n">
        <v>0.8</v>
      </c>
      <c r="N32" s="15" t="n">
        <v>0.8</v>
      </c>
      <c r="O32" s="15" t="n">
        <v>0.8</v>
      </c>
      <c r="P32" s="15" t="n">
        <v>0.8</v>
      </c>
      <c r="Q32" s="15" t="n">
        <v>0.8</v>
      </c>
      <c r="R32" s="15" t="n">
        <v>0.8</v>
      </c>
    </row>
    <row r="33" customFormat="false" ht="15" hidden="false" customHeight="false" outlineLevel="0" collapsed="false">
      <c r="A33" s="22" t="s">
        <v>170</v>
      </c>
      <c r="B33" s="23" t="s">
        <v>171</v>
      </c>
      <c r="C33" s="15" t="n">
        <v>0.25</v>
      </c>
      <c r="D33" s="15" t="n">
        <v>0.25</v>
      </c>
      <c r="E33" s="15" t="n">
        <v>0.25</v>
      </c>
      <c r="F33" s="15" t="n">
        <v>0.25</v>
      </c>
      <c r="G33" s="15" t="n">
        <v>0.25</v>
      </c>
      <c r="H33" s="15" t="n">
        <v>0.25</v>
      </c>
      <c r="I33" s="15" t="n">
        <v>0.25</v>
      </c>
      <c r="J33" s="15" t="n">
        <v>0.25</v>
      </c>
      <c r="K33" s="15" t="n">
        <v>0.25</v>
      </c>
      <c r="L33" s="15" t="n">
        <v>0.25</v>
      </c>
      <c r="M33" s="15" t="n">
        <v>0.25</v>
      </c>
      <c r="N33" s="15" t="n">
        <v>0.25</v>
      </c>
      <c r="O33" s="15" t="n">
        <v>0.25</v>
      </c>
      <c r="P33" s="15" t="n">
        <v>0.25</v>
      </c>
      <c r="Q33" s="15" t="n">
        <v>0.25</v>
      </c>
      <c r="R33" s="15" t="n">
        <v>0.25</v>
      </c>
    </row>
    <row r="34" customFormat="false" ht="15" hidden="false" customHeight="false" outlineLevel="0" collapsed="false">
      <c r="A34" s="22" t="s">
        <v>172</v>
      </c>
      <c r="B34" s="23" t="s">
        <v>173</v>
      </c>
      <c r="C34" s="15" t="n">
        <v>-3.4306</v>
      </c>
      <c r="D34" s="15" t="n">
        <v>-1.8673</v>
      </c>
      <c r="E34" s="15" t="n">
        <v>-2.2327</v>
      </c>
      <c r="F34" s="15" t="n">
        <v>-1.4864</v>
      </c>
      <c r="G34" s="15" t="n">
        <v>-0.6168</v>
      </c>
      <c r="H34" s="15" t="n">
        <v>0.2023</v>
      </c>
      <c r="I34" s="15" t="n">
        <v>1.2905</v>
      </c>
      <c r="J34" s="15" t="n">
        <v>2.7487</v>
      </c>
      <c r="K34" s="15" t="n">
        <v>4.688</v>
      </c>
      <c r="L34" s="15" t="n">
        <v>6.0544</v>
      </c>
      <c r="M34" s="15" t="n">
        <v>9.0825</v>
      </c>
      <c r="N34" s="15" t="n">
        <v>14.6184</v>
      </c>
      <c r="O34" s="15" t="n">
        <v>24.278</v>
      </c>
      <c r="P34" s="15" t="n">
        <v>38.9628</v>
      </c>
      <c r="Q34" s="15" t="n">
        <v>53.4574</v>
      </c>
      <c r="R34" s="15" t="n">
        <v>64.5719</v>
      </c>
    </row>
    <row r="35" customFormat="false" ht="15" hidden="false" customHeight="false" outlineLevel="0" collapsed="false">
      <c r="A35" s="22" t="s">
        <v>174</v>
      </c>
      <c r="B35" s="23" t="s">
        <v>175</v>
      </c>
      <c r="C35" s="15" t="n">
        <v>0.01</v>
      </c>
      <c r="D35" s="15" t="n">
        <v>0.0358</v>
      </c>
      <c r="E35" s="15" t="n">
        <v>0.0539</v>
      </c>
      <c r="F35" s="15" t="n">
        <v>0.0891</v>
      </c>
      <c r="G35" s="15" t="n">
        <v>0.1202</v>
      </c>
      <c r="H35" s="15" t="n">
        <v>0.1793</v>
      </c>
      <c r="I35" s="15" t="n">
        <v>0.2083</v>
      </c>
      <c r="J35" s="15" t="n">
        <v>0.2092</v>
      </c>
      <c r="K35" s="15" t="n">
        <v>0.2182</v>
      </c>
      <c r="L35" s="15" t="n">
        <v>0.2214</v>
      </c>
      <c r="M35" s="15" t="n">
        <v>0.1815</v>
      </c>
      <c r="N35" s="15" t="n">
        <v>0.0319</v>
      </c>
      <c r="O35" s="15" t="n">
        <v>-0.1228</v>
      </c>
      <c r="P35" s="15" t="n">
        <v>-0.3144</v>
      </c>
      <c r="Q35" s="15" t="n">
        <v>-0.6035</v>
      </c>
      <c r="R35" s="15" t="n">
        <v>-0.9896</v>
      </c>
    </row>
    <row r="36" customFormat="false" ht="15" hidden="false" customHeight="false" outlineLevel="0" collapsed="false">
      <c r="A36" s="22" t="s">
        <v>176</v>
      </c>
      <c r="B36" s="23" t="s">
        <v>177</v>
      </c>
      <c r="C36" s="15" t="n">
        <v>0</v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0.0035</v>
      </c>
      <c r="I36" s="15" t="n">
        <v>0.1623</v>
      </c>
      <c r="J36" s="15" t="n">
        <v>0.3809</v>
      </c>
      <c r="K36" s="15" t="n">
        <v>0.6705</v>
      </c>
      <c r="L36" s="15" t="n">
        <v>0.8749</v>
      </c>
      <c r="M36" s="15" t="n">
        <v>1.3352</v>
      </c>
      <c r="N36" s="15" t="n">
        <v>2.188</v>
      </c>
      <c r="O36" s="15" t="n">
        <v>3.6601</v>
      </c>
      <c r="P36" s="15" t="n">
        <v>5.8916</v>
      </c>
      <c r="Q36" s="15" t="n">
        <v>8.1091</v>
      </c>
      <c r="R36" s="15" t="n">
        <v>9.8342</v>
      </c>
    </row>
    <row r="37" customFormat="false" ht="15" hidden="false" customHeight="false" outlineLevel="0" collapsed="false">
      <c r="A37" s="22" t="s">
        <v>178</v>
      </c>
      <c r="B37" s="23" t="s">
        <v>179</v>
      </c>
      <c r="C37" s="15" t="n">
        <v>-3.4406</v>
      </c>
      <c r="D37" s="15" t="n">
        <v>-1.9031</v>
      </c>
      <c r="E37" s="15" t="n">
        <v>-2.2866</v>
      </c>
      <c r="F37" s="15" t="n">
        <v>-1.5755</v>
      </c>
      <c r="G37" s="15" t="n">
        <v>-0.737</v>
      </c>
      <c r="H37" s="15" t="n">
        <v>0.0196</v>
      </c>
      <c r="I37" s="15" t="n">
        <v>0.9199</v>
      </c>
      <c r="J37" s="15" t="n">
        <v>2.1586</v>
      </c>
      <c r="K37" s="15" t="n">
        <v>3.7994</v>
      </c>
      <c r="L37" s="15" t="n">
        <v>4.958</v>
      </c>
      <c r="M37" s="15" t="n">
        <v>7.5659</v>
      </c>
      <c r="N37" s="15" t="n">
        <v>12.3985</v>
      </c>
      <c r="O37" s="15" t="n">
        <v>20.7406</v>
      </c>
      <c r="P37" s="15" t="n">
        <v>33.3856</v>
      </c>
      <c r="Q37" s="15" t="n">
        <v>45.9517</v>
      </c>
      <c r="R37" s="15" t="n">
        <v>55.7273</v>
      </c>
    </row>
    <row r="38" customFormat="false" ht="15" hidden="false" customHeight="false" outlineLevel="0" collapsed="false">
      <c r="A38" s="3" t="s">
        <v>180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customFormat="false" ht="15" hidden="false" customHeight="false" outlineLevel="0" collapsed="false">
      <c r="A39" s="22" t="s">
        <v>181</v>
      </c>
      <c r="B39" s="23" t="s">
        <v>182</v>
      </c>
      <c r="C39" s="15" t="n">
        <v>-1.727</v>
      </c>
      <c r="D39" s="15" t="n">
        <v>-0.7634</v>
      </c>
      <c r="E39" s="15" t="n">
        <v>-1.1439</v>
      </c>
      <c r="F39" s="15" t="n">
        <v>-0.6355</v>
      </c>
      <c r="G39" s="15" t="n">
        <v>0.1746</v>
      </c>
      <c r="H39" s="15" t="n">
        <v>1.5809</v>
      </c>
      <c r="I39" s="15" t="n">
        <v>3.1918</v>
      </c>
      <c r="J39" s="15" t="n">
        <v>5.0135</v>
      </c>
      <c r="K39" s="15" t="n">
        <v>7.0332</v>
      </c>
      <c r="L39" s="15" t="n">
        <v>8.3382</v>
      </c>
      <c r="M39" s="15" t="n">
        <v>11.4525</v>
      </c>
      <c r="N39" s="15" t="n">
        <v>16.6319</v>
      </c>
      <c r="O39" s="15" t="n">
        <v>25.4537</v>
      </c>
      <c r="P39" s="15" t="n">
        <v>37.6378</v>
      </c>
      <c r="Q39" s="15" t="n">
        <v>49.7667</v>
      </c>
      <c r="R39" s="15" t="n">
        <v>59.6173</v>
      </c>
    </row>
    <row r="40" customFormat="false" ht="15" hidden="false" customHeight="false" outlineLevel="0" collapsed="false">
      <c r="A40" s="22" t="s">
        <v>183</v>
      </c>
      <c r="B40" s="23" t="s">
        <v>184</v>
      </c>
      <c r="C40" s="15" t="n">
        <v>-1.5</v>
      </c>
      <c r="D40" s="15" t="n">
        <v>-1.5</v>
      </c>
      <c r="E40" s="15" t="n">
        <v>-1.5</v>
      </c>
      <c r="F40" s="15" t="n">
        <v>-1.5</v>
      </c>
      <c r="G40" s="15" t="n">
        <v>-4.5</v>
      </c>
      <c r="H40" s="15" t="n">
        <v>-3.9</v>
      </c>
      <c r="I40" s="15" t="n">
        <v>-3.3</v>
      </c>
      <c r="J40" s="15" t="n">
        <v>-5.7</v>
      </c>
      <c r="K40" s="15" t="n">
        <v>-6.3</v>
      </c>
      <c r="L40" s="15" t="n">
        <v>-5.1</v>
      </c>
      <c r="M40" s="15" t="n">
        <v>-1.5</v>
      </c>
      <c r="N40" s="15" t="n">
        <v>-1.5</v>
      </c>
      <c r="O40" s="15" t="n">
        <v>-1.5</v>
      </c>
      <c r="P40" s="15" t="n">
        <v>-1.5</v>
      </c>
      <c r="Q40" s="15" t="n">
        <v>-1.5</v>
      </c>
      <c r="R40" s="15" t="n">
        <v>-1.5</v>
      </c>
    </row>
    <row r="41" customFormat="false" ht="15" hidden="false" customHeight="false" outlineLevel="0" collapsed="false">
      <c r="A41" s="22" t="s">
        <v>185</v>
      </c>
      <c r="B41" s="23" t="s">
        <v>186</v>
      </c>
      <c r="C41" s="15" t="n">
        <v>0</v>
      </c>
      <c r="D41" s="15" t="n">
        <v>0</v>
      </c>
      <c r="E41" s="15" t="n">
        <v>2</v>
      </c>
      <c r="F41" s="15" t="n">
        <v>2</v>
      </c>
      <c r="G41" s="15" t="n">
        <v>3.5</v>
      </c>
      <c r="H41" s="15" t="n">
        <v>1.5</v>
      </c>
      <c r="I41" s="15" t="n">
        <v>0</v>
      </c>
      <c r="J41" s="15" t="n">
        <v>0.5</v>
      </c>
      <c r="K41" s="15" t="n">
        <v>1.3</v>
      </c>
      <c r="L41" s="15" t="n">
        <v>-2</v>
      </c>
      <c r="M41" s="15" t="n">
        <v>-10</v>
      </c>
      <c r="N41" s="15" t="n">
        <v>-4.8</v>
      </c>
      <c r="O41" s="15" t="n">
        <v>0</v>
      </c>
      <c r="P41" s="15" t="n">
        <v>0</v>
      </c>
      <c r="Q41" s="15" t="n">
        <v>0</v>
      </c>
      <c r="R41" s="15" t="n">
        <v>0</v>
      </c>
    </row>
    <row r="42" customFormat="false" ht="15" hidden="false" customHeight="false" outlineLevel="0" collapsed="false">
      <c r="A42" s="22" t="s">
        <v>187</v>
      </c>
      <c r="B42" s="23" t="s">
        <v>188</v>
      </c>
      <c r="C42" s="15" t="n">
        <v>2</v>
      </c>
      <c r="D42" s="15" t="n">
        <v>2</v>
      </c>
      <c r="E42" s="15" t="n">
        <v>2</v>
      </c>
      <c r="F42" s="15" t="n">
        <v>2</v>
      </c>
      <c r="G42" s="15" t="n">
        <v>2.075</v>
      </c>
      <c r="H42" s="15" t="n">
        <v>2.15</v>
      </c>
      <c r="I42" s="15" t="n">
        <v>2.225</v>
      </c>
      <c r="J42" s="15" t="n">
        <v>2.3</v>
      </c>
      <c r="K42" s="15" t="n">
        <v>2.525</v>
      </c>
      <c r="L42" s="15" t="n">
        <v>2.72</v>
      </c>
      <c r="M42" s="15" t="n">
        <v>2.885</v>
      </c>
      <c r="N42" s="15" t="n">
        <v>3.17</v>
      </c>
      <c r="O42" s="15" t="n">
        <v>3.485</v>
      </c>
      <c r="P42" s="15" t="n">
        <v>3.74</v>
      </c>
      <c r="Q42" s="15" t="n">
        <v>3.815</v>
      </c>
      <c r="R42" s="15" t="n">
        <v>3.89</v>
      </c>
    </row>
    <row r="43" customFormat="false" ht="15" hidden="false" customHeight="false" outlineLevel="0" collapsed="false">
      <c r="A43" s="22" t="s">
        <v>189</v>
      </c>
      <c r="B43" s="23" t="s">
        <v>190</v>
      </c>
      <c r="C43" s="15" t="n">
        <v>0</v>
      </c>
      <c r="D43" s="15" t="n">
        <v>0</v>
      </c>
      <c r="E43" s="15" t="n">
        <v>0</v>
      </c>
      <c r="F43" s="15" t="n">
        <v>0</v>
      </c>
      <c r="G43" s="15" t="n">
        <v>0</v>
      </c>
      <c r="H43" s="15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0</v>
      </c>
      <c r="N43" s="15" t="n">
        <v>0</v>
      </c>
      <c r="O43" s="15" t="n">
        <v>0</v>
      </c>
      <c r="P43" s="15" t="n">
        <v>0</v>
      </c>
      <c r="Q43" s="15" t="n">
        <v>0</v>
      </c>
      <c r="R43" s="15" t="n">
        <v>0</v>
      </c>
    </row>
    <row r="44" customFormat="false" ht="15" hidden="false" customHeight="false" outlineLevel="0" collapsed="false">
      <c r="A44" s="3" t="s">
        <v>191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customFormat="false" ht="15" hidden="false" customHeight="false" outlineLevel="0" collapsed="false">
      <c r="A45" s="22" t="s">
        <v>192</v>
      </c>
      <c r="B45" s="23" t="s">
        <v>193</v>
      </c>
      <c r="C45" s="15" t="n">
        <v>6.773</v>
      </c>
      <c r="D45" s="15" t="n">
        <v>4.5096</v>
      </c>
      <c r="E45" s="15" t="n">
        <v>3.8657</v>
      </c>
      <c r="F45" s="15" t="n">
        <v>3.7302</v>
      </c>
      <c r="G45" s="15" t="n">
        <v>2.9048</v>
      </c>
      <c r="H45" s="15" t="n">
        <v>2.0857</v>
      </c>
      <c r="I45" s="15" t="n">
        <v>1.9775</v>
      </c>
      <c r="J45" s="15" t="n">
        <v>1.791</v>
      </c>
      <c r="K45" s="15" t="n">
        <v>3.8241</v>
      </c>
      <c r="L45" s="15" t="n">
        <v>5.0624</v>
      </c>
      <c r="M45" s="15" t="n">
        <v>5.0149</v>
      </c>
      <c r="N45" s="15" t="n">
        <v>15.3468</v>
      </c>
      <c r="O45" s="15" t="n">
        <v>39.3005</v>
      </c>
      <c r="P45" s="15" t="n">
        <v>75.4383</v>
      </c>
      <c r="Q45" s="15" t="n">
        <v>123.705</v>
      </c>
      <c r="R45" s="15" t="n">
        <v>181.8223</v>
      </c>
    </row>
    <row r="46" customFormat="false" ht="15" hidden="false" customHeight="false" outlineLevel="0" collapsed="false">
      <c r="A46" s="22" t="s">
        <v>194</v>
      </c>
      <c r="B46" s="23" t="s">
        <v>195</v>
      </c>
      <c r="C46" s="15" t="n">
        <v>1.2464</v>
      </c>
      <c r="D46" s="15" t="n">
        <v>2.1067</v>
      </c>
      <c r="E46" s="15" t="n">
        <v>2.964</v>
      </c>
      <c r="F46" s="15" t="n">
        <v>4.024</v>
      </c>
      <c r="G46" s="15" t="n">
        <v>5.1874</v>
      </c>
      <c r="H46" s="15" t="n">
        <v>5.7761</v>
      </c>
      <c r="I46" s="15" t="n">
        <v>5.7292</v>
      </c>
      <c r="J46" s="15" t="n">
        <v>5.1743</v>
      </c>
      <c r="K46" s="15" t="n">
        <v>4.4655</v>
      </c>
      <c r="L46" s="15" t="n">
        <v>3.8053</v>
      </c>
      <c r="M46" s="15" t="n">
        <v>2.8036</v>
      </c>
      <c r="N46" s="15" t="n">
        <v>1.7402</v>
      </c>
      <c r="O46" s="15" t="n">
        <v>0.5121</v>
      </c>
      <c r="P46" s="15" t="n">
        <v>0</v>
      </c>
      <c r="Q46" s="15" t="n">
        <v>0</v>
      </c>
      <c r="R46" s="15" t="n">
        <v>0</v>
      </c>
    </row>
    <row r="47" customFormat="false" ht="15" hidden="false" customHeight="false" outlineLevel="0" collapsed="false">
      <c r="A47" s="22" t="s">
        <v>196</v>
      </c>
      <c r="B47" s="23" t="s">
        <v>197</v>
      </c>
      <c r="C47" s="15" t="n">
        <v>29.5</v>
      </c>
      <c r="D47" s="15" t="n">
        <v>29</v>
      </c>
      <c r="E47" s="15" t="n">
        <v>28.5</v>
      </c>
      <c r="F47" s="15" t="n">
        <v>28</v>
      </c>
      <c r="G47" s="15" t="n">
        <v>30.425</v>
      </c>
      <c r="H47" s="15" t="n">
        <v>32.175</v>
      </c>
      <c r="I47" s="15" t="n">
        <v>33.25</v>
      </c>
      <c r="J47" s="15" t="n">
        <v>36.65</v>
      </c>
      <c r="K47" s="15" t="n">
        <v>40.425</v>
      </c>
      <c r="L47" s="15" t="n">
        <v>42.805</v>
      </c>
      <c r="M47" s="15" t="n">
        <v>41.42</v>
      </c>
      <c r="N47" s="15" t="n">
        <v>39.75</v>
      </c>
      <c r="O47" s="15" t="n">
        <v>37.765</v>
      </c>
      <c r="P47" s="15" t="n">
        <v>35.525</v>
      </c>
      <c r="Q47" s="15" t="n">
        <v>33.21</v>
      </c>
      <c r="R47" s="15" t="n">
        <v>30.82</v>
      </c>
    </row>
    <row r="48" customFormat="false" ht="15" hidden="false" customHeight="false" outlineLevel="0" collapsed="false">
      <c r="A48" s="22" t="s">
        <v>198</v>
      </c>
      <c r="B48" s="23" t="s">
        <v>199</v>
      </c>
      <c r="C48" s="15" t="n">
        <v>37.5194</v>
      </c>
      <c r="D48" s="15" t="n">
        <v>35.6163</v>
      </c>
      <c r="E48" s="15" t="n">
        <v>35.3297</v>
      </c>
      <c r="F48" s="15" t="n">
        <v>35.7542</v>
      </c>
      <c r="G48" s="15" t="n">
        <v>38.5172</v>
      </c>
      <c r="H48" s="15" t="n">
        <v>40.0368</v>
      </c>
      <c r="I48" s="15" t="n">
        <v>40.9567</v>
      </c>
      <c r="J48" s="15" t="n">
        <v>43.6152</v>
      </c>
      <c r="K48" s="15" t="n">
        <v>48.7146</v>
      </c>
      <c r="L48" s="15" t="n">
        <v>51.6726</v>
      </c>
      <c r="M48" s="15" t="n">
        <v>49.2385</v>
      </c>
      <c r="N48" s="15" t="n">
        <v>56.837</v>
      </c>
      <c r="O48" s="15" t="n">
        <v>77.5776</v>
      </c>
      <c r="P48" s="15" t="n">
        <v>110.9633</v>
      </c>
      <c r="Q48" s="15" t="n">
        <v>156.915</v>
      </c>
      <c r="R48" s="15" t="n">
        <v>212.6423</v>
      </c>
    </row>
    <row r="49" customFormat="false" ht="15" hidden="false" customHeight="false" outlineLevel="0" collapsed="false">
      <c r="A49" s="22" t="s">
        <v>200</v>
      </c>
      <c r="B49" s="23" t="s">
        <v>201</v>
      </c>
      <c r="C49" s="15" t="n">
        <v>6</v>
      </c>
      <c r="D49" s="15" t="n">
        <v>6</v>
      </c>
      <c r="E49" s="15" t="n">
        <v>8</v>
      </c>
      <c r="F49" s="15" t="n">
        <v>10</v>
      </c>
      <c r="G49" s="15" t="n">
        <v>13.5</v>
      </c>
      <c r="H49" s="15" t="n">
        <v>15</v>
      </c>
      <c r="I49" s="15" t="n">
        <v>15</v>
      </c>
      <c r="J49" s="15" t="n">
        <v>15.5</v>
      </c>
      <c r="K49" s="15" t="n">
        <v>16.8</v>
      </c>
      <c r="L49" s="15" t="n">
        <v>14.8</v>
      </c>
      <c r="M49" s="15" t="n">
        <v>4.8</v>
      </c>
      <c r="N49" s="15" t="n">
        <v>0</v>
      </c>
      <c r="O49" s="15" t="n">
        <v>0</v>
      </c>
      <c r="P49" s="15" t="n">
        <v>0</v>
      </c>
      <c r="Q49" s="15" t="n">
        <v>0</v>
      </c>
      <c r="R49" s="15" t="n">
        <v>0</v>
      </c>
    </row>
    <row r="50" customFormat="false" ht="15" hidden="false" customHeight="false" outlineLevel="0" collapsed="false">
      <c r="A50" s="22" t="s">
        <v>202</v>
      </c>
      <c r="B50" s="23" t="s">
        <v>203</v>
      </c>
      <c r="C50" s="15" t="n">
        <v>0</v>
      </c>
      <c r="D50" s="15" t="n">
        <v>0</v>
      </c>
      <c r="E50" s="15" t="n">
        <v>0</v>
      </c>
      <c r="F50" s="15" t="n">
        <v>0</v>
      </c>
      <c r="G50" s="15" t="n">
        <v>0</v>
      </c>
      <c r="H50" s="15" t="n">
        <v>0</v>
      </c>
      <c r="I50" s="15" t="n">
        <v>0</v>
      </c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0</v>
      </c>
      <c r="O50" s="15" t="n">
        <v>0</v>
      </c>
      <c r="P50" s="15" t="n">
        <v>0</v>
      </c>
      <c r="Q50" s="15" t="n">
        <v>0</v>
      </c>
      <c r="R50" s="15" t="n">
        <v>0</v>
      </c>
    </row>
    <row r="51" customFormat="false" ht="15" hidden="false" customHeight="false" outlineLevel="0" collapsed="false">
      <c r="A51" s="22" t="s">
        <v>204</v>
      </c>
      <c r="B51" s="23" t="s">
        <v>205</v>
      </c>
      <c r="C51" s="15" t="n">
        <v>31.5194</v>
      </c>
      <c r="D51" s="15" t="n">
        <v>29.6163</v>
      </c>
      <c r="E51" s="15" t="n">
        <v>27.3297</v>
      </c>
      <c r="F51" s="15" t="n">
        <v>25.7542</v>
      </c>
      <c r="G51" s="15" t="n">
        <v>25.0172</v>
      </c>
      <c r="H51" s="15" t="n">
        <v>25.0368</v>
      </c>
      <c r="I51" s="15" t="n">
        <v>25.9567</v>
      </c>
      <c r="J51" s="15" t="n">
        <v>28.1152</v>
      </c>
      <c r="K51" s="15" t="n">
        <v>31.9146</v>
      </c>
      <c r="L51" s="15" t="n">
        <v>36.8726</v>
      </c>
      <c r="M51" s="15" t="n">
        <v>44.4385</v>
      </c>
      <c r="N51" s="15" t="n">
        <v>56.837</v>
      </c>
      <c r="O51" s="15" t="n">
        <v>77.5776</v>
      </c>
      <c r="P51" s="15" t="n">
        <v>110.9633</v>
      </c>
      <c r="Q51" s="15" t="n">
        <v>156.915</v>
      </c>
      <c r="R51" s="15" t="n">
        <v>212.6423</v>
      </c>
    </row>
    <row r="52" customFormat="false" ht="15" hidden="false" customHeight="false" outlineLevel="0" collapsed="false">
      <c r="A52" s="22" t="s">
        <v>206</v>
      </c>
      <c r="B52" s="23" t="s">
        <v>207</v>
      </c>
      <c r="C52" s="25" t="n">
        <v>75</v>
      </c>
      <c r="D52" s="25" t="n">
        <v>165</v>
      </c>
      <c r="E52" s="25" t="n">
        <v>260</v>
      </c>
      <c r="F52" s="25" t="n">
        <v>333</v>
      </c>
      <c r="G52" s="25" t="n">
        <v>383</v>
      </c>
      <c r="H52" s="25" t="n">
        <v>402</v>
      </c>
      <c r="I52" s="25" t="n">
        <v>384</v>
      </c>
      <c r="J52" s="25" t="n">
        <v>337</v>
      </c>
      <c r="K52" s="25" t="n">
        <v>286.75</v>
      </c>
      <c r="L52" s="25" t="n">
        <v>242.75</v>
      </c>
      <c r="M52" s="25" t="n">
        <v>178.15</v>
      </c>
      <c r="N52" s="25" t="n">
        <v>111.38</v>
      </c>
      <c r="O52" s="25" t="n">
        <v>33.27</v>
      </c>
      <c r="P52" s="25" t="n">
        <v>0</v>
      </c>
      <c r="Q52" s="25" t="n">
        <v>0</v>
      </c>
      <c r="R52" s="2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5.47"/>
    <col collapsed="false" customWidth="true" hidden="false" outlineLevel="0" max="2" min="2" style="0" width="7.28"/>
    <col collapsed="false" customWidth="true" hidden="false" outlineLevel="0" max="18" min="3" style="0" width="8.65"/>
    <col collapsed="false" customWidth="true" hidden="false" outlineLevel="0" max="19" min="19" style="0" width="10.01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209</v>
      </c>
    </row>
    <row r="4" customFormat="false" ht="15" hidden="false" customHeight="false" outlineLevel="0" collapsed="false">
      <c r="A4" s="20" t="s">
        <v>100</v>
      </c>
      <c r="B4" s="20" t="s">
        <v>210</v>
      </c>
      <c r="C4" s="21" t="s">
        <v>102</v>
      </c>
      <c r="D4" s="21" t="s">
        <v>103</v>
      </c>
      <c r="E4" s="21" t="s">
        <v>104</v>
      </c>
      <c r="F4" s="21" t="s">
        <v>105</v>
      </c>
      <c r="G4" s="21" t="s">
        <v>106</v>
      </c>
      <c r="H4" s="21" t="s">
        <v>107</v>
      </c>
      <c r="I4" s="21" t="s">
        <v>108</v>
      </c>
      <c r="J4" s="21" t="s">
        <v>109</v>
      </c>
      <c r="K4" s="21" t="s">
        <v>110</v>
      </c>
      <c r="L4" s="21" t="s">
        <v>111</v>
      </c>
      <c r="M4" s="21" t="s">
        <v>112</v>
      </c>
      <c r="N4" s="21" t="s">
        <v>113</v>
      </c>
      <c r="O4" s="21" t="s">
        <v>114</v>
      </c>
      <c r="P4" s="21" t="s">
        <v>115</v>
      </c>
      <c r="Q4" s="21" t="s">
        <v>116</v>
      </c>
      <c r="R4" s="21" t="s">
        <v>117</v>
      </c>
      <c r="S4" s="21" t="s">
        <v>211</v>
      </c>
    </row>
    <row r="5" customFormat="false" ht="15" hidden="false" customHeight="false" outlineLevel="0" collapsed="false">
      <c r="A5" s="22" t="s">
        <v>158</v>
      </c>
      <c r="B5" s="23"/>
      <c r="C5" s="26" t="n">
        <f aca="false">原始数据!C27</f>
        <v>4.608</v>
      </c>
      <c r="D5" s="26" t="n">
        <f aca="false">原始数据!D27</f>
        <v>2.8224</v>
      </c>
      <c r="E5" s="26" t="n">
        <f aca="false">原始数据!E27</f>
        <v>2.46</v>
      </c>
      <c r="F5" s="26" t="n">
        <f aca="false">原始数据!F27</f>
        <v>2.7348</v>
      </c>
      <c r="G5" s="26" t="n">
        <f aca="false">原始数据!G27</f>
        <v>3.384</v>
      </c>
      <c r="H5" s="26" t="n">
        <f aca="false">原始数据!H27</f>
        <v>4.4928</v>
      </c>
      <c r="I5" s="26" t="n">
        <f aca="false">原始数据!I27</f>
        <v>5.6772</v>
      </c>
      <c r="J5" s="26" t="n">
        <f aca="false">原始数据!J27</f>
        <v>6.7344</v>
      </c>
      <c r="K5" s="26" t="n">
        <f aca="false">原始数据!K27</f>
        <v>7.68</v>
      </c>
      <c r="L5" s="26" t="n">
        <f aca="false">原始数据!L27</f>
        <v>7.4496</v>
      </c>
      <c r="M5" s="26" t="n">
        <f aca="false">原始数据!M27</f>
        <v>8.6496</v>
      </c>
      <c r="N5" s="26" t="n">
        <f aca="false">原始数据!N27</f>
        <v>11.2128</v>
      </c>
      <c r="O5" s="26" t="n">
        <f aca="false">原始数据!O27</f>
        <v>16.32</v>
      </c>
      <c r="P5" s="26" t="n">
        <f aca="false">原始数据!P27</f>
        <v>22.966</v>
      </c>
      <c r="Q5" s="26" t="n">
        <f aca="false">原始数据!Q27</f>
        <v>27.8554</v>
      </c>
      <c r="R5" s="26" t="n">
        <f aca="false">原始数据!R27</f>
        <v>30.2129</v>
      </c>
      <c r="S5" s="26" t="n">
        <f aca="false">SUM(C5:R5)</f>
        <v>165.2599</v>
      </c>
    </row>
    <row r="6" customFormat="false" ht="15" hidden="false" customHeight="false" outlineLevel="0" collapsed="false">
      <c r="A6" s="24" t="s">
        <v>160</v>
      </c>
      <c r="B6" s="23"/>
      <c r="C6" s="26" t="n">
        <f aca="false">原始数据!C28</f>
        <v>0</v>
      </c>
      <c r="D6" s="26" t="n">
        <f aca="false">原始数据!D28</f>
        <v>0</v>
      </c>
      <c r="E6" s="26" t="n">
        <f aca="false">原始数据!E28</f>
        <v>0</v>
      </c>
      <c r="F6" s="26" t="n">
        <f aca="false">原始数据!F28</f>
        <v>0.2688</v>
      </c>
      <c r="G6" s="26" t="n">
        <f aca="false">原始数据!G28</f>
        <v>0.4608</v>
      </c>
      <c r="H6" s="26" t="n">
        <f aca="false">原始数据!H28</f>
        <v>0.8208</v>
      </c>
      <c r="I6" s="26" t="n">
        <f aca="false">原始数据!I28</f>
        <v>1.4352</v>
      </c>
      <c r="J6" s="26" t="n">
        <f aca="false">原始数据!J28</f>
        <v>2.4192</v>
      </c>
      <c r="K6" s="26" t="n">
        <f aca="false">原始数据!K28</f>
        <v>3.9168</v>
      </c>
      <c r="L6" s="26" t="n">
        <f aca="false">原始数据!L28</f>
        <v>5.76</v>
      </c>
      <c r="M6" s="26" t="n">
        <f aca="false">原始数据!M28</f>
        <v>8.1696</v>
      </c>
      <c r="N6" s="26" t="n">
        <f aca="false">原始数据!N28</f>
        <v>11.664</v>
      </c>
      <c r="O6" s="26" t="n">
        <f aca="false">原始数据!O28</f>
        <v>16.896</v>
      </c>
      <c r="P6" s="26" t="n">
        <f aca="false">原始数据!P28</f>
        <v>24.624</v>
      </c>
      <c r="Q6" s="26" t="n">
        <f aca="false">原始数据!Q28</f>
        <v>33.792</v>
      </c>
      <c r="R6" s="26" t="n">
        <f aca="false">原始数据!R28</f>
        <v>42.624</v>
      </c>
      <c r="S6" s="26" t="n">
        <f aca="false">SUM(C6:R6)</f>
        <v>152.8512</v>
      </c>
    </row>
    <row r="7" customFormat="false" ht="15" hidden="false" customHeight="false" outlineLevel="0" collapsed="false">
      <c r="A7" s="27" t="s">
        <v>156</v>
      </c>
      <c r="B7" s="27"/>
      <c r="C7" s="26" t="n">
        <f aca="false">C5+C6</f>
        <v>4.608</v>
      </c>
      <c r="D7" s="26" t="n">
        <f aca="false">D5+D6</f>
        <v>2.8224</v>
      </c>
      <c r="E7" s="26" t="n">
        <f aca="false">E5+E6</f>
        <v>2.46</v>
      </c>
      <c r="F7" s="26" t="n">
        <f aca="false">F5+F6</f>
        <v>3.0036</v>
      </c>
      <c r="G7" s="26" t="n">
        <f aca="false">G5+G6</f>
        <v>3.8448</v>
      </c>
      <c r="H7" s="26" t="n">
        <f aca="false">H5+H6</f>
        <v>5.3136</v>
      </c>
      <c r="I7" s="26" t="n">
        <f aca="false">I5+I6</f>
        <v>7.1124</v>
      </c>
      <c r="J7" s="26" t="n">
        <f aca="false">J5+J6</f>
        <v>9.1536</v>
      </c>
      <c r="K7" s="26" t="n">
        <f aca="false">K5+K6</f>
        <v>11.5968</v>
      </c>
      <c r="L7" s="26" t="n">
        <f aca="false">L5+L6</f>
        <v>13.2096</v>
      </c>
      <c r="M7" s="26" t="n">
        <f aca="false">M5+M6</f>
        <v>16.8192</v>
      </c>
      <c r="N7" s="26" t="n">
        <f aca="false">N5+N6</f>
        <v>22.8768</v>
      </c>
      <c r="O7" s="26" t="n">
        <f aca="false">O5+O6</f>
        <v>33.216</v>
      </c>
      <c r="P7" s="26" t="n">
        <f aca="false">P5+P6</f>
        <v>47.59</v>
      </c>
      <c r="Q7" s="26" t="n">
        <f aca="false">Q5+Q6</f>
        <v>61.6474</v>
      </c>
      <c r="R7" s="26" t="n">
        <f aca="false">R5+R6</f>
        <v>72.8369</v>
      </c>
      <c r="S7" s="26" t="n">
        <f aca="false">SUM(C7:R7)</f>
        <v>318.1111</v>
      </c>
    </row>
    <row r="8" customFormat="false" ht="15" hidden="false" customHeight="false" outlineLevel="0" collapsed="false">
      <c r="A8" s="22" t="s">
        <v>162</v>
      </c>
      <c r="B8" s="23"/>
      <c r="C8" s="26" t="n">
        <f aca="false">原始数据!C29</f>
        <v>3.9886</v>
      </c>
      <c r="D8" s="26" t="n">
        <f aca="false">原始数据!D29</f>
        <v>3.6397</v>
      </c>
      <c r="E8" s="26" t="n">
        <f aca="false">原始数据!E29</f>
        <v>3.6427</v>
      </c>
      <c r="F8" s="26" t="n">
        <f aca="false">原始数据!F29</f>
        <v>3.44</v>
      </c>
      <c r="G8" s="26" t="n">
        <f aca="false">原始数据!G29</f>
        <v>3.4116</v>
      </c>
      <c r="H8" s="26" t="n">
        <f aca="false">原始数据!H29</f>
        <v>4.0613</v>
      </c>
      <c r="I8" s="26" t="n">
        <f aca="false">原始数据!I29</f>
        <v>4.7719</v>
      </c>
      <c r="J8" s="26" t="n">
        <f aca="false">原始数据!J29</f>
        <v>5.3549</v>
      </c>
      <c r="K8" s="26" t="n">
        <f aca="false">原始数据!K29</f>
        <v>5.8588</v>
      </c>
      <c r="L8" s="26" t="n">
        <f aca="false">原始数据!L29</f>
        <v>6.1052</v>
      </c>
      <c r="M8" s="26" t="n">
        <f aca="false">原始数据!M29</f>
        <v>6.6867</v>
      </c>
      <c r="N8" s="26" t="n">
        <f aca="false">原始数据!N29</f>
        <v>7.2084</v>
      </c>
      <c r="O8" s="26" t="n">
        <f aca="false">原始数据!O29</f>
        <v>7.888</v>
      </c>
      <c r="P8" s="26" t="n">
        <f aca="false">原始数据!P29</f>
        <v>7.5771</v>
      </c>
      <c r="Q8" s="26" t="n">
        <f aca="false">原始数据!Q29</f>
        <v>7.14</v>
      </c>
      <c r="R8" s="26" t="n">
        <f aca="false">原始数据!R29</f>
        <v>7.215</v>
      </c>
      <c r="S8" s="26" t="n">
        <f aca="false">SUM(C8:R8)</f>
        <v>87.9899</v>
      </c>
    </row>
    <row r="9" customFormat="false" ht="15" hidden="false" customHeight="false" outlineLevel="0" collapsed="false">
      <c r="A9" s="22" t="s">
        <v>212</v>
      </c>
      <c r="B9" s="23"/>
      <c r="C9" s="26" t="n">
        <f aca="false">原始数据!C30</f>
        <v>0</v>
      </c>
      <c r="D9" s="26" t="n">
        <f aca="false">原始数据!D30</f>
        <v>0.4217</v>
      </c>
      <c r="E9" s="26" t="n">
        <f aca="false">原始数据!E30</f>
        <v>0.7301</v>
      </c>
      <c r="F9" s="26" t="n">
        <f aca="false">原始数据!F30</f>
        <v>0.4023</v>
      </c>
      <c r="G9" s="26" t="n">
        <f aca="false">原始数据!G30</f>
        <v>0</v>
      </c>
      <c r="H9" s="26" t="n">
        <f aca="false">原始数据!H30</f>
        <v>0</v>
      </c>
      <c r="I9" s="26" t="n">
        <f aca="false">原始数据!I30</f>
        <v>0</v>
      </c>
      <c r="J9" s="26" t="n">
        <f aca="false">原始数据!J30</f>
        <v>0</v>
      </c>
      <c r="K9" s="26" t="n">
        <f aca="false">原始数据!K30</f>
        <v>0</v>
      </c>
      <c r="L9" s="26" t="n">
        <f aca="false">原始数据!L30</f>
        <v>0</v>
      </c>
      <c r="M9" s="26" t="n">
        <f aca="false">原始数据!M30</f>
        <v>0</v>
      </c>
      <c r="N9" s="26" t="n">
        <f aca="false">原始数据!N30</f>
        <v>0</v>
      </c>
      <c r="O9" s="26" t="n">
        <f aca="false">原始数据!O30</f>
        <v>0</v>
      </c>
      <c r="P9" s="26" t="n">
        <f aca="false">原始数据!P30</f>
        <v>0</v>
      </c>
      <c r="Q9" s="26" t="n">
        <f aca="false">原始数据!Q30</f>
        <v>0</v>
      </c>
      <c r="R9" s="26" t="n">
        <f aca="false">原始数据!R30</f>
        <v>0</v>
      </c>
      <c r="S9" s="26" t="n">
        <f aca="false">SUM(C9:R9)</f>
        <v>1.5541</v>
      </c>
    </row>
    <row r="10" customFormat="false" ht="15" hidden="false" customHeight="false" outlineLevel="0" collapsed="false">
      <c r="A10" s="27" t="s">
        <v>166</v>
      </c>
      <c r="B10" s="27"/>
      <c r="C10" s="26" t="n">
        <f aca="false">C7-C8</f>
        <v>0.6194</v>
      </c>
      <c r="D10" s="26" t="n">
        <f aca="false">D7-D8</f>
        <v>-0.8173</v>
      </c>
      <c r="E10" s="26" t="n">
        <f aca="false">E7-E8</f>
        <v>-1.1827</v>
      </c>
      <c r="F10" s="26" t="n">
        <f aca="false">F7-F8</f>
        <v>-0.4364</v>
      </c>
      <c r="G10" s="26" t="n">
        <f aca="false">G7-G8</f>
        <v>0.4332</v>
      </c>
      <c r="H10" s="26" t="n">
        <f aca="false">H7-H8</f>
        <v>1.2523</v>
      </c>
      <c r="I10" s="26" t="n">
        <f aca="false">I7-I8</f>
        <v>2.3405</v>
      </c>
      <c r="J10" s="26" t="n">
        <f aca="false">J7-J8</f>
        <v>3.7987</v>
      </c>
      <c r="K10" s="26" t="n">
        <f aca="false">K7-K8</f>
        <v>5.738</v>
      </c>
      <c r="L10" s="26" t="n">
        <f aca="false">L7-L8</f>
        <v>7.1044</v>
      </c>
      <c r="M10" s="26" t="n">
        <f aca="false">M7-M8</f>
        <v>10.1325</v>
      </c>
      <c r="N10" s="26" t="n">
        <f aca="false">N7-N8</f>
        <v>15.6684</v>
      </c>
      <c r="O10" s="26" t="n">
        <f aca="false">O7-O8</f>
        <v>25.328</v>
      </c>
      <c r="P10" s="26" t="n">
        <f aca="false">P7-P8</f>
        <v>40.0129</v>
      </c>
      <c r="Q10" s="26" t="n">
        <f aca="false">Q7-Q8</f>
        <v>54.5074</v>
      </c>
      <c r="R10" s="26" t="n">
        <f aca="false">R7-R8</f>
        <v>65.6219</v>
      </c>
      <c r="S10" s="26" t="n">
        <f aca="false">SUM(C10:R10)</f>
        <v>230.1212</v>
      </c>
    </row>
    <row r="11" customFormat="false" ht="15" hidden="false" customHeight="false" outlineLevel="0" collapsed="false">
      <c r="A11" s="22" t="s">
        <v>213</v>
      </c>
      <c r="B11" s="23" t="s">
        <v>214</v>
      </c>
      <c r="C11" s="28" t="n">
        <f aca="false">IF(C7=0,0,C10/C7)</f>
        <v>0.134418402777778</v>
      </c>
      <c r="D11" s="28" t="n">
        <f aca="false">IF(D7=0,0,D10/D7)</f>
        <v>-0.289576247165533</v>
      </c>
      <c r="E11" s="28" t="n">
        <f aca="false">IF(E7=0,0,E10/E7)</f>
        <v>-0.480772357723577</v>
      </c>
      <c r="F11" s="28" t="n">
        <f aca="false">IF(F7=0,0,F10/F7)</f>
        <v>-0.145292315887602</v>
      </c>
      <c r="G11" s="28" t="n">
        <f aca="false">IF(G7=0,0,G10/G7)</f>
        <v>0.112671660424469</v>
      </c>
      <c r="H11" s="28" t="n">
        <f aca="false">IF(H7=0,0,H10/H7)</f>
        <v>0.235678259560373</v>
      </c>
      <c r="I11" s="28" t="n">
        <f aca="false">IF(I7=0,0,I10/I7)</f>
        <v>0.329073167988302</v>
      </c>
      <c r="J11" s="28" t="n">
        <f aca="false">IF(J7=0,0,J10/J7)</f>
        <v>0.414995193148051</v>
      </c>
      <c r="K11" s="28" t="n">
        <f aca="false">IF(K7=0,0,K10/K7)</f>
        <v>0.494791666666667</v>
      </c>
      <c r="L11" s="28" t="n">
        <f aca="false">IF(L7=0,0,L10/L7)</f>
        <v>0.537820978682171</v>
      </c>
      <c r="M11" s="28" t="n">
        <f aca="false">IF(M7=0,0,M10/M7)</f>
        <v>0.602436501141553</v>
      </c>
      <c r="N11" s="28" t="n">
        <f aca="false">IF(N7=0,0,N10/N7)</f>
        <v>0.684903483004616</v>
      </c>
      <c r="O11" s="28" t="n">
        <f aca="false">IF(O7=0,0,O10/O7)</f>
        <v>0.76252408477842</v>
      </c>
      <c r="P11" s="28" t="n">
        <f aca="false">IF(P7=0,0,P10/P7)</f>
        <v>0.840783778104644</v>
      </c>
      <c r="Q11" s="28" t="n">
        <f aca="false">IF(Q7=0,0,Q10/Q7)</f>
        <v>0.884180030301359</v>
      </c>
      <c r="R11" s="28" t="n">
        <f aca="false">IF(R7=0,0,R10/R7)</f>
        <v>0.90094306594597</v>
      </c>
      <c r="S11" s="28" t="n">
        <f aca="false">S10/S7</f>
        <v>0.723398837701671</v>
      </c>
    </row>
    <row r="12" customFormat="false" ht="15" hidden="false" customHeight="false" outlineLevel="0" collapsed="false">
      <c r="A12" s="22" t="s">
        <v>168</v>
      </c>
      <c r="B12" s="23"/>
      <c r="C12" s="26" t="n">
        <f aca="false">原始数据!C32</f>
        <v>3.8</v>
      </c>
      <c r="D12" s="26" t="n">
        <f aca="false">原始数据!D32</f>
        <v>0.8</v>
      </c>
      <c r="E12" s="26" t="n">
        <f aca="false">原始数据!E32</f>
        <v>0.8</v>
      </c>
      <c r="F12" s="26" t="n">
        <f aca="false">原始数据!F32</f>
        <v>0.8</v>
      </c>
      <c r="G12" s="26" t="n">
        <f aca="false">原始数据!G32</f>
        <v>0.8</v>
      </c>
      <c r="H12" s="26" t="n">
        <f aca="false">原始数据!H32</f>
        <v>0.8</v>
      </c>
      <c r="I12" s="26" t="n">
        <f aca="false">原始数据!I32</f>
        <v>0.8</v>
      </c>
      <c r="J12" s="26" t="n">
        <f aca="false">原始数据!J32</f>
        <v>0.8</v>
      </c>
      <c r="K12" s="26" t="n">
        <f aca="false">原始数据!K32</f>
        <v>0.8</v>
      </c>
      <c r="L12" s="26" t="n">
        <f aca="false">原始数据!L32</f>
        <v>0.8</v>
      </c>
      <c r="M12" s="26" t="n">
        <f aca="false">原始数据!M32</f>
        <v>0.8</v>
      </c>
      <c r="N12" s="26" t="n">
        <f aca="false">原始数据!N32</f>
        <v>0.8</v>
      </c>
      <c r="O12" s="26" t="n">
        <f aca="false">原始数据!O32</f>
        <v>0.8</v>
      </c>
      <c r="P12" s="26" t="n">
        <f aca="false">原始数据!P32</f>
        <v>0.8</v>
      </c>
      <c r="Q12" s="26" t="n">
        <f aca="false">原始数据!Q32</f>
        <v>0.8</v>
      </c>
      <c r="R12" s="26" t="n">
        <f aca="false">原始数据!R32</f>
        <v>0.8</v>
      </c>
      <c r="S12" s="26" t="n">
        <f aca="false">SUM(C12:R12)</f>
        <v>15.8</v>
      </c>
    </row>
    <row r="13" customFormat="false" ht="15" hidden="false" customHeight="false" outlineLevel="0" collapsed="false">
      <c r="A13" s="22" t="s">
        <v>215</v>
      </c>
      <c r="B13" s="23"/>
      <c r="C13" s="26" t="n">
        <f aca="false">原始数据!C9</f>
        <v>3</v>
      </c>
      <c r="D13" s="26" t="n">
        <f aca="false">原始数据!D9</f>
        <v>0</v>
      </c>
      <c r="E13" s="26" t="n">
        <f aca="false">原始数据!E9</f>
        <v>0</v>
      </c>
      <c r="F13" s="26" t="n">
        <f aca="false">原始数据!F9</f>
        <v>0</v>
      </c>
      <c r="G13" s="26" t="n">
        <f aca="false">原始数据!G9</f>
        <v>0</v>
      </c>
      <c r="H13" s="26" t="n">
        <f aca="false">原始数据!H9</f>
        <v>0</v>
      </c>
      <c r="I13" s="26" t="n">
        <f aca="false">原始数据!I9</f>
        <v>0</v>
      </c>
      <c r="J13" s="26" t="n">
        <f aca="false">原始数据!J9</f>
        <v>0</v>
      </c>
      <c r="K13" s="26" t="n">
        <f aca="false">原始数据!K9</f>
        <v>0</v>
      </c>
      <c r="L13" s="26" t="n">
        <f aca="false">原始数据!L9</f>
        <v>0</v>
      </c>
      <c r="M13" s="26" t="n">
        <f aca="false">原始数据!M9</f>
        <v>0</v>
      </c>
      <c r="N13" s="26" t="n">
        <f aca="false">原始数据!N9</f>
        <v>0</v>
      </c>
      <c r="O13" s="26" t="n">
        <f aca="false">原始数据!O9</f>
        <v>0</v>
      </c>
      <c r="P13" s="26" t="n">
        <f aca="false">原始数据!P9</f>
        <v>0</v>
      </c>
      <c r="Q13" s="26" t="n">
        <f aca="false">原始数据!Q9</f>
        <v>0</v>
      </c>
      <c r="R13" s="26" t="n">
        <f aca="false">原始数据!R9</f>
        <v>0</v>
      </c>
      <c r="S13" s="26" t="n">
        <f aca="false">SUM(C13:R13)</f>
        <v>3</v>
      </c>
    </row>
    <row r="14" customFormat="false" ht="15" hidden="false" customHeight="false" outlineLevel="0" collapsed="false">
      <c r="A14" s="22" t="s">
        <v>170</v>
      </c>
      <c r="B14" s="23"/>
      <c r="C14" s="26" t="n">
        <f aca="false">原始数据!C33</f>
        <v>0.25</v>
      </c>
      <c r="D14" s="26" t="n">
        <f aca="false">原始数据!D33</f>
        <v>0.25</v>
      </c>
      <c r="E14" s="26" t="n">
        <f aca="false">原始数据!E33</f>
        <v>0.25</v>
      </c>
      <c r="F14" s="26" t="n">
        <f aca="false">原始数据!F33</f>
        <v>0.25</v>
      </c>
      <c r="G14" s="26" t="n">
        <f aca="false">原始数据!G33</f>
        <v>0.25</v>
      </c>
      <c r="H14" s="26" t="n">
        <f aca="false">原始数据!H33</f>
        <v>0.25</v>
      </c>
      <c r="I14" s="26" t="n">
        <f aca="false">原始数据!I33</f>
        <v>0.25</v>
      </c>
      <c r="J14" s="26" t="n">
        <f aca="false">原始数据!J33</f>
        <v>0.25</v>
      </c>
      <c r="K14" s="26" t="n">
        <f aca="false">原始数据!K33</f>
        <v>0.25</v>
      </c>
      <c r="L14" s="26" t="n">
        <f aca="false">原始数据!L33</f>
        <v>0.25</v>
      </c>
      <c r="M14" s="26" t="n">
        <f aca="false">原始数据!M33</f>
        <v>0.25</v>
      </c>
      <c r="N14" s="26" t="n">
        <f aca="false">原始数据!N33</f>
        <v>0.25</v>
      </c>
      <c r="O14" s="26" t="n">
        <f aca="false">原始数据!O33</f>
        <v>0.25</v>
      </c>
      <c r="P14" s="26" t="n">
        <f aca="false">原始数据!P33</f>
        <v>0.25</v>
      </c>
      <c r="Q14" s="26" t="n">
        <f aca="false">原始数据!Q33</f>
        <v>0.25</v>
      </c>
      <c r="R14" s="26" t="n">
        <f aca="false">原始数据!R33</f>
        <v>0.25</v>
      </c>
      <c r="S14" s="26" t="n">
        <f aca="false">SUM(C14:R14)</f>
        <v>4</v>
      </c>
    </row>
    <row r="15" customFormat="false" ht="15" hidden="false" customHeight="false" outlineLevel="0" collapsed="false">
      <c r="A15" s="27" t="s">
        <v>172</v>
      </c>
      <c r="B15" s="27"/>
      <c r="C15" s="26" t="n">
        <f aca="false">C10-C12-C14</f>
        <v>-3.4306</v>
      </c>
      <c r="D15" s="26" t="n">
        <f aca="false">D10-D12-D14</f>
        <v>-1.8673</v>
      </c>
      <c r="E15" s="26" t="n">
        <f aca="false">E10-E12-E14</f>
        <v>-2.2327</v>
      </c>
      <c r="F15" s="26" t="n">
        <f aca="false">F10-F12-F14</f>
        <v>-1.4864</v>
      </c>
      <c r="G15" s="26" t="n">
        <f aca="false">G10-G12-G14</f>
        <v>-0.6168</v>
      </c>
      <c r="H15" s="26" t="n">
        <f aca="false">H10-H12-H14</f>
        <v>0.2023</v>
      </c>
      <c r="I15" s="26" t="n">
        <f aca="false">I10-I12-I14</f>
        <v>1.2905</v>
      </c>
      <c r="J15" s="26" t="n">
        <f aca="false">J10-J12-J14</f>
        <v>2.7487</v>
      </c>
      <c r="K15" s="26" t="n">
        <f aca="false">K10-K12-K14</f>
        <v>4.688</v>
      </c>
      <c r="L15" s="26" t="n">
        <f aca="false">L10-L12-L14</f>
        <v>6.0544</v>
      </c>
      <c r="M15" s="26" t="n">
        <f aca="false">M10-M12-M14</f>
        <v>9.0825</v>
      </c>
      <c r="N15" s="26" t="n">
        <f aca="false">N10-N12-N14</f>
        <v>14.6184</v>
      </c>
      <c r="O15" s="26" t="n">
        <f aca="false">O10-O12-O14</f>
        <v>24.278</v>
      </c>
      <c r="P15" s="26" t="n">
        <f aca="false">P10-P12-P14</f>
        <v>38.9629</v>
      </c>
      <c r="Q15" s="26" t="n">
        <f aca="false">Q10-Q12-Q14</f>
        <v>53.4574</v>
      </c>
      <c r="R15" s="26" t="n">
        <f aca="false">R10-R12-R14</f>
        <v>64.5719</v>
      </c>
      <c r="S15" s="26" t="n">
        <f aca="false">SUM(C15:R15)</f>
        <v>210.3212</v>
      </c>
    </row>
    <row r="16" customFormat="false" ht="15" hidden="false" customHeight="false" outlineLevel="0" collapsed="false">
      <c r="A16" s="22" t="s">
        <v>216</v>
      </c>
      <c r="B16" s="23"/>
      <c r="C16" s="26" t="n">
        <f aca="false">原始数据!C35</f>
        <v>0.01</v>
      </c>
      <c r="D16" s="26" t="n">
        <f aca="false">原始数据!D35</f>
        <v>0.0358</v>
      </c>
      <c r="E16" s="26" t="n">
        <f aca="false">原始数据!E35</f>
        <v>0.0539</v>
      </c>
      <c r="F16" s="26" t="n">
        <f aca="false">原始数据!F35</f>
        <v>0.0891</v>
      </c>
      <c r="G16" s="26" t="n">
        <f aca="false">原始数据!G35</f>
        <v>0.1202</v>
      </c>
      <c r="H16" s="26" t="n">
        <f aca="false">原始数据!H35</f>
        <v>0.1793</v>
      </c>
      <c r="I16" s="26" t="n">
        <f aca="false">原始数据!I35</f>
        <v>0.2083</v>
      </c>
      <c r="J16" s="26" t="n">
        <f aca="false">原始数据!J35</f>
        <v>0.2092</v>
      </c>
      <c r="K16" s="26" t="n">
        <f aca="false">原始数据!K35</f>
        <v>0.2182</v>
      </c>
      <c r="L16" s="26" t="n">
        <f aca="false">原始数据!L35</f>
        <v>0.2214</v>
      </c>
      <c r="M16" s="26" t="n">
        <f aca="false">原始数据!M35</f>
        <v>0.1815</v>
      </c>
      <c r="N16" s="26" t="n">
        <f aca="false">原始数据!N35</f>
        <v>0.0319</v>
      </c>
      <c r="O16" s="26" t="n">
        <f aca="false">原始数据!O35</f>
        <v>-0.1228</v>
      </c>
      <c r="P16" s="26" t="n">
        <f aca="false">原始数据!P35</f>
        <v>-0.3144</v>
      </c>
      <c r="Q16" s="26" t="n">
        <f aca="false">原始数据!Q35</f>
        <v>-0.6035</v>
      </c>
      <c r="R16" s="26" t="n">
        <f aca="false">原始数据!R35</f>
        <v>-0.9896</v>
      </c>
      <c r="S16" s="26" t="n">
        <f aca="false">SUM(C16:R16)</f>
        <v>-0.4715</v>
      </c>
    </row>
    <row r="17" customFormat="false" ht="15" hidden="false" customHeight="false" outlineLevel="0" collapsed="false">
      <c r="A17" s="27" t="s">
        <v>217</v>
      </c>
      <c r="B17" s="27"/>
      <c r="C17" s="26" t="n">
        <f aca="false">C15-C16</f>
        <v>-3.4406</v>
      </c>
      <c r="D17" s="26" t="n">
        <f aca="false">D15-D16</f>
        <v>-1.9031</v>
      </c>
      <c r="E17" s="26" t="n">
        <f aca="false">E15-E16</f>
        <v>-2.2866</v>
      </c>
      <c r="F17" s="26" t="n">
        <f aca="false">F15-F16</f>
        <v>-1.5755</v>
      </c>
      <c r="G17" s="26" t="n">
        <f aca="false">G15-G16</f>
        <v>-0.737</v>
      </c>
      <c r="H17" s="26" t="n">
        <f aca="false">H15-H16</f>
        <v>0.0229999999999999</v>
      </c>
      <c r="I17" s="26" t="n">
        <f aca="false">I15-I16</f>
        <v>1.0822</v>
      </c>
      <c r="J17" s="26" t="n">
        <f aca="false">J15-J16</f>
        <v>2.5395</v>
      </c>
      <c r="K17" s="26" t="n">
        <f aca="false">K15-K16</f>
        <v>4.4698</v>
      </c>
      <c r="L17" s="26" t="n">
        <f aca="false">L15-L16</f>
        <v>5.833</v>
      </c>
      <c r="M17" s="26" t="n">
        <f aca="false">M15-M16</f>
        <v>8.901</v>
      </c>
      <c r="N17" s="26" t="n">
        <f aca="false">N15-N16</f>
        <v>14.5865</v>
      </c>
      <c r="O17" s="26" t="n">
        <f aca="false">O15-O16</f>
        <v>24.4008</v>
      </c>
      <c r="P17" s="26" t="n">
        <f aca="false">P15-P16</f>
        <v>39.2773</v>
      </c>
      <c r="Q17" s="26" t="n">
        <f aca="false">Q15-Q16</f>
        <v>54.0609</v>
      </c>
      <c r="R17" s="26" t="n">
        <f aca="false">R15-R16</f>
        <v>65.5615</v>
      </c>
      <c r="S17" s="26" t="n">
        <f aca="false">SUM(C17:R17)</f>
        <v>210.7927</v>
      </c>
    </row>
    <row r="18" customFormat="false" ht="15" hidden="false" customHeight="false" outlineLevel="0" collapsed="false">
      <c r="A18" s="22" t="s">
        <v>176</v>
      </c>
      <c r="B18" s="23"/>
      <c r="C18" s="26" t="n">
        <f aca="false">原始数据!C36</f>
        <v>0</v>
      </c>
      <c r="D18" s="26" t="n">
        <f aca="false">原始数据!D36</f>
        <v>0</v>
      </c>
      <c r="E18" s="26" t="n">
        <f aca="false">原始数据!E36</f>
        <v>0</v>
      </c>
      <c r="F18" s="26" t="n">
        <f aca="false">原始数据!F36</f>
        <v>0</v>
      </c>
      <c r="G18" s="26" t="n">
        <f aca="false">原始数据!G36</f>
        <v>0</v>
      </c>
      <c r="H18" s="26" t="n">
        <f aca="false">原始数据!H36</f>
        <v>0.0035</v>
      </c>
      <c r="I18" s="26" t="n">
        <f aca="false">原始数据!I36</f>
        <v>0.1623</v>
      </c>
      <c r="J18" s="26" t="n">
        <f aca="false">原始数据!J36</f>
        <v>0.3809</v>
      </c>
      <c r="K18" s="26" t="n">
        <f aca="false">原始数据!K36</f>
        <v>0.6705</v>
      </c>
      <c r="L18" s="26" t="n">
        <f aca="false">原始数据!L36</f>
        <v>0.8749</v>
      </c>
      <c r="M18" s="26" t="n">
        <f aca="false">原始数据!M36</f>
        <v>1.3352</v>
      </c>
      <c r="N18" s="26" t="n">
        <f aca="false">原始数据!N36</f>
        <v>2.188</v>
      </c>
      <c r="O18" s="26" t="n">
        <f aca="false">原始数据!O36</f>
        <v>3.6601</v>
      </c>
      <c r="P18" s="26" t="n">
        <f aca="false">原始数据!P36</f>
        <v>5.8916</v>
      </c>
      <c r="Q18" s="26" t="n">
        <f aca="false">原始数据!Q36</f>
        <v>8.1091</v>
      </c>
      <c r="R18" s="26" t="n">
        <f aca="false">原始数据!R36</f>
        <v>9.8342</v>
      </c>
      <c r="S18" s="26" t="n">
        <f aca="false">SUM(C18:R18)</f>
        <v>33.1103</v>
      </c>
    </row>
    <row r="19" customFormat="false" ht="15" hidden="false" customHeight="false" outlineLevel="0" collapsed="false">
      <c r="A19" s="27" t="s">
        <v>178</v>
      </c>
      <c r="B19" s="27"/>
      <c r="C19" s="29" t="n">
        <f aca="false">C17-C18</f>
        <v>-3.4406</v>
      </c>
      <c r="D19" s="29" t="n">
        <f aca="false">D17-D18</f>
        <v>-1.9031</v>
      </c>
      <c r="E19" s="29" t="n">
        <f aca="false">E17-E18</f>
        <v>-2.2866</v>
      </c>
      <c r="F19" s="29" t="n">
        <f aca="false">F17-F18</f>
        <v>-1.5755</v>
      </c>
      <c r="G19" s="29" t="n">
        <f aca="false">G17-G18</f>
        <v>-0.737</v>
      </c>
      <c r="H19" s="29" t="n">
        <f aca="false">H17-H18</f>
        <v>0.0194999999999999</v>
      </c>
      <c r="I19" s="29" t="n">
        <f aca="false">I17-I18</f>
        <v>0.919900000000001</v>
      </c>
      <c r="J19" s="29" t="n">
        <f aca="false">J17-J18</f>
        <v>2.1586</v>
      </c>
      <c r="K19" s="29" t="n">
        <f aca="false">K17-K18</f>
        <v>3.7993</v>
      </c>
      <c r="L19" s="29" t="n">
        <f aca="false">L17-L18</f>
        <v>4.9581</v>
      </c>
      <c r="M19" s="29" t="n">
        <f aca="false">M17-M18</f>
        <v>7.5658</v>
      </c>
      <c r="N19" s="29" t="n">
        <f aca="false">N17-N18</f>
        <v>12.3985</v>
      </c>
      <c r="O19" s="29" t="n">
        <f aca="false">O17-O18</f>
        <v>20.7407</v>
      </c>
      <c r="P19" s="29" t="n">
        <f aca="false">P17-P18</f>
        <v>33.3857</v>
      </c>
      <c r="Q19" s="29" t="n">
        <f aca="false">Q17-Q18</f>
        <v>45.9518</v>
      </c>
      <c r="R19" s="29" t="n">
        <f aca="false">R17-R18</f>
        <v>55.7273</v>
      </c>
      <c r="S19" s="29" t="n">
        <f aca="false">SUM(C19:R19)</f>
        <v>177.6824</v>
      </c>
    </row>
    <row r="20" customFormat="false" ht="15" hidden="false" customHeight="false" outlineLevel="0" collapsed="false">
      <c r="A20" s="22" t="s">
        <v>218</v>
      </c>
      <c r="B20" s="23"/>
      <c r="C20" s="26" t="n">
        <f aca="false">C19</f>
        <v>-3.4406</v>
      </c>
      <c r="D20" s="26" t="n">
        <f aca="false">C20+D19</f>
        <v>-5.3437</v>
      </c>
      <c r="E20" s="26" t="n">
        <f aca="false">D20+E19</f>
        <v>-7.6303</v>
      </c>
      <c r="F20" s="26" t="n">
        <f aca="false">E20+F19</f>
        <v>-9.2058</v>
      </c>
      <c r="G20" s="26" t="n">
        <f aca="false">F20+G19</f>
        <v>-9.9428</v>
      </c>
      <c r="H20" s="26" t="n">
        <f aca="false">G20+H19</f>
        <v>-9.9233</v>
      </c>
      <c r="I20" s="26" t="n">
        <f aca="false">H20+I19</f>
        <v>-9.0034</v>
      </c>
      <c r="J20" s="26" t="n">
        <f aca="false">I20+J19</f>
        <v>-6.8448</v>
      </c>
      <c r="K20" s="26" t="n">
        <f aca="false">J20+K19</f>
        <v>-3.0455</v>
      </c>
      <c r="L20" s="26" t="n">
        <f aca="false">K20+L19</f>
        <v>1.9126</v>
      </c>
      <c r="M20" s="26" t="n">
        <f aca="false">L20+M19</f>
        <v>9.4784</v>
      </c>
      <c r="N20" s="26" t="n">
        <f aca="false">M20+N19</f>
        <v>21.8769</v>
      </c>
      <c r="O20" s="26" t="n">
        <f aca="false">N20+O19</f>
        <v>42.6176</v>
      </c>
      <c r="P20" s="26" t="n">
        <f aca="false">O20+P19</f>
        <v>76.0033</v>
      </c>
      <c r="Q20" s="26" t="n">
        <f aca="false">P20+Q19</f>
        <v>121.9551</v>
      </c>
      <c r="R20" s="26" t="n">
        <f aca="false">Q20+R19</f>
        <v>177.6824</v>
      </c>
      <c r="S20" s="26" t="n">
        <f aca="false">R20</f>
        <v>177.6824</v>
      </c>
    </row>
    <row r="22" customFormat="false" ht="15" hidden="false" customHeight="false" outlineLevel="0" collapsed="false">
      <c r="A22" s="3" t="s">
        <v>219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customFormat="false" ht="15" hidden="false" customHeight="false" outlineLevel="0" collapsed="false">
      <c r="A23" s="22" t="s">
        <v>220</v>
      </c>
      <c r="B23" s="30" t="s">
        <v>221</v>
      </c>
      <c r="C23" s="31" t="n">
        <f aca="false">C7-原始数据!C26</f>
        <v>0</v>
      </c>
      <c r="D23" s="31" t="n">
        <f aca="false">D7-原始数据!D26</f>
        <v>0</v>
      </c>
      <c r="E23" s="31" t="n">
        <f aca="false">E7-原始数据!E26</f>
        <v>0</v>
      </c>
      <c r="F23" s="31" t="n">
        <f aca="false">F7-原始数据!F26</f>
        <v>0</v>
      </c>
      <c r="G23" s="31" t="n">
        <f aca="false">G7-原始数据!G26</f>
        <v>0</v>
      </c>
      <c r="H23" s="31" t="n">
        <f aca="false">H7-原始数据!H26</f>
        <v>0</v>
      </c>
      <c r="I23" s="31" t="n">
        <f aca="false">I7-原始数据!I26</f>
        <v>0</v>
      </c>
      <c r="J23" s="31" t="n">
        <f aca="false">J7-原始数据!J26</f>
        <v>0</v>
      </c>
      <c r="K23" s="31" t="n">
        <f aca="false">K7-原始数据!K26</f>
        <v>0</v>
      </c>
      <c r="L23" s="31" t="n">
        <f aca="false">L7-原始数据!L26</f>
        <v>0</v>
      </c>
      <c r="M23" s="31" t="n">
        <f aca="false">M7-原始数据!M26</f>
        <v>0</v>
      </c>
      <c r="N23" s="31" t="n">
        <f aca="false">N7-原始数据!N26</f>
        <v>0</v>
      </c>
      <c r="O23" s="31" t="n">
        <f aca="false">O7-原始数据!O26</f>
        <v>0</v>
      </c>
      <c r="P23" s="31" t="n">
        <f aca="false">P7-原始数据!P26</f>
        <v>0</v>
      </c>
      <c r="Q23" s="31" t="n">
        <f aca="false">Q7-原始数据!Q26</f>
        <v>0</v>
      </c>
      <c r="R23" s="31" t="n">
        <f aca="false">R7-原始数据!R26</f>
        <v>0</v>
      </c>
    </row>
    <row r="24" customFormat="false" ht="15" hidden="false" customHeight="false" outlineLevel="0" collapsed="false">
      <c r="A24" s="22" t="s">
        <v>222</v>
      </c>
      <c r="B24" s="30" t="s">
        <v>221</v>
      </c>
      <c r="C24" s="31" t="n">
        <f aca="false">C10-原始数据!C31</f>
        <v>0</v>
      </c>
      <c r="D24" s="31" t="n">
        <f aca="false">D10-原始数据!D31</f>
        <v>0</v>
      </c>
      <c r="E24" s="31" t="n">
        <f aca="false">E10-原始数据!E31</f>
        <v>0</v>
      </c>
      <c r="F24" s="31" t="n">
        <f aca="false">F10-原始数据!F31</f>
        <v>0</v>
      </c>
      <c r="G24" s="31" t="n">
        <f aca="false">G10-原始数据!G31</f>
        <v>0</v>
      </c>
      <c r="H24" s="31" t="n">
        <f aca="false">H10-原始数据!H31</f>
        <v>0</v>
      </c>
      <c r="I24" s="31" t="n">
        <f aca="false">I10-原始数据!I31</f>
        <v>0</v>
      </c>
      <c r="J24" s="31" t="n">
        <f aca="false">J10-原始数据!J31</f>
        <v>0</v>
      </c>
      <c r="K24" s="31" t="n">
        <f aca="false">K10-原始数据!K31</f>
        <v>0</v>
      </c>
      <c r="L24" s="31" t="n">
        <f aca="false">L10-原始数据!L31</f>
        <v>0</v>
      </c>
      <c r="M24" s="31" t="n">
        <f aca="false">M10-原始数据!M31</f>
        <v>0</v>
      </c>
      <c r="N24" s="31" t="n">
        <f aca="false">N10-原始数据!N31</f>
        <v>0</v>
      </c>
      <c r="O24" s="31" t="n">
        <f aca="false">O10-原始数据!O31</f>
        <v>0</v>
      </c>
      <c r="P24" s="31" t="n">
        <f aca="false">P10-原始数据!P31</f>
        <v>0.00010000000000332</v>
      </c>
      <c r="Q24" s="31" t="n">
        <f aca="false">Q10-原始数据!Q31</f>
        <v>0</v>
      </c>
      <c r="R24" s="31" t="n">
        <f aca="false">R10-原始数据!R31</f>
        <v>0</v>
      </c>
    </row>
    <row r="25" customFormat="false" ht="15" hidden="false" customHeight="false" outlineLevel="0" collapsed="false">
      <c r="A25" s="22" t="s">
        <v>223</v>
      </c>
      <c r="B25" s="30" t="s">
        <v>221</v>
      </c>
      <c r="C25" s="31" t="n">
        <f aca="false">C15-原始数据!C34</f>
        <v>0</v>
      </c>
      <c r="D25" s="31" t="n">
        <f aca="false">D15-原始数据!D34</f>
        <v>0</v>
      </c>
      <c r="E25" s="31" t="n">
        <f aca="false">E15-原始数据!E34</f>
        <v>0</v>
      </c>
      <c r="F25" s="31" t="n">
        <f aca="false">F15-原始数据!F34</f>
        <v>0</v>
      </c>
      <c r="G25" s="31" t="n">
        <f aca="false">G15-原始数据!G34</f>
        <v>0</v>
      </c>
      <c r="H25" s="31" t="n">
        <f aca="false">H15-原始数据!H34</f>
        <v>0</v>
      </c>
      <c r="I25" s="31" t="n">
        <f aca="false">I15-原始数据!I34</f>
        <v>0</v>
      </c>
      <c r="J25" s="31" t="n">
        <f aca="false">J15-原始数据!J34</f>
        <v>0</v>
      </c>
      <c r="K25" s="31" t="n">
        <f aca="false">K15-原始数据!K34</f>
        <v>0</v>
      </c>
      <c r="L25" s="31" t="n">
        <f aca="false">L15-原始数据!L34</f>
        <v>0</v>
      </c>
      <c r="M25" s="31" t="n">
        <f aca="false">M15-原始数据!M34</f>
        <v>0</v>
      </c>
      <c r="N25" s="31" t="n">
        <f aca="false">N15-原始数据!N34</f>
        <v>0</v>
      </c>
      <c r="O25" s="31" t="n">
        <f aca="false">O15-原始数据!O34</f>
        <v>0</v>
      </c>
      <c r="P25" s="31" t="n">
        <f aca="false">P15-原始数据!P34</f>
        <v>0.00010000000000332</v>
      </c>
      <c r="Q25" s="31" t="n">
        <f aca="false">Q15-原始数据!Q34</f>
        <v>0</v>
      </c>
      <c r="R25" s="31" t="n">
        <f aca="false">R15-原始数据!R34</f>
        <v>0</v>
      </c>
    </row>
    <row r="26" customFormat="false" ht="15" hidden="false" customHeight="false" outlineLevel="0" collapsed="false">
      <c r="A26" s="22" t="s">
        <v>224</v>
      </c>
      <c r="B26" s="30" t="s">
        <v>221</v>
      </c>
      <c r="C26" s="31" t="n">
        <f aca="false">C19-原始数据!C37</f>
        <v>0</v>
      </c>
      <c r="D26" s="31" t="n">
        <f aca="false">D19-原始数据!D37</f>
        <v>0</v>
      </c>
      <c r="E26" s="31" t="n">
        <f aca="false">E19-原始数据!E37</f>
        <v>0</v>
      </c>
      <c r="F26" s="31" t="n">
        <f aca="false">F19-原始数据!F37</f>
        <v>0</v>
      </c>
      <c r="G26" s="31" t="n">
        <f aca="false">G19-原始数据!G37</f>
        <v>0</v>
      </c>
      <c r="H26" s="31" t="n">
        <f aca="false">H19-原始数据!H37</f>
        <v>-0.000100000000000062</v>
      </c>
      <c r="I26" s="31" t="n">
        <f aca="false">I19-原始数据!I37</f>
        <v>0</v>
      </c>
      <c r="J26" s="31" t="n">
        <f aca="false">J19-原始数据!J37</f>
        <v>0</v>
      </c>
      <c r="K26" s="31" t="n">
        <f aca="false">K19-原始数据!K37</f>
        <v>-9.99999999997669E-005</v>
      </c>
      <c r="L26" s="31" t="n">
        <f aca="false">L19-原始数据!L37</f>
        <v>9.99999999997669E-005</v>
      </c>
      <c r="M26" s="31" t="n">
        <f aca="false">M19-原始数据!M37</f>
        <v>-9.99999999988788E-005</v>
      </c>
      <c r="N26" s="31" t="n">
        <f aca="false">N19-原始数据!N37</f>
        <v>0</v>
      </c>
      <c r="O26" s="31" t="n">
        <f aca="false">O19-原始数据!O37</f>
        <v>0.00010000000000332</v>
      </c>
      <c r="P26" s="31" t="n">
        <f aca="false">P19-原始数据!P37</f>
        <v>0.00010000000000332</v>
      </c>
      <c r="Q26" s="31" t="n">
        <f aca="false">Q19-原始数据!Q37</f>
        <v>0.00010000000000332</v>
      </c>
      <c r="R26" s="31" t="n">
        <f aca="false">R19-原始数据!R37</f>
        <v>0</v>
      </c>
    </row>
    <row r="27" customFormat="false" ht="15" hidden="false" customHeight="false" outlineLevel="0" collapsed="false">
      <c r="A27" s="22" t="s">
        <v>225</v>
      </c>
      <c r="B27" s="30" t="s">
        <v>221</v>
      </c>
      <c r="C27" s="31" t="n">
        <f aca="false">C18-TAX_RATE*MAX(0,C17)</f>
        <v>0</v>
      </c>
      <c r="D27" s="31" t="n">
        <f aca="false">D18-TAX_RATE*MAX(0,D17)</f>
        <v>0</v>
      </c>
      <c r="E27" s="31" t="n">
        <f aca="false">E18-TAX_RATE*MAX(0,E17)</f>
        <v>0</v>
      </c>
      <c r="F27" s="31" t="n">
        <f aca="false">F18-TAX_RATE*MAX(0,F17)</f>
        <v>0</v>
      </c>
      <c r="G27" s="31" t="n">
        <f aca="false">G18-TAX_RATE*MAX(0,G17)</f>
        <v>0</v>
      </c>
      <c r="H27" s="31" t="n">
        <f aca="false">H18-TAX_RATE*MAX(0,H17)</f>
        <v>5.00000000000097E-005</v>
      </c>
      <c r="I27" s="31" t="n">
        <f aca="false">I18-TAX_RATE*MAX(0,I17)</f>
        <v>-3.00000000000578E-005</v>
      </c>
      <c r="J27" s="31" t="n">
        <f aca="false">J18-TAX_RATE*MAX(0,J17)</f>
        <v>-2.50000000001638E-005</v>
      </c>
      <c r="K27" s="31" t="n">
        <f aca="false">K18-TAX_RATE*MAX(0,K17)</f>
        <v>2.99999999999745E-005</v>
      </c>
      <c r="L27" s="31" t="n">
        <f aca="false">L18-TAX_RATE*MAX(0,L17)</f>
        <v>-4.99999999999945E-005</v>
      </c>
      <c r="M27" s="31" t="n">
        <f aca="false">M18-TAX_RATE*MAX(0,M17)</f>
        <v>4.99999999996614E-005</v>
      </c>
      <c r="N27" s="31" t="n">
        <f aca="false">N18-TAX_RATE*MAX(0,N17)</f>
        <v>2.50000000008299E-005</v>
      </c>
      <c r="O27" s="31" t="n">
        <f aca="false">O18-TAX_RATE*MAX(0,O17)</f>
        <v>-2.00000000005751E-005</v>
      </c>
      <c r="P27" s="31" t="n">
        <f aca="false">P18-TAX_RATE*MAX(0,P17)</f>
        <v>4.99999999981071E-006</v>
      </c>
      <c r="Q27" s="31" t="n">
        <f aca="false">Q18-TAX_RATE*MAX(0,Q17)</f>
        <v>-3.50000000004513E-005</v>
      </c>
      <c r="R27" s="31" t="n">
        <f aca="false">R18-TAX_RATE*MAX(0,R17)</f>
        <v>-2.49999999990536E-005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3.66"/>
    <col collapsed="false" customWidth="true" hidden="false" outlineLevel="0" max="2" min="2" style="0" width="9.1"/>
    <col collapsed="false" customWidth="true" hidden="false" outlineLevel="0" max="19" min="3" style="0" width="8.65"/>
  </cols>
  <sheetData>
    <row r="1" customFormat="false" ht="17.35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15" hidden="false" customHeight="false" outlineLevel="0" collapsed="false">
      <c r="A4" s="20" t="s">
        <v>100</v>
      </c>
      <c r="B4" s="20" t="s">
        <v>228</v>
      </c>
      <c r="C4" s="21" t="s">
        <v>102</v>
      </c>
      <c r="D4" s="21" t="s">
        <v>103</v>
      </c>
      <c r="E4" s="21" t="s">
        <v>104</v>
      </c>
      <c r="F4" s="21" t="s">
        <v>105</v>
      </c>
      <c r="G4" s="21" t="s">
        <v>106</v>
      </c>
      <c r="H4" s="21" t="s">
        <v>107</v>
      </c>
      <c r="I4" s="21" t="s">
        <v>108</v>
      </c>
      <c r="J4" s="21" t="s">
        <v>109</v>
      </c>
      <c r="K4" s="21" t="s">
        <v>110</v>
      </c>
      <c r="L4" s="21" t="s">
        <v>111</v>
      </c>
      <c r="M4" s="21" t="s">
        <v>112</v>
      </c>
      <c r="N4" s="21" t="s">
        <v>113</v>
      </c>
      <c r="O4" s="21" t="s">
        <v>114</v>
      </c>
      <c r="P4" s="21" t="s">
        <v>115</v>
      </c>
      <c r="Q4" s="21" t="s">
        <v>116</v>
      </c>
      <c r="R4" s="21" t="s">
        <v>117</v>
      </c>
    </row>
    <row r="5" customFormat="false" ht="15" hidden="false" customHeight="false" outlineLevel="0" collapsed="false">
      <c r="A5" s="22" t="s">
        <v>192</v>
      </c>
      <c r="B5" s="15" t="n">
        <v>10</v>
      </c>
      <c r="C5" s="26" t="n">
        <f aca="false">现金流量表!C19</f>
        <v>6.773</v>
      </c>
      <c r="D5" s="26" t="n">
        <f aca="false">现金流量表!D19</f>
        <v>4.5096</v>
      </c>
      <c r="E5" s="26" t="n">
        <f aca="false">现金流量表!E19</f>
        <v>3.8657</v>
      </c>
      <c r="F5" s="26" t="n">
        <f aca="false">现金流量表!F19</f>
        <v>3.7302</v>
      </c>
      <c r="G5" s="26" t="n">
        <f aca="false">现金流量表!G19</f>
        <v>2.9048</v>
      </c>
      <c r="H5" s="26" t="n">
        <f aca="false">现金流量表!H19</f>
        <v>2.0856</v>
      </c>
      <c r="I5" s="26" t="n">
        <f aca="false">现金流量表!I19</f>
        <v>1.9774</v>
      </c>
      <c r="J5" s="26" t="n">
        <f aca="false">现金流量表!J19</f>
        <v>1.7909</v>
      </c>
      <c r="K5" s="26" t="n">
        <f aca="false">现金流量表!K19</f>
        <v>3.824</v>
      </c>
      <c r="L5" s="26" t="n">
        <f aca="false">现金流量表!L19</f>
        <v>5.0623</v>
      </c>
      <c r="M5" s="26" t="n">
        <f aca="false">现金流量表!M19</f>
        <v>5.0148</v>
      </c>
      <c r="N5" s="26" t="n">
        <f aca="false">现金流量表!N19</f>
        <v>15.3467</v>
      </c>
      <c r="O5" s="26" t="n">
        <f aca="false">现金流量表!O19</f>
        <v>39.3005</v>
      </c>
      <c r="P5" s="26" t="n">
        <f aca="false">现金流量表!P19</f>
        <v>75.4383</v>
      </c>
      <c r="Q5" s="26" t="n">
        <f aca="false">现金流量表!Q19</f>
        <v>123.7051</v>
      </c>
      <c r="R5" s="26" t="n">
        <f aca="false">现金流量表!R19</f>
        <v>181.8224</v>
      </c>
    </row>
    <row r="6" customFormat="false" ht="15" hidden="false" customHeight="false" outlineLevel="0" collapsed="false">
      <c r="A6" s="22" t="s">
        <v>194</v>
      </c>
      <c r="B6" s="15" t="n">
        <v>0.96</v>
      </c>
      <c r="C6" s="26" t="n">
        <f aca="false">原始数据!C46</f>
        <v>1.2464</v>
      </c>
      <c r="D6" s="26" t="n">
        <f aca="false">原始数据!D46</f>
        <v>2.1067</v>
      </c>
      <c r="E6" s="26" t="n">
        <f aca="false">原始数据!E46</f>
        <v>2.964</v>
      </c>
      <c r="F6" s="26" t="n">
        <f aca="false">原始数据!F46</f>
        <v>4.024</v>
      </c>
      <c r="G6" s="26" t="n">
        <f aca="false">原始数据!G46</f>
        <v>5.1874</v>
      </c>
      <c r="H6" s="26" t="n">
        <f aca="false">原始数据!H46</f>
        <v>5.7761</v>
      </c>
      <c r="I6" s="26" t="n">
        <f aca="false">原始数据!I46</f>
        <v>5.7292</v>
      </c>
      <c r="J6" s="26" t="n">
        <f aca="false">原始数据!J46</f>
        <v>5.1743</v>
      </c>
      <c r="K6" s="26" t="n">
        <f aca="false">原始数据!K46</f>
        <v>4.4655</v>
      </c>
      <c r="L6" s="26" t="n">
        <f aca="false">原始数据!L46</f>
        <v>3.8053</v>
      </c>
      <c r="M6" s="26" t="n">
        <f aca="false">原始数据!M46</f>
        <v>2.8036</v>
      </c>
      <c r="N6" s="26" t="n">
        <f aca="false">原始数据!N46</f>
        <v>1.7402</v>
      </c>
      <c r="O6" s="26" t="n">
        <f aca="false">原始数据!O46</f>
        <v>0.5121</v>
      </c>
      <c r="P6" s="26" t="n">
        <f aca="false">原始数据!P46</f>
        <v>0</v>
      </c>
      <c r="Q6" s="26" t="n">
        <f aca="false">原始数据!Q46</f>
        <v>0</v>
      </c>
      <c r="R6" s="26" t="n">
        <f aca="false">原始数据!R46</f>
        <v>0</v>
      </c>
    </row>
    <row r="7" customFormat="false" ht="15" hidden="false" customHeight="false" outlineLevel="0" collapsed="false">
      <c r="A7" s="22" t="s">
        <v>196</v>
      </c>
      <c r="B7" s="15" t="n">
        <v>30</v>
      </c>
      <c r="C7" s="26" t="n">
        <f aca="false">B7+原始数据!C8-原始数据!C42</f>
        <v>29.5</v>
      </c>
      <c r="D7" s="26" t="n">
        <f aca="false">C7+原始数据!D8-原始数据!D42</f>
        <v>29</v>
      </c>
      <c r="E7" s="26" t="n">
        <f aca="false">D7+原始数据!E8-原始数据!E42</f>
        <v>28.5</v>
      </c>
      <c r="F7" s="26" t="n">
        <f aca="false">E7+原始数据!F8-原始数据!F42</f>
        <v>28</v>
      </c>
      <c r="G7" s="26" t="n">
        <f aca="false">F7+原始数据!G8-原始数据!G42</f>
        <v>30.425</v>
      </c>
      <c r="H7" s="26" t="n">
        <f aca="false">G7+原始数据!H8-原始数据!H42</f>
        <v>32.175</v>
      </c>
      <c r="I7" s="26" t="n">
        <f aca="false">H7+原始数据!I8-原始数据!I42</f>
        <v>33.25</v>
      </c>
      <c r="J7" s="26" t="n">
        <f aca="false">I7+原始数据!J8-原始数据!J42</f>
        <v>36.65</v>
      </c>
      <c r="K7" s="26" t="n">
        <f aca="false">J7+原始数据!K8-原始数据!K42</f>
        <v>40.425</v>
      </c>
      <c r="L7" s="26" t="n">
        <f aca="false">K7+原始数据!L8-原始数据!L42</f>
        <v>42.805</v>
      </c>
      <c r="M7" s="26" t="n">
        <f aca="false">L7+原始数据!M8-原始数据!M42</f>
        <v>41.42</v>
      </c>
      <c r="N7" s="26" t="n">
        <f aca="false">M7+原始数据!N8-原始数据!N42</f>
        <v>39.75</v>
      </c>
      <c r="O7" s="26" t="n">
        <f aca="false">N7+原始数据!O8-原始数据!O42</f>
        <v>37.765</v>
      </c>
      <c r="P7" s="26" t="n">
        <f aca="false">O7+原始数据!P8-原始数据!P42</f>
        <v>35.525</v>
      </c>
      <c r="Q7" s="26" t="n">
        <f aca="false">P7+原始数据!Q8-原始数据!Q42</f>
        <v>33.21</v>
      </c>
      <c r="R7" s="26" t="n">
        <f aca="false">Q7+原始数据!R8-原始数据!R42</f>
        <v>30.82</v>
      </c>
    </row>
    <row r="8" customFormat="false" ht="15" hidden="false" customHeight="false" outlineLevel="0" collapsed="false">
      <c r="A8" s="27" t="s">
        <v>198</v>
      </c>
      <c r="B8" s="32" t="n">
        <f aca="false">B5+B6+B7</f>
        <v>40.96</v>
      </c>
      <c r="C8" s="26" t="n">
        <f aca="false">C5+C6+C7</f>
        <v>37.5194</v>
      </c>
      <c r="D8" s="26" t="n">
        <f aca="false">D5+D6+D7</f>
        <v>35.6163</v>
      </c>
      <c r="E8" s="26" t="n">
        <f aca="false">E5+E6+E7</f>
        <v>35.3297</v>
      </c>
      <c r="F8" s="26" t="n">
        <f aca="false">F5+F6+F7</f>
        <v>35.7542</v>
      </c>
      <c r="G8" s="26" t="n">
        <f aca="false">G5+G6+G7</f>
        <v>38.5172</v>
      </c>
      <c r="H8" s="26" t="n">
        <f aca="false">H5+H6+H7</f>
        <v>40.0367</v>
      </c>
      <c r="I8" s="26" t="n">
        <f aca="false">I5+I6+I7</f>
        <v>40.9566</v>
      </c>
      <c r="J8" s="26" t="n">
        <f aca="false">J5+J6+J7</f>
        <v>43.6152</v>
      </c>
      <c r="K8" s="26" t="n">
        <f aca="false">K5+K6+K7</f>
        <v>48.7145</v>
      </c>
      <c r="L8" s="26" t="n">
        <f aca="false">L5+L6+L7</f>
        <v>51.6726</v>
      </c>
      <c r="M8" s="26" t="n">
        <f aca="false">M5+M6+M7</f>
        <v>49.2384</v>
      </c>
      <c r="N8" s="26" t="n">
        <f aca="false">N5+N6+N7</f>
        <v>56.8369</v>
      </c>
      <c r="O8" s="26" t="n">
        <f aca="false">O5+O6+O7</f>
        <v>77.5776</v>
      </c>
      <c r="P8" s="26" t="n">
        <f aca="false">P5+P6+P7</f>
        <v>110.9633</v>
      </c>
      <c r="Q8" s="26" t="n">
        <f aca="false">Q5+Q6+Q7</f>
        <v>156.9151</v>
      </c>
      <c r="R8" s="26" t="n">
        <f aca="false">R5+R6+R7</f>
        <v>212.6424</v>
      </c>
    </row>
    <row r="10" customFormat="false" ht="15" hidden="false" customHeight="false" outlineLevel="0" collapsed="false">
      <c r="A10" s="22" t="s">
        <v>200</v>
      </c>
      <c r="B10" s="15" t="n">
        <v>6</v>
      </c>
      <c r="C10" s="26" t="n">
        <f aca="false">B10+原始数据!C11</f>
        <v>6</v>
      </c>
      <c r="D10" s="26" t="n">
        <f aca="false">C10+原始数据!D11</f>
        <v>6</v>
      </c>
      <c r="E10" s="26" t="n">
        <f aca="false">D10+原始数据!E11</f>
        <v>8</v>
      </c>
      <c r="F10" s="26" t="n">
        <f aca="false">E10+原始数据!F11</f>
        <v>10</v>
      </c>
      <c r="G10" s="26" t="n">
        <f aca="false">F10+原始数据!G11</f>
        <v>13.5</v>
      </c>
      <c r="H10" s="26" t="n">
        <f aca="false">G10+原始数据!H11</f>
        <v>15</v>
      </c>
      <c r="I10" s="26" t="n">
        <f aca="false">H10+原始数据!I11</f>
        <v>15</v>
      </c>
      <c r="J10" s="26" t="n">
        <f aca="false">I10+原始数据!J11</f>
        <v>15.5</v>
      </c>
      <c r="K10" s="26" t="n">
        <f aca="false">J10+原始数据!K11</f>
        <v>16.8</v>
      </c>
      <c r="L10" s="26" t="n">
        <f aca="false">K10+原始数据!L11</f>
        <v>14.8</v>
      </c>
      <c r="M10" s="26" t="n">
        <f aca="false">L10+原始数据!M11</f>
        <v>4.8</v>
      </c>
      <c r="N10" s="26" t="n">
        <f aca="false">M10+原始数据!N11</f>
        <v>0</v>
      </c>
      <c r="O10" s="26" t="n">
        <f aca="false">N10+原始数据!O11</f>
        <v>0</v>
      </c>
      <c r="P10" s="26" t="n">
        <f aca="false">O10+原始数据!P11</f>
        <v>0</v>
      </c>
      <c r="Q10" s="26" t="n">
        <f aca="false">P10+原始数据!Q11</f>
        <v>0</v>
      </c>
      <c r="R10" s="26" t="n">
        <f aca="false">Q10+原始数据!R11</f>
        <v>0</v>
      </c>
    </row>
    <row r="11" customFormat="false" ht="15" hidden="false" customHeight="false" outlineLevel="0" collapsed="false">
      <c r="A11" s="22" t="s">
        <v>229</v>
      </c>
      <c r="B11" s="15" t="n">
        <v>0</v>
      </c>
      <c r="C11" s="26" t="n">
        <f aca="false">B11+原始数据!C43</f>
        <v>0</v>
      </c>
      <c r="D11" s="26" t="n">
        <f aca="false">C11+原始数据!D43</f>
        <v>0</v>
      </c>
      <c r="E11" s="26" t="n">
        <f aca="false">D11+原始数据!E43</f>
        <v>0</v>
      </c>
      <c r="F11" s="26" t="n">
        <f aca="false">E11+原始数据!F43</f>
        <v>0</v>
      </c>
      <c r="G11" s="26" t="n">
        <f aca="false">F11+原始数据!G43</f>
        <v>0</v>
      </c>
      <c r="H11" s="26" t="n">
        <f aca="false">G11+原始数据!H43</f>
        <v>0</v>
      </c>
      <c r="I11" s="26" t="n">
        <f aca="false">H11+原始数据!I43</f>
        <v>0</v>
      </c>
      <c r="J11" s="26" t="n">
        <f aca="false">I11+原始数据!J43</f>
        <v>0</v>
      </c>
      <c r="K11" s="26" t="n">
        <f aca="false">J11+原始数据!K43</f>
        <v>0</v>
      </c>
      <c r="L11" s="26" t="n">
        <f aca="false">K11+原始数据!L43</f>
        <v>0</v>
      </c>
      <c r="M11" s="26" t="n">
        <f aca="false">L11+原始数据!M43</f>
        <v>0</v>
      </c>
      <c r="N11" s="26" t="n">
        <f aca="false">M11+原始数据!N43</f>
        <v>0</v>
      </c>
      <c r="O11" s="26" t="n">
        <f aca="false">N11+原始数据!O43</f>
        <v>0</v>
      </c>
      <c r="P11" s="26" t="n">
        <f aca="false">O11+原始数据!P43</f>
        <v>0</v>
      </c>
      <c r="Q11" s="26" t="n">
        <f aca="false">P11+原始数据!Q43</f>
        <v>0</v>
      </c>
      <c r="R11" s="26" t="n">
        <f aca="false">Q11+原始数据!R43</f>
        <v>0</v>
      </c>
    </row>
    <row r="12" customFormat="false" ht="15" hidden="false" customHeight="false" outlineLevel="0" collapsed="false">
      <c r="A12" s="27" t="s">
        <v>230</v>
      </c>
      <c r="B12" s="32" t="n">
        <f aca="false">B10+B11</f>
        <v>6</v>
      </c>
      <c r="C12" s="26" t="n">
        <f aca="false">C10+C11</f>
        <v>6</v>
      </c>
      <c r="D12" s="26" t="n">
        <f aca="false">D10+D11</f>
        <v>6</v>
      </c>
      <c r="E12" s="26" t="n">
        <f aca="false">E10+E11</f>
        <v>8</v>
      </c>
      <c r="F12" s="26" t="n">
        <f aca="false">F10+F11</f>
        <v>10</v>
      </c>
      <c r="G12" s="26" t="n">
        <f aca="false">G10+G11</f>
        <v>13.5</v>
      </c>
      <c r="H12" s="26" t="n">
        <f aca="false">H10+H11</f>
        <v>15</v>
      </c>
      <c r="I12" s="26" t="n">
        <f aca="false">I10+I11</f>
        <v>15</v>
      </c>
      <c r="J12" s="26" t="n">
        <f aca="false">J10+J11</f>
        <v>15.5</v>
      </c>
      <c r="K12" s="26" t="n">
        <f aca="false">K10+K11</f>
        <v>16.8</v>
      </c>
      <c r="L12" s="26" t="n">
        <f aca="false">L10+L11</f>
        <v>14.8</v>
      </c>
      <c r="M12" s="26" t="n">
        <f aca="false">M10+M11</f>
        <v>4.8</v>
      </c>
      <c r="N12" s="26" t="n">
        <f aca="false">N10+N11</f>
        <v>0</v>
      </c>
      <c r="O12" s="26" t="n">
        <f aca="false">O10+O11</f>
        <v>0</v>
      </c>
      <c r="P12" s="26" t="n">
        <f aca="false">P10+P11</f>
        <v>0</v>
      </c>
      <c r="Q12" s="26" t="n">
        <f aca="false">Q10+Q11</f>
        <v>0</v>
      </c>
      <c r="R12" s="26" t="n">
        <f aca="false">R10+R11</f>
        <v>0</v>
      </c>
    </row>
    <row r="13" customFormat="false" ht="15" hidden="false" customHeight="false" outlineLevel="0" collapsed="false">
      <c r="A13" s="27" t="s">
        <v>204</v>
      </c>
      <c r="B13" s="15" t="n">
        <v>34.96</v>
      </c>
      <c r="C13" s="29" t="n">
        <f aca="false">B13+利润表!C19</f>
        <v>31.5194</v>
      </c>
      <c r="D13" s="29" t="n">
        <f aca="false">C13+利润表!D19</f>
        <v>29.6163</v>
      </c>
      <c r="E13" s="29" t="n">
        <f aca="false">D13+利润表!E19</f>
        <v>27.3297</v>
      </c>
      <c r="F13" s="29" t="n">
        <f aca="false">E13+利润表!F19</f>
        <v>25.7542</v>
      </c>
      <c r="G13" s="29" t="n">
        <f aca="false">F13+利润表!G19</f>
        <v>25.0172</v>
      </c>
      <c r="H13" s="29" t="n">
        <f aca="false">G13+利润表!H19</f>
        <v>25.0367</v>
      </c>
      <c r="I13" s="29" t="n">
        <f aca="false">H13+利润表!I19</f>
        <v>25.9566</v>
      </c>
      <c r="J13" s="29" t="n">
        <f aca="false">I13+利润表!J19</f>
        <v>28.1152</v>
      </c>
      <c r="K13" s="29" t="n">
        <f aca="false">J13+利润表!K19</f>
        <v>31.9145</v>
      </c>
      <c r="L13" s="29" t="n">
        <f aca="false">K13+利润表!L19</f>
        <v>36.8726</v>
      </c>
      <c r="M13" s="29" t="n">
        <f aca="false">L13+利润表!M19</f>
        <v>44.4384</v>
      </c>
      <c r="N13" s="29" t="n">
        <f aca="false">M13+利润表!N19</f>
        <v>56.8369</v>
      </c>
      <c r="O13" s="29" t="n">
        <f aca="false">N13+利润表!O19</f>
        <v>77.5776</v>
      </c>
      <c r="P13" s="29" t="n">
        <f aca="false">O13+利润表!P19</f>
        <v>110.9633</v>
      </c>
      <c r="Q13" s="29" t="n">
        <f aca="false">P13+利润表!Q19</f>
        <v>156.9151</v>
      </c>
      <c r="R13" s="29" t="n">
        <f aca="false">Q13+利润表!R19</f>
        <v>212.6424</v>
      </c>
    </row>
    <row r="14" customFormat="false" ht="15" hidden="false" customHeight="false" outlineLevel="0" collapsed="false">
      <c r="A14" s="27" t="s">
        <v>231</v>
      </c>
      <c r="B14" s="32" t="n">
        <f aca="false">B12+B13</f>
        <v>40.96</v>
      </c>
      <c r="C14" s="26" t="n">
        <f aca="false">C12+C13</f>
        <v>37.5194</v>
      </c>
      <c r="D14" s="26" t="n">
        <f aca="false">D12+D13</f>
        <v>35.6163</v>
      </c>
      <c r="E14" s="26" t="n">
        <f aca="false">E12+E13</f>
        <v>35.3297</v>
      </c>
      <c r="F14" s="26" t="n">
        <f aca="false">F12+F13</f>
        <v>35.7542</v>
      </c>
      <c r="G14" s="26" t="n">
        <f aca="false">G12+G13</f>
        <v>38.5172</v>
      </c>
      <c r="H14" s="26" t="n">
        <f aca="false">H12+H13</f>
        <v>40.0367</v>
      </c>
      <c r="I14" s="26" t="n">
        <f aca="false">I12+I13</f>
        <v>40.9566</v>
      </c>
      <c r="J14" s="26" t="n">
        <f aca="false">J12+J13</f>
        <v>43.6152</v>
      </c>
      <c r="K14" s="26" t="n">
        <f aca="false">K12+K13</f>
        <v>48.7145</v>
      </c>
      <c r="L14" s="26" t="n">
        <f aca="false">L12+L13</f>
        <v>51.6726</v>
      </c>
      <c r="M14" s="26" t="n">
        <f aca="false">M12+M13</f>
        <v>49.2384</v>
      </c>
      <c r="N14" s="26" t="n">
        <f aca="false">N12+N13</f>
        <v>56.8369</v>
      </c>
      <c r="O14" s="26" t="n">
        <f aca="false">O12+O13</f>
        <v>77.5776</v>
      </c>
      <c r="P14" s="26" t="n">
        <f aca="false">P12+P13</f>
        <v>110.9633</v>
      </c>
      <c r="Q14" s="26" t="n">
        <f aca="false">Q12+Q13</f>
        <v>156.9151</v>
      </c>
      <c r="R14" s="26" t="n">
        <f aca="false">R12+R13</f>
        <v>212.6424</v>
      </c>
    </row>
    <row r="16" customFormat="false" ht="15" hidden="false" customHeight="false" outlineLevel="0" collapsed="false">
      <c r="A16" s="3" t="s">
        <v>232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customFormat="false" ht="15" hidden="false" customHeight="false" outlineLevel="0" collapsed="false">
      <c r="A17" s="22" t="s">
        <v>206</v>
      </c>
      <c r="B17" s="25" t="n">
        <v>60</v>
      </c>
      <c r="C17" s="33" t="n">
        <f aca="false">原始数据!C52</f>
        <v>75</v>
      </c>
      <c r="D17" s="33" t="n">
        <f aca="false">原始数据!D52</f>
        <v>165</v>
      </c>
      <c r="E17" s="33" t="n">
        <f aca="false">原始数据!E52</f>
        <v>260</v>
      </c>
      <c r="F17" s="33" t="n">
        <f aca="false">原始数据!F52</f>
        <v>333</v>
      </c>
      <c r="G17" s="33" t="n">
        <f aca="false">原始数据!G52</f>
        <v>383</v>
      </c>
      <c r="H17" s="33" t="n">
        <f aca="false">原始数据!H52</f>
        <v>402</v>
      </c>
      <c r="I17" s="33" t="n">
        <f aca="false">原始数据!I52</f>
        <v>384</v>
      </c>
      <c r="J17" s="33" t="n">
        <f aca="false">原始数据!J52</f>
        <v>337</v>
      </c>
      <c r="K17" s="33" t="n">
        <f aca="false">原始数据!K52</f>
        <v>286.75</v>
      </c>
      <c r="L17" s="33" t="n">
        <f aca="false">原始数据!L52</f>
        <v>242.75</v>
      </c>
      <c r="M17" s="33" t="n">
        <f aca="false">原始数据!M52</f>
        <v>178.15</v>
      </c>
      <c r="N17" s="33" t="n">
        <f aca="false">原始数据!N52</f>
        <v>111.38</v>
      </c>
      <c r="O17" s="33" t="n">
        <f aca="false">原始数据!O52</f>
        <v>33.27</v>
      </c>
      <c r="P17" s="33" t="n">
        <f aca="false">原始数据!P52</f>
        <v>0</v>
      </c>
      <c r="Q17" s="33" t="n">
        <f aca="false">原始数据!Q52</f>
        <v>0</v>
      </c>
      <c r="R17" s="33" t="n">
        <f aca="false">原始数据!R52</f>
        <v>0</v>
      </c>
    </row>
    <row r="18" customFormat="false" ht="15" hidden="false" customHeight="false" outlineLevel="0" collapsed="false">
      <c r="A18" s="22" t="s">
        <v>233</v>
      </c>
      <c r="B18" s="33" t="n">
        <f aca="false">IF(B17&gt;0,B6/B17*1000,0)</f>
        <v>16</v>
      </c>
      <c r="C18" s="33" t="n">
        <f aca="false">IF(C17&gt;0,C6/C17*1000,0)</f>
        <v>16.6186666666667</v>
      </c>
      <c r="D18" s="33" t="n">
        <f aca="false">IF(D17&gt;0,D6/D17*1000,0)</f>
        <v>12.7678787878788</v>
      </c>
      <c r="E18" s="33" t="n">
        <f aca="false">IF(E17&gt;0,E6/E17*1000,0)</f>
        <v>11.4</v>
      </c>
      <c r="F18" s="33" t="n">
        <f aca="false">IF(F17&gt;0,F6/F17*1000,0)</f>
        <v>12.0840840840841</v>
      </c>
      <c r="G18" s="33" t="n">
        <f aca="false">IF(G17&gt;0,G6/G17*1000,0)</f>
        <v>13.5441253263708</v>
      </c>
      <c r="H18" s="33" t="n">
        <f aca="false">IF(H17&gt;0,H6/H17*1000,0)</f>
        <v>14.368407960199</v>
      </c>
      <c r="I18" s="33" t="n">
        <f aca="false">IF(I17&gt;0,I6/I17*1000,0)</f>
        <v>14.9197916666667</v>
      </c>
      <c r="J18" s="33" t="n">
        <f aca="false">IF(J17&gt;0,J6/J17*1000,0)</f>
        <v>15.3540059347181</v>
      </c>
      <c r="K18" s="33" t="n">
        <f aca="false">IF(K17&gt;0,K6/K17*1000,0)</f>
        <v>15.5727986050567</v>
      </c>
      <c r="L18" s="33" t="n">
        <f aca="false">IF(L17&gt;0,L6/L17*1000,0)</f>
        <v>15.675798146241</v>
      </c>
      <c r="M18" s="33" t="n">
        <f aca="false">IF(M17&gt;0,M6/M17*1000,0)</f>
        <v>15.7373000280662</v>
      </c>
      <c r="N18" s="33" t="n">
        <f aca="false">IF(N17&gt;0,N6/N17*1000,0)</f>
        <v>15.6239899443347</v>
      </c>
      <c r="O18" s="33" t="n">
        <f aca="false">IF(O17&gt;0,O6/O17*1000,0)</f>
        <v>15.3922452660054</v>
      </c>
      <c r="P18" s="33" t="n">
        <f aca="false">IF(P17&gt;0,P6/P17*1000,0)</f>
        <v>0</v>
      </c>
      <c r="Q18" s="33" t="n">
        <f aca="false">IF(Q17&gt;0,Q6/Q17*1000,0)</f>
        <v>0</v>
      </c>
      <c r="R18" s="33" t="n">
        <f aca="false">IF(R17&gt;0,R6/R17*1000,0)</f>
        <v>0</v>
      </c>
    </row>
    <row r="19" customFormat="false" ht="15" hidden="false" customHeight="false" outlineLevel="0" collapsed="false">
      <c r="A19" s="22" t="s">
        <v>141</v>
      </c>
      <c r="B19" s="25" t="n">
        <v>300</v>
      </c>
      <c r="C19" s="33" t="n">
        <f aca="false">原始数据!C18</f>
        <v>300</v>
      </c>
      <c r="D19" s="33" t="n">
        <f aca="false">原始数据!D18</f>
        <v>300</v>
      </c>
      <c r="E19" s="33" t="n">
        <f aca="false">原始数据!E18</f>
        <v>300</v>
      </c>
      <c r="F19" s="33" t="n">
        <f aca="false">原始数据!F18</f>
        <v>300</v>
      </c>
      <c r="G19" s="33" t="n">
        <f aca="false">原始数据!G18</f>
        <v>300</v>
      </c>
      <c r="H19" s="33" t="n">
        <f aca="false">原始数据!H18</f>
        <v>300</v>
      </c>
      <c r="I19" s="33" t="n">
        <f aca="false">原始数据!I18</f>
        <v>300</v>
      </c>
      <c r="J19" s="33" t="n">
        <f aca="false">原始数据!J18</f>
        <v>300</v>
      </c>
      <c r="K19" s="33" t="n">
        <f aca="false">原始数据!K18</f>
        <v>325</v>
      </c>
      <c r="L19" s="33" t="n">
        <f aca="false">原始数据!L18</f>
        <v>345</v>
      </c>
      <c r="M19" s="33" t="n">
        <f aca="false">原始数据!M18</f>
        <v>360</v>
      </c>
      <c r="N19" s="33" t="n">
        <f aca="false">原始数据!N18</f>
        <v>395</v>
      </c>
      <c r="O19" s="33" t="n">
        <f aca="false">原始数据!O18</f>
        <v>435</v>
      </c>
      <c r="P19" s="33" t="n">
        <f aca="false">原始数据!P18</f>
        <v>465</v>
      </c>
      <c r="Q19" s="33" t="n">
        <f aca="false">原始数据!Q18</f>
        <v>465</v>
      </c>
      <c r="R19" s="33" t="n">
        <f aca="false">原始数据!R18</f>
        <v>465</v>
      </c>
    </row>
    <row r="21" customFormat="false" ht="15" hidden="false" customHeight="false" outlineLevel="0" collapsed="false">
      <c r="A21" s="3" t="s">
        <v>234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customFormat="false" ht="15" hidden="false" customHeight="false" outlineLevel="0" collapsed="false">
      <c r="A22" s="22" t="s">
        <v>235</v>
      </c>
      <c r="B22" s="30" t="s">
        <v>221</v>
      </c>
      <c r="C22" s="31" t="n">
        <f aca="false">C8-C14</f>
        <v>0</v>
      </c>
      <c r="D22" s="31" t="n">
        <f aca="false">D8-D14</f>
        <v>0</v>
      </c>
      <c r="E22" s="31" t="n">
        <f aca="false">E8-E14</f>
        <v>0</v>
      </c>
      <c r="F22" s="31" t="n">
        <f aca="false">F8-F14</f>
        <v>0</v>
      </c>
      <c r="G22" s="31" t="n">
        <f aca="false">G8-G14</f>
        <v>0</v>
      </c>
      <c r="H22" s="31" t="n">
        <f aca="false">H8-H14</f>
        <v>0</v>
      </c>
      <c r="I22" s="31" t="n">
        <f aca="false">I8-I14</f>
        <v>0</v>
      </c>
      <c r="J22" s="31" t="n">
        <f aca="false">J8-J14</f>
        <v>0</v>
      </c>
      <c r="K22" s="31" t="n">
        <f aca="false">K8-K14</f>
        <v>0</v>
      </c>
      <c r="L22" s="31" t="n">
        <f aca="false">L8-L14</f>
        <v>0</v>
      </c>
      <c r="M22" s="31" t="n">
        <f aca="false">M8-M14</f>
        <v>0</v>
      </c>
      <c r="N22" s="31" t="n">
        <f aca="false">N8-N14</f>
        <v>0</v>
      </c>
      <c r="O22" s="31" t="n">
        <f aca="false">O8-O14</f>
        <v>0</v>
      </c>
      <c r="P22" s="31" t="n">
        <f aca="false">P8-P14</f>
        <v>0</v>
      </c>
      <c r="Q22" s="31" t="n">
        <f aca="false">Q8-Q14</f>
        <v>0</v>
      </c>
      <c r="R22" s="31" t="n">
        <f aca="false">R8-R14</f>
        <v>0</v>
      </c>
    </row>
    <row r="23" customFormat="false" ht="15" hidden="false" customHeight="false" outlineLevel="0" collapsed="false">
      <c r="A23" s="22" t="s">
        <v>236</v>
      </c>
      <c r="B23" s="30" t="s">
        <v>221</v>
      </c>
      <c r="C23" s="31" t="n">
        <f aca="false">C5-原始数据!C45</f>
        <v>0</v>
      </c>
      <c r="D23" s="31" t="n">
        <f aca="false">D5-原始数据!D45</f>
        <v>0</v>
      </c>
      <c r="E23" s="31" t="n">
        <f aca="false">E5-原始数据!E45</f>
        <v>0</v>
      </c>
      <c r="F23" s="31" t="n">
        <f aca="false">F5-原始数据!F45</f>
        <v>0</v>
      </c>
      <c r="G23" s="31" t="n">
        <f aca="false">G5-原始数据!G45</f>
        <v>0</v>
      </c>
      <c r="H23" s="31" t="n">
        <f aca="false">H5-原始数据!H45</f>
        <v>-0.000100000000000211</v>
      </c>
      <c r="I23" s="31" t="n">
        <f aca="false">I5-原始数据!I45</f>
        <v>-9.99999999993229E-005</v>
      </c>
      <c r="J23" s="31" t="n">
        <f aca="false">J5-原始数据!J45</f>
        <v>-9.99999999988788E-005</v>
      </c>
      <c r="K23" s="31" t="n">
        <f aca="false">K5-原始数据!K45</f>
        <v>-9.99999999988788E-005</v>
      </c>
      <c r="L23" s="31" t="n">
        <f aca="false">L5-原始数据!L45</f>
        <v>-9.99999999979906E-005</v>
      </c>
      <c r="M23" s="31" t="n">
        <f aca="false">M5-原始数据!M45</f>
        <v>-9.99999999971024E-005</v>
      </c>
      <c r="N23" s="31" t="n">
        <f aca="false">N5-原始数据!N45</f>
        <v>-9.99999999997669E-005</v>
      </c>
      <c r="O23" s="31" t="n">
        <f aca="false">O5-原始数据!O45</f>
        <v>0</v>
      </c>
      <c r="P23" s="31" t="n">
        <f aca="false">P5-原始数据!P45</f>
        <v>0</v>
      </c>
      <c r="Q23" s="31" t="n">
        <f aca="false">Q5-原始数据!Q45</f>
        <v>0.00010000000000332</v>
      </c>
      <c r="R23" s="31" t="n">
        <f aca="false">R5-原始数据!R45</f>
        <v>0.00010000000000332</v>
      </c>
    </row>
    <row r="24" customFormat="false" ht="15" hidden="false" customHeight="false" outlineLevel="0" collapsed="false">
      <c r="A24" s="22" t="s">
        <v>237</v>
      </c>
      <c r="B24" s="30" t="s">
        <v>221</v>
      </c>
      <c r="C24" s="31" t="n">
        <f aca="false">C7-原始数据!C47</f>
        <v>0</v>
      </c>
      <c r="D24" s="31" t="n">
        <f aca="false">D7-原始数据!D47</f>
        <v>0</v>
      </c>
      <c r="E24" s="31" t="n">
        <f aca="false">E7-原始数据!E47</f>
        <v>0</v>
      </c>
      <c r="F24" s="31" t="n">
        <f aca="false">F7-原始数据!F47</f>
        <v>0</v>
      </c>
      <c r="G24" s="31" t="n">
        <f aca="false">G7-原始数据!G47</f>
        <v>0</v>
      </c>
      <c r="H24" s="31" t="n">
        <f aca="false">H7-原始数据!H47</f>
        <v>0</v>
      </c>
      <c r="I24" s="31" t="n">
        <f aca="false">I7-原始数据!I47</f>
        <v>0</v>
      </c>
      <c r="J24" s="31" t="n">
        <f aca="false">J7-原始数据!J47</f>
        <v>0</v>
      </c>
      <c r="K24" s="31" t="n">
        <f aca="false">K7-原始数据!K47</f>
        <v>0</v>
      </c>
      <c r="L24" s="31" t="n">
        <f aca="false">L7-原始数据!L47</f>
        <v>0</v>
      </c>
      <c r="M24" s="31" t="n">
        <f aca="false">M7-原始数据!M47</f>
        <v>0</v>
      </c>
      <c r="N24" s="31" t="n">
        <f aca="false">N7-原始数据!N47</f>
        <v>0</v>
      </c>
      <c r="O24" s="31" t="n">
        <f aca="false">O7-原始数据!O47</f>
        <v>0</v>
      </c>
      <c r="P24" s="31" t="n">
        <f aca="false">P7-原始数据!P47</f>
        <v>0</v>
      </c>
      <c r="Q24" s="31" t="n">
        <f aca="false">Q7-原始数据!Q47</f>
        <v>0</v>
      </c>
      <c r="R24" s="31" t="n">
        <f aca="false">R7-原始数据!R47</f>
        <v>0</v>
      </c>
    </row>
    <row r="25" customFormat="false" ht="15" hidden="false" customHeight="false" outlineLevel="0" collapsed="false">
      <c r="A25" s="22" t="s">
        <v>238</v>
      </c>
      <c r="B25" s="30" t="s">
        <v>221</v>
      </c>
      <c r="C25" s="31" t="n">
        <f aca="false">C8-原始数据!C48</f>
        <v>0</v>
      </c>
      <c r="D25" s="31" t="n">
        <f aca="false">D8-原始数据!D48</f>
        <v>0</v>
      </c>
      <c r="E25" s="31" t="n">
        <f aca="false">E8-原始数据!E48</f>
        <v>0</v>
      </c>
      <c r="F25" s="31" t="n">
        <f aca="false">F8-原始数据!F48</f>
        <v>0</v>
      </c>
      <c r="G25" s="31" t="n">
        <f aca="false">G8-原始数据!G48</f>
        <v>0</v>
      </c>
      <c r="H25" s="31" t="n">
        <f aca="false">H8-原始数据!H48</f>
        <v>-9.99999999962142E-005</v>
      </c>
      <c r="I25" s="31" t="n">
        <f aca="false">I8-原始数据!I48</f>
        <v>-9.99999999962142E-005</v>
      </c>
      <c r="J25" s="31" t="n">
        <f aca="false">J8-原始数据!J48</f>
        <v>0</v>
      </c>
      <c r="K25" s="31" t="n">
        <f aca="false">K8-原始数据!K48</f>
        <v>-9.99999999962142E-005</v>
      </c>
      <c r="L25" s="31" t="n">
        <f aca="false">L8-原始数据!L48</f>
        <v>0</v>
      </c>
      <c r="M25" s="31" t="n">
        <f aca="false">M8-原始数据!M48</f>
        <v>-9.99999999891088E-005</v>
      </c>
      <c r="N25" s="31" t="n">
        <f aca="false">N8-原始数据!N48</f>
        <v>-9.99999999962142E-005</v>
      </c>
      <c r="O25" s="31" t="n">
        <f aca="false">O8-原始数据!O48</f>
        <v>0</v>
      </c>
      <c r="P25" s="31" t="n">
        <f aca="false">P8-原始数据!P48</f>
        <v>0</v>
      </c>
      <c r="Q25" s="31" t="n">
        <f aca="false">Q8-原始数据!Q48</f>
        <v>0.00010000000000332</v>
      </c>
      <c r="R25" s="31" t="n">
        <f aca="false">R8-原始数据!R48</f>
        <v>0.00010000000000332</v>
      </c>
    </row>
    <row r="26" customFormat="false" ht="15" hidden="false" customHeight="false" outlineLevel="0" collapsed="false">
      <c r="A26" s="22" t="s">
        <v>239</v>
      </c>
      <c r="B26" s="30" t="s">
        <v>221</v>
      </c>
      <c r="C26" s="31" t="n">
        <f aca="false">C10-原始数据!C49</f>
        <v>0</v>
      </c>
      <c r="D26" s="31" t="n">
        <f aca="false">D10-原始数据!D49</f>
        <v>0</v>
      </c>
      <c r="E26" s="31" t="n">
        <f aca="false">E10-原始数据!E49</f>
        <v>0</v>
      </c>
      <c r="F26" s="31" t="n">
        <f aca="false">F10-原始数据!F49</f>
        <v>0</v>
      </c>
      <c r="G26" s="31" t="n">
        <f aca="false">G10-原始数据!G49</f>
        <v>0</v>
      </c>
      <c r="H26" s="31" t="n">
        <f aca="false">H10-原始数据!H49</f>
        <v>0</v>
      </c>
      <c r="I26" s="31" t="n">
        <f aca="false">I10-原始数据!I49</f>
        <v>0</v>
      </c>
      <c r="J26" s="31" t="n">
        <f aca="false">J10-原始数据!J49</f>
        <v>0</v>
      </c>
      <c r="K26" s="31" t="n">
        <f aca="false">K10-原始数据!K49</f>
        <v>0</v>
      </c>
      <c r="L26" s="31" t="n">
        <f aca="false">L10-原始数据!L49</f>
        <v>0</v>
      </c>
      <c r="M26" s="31" t="n">
        <f aca="false">M10-原始数据!M49</f>
        <v>0</v>
      </c>
      <c r="N26" s="31" t="n">
        <f aca="false">N10-原始数据!N49</f>
        <v>0</v>
      </c>
      <c r="O26" s="31" t="n">
        <f aca="false">O10-原始数据!O49</f>
        <v>0</v>
      </c>
      <c r="P26" s="31" t="n">
        <f aca="false">P10-原始数据!P49</f>
        <v>0</v>
      </c>
      <c r="Q26" s="31" t="n">
        <f aca="false">Q10-原始数据!Q49</f>
        <v>0</v>
      </c>
      <c r="R26" s="31" t="n">
        <f aca="false">R10-原始数据!R49</f>
        <v>0</v>
      </c>
    </row>
    <row r="27" customFormat="false" ht="15" hidden="false" customHeight="false" outlineLevel="0" collapsed="false">
      <c r="A27" s="22" t="s">
        <v>240</v>
      </c>
      <c r="B27" s="30" t="s">
        <v>221</v>
      </c>
      <c r="C27" s="31" t="n">
        <f aca="false">C13-原始数据!C51</f>
        <v>0</v>
      </c>
      <c r="D27" s="31" t="n">
        <f aca="false">D13-原始数据!D51</f>
        <v>0</v>
      </c>
      <c r="E27" s="31" t="n">
        <f aca="false">E13-原始数据!E51</f>
        <v>0</v>
      </c>
      <c r="F27" s="31" t="n">
        <f aca="false">F13-原始数据!F51</f>
        <v>0</v>
      </c>
      <c r="G27" s="31" t="n">
        <f aca="false">G13-原始数据!G51</f>
        <v>0</v>
      </c>
      <c r="H27" s="31" t="n">
        <f aca="false">H13-原始数据!H51</f>
        <v>-9.99999999962142E-005</v>
      </c>
      <c r="I27" s="31" t="n">
        <f aca="false">I13-原始数据!I51</f>
        <v>-9.99999999962142E-005</v>
      </c>
      <c r="J27" s="31" t="n">
        <f aca="false">J13-原始数据!J51</f>
        <v>0</v>
      </c>
      <c r="K27" s="31" t="n">
        <f aca="false">K13-原始数据!K51</f>
        <v>-9.99999999962142E-005</v>
      </c>
      <c r="L27" s="31" t="n">
        <f aca="false">L13-原始数据!L51</f>
        <v>0</v>
      </c>
      <c r="M27" s="31" t="n">
        <f aca="false">M13-原始数据!M51</f>
        <v>-9.99999999891088E-005</v>
      </c>
      <c r="N27" s="31" t="n">
        <f aca="false">N13-原始数据!N51</f>
        <v>-9.99999999962142E-005</v>
      </c>
      <c r="O27" s="31" t="n">
        <f aca="false">O13-原始数据!O51</f>
        <v>0</v>
      </c>
      <c r="P27" s="31" t="n">
        <f aca="false">P13-原始数据!P51</f>
        <v>0</v>
      </c>
      <c r="Q27" s="31" t="n">
        <f aca="false">Q13-原始数据!Q51</f>
        <v>0.000100000000031741</v>
      </c>
      <c r="R27" s="31" t="n">
        <f aca="false">R13-原始数据!R51</f>
        <v>0.00010000000000332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0.93"/>
    <col collapsed="false" customWidth="true" hidden="false" outlineLevel="0" max="2" min="2" style="0" width="5.46"/>
    <col collapsed="false" customWidth="true" hidden="false" outlineLevel="0" max="18" min="3" style="0" width="8.65"/>
    <col collapsed="false" customWidth="true" hidden="false" outlineLevel="0" max="19" min="19" style="0" width="10.01"/>
  </cols>
  <sheetData>
    <row r="1" customFormat="false" ht="17.35" hidden="false" customHeight="false" outlineLevel="0" collapsed="false">
      <c r="A1" s="1" t="s">
        <v>241</v>
      </c>
    </row>
    <row r="2" customFormat="false" ht="15" hidden="false" customHeight="false" outlineLevel="0" collapsed="false">
      <c r="A2" s="2" t="s">
        <v>242</v>
      </c>
    </row>
    <row r="4" customFormat="false" ht="15" hidden="false" customHeight="false" outlineLevel="0" collapsed="false">
      <c r="A4" s="20" t="s">
        <v>100</v>
      </c>
      <c r="B4" s="20" t="s">
        <v>210</v>
      </c>
      <c r="C4" s="21" t="s">
        <v>102</v>
      </c>
      <c r="D4" s="21" t="s">
        <v>103</v>
      </c>
      <c r="E4" s="21" t="s">
        <v>104</v>
      </c>
      <c r="F4" s="21" t="s">
        <v>105</v>
      </c>
      <c r="G4" s="21" t="s">
        <v>106</v>
      </c>
      <c r="H4" s="21" t="s">
        <v>107</v>
      </c>
      <c r="I4" s="21" t="s">
        <v>108</v>
      </c>
      <c r="J4" s="21" t="s">
        <v>109</v>
      </c>
      <c r="K4" s="21" t="s">
        <v>110</v>
      </c>
      <c r="L4" s="21" t="s">
        <v>111</v>
      </c>
      <c r="M4" s="21" t="s">
        <v>112</v>
      </c>
      <c r="N4" s="21" t="s">
        <v>113</v>
      </c>
      <c r="O4" s="21" t="s">
        <v>114</v>
      </c>
      <c r="P4" s="21" t="s">
        <v>115</v>
      </c>
      <c r="Q4" s="21" t="s">
        <v>116</v>
      </c>
      <c r="R4" s="21" t="s">
        <v>117</v>
      </c>
      <c r="S4" s="21" t="s">
        <v>211</v>
      </c>
    </row>
    <row r="5" customFormat="false" ht="15" hidden="false" customHeight="false" outlineLevel="0" collapsed="false">
      <c r="A5" s="27" t="s">
        <v>178</v>
      </c>
      <c r="B5" s="30"/>
      <c r="C5" s="26" t="n">
        <f aca="false">利润表!C19</f>
        <v>-3.4406</v>
      </c>
      <c r="D5" s="26" t="n">
        <f aca="false">利润表!D19</f>
        <v>-1.9031</v>
      </c>
      <c r="E5" s="26" t="n">
        <f aca="false">利润表!E19</f>
        <v>-2.2866</v>
      </c>
      <c r="F5" s="26" t="n">
        <f aca="false">利润表!F19</f>
        <v>-1.5755</v>
      </c>
      <c r="G5" s="26" t="n">
        <f aca="false">利润表!G19</f>
        <v>-0.737</v>
      </c>
      <c r="H5" s="26" t="n">
        <f aca="false">利润表!H19</f>
        <v>0.0194999999999999</v>
      </c>
      <c r="I5" s="26" t="n">
        <f aca="false">利润表!I19</f>
        <v>0.919900000000001</v>
      </c>
      <c r="J5" s="26" t="n">
        <f aca="false">利润表!J19</f>
        <v>2.1586</v>
      </c>
      <c r="K5" s="26" t="n">
        <f aca="false">利润表!K19</f>
        <v>3.7993</v>
      </c>
      <c r="L5" s="26" t="n">
        <f aca="false">利润表!L19</f>
        <v>4.9581</v>
      </c>
      <c r="M5" s="26" t="n">
        <f aca="false">利润表!M19</f>
        <v>7.5658</v>
      </c>
      <c r="N5" s="26" t="n">
        <f aca="false">利润表!N19</f>
        <v>12.3985</v>
      </c>
      <c r="O5" s="26" t="n">
        <f aca="false">利润表!O19</f>
        <v>20.7407</v>
      </c>
      <c r="P5" s="26" t="n">
        <f aca="false">利润表!P19</f>
        <v>33.3857</v>
      </c>
      <c r="Q5" s="26" t="n">
        <f aca="false">利润表!Q19</f>
        <v>45.9518</v>
      </c>
      <c r="R5" s="26" t="n">
        <f aca="false">利润表!R19</f>
        <v>55.7273</v>
      </c>
      <c r="S5" s="26" t="n">
        <f aca="false">SUM(C5:R5)</f>
        <v>177.6824</v>
      </c>
    </row>
    <row r="6" customFormat="false" ht="15" hidden="false" customHeight="false" outlineLevel="0" collapsed="false">
      <c r="A6" s="22" t="s">
        <v>243</v>
      </c>
      <c r="B6" s="30"/>
      <c r="C6" s="26" t="n">
        <f aca="false">原始数据!C42</f>
        <v>2</v>
      </c>
      <c r="D6" s="26" t="n">
        <f aca="false">原始数据!D42</f>
        <v>2</v>
      </c>
      <c r="E6" s="26" t="n">
        <f aca="false">原始数据!E42</f>
        <v>2</v>
      </c>
      <c r="F6" s="26" t="n">
        <f aca="false">原始数据!F42</f>
        <v>2</v>
      </c>
      <c r="G6" s="26" t="n">
        <f aca="false">原始数据!G42</f>
        <v>2.075</v>
      </c>
      <c r="H6" s="26" t="n">
        <f aca="false">原始数据!H42</f>
        <v>2.15</v>
      </c>
      <c r="I6" s="26" t="n">
        <f aca="false">原始数据!I42</f>
        <v>2.225</v>
      </c>
      <c r="J6" s="26" t="n">
        <f aca="false">原始数据!J42</f>
        <v>2.3</v>
      </c>
      <c r="K6" s="26" t="n">
        <f aca="false">原始数据!K42</f>
        <v>2.525</v>
      </c>
      <c r="L6" s="26" t="n">
        <f aca="false">原始数据!L42</f>
        <v>2.72</v>
      </c>
      <c r="M6" s="26" t="n">
        <f aca="false">原始数据!M42</f>
        <v>2.885</v>
      </c>
      <c r="N6" s="26" t="n">
        <f aca="false">原始数据!N42</f>
        <v>3.17</v>
      </c>
      <c r="O6" s="26" t="n">
        <f aca="false">原始数据!O42</f>
        <v>3.485</v>
      </c>
      <c r="P6" s="26" t="n">
        <f aca="false">原始数据!P42</f>
        <v>3.74</v>
      </c>
      <c r="Q6" s="26" t="n">
        <f aca="false">原始数据!Q42</f>
        <v>3.815</v>
      </c>
      <c r="R6" s="26" t="n">
        <f aca="false">原始数据!R42</f>
        <v>3.89</v>
      </c>
      <c r="S6" s="26" t="n">
        <f aca="false">SUM(C6:R6)</f>
        <v>42.98</v>
      </c>
    </row>
    <row r="7" customFormat="false" ht="15" hidden="false" customHeight="false" outlineLevel="0" collapsed="false">
      <c r="A7" s="22" t="s">
        <v>244</v>
      </c>
      <c r="B7" s="30"/>
      <c r="C7" s="26" t="n">
        <f aca="false">-(资产负债表!C6-资产负债表!B6)</f>
        <v>-0.2864</v>
      </c>
      <c r="D7" s="26" t="n">
        <f aca="false">-(资产负债表!D6-资产负债表!C6)</f>
        <v>-0.8603</v>
      </c>
      <c r="E7" s="26" t="n">
        <f aca="false">-(资产负债表!E6-资产负债表!D6)</f>
        <v>-0.8573</v>
      </c>
      <c r="F7" s="26" t="n">
        <f aca="false">-(资产负债表!F6-资产负债表!E6)</f>
        <v>-1.06</v>
      </c>
      <c r="G7" s="26" t="n">
        <f aca="false">-(资产负债表!G6-资产负债表!F6)</f>
        <v>-1.1634</v>
      </c>
      <c r="H7" s="26" t="n">
        <f aca="false">-(资产负债表!H6-资产负债表!G6)</f>
        <v>-0.588699999999999</v>
      </c>
      <c r="I7" s="26" t="n">
        <f aca="false">-(资产负债表!I6-资产负债表!H6)</f>
        <v>0.0468999999999999</v>
      </c>
      <c r="J7" s="26" t="n">
        <f aca="false">-(资产负债表!J6-资产负债表!I6)</f>
        <v>0.5549</v>
      </c>
      <c r="K7" s="26" t="n">
        <f aca="false">-(资产负债表!K6-资产负债表!J6)</f>
        <v>0.7088</v>
      </c>
      <c r="L7" s="26" t="n">
        <f aca="false">-(资产负债表!L6-资产负债表!K6)</f>
        <v>0.6602</v>
      </c>
      <c r="M7" s="26" t="n">
        <f aca="false">-(资产负债表!M6-资产负债表!L6)</f>
        <v>1.0017</v>
      </c>
      <c r="N7" s="26" t="n">
        <f aca="false">-(资产负债表!N6-资产负债表!M6)</f>
        <v>1.0634</v>
      </c>
      <c r="O7" s="26" t="n">
        <f aca="false">-(资产负债表!O6-资产负债表!N6)</f>
        <v>1.2281</v>
      </c>
      <c r="P7" s="26" t="n">
        <f aca="false">-(资产负债表!P6-资产负债表!O6)</f>
        <v>0.5121</v>
      </c>
      <c r="Q7" s="26" t="n">
        <f aca="false">-(资产负债表!Q6-资产负债表!P6)</f>
        <v>-0</v>
      </c>
      <c r="R7" s="26" t="n">
        <f aca="false">-(资产负债表!R6-资产负债表!Q6)</f>
        <v>-0</v>
      </c>
      <c r="S7" s="26" t="n">
        <f aca="false">SUM(C7:R7)</f>
        <v>0.96</v>
      </c>
    </row>
    <row r="8" customFormat="false" ht="15" hidden="false" customHeight="false" outlineLevel="0" collapsed="false">
      <c r="A8" s="27" t="s">
        <v>181</v>
      </c>
      <c r="B8" s="30"/>
      <c r="C8" s="29" t="n">
        <f aca="false">SUM(C5:C7)</f>
        <v>-1.727</v>
      </c>
      <c r="D8" s="29" t="n">
        <f aca="false">SUM(D5:D7)</f>
        <v>-0.7634</v>
      </c>
      <c r="E8" s="29" t="n">
        <f aca="false">SUM(E5:E7)</f>
        <v>-1.1439</v>
      </c>
      <c r="F8" s="29" t="n">
        <f aca="false">SUM(F5:F7)</f>
        <v>-0.6355</v>
      </c>
      <c r="G8" s="29" t="n">
        <f aca="false">SUM(G5:G7)</f>
        <v>0.1746</v>
      </c>
      <c r="H8" s="29" t="n">
        <f aca="false">SUM(H5:H7)</f>
        <v>1.5808</v>
      </c>
      <c r="I8" s="29" t="n">
        <f aca="false">SUM(I5:I7)</f>
        <v>3.1918</v>
      </c>
      <c r="J8" s="29" t="n">
        <f aca="false">SUM(J5:J7)</f>
        <v>5.0135</v>
      </c>
      <c r="K8" s="29" t="n">
        <f aca="false">SUM(K5:K7)</f>
        <v>7.0331</v>
      </c>
      <c r="L8" s="29" t="n">
        <f aca="false">SUM(L5:L7)</f>
        <v>8.3383</v>
      </c>
      <c r="M8" s="29" t="n">
        <f aca="false">SUM(M5:M7)</f>
        <v>11.4525</v>
      </c>
      <c r="N8" s="29" t="n">
        <f aca="false">SUM(N5:N7)</f>
        <v>16.6319</v>
      </c>
      <c r="O8" s="29" t="n">
        <f aca="false">SUM(O5:O7)</f>
        <v>25.4538</v>
      </c>
      <c r="P8" s="29" t="n">
        <f aca="false">SUM(P5:P7)</f>
        <v>37.6378</v>
      </c>
      <c r="Q8" s="29" t="n">
        <f aca="false">SUM(Q5:Q7)</f>
        <v>49.7668</v>
      </c>
      <c r="R8" s="29" t="n">
        <f aca="false">SUM(R5:R7)</f>
        <v>59.6173</v>
      </c>
      <c r="S8" s="29" t="n">
        <f aca="false">SUM(C8:R8)</f>
        <v>221.6224</v>
      </c>
    </row>
    <row r="10" customFormat="false" ht="15" hidden="false" customHeight="false" outlineLevel="0" collapsed="false">
      <c r="A10" s="22" t="s">
        <v>123</v>
      </c>
      <c r="B10" s="30"/>
      <c r="C10" s="26" t="n">
        <f aca="false">-原始数据!C8</f>
        <v>-1.5</v>
      </c>
      <c r="D10" s="26" t="n">
        <f aca="false">-原始数据!D8</f>
        <v>-1.5</v>
      </c>
      <c r="E10" s="26" t="n">
        <f aca="false">-原始数据!E8</f>
        <v>-1.5</v>
      </c>
      <c r="F10" s="26" t="n">
        <f aca="false">-原始数据!F8</f>
        <v>-1.5</v>
      </c>
      <c r="G10" s="26" t="n">
        <f aca="false">-原始数据!G8</f>
        <v>-4.5</v>
      </c>
      <c r="H10" s="26" t="n">
        <f aca="false">-原始数据!H8</f>
        <v>-3.9</v>
      </c>
      <c r="I10" s="26" t="n">
        <f aca="false">-原始数据!I8</f>
        <v>-3.3</v>
      </c>
      <c r="J10" s="26" t="n">
        <f aca="false">-原始数据!J8</f>
        <v>-5.7</v>
      </c>
      <c r="K10" s="26" t="n">
        <f aca="false">-原始数据!K8</f>
        <v>-6.3</v>
      </c>
      <c r="L10" s="26" t="n">
        <f aca="false">-原始数据!L8</f>
        <v>-5.1</v>
      </c>
      <c r="M10" s="26" t="n">
        <f aca="false">-原始数据!M8</f>
        <v>-1.5</v>
      </c>
      <c r="N10" s="26" t="n">
        <f aca="false">-原始数据!N8</f>
        <v>-1.5</v>
      </c>
      <c r="O10" s="26" t="n">
        <f aca="false">-原始数据!O8</f>
        <v>-1.5</v>
      </c>
      <c r="P10" s="26" t="n">
        <f aca="false">-原始数据!P8</f>
        <v>-1.5</v>
      </c>
      <c r="Q10" s="26" t="n">
        <f aca="false">-原始数据!Q8</f>
        <v>-1.5</v>
      </c>
      <c r="R10" s="26" t="n">
        <f aca="false">-原始数据!R8</f>
        <v>-1.5</v>
      </c>
      <c r="S10" s="26" t="n">
        <f aca="false">SUM(C10:R10)</f>
        <v>-43.8</v>
      </c>
    </row>
    <row r="11" customFormat="false" ht="15" hidden="false" customHeight="false" outlineLevel="0" collapsed="false">
      <c r="A11" s="27" t="s">
        <v>183</v>
      </c>
      <c r="B11" s="30"/>
      <c r="C11" s="26" t="n">
        <f aca="false">C10</f>
        <v>-1.5</v>
      </c>
      <c r="D11" s="26" t="n">
        <f aca="false">D10</f>
        <v>-1.5</v>
      </c>
      <c r="E11" s="26" t="n">
        <f aca="false">E10</f>
        <v>-1.5</v>
      </c>
      <c r="F11" s="26" t="n">
        <f aca="false">F10</f>
        <v>-1.5</v>
      </c>
      <c r="G11" s="26" t="n">
        <f aca="false">G10</f>
        <v>-4.5</v>
      </c>
      <c r="H11" s="26" t="n">
        <f aca="false">H10</f>
        <v>-3.9</v>
      </c>
      <c r="I11" s="26" t="n">
        <f aca="false">I10</f>
        <v>-3.3</v>
      </c>
      <c r="J11" s="26" t="n">
        <f aca="false">J10</f>
        <v>-5.7</v>
      </c>
      <c r="K11" s="26" t="n">
        <f aca="false">K10</f>
        <v>-6.3</v>
      </c>
      <c r="L11" s="26" t="n">
        <f aca="false">L10</f>
        <v>-5.1</v>
      </c>
      <c r="M11" s="26" t="n">
        <f aca="false">M10</f>
        <v>-1.5</v>
      </c>
      <c r="N11" s="26" t="n">
        <f aca="false">N10</f>
        <v>-1.5</v>
      </c>
      <c r="O11" s="26" t="n">
        <f aca="false">O10</f>
        <v>-1.5</v>
      </c>
      <c r="P11" s="26" t="n">
        <f aca="false">P10</f>
        <v>-1.5</v>
      </c>
      <c r="Q11" s="26" t="n">
        <f aca="false">Q10</f>
        <v>-1.5</v>
      </c>
      <c r="R11" s="26" t="n">
        <f aca="false">R10</f>
        <v>-1.5</v>
      </c>
      <c r="S11" s="26" t="n">
        <f aca="false">SUM(C11:R11)</f>
        <v>-43.8</v>
      </c>
    </row>
    <row r="13" customFormat="false" ht="15" hidden="false" customHeight="false" outlineLevel="0" collapsed="false">
      <c r="A13" s="22" t="s">
        <v>129</v>
      </c>
      <c r="B13" s="30"/>
      <c r="C13" s="26" t="n">
        <f aca="false">原始数据!C11</f>
        <v>0</v>
      </c>
      <c r="D13" s="26" t="n">
        <f aca="false">原始数据!D11</f>
        <v>0</v>
      </c>
      <c r="E13" s="26" t="n">
        <f aca="false">原始数据!E11</f>
        <v>2</v>
      </c>
      <c r="F13" s="26" t="n">
        <f aca="false">原始数据!F11</f>
        <v>2</v>
      </c>
      <c r="G13" s="26" t="n">
        <f aca="false">原始数据!G11</f>
        <v>3.5</v>
      </c>
      <c r="H13" s="26" t="n">
        <f aca="false">原始数据!H11</f>
        <v>1.5</v>
      </c>
      <c r="I13" s="26" t="n">
        <f aca="false">原始数据!I11</f>
        <v>0</v>
      </c>
      <c r="J13" s="26" t="n">
        <f aca="false">原始数据!J11</f>
        <v>0.5</v>
      </c>
      <c r="K13" s="26" t="n">
        <f aca="false">原始数据!K11</f>
        <v>1.3</v>
      </c>
      <c r="L13" s="26" t="n">
        <f aca="false">原始数据!L11</f>
        <v>-2</v>
      </c>
      <c r="M13" s="26" t="n">
        <f aca="false">原始数据!M11</f>
        <v>-10</v>
      </c>
      <c r="N13" s="26" t="n">
        <f aca="false">原始数据!N11</f>
        <v>-4.8</v>
      </c>
      <c r="O13" s="26" t="n">
        <f aca="false">原始数据!O11</f>
        <v>0</v>
      </c>
      <c r="P13" s="26" t="n">
        <f aca="false">原始数据!P11</f>
        <v>0</v>
      </c>
      <c r="Q13" s="26" t="n">
        <f aca="false">原始数据!Q11</f>
        <v>0</v>
      </c>
      <c r="R13" s="26" t="n">
        <f aca="false">原始数据!R11</f>
        <v>0</v>
      </c>
      <c r="S13" s="26" t="n">
        <f aca="false">SUM(C13:R13)</f>
        <v>-6</v>
      </c>
    </row>
    <row r="14" customFormat="false" ht="15" hidden="false" customHeight="false" outlineLevel="0" collapsed="false">
      <c r="A14" s="22" t="s">
        <v>189</v>
      </c>
      <c r="B14" s="30"/>
      <c r="C14" s="26" t="n">
        <f aca="false">原始数据!C43</f>
        <v>0</v>
      </c>
      <c r="D14" s="26" t="n">
        <f aca="false">原始数据!D43</f>
        <v>0</v>
      </c>
      <c r="E14" s="26" t="n">
        <f aca="false">原始数据!E43</f>
        <v>0</v>
      </c>
      <c r="F14" s="26" t="n">
        <f aca="false">原始数据!F43</f>
        <v>0</v>
      </c>
      <c r="G14" s="26" t="n">
        <f aca="false">原始数据!G43</f>
        <v>0</v>
      </c>
      <c r="H14" s="26" t="n">
        <f aca="false">原始数据!H43</f>
        <v>0</v>
      </c>
      <c r="I14" s="26" t="n">
        <f aca="false">原始数据!I43</f>
        <v>0</v>
      </c>
      <c r="J14" s="26" t="n">
        <f aca="false">原始数据!J43</f>
        <v>0</v>
      </c>
      <c r="K14" s="26" t="n">
        <f aca="false">原始数据!K43</f>
        <v>0</v>
      </c>
      <c r="L14" s="26" t="n">
        <f aca="false">原始数据!L43</f>
        <v>0</v>
      </c>
      <c r="M14" s="26" t="n">
        <f aca="false">原始数据!M43</f>
        <v>0</v>
      </c>
      <c r="N14" s="26" t="n">
        <f aca="false">原始数据!N43</f>
        <v>0</v>
      </c>
      <c r="O14" s="26" t="n">
        <f aca="false">原始数据!O43</f>
        <v>0</v>
      </c>
      <c r="P14" s="26" t="n">
        <f aca="false">原始数据!P43</f>
        <v>0</v>
      </c>
      <c r="Q14" s="26" t="n">
        <f aca="false">原始数据!Q43</f>
        <v>0</v>
      </c>
      <c r="R14" s="26" t="n">
        <f aca="false">原始数据!R43</f>
        <v>0</v>
      </c>
      <c r="S14" s="26" t="n">
        <f aca="false">SUM(C14:R14)</f>
        <v>0</v>
      </c>
    </row>
    <row r="15" customFormat="false" ht="15" hidden="false" customHeight="false" outlineLevel="0" collapsed="false">
      <c r="A15" s="27" t="s">
        <v>245</v>
      </c>
      <c r="B15" s="30"/>
      <c r="C15" s="26" t="n">
        <f aca="false">C13+C14</f>
        <v>0</v>
      </c>
      <c r="D15" s="26" t="n">
        <f aca="false">D13+D14</f>
        <v>0</v>
      </c>
      <c r="E15" s="26" t="n">
        <f aca="false">E13+E14</f>
        <v>2</v>
      </c>
      <c r="F15" s="26" t="n">
        <f aca="false">F13+F14</f>
        <v>2</v>
      </c>
      <c r="G15" s="26" t="n">
        <f aca="false">G13+G14</f>
        <v>3.5</v>
      </c>
      <c r="H15" s="26" t="n">
        <f aca="false">H13+H14</f>
        <v>1.5</v>
      </c>
      <c r="I15" s="26" t="n">
        <f aca="false">I13+I14</f>
        <v>0</v>
      </c>
      <c r="J15" s="26" t="n">
        <f aca="false">J13+J14</f>
        <v>0.5</v>
      </c>
      <c r="K15" s="26" t="n">
        <f aca="false">K13+K14</f>
        <v>1.3</v>
      </c>
      <c r="L15" s="26" t="n">
        <f aca="false">L13+L14</f>
        <v>-2</v>
      </c>
      <c r="M15" s="26" t="n">
        <f aca="false">M13+M14</f>
        <v>-10</v>
      </c>
      <c r="N15" s="26" t="n">
        <f aca="false">N13+N14</f>
        <v>-4.8</v>
      </c>
      <c r="O15" s="26" t="n">
        <f aca="false">O13+O14</f>
        <v>0</v>
      </c>
      <c r="P15" s="26" t="n">
        <f aca="false">P13+P14</f>
        <v>0</v>
      </c>
      <c r="Q15" s="26" t="n">
        <f aca="false">Q13+Q14</f>
        <v>0</v>
      </c>
      <c r="R15" s="26" t="n">
        <f aca="false">R13+R14</f>
        <v>0</v>
      </c>
      <c r="S15" s="26" t="n">
        <f aca="false">SUM(C15:R15)</f>
        <v>-6</v>
      </c>
    </row>
    <row r="17" customFormat="false" ht="15" hidden="false" customHeight="false" outlineLevel="0" collapsed="false">
      <c r="A17" s="27" t="s">
        <v>246</v>
      </c>
      <c r="B17" s="30"/>
      <c r="C17" s="26" t="n">
        <f aca="false">C8+C11+C15</f>
        <v>-3.227</v>
      </c>
      <c r="D17" s="26" t="n">
        <f aca="false">D8+D11+D15</f>
        <v>-2.2634</v>
      </c>
      <c r="E17" s="26" t="n">
        <f aca="false">E8+E11+E15</f>
        <v>-0.6439</v>
      </c>
      <c r="F17" s="26" t="n">
        <f aca="false">F8+F11+F15</f>
        <v>-0.1355</v>
      </c>
      <c r="G17" s="26" t="n">
        <f aca="false">G8+G11+G15</f>
        <v>-0.8254</v>
      </c>
      <c r="H17" s="26" t="n">
        <f aca="false">H8+H11+H15</f>
        <v>-0.8192</v>
      </c>
      <c r="I17" s="26" t="n">
        <f aca="false">I8+I11+I15</f>
        <v>-0.108199999999999</v>
      </c>
      <c r="J17" s="26" t="n">
        <f aca="false">J8+J11+J15</f>
        <v>-0.1865</v>
      </c>
      <c r="K17" s="26" t="n">
        <f aca="false">K8+K11+K15</f>
        <v>2.0331</v>
      </c>
      <c r="L17" s="26" t="n">
        <f aca="false">L8+L11+L15</f>
        <v>1.2383</v>
      </c>
      <c r="M17" s="26" t="n">
        <f aca="false">M8+M11+M15</f>
        <v>-0.0474999999999994</v>
      </c>
      <c r="N17" s="26" t="n">
        <f aca="false">N8+N11+N15</f>
        <v>10.3319</v>
      </c>
      <c r="O17" s="26" t="n">
        <f aca="false">O8+O11+O15</f>
        <v>23.9538</v>
      </c>
      <c r="P17" s="26" t="n">
        <f aca="false">P8+P11+P15</f>
        <v>36.1378</v>
      </c>
      <c r="Q17" s="26" t="n">
        <f aca="false">Q8+Q11+Q15</f>
        <v>48.2668</v>
      </c>
      <c r="R17" s="26" t="n">
        <f aca="false">R8+R11+R15</f>
        <v>58.1173</v>
      </c>
      <c r="S17" s="26" t="n">
        <f aca="false">SUM(C17:R17)</f>
        <v>171.8224</v>
      </c>
    </row>
    <row r="18" customFormat="false" ht="15" hidden="false" customHeight="false" outlineLevel="0" collapsed="false">
      <c r="A18" s="22" t="s">
        <v>247</v>
      </c>
      <c r="B18" s="30"/>
      <c r="C18" s="26" t="n">
        <f aca="false">资产负债表!B5</f>
        <v>10</v>
      </c>
      <c r="D18" s="26" t="n">
        <f aca="false">C19</f>
        <v>6.773</v>
      </c>
      <c r="E18" s="26" t="n">
        <f aca="false">D19</f>
        <v>4.5096</v>
      </c>
      <c r="F18" s="26" t="n">
        <f aca="false">E19</f>
        <v>3.8657</v>
      </c>
      <c r="G18" s="26" t="n">
        <f aca="false">F19</f>
        <v>3.7302</v>
      </c>
      <c r="H18" s="26" t="n">
        <f aca="false">G19</f>
        <v>2.9048</v>
      </c>
      <c r="I18" s="26" t="n">
        <f aca="false">H19</f>
        <v>2.0856</v>
      </c>
      <c r="J18" s="26" t="n">
        <f aca="false">I19</f>
        <v>1.9774</v>
      </c>
      <c r="K18" s="26" t="n">
        <f aca="false">J19</f>
        <v>1.7909</v>
      </c>
      <c r="L18" s="26" t="n">
        <f aca="false">K19</f>
        <v>3.824</v>
      </c>
      <c r="M18" s="26" t="n">
        <f aca="false">L19</f>
        <v>5.0623</v>
      </c>
      <c r="N18" s="26" t="n">
        <f aca="false">M19</f>
        <v>5.0148</v>
      </c>
      <c r="O18" s="26" t="n">
        <f aca="false">N19</f>
        <v>15.3467</v>
      </c>
      <c r="P18" s="26" t="n">
        <f aca="false">O19</f>
        <v>39.3005</v>
      </c>
      <c r="Q18" s="26" t="n">
        <f aca="false">P19</f>
        <v>75.4383</v>
      </c>
      <c r="R18" s="26" t="n">
        <f aca="false">Q19</f>
        <v>123.7051</v>
      </c>
      <c r="S18" s="26" t="n">
        <f aca="false">C18</f>
        <v>10</v>
      </c>
    </row>
    <row r="19" customFormat="false" ht="15" hidden="false" customHeight="false" outlineLevel="0" collapsed="false">
      <c r="A19" s="27" t="s">
        <v>248</v>
      </c>
      <c r="B19" s="30"/>
      <c r="C19" s="26" t="n">
        <f aca="false">C18+C17</f>
        <v>6.773</v>
      </c>
      <c r="D19" s="26" t="n">
        <f aca="false">D18+D17</f>
        <v>4.5096</v>
      </c>
      <c r="E19" s="26" t="n">
        <f aca="false">E18+E17</f>
        <v>3.8657</v>
      </c>
      <c r="F19" s="26" t="n">
        <f aca="false">F18+F17</f>
        <v>3.7302</v>
      </c>
      <c r="G19" s="26" t="n">
        <f aca="false">G18+G17</f>
        <v>2.9048</v>
      </c>
      <c r="H19" s="26" t="n">
        <f aca="false">H18+H17</f>
        <v>2.0856</v>
      </c>
      <c r="I19" s="26" t="n">
        <f aca="false">I18+I17</f>
        <v>1.9774</v>
      </c>
      <c r="J19" s="26" t="n">
        <f aca="false">J18+J17</f>
        <v>1.7909</v>
      </c>
      <c r="K19" s="26" t="n">
        <f aca="false">K18+K17</f>
        <v>3.824</v>
      </c>
      <c r="L19" s="26" t="n">
        <f aca="false">L18+L17</f>
        <v>5.0623</v>
      </c>
      <c r="M19" s="26" t="n">
        <f aca="false">M18+M17</f>
        <v>5.0148</v>
      </c>
      <c r="N19" s="26" t="n">
        <f aca="false">N18+N17</f>
        <v>15.3467</v>
      </c>
      <c r="O19" s="26" t="n">
        <f aca="false">O18+O17</f>
        <v>39.3005</v>
      </c>
      <c r="P19" s="26" t="n">
        <f aca="false">P18+P17</f>
        <v>75.4383</v>
      </c>
      <c r="Q19" s="26" t="n">
        <f aca="false">Q18+Q17</f>
        <v>123.7051</v>
      </c>
      <c r="R19" s="26" t="n">
        <f aca="false">R18+R17</f>
        <v>181.8224</v>
      </c>
      <c r="S19" s="26" t="n">
        <f aca="false">R19</f>
        <v>181.8224</v>
      </c>
    </row>
    <row r="21" customFormat="false" ht="15" hidden="false" customHeight="false" outlineLevel="0" collapsed="false">
      <c r="A21" s="27" t="s">
        <v>249</v>
      </c>
      <c r="B21" s="30"/>
      <c r="C21" s="29" t="n">
        <f aca="false">C8+C11</f>
        <v>-3.227</v>
      </c>
      <c r="D21" s="29" t="n">
        <f aca="false">D8+D11</f>
        <v>-2.2634</v>
      </c>
      <c r="E21" s="29" t="n">
        <f aca="false">E8+E11</f>
        <v>-2.6439</v>
      </c>
      <c r="F21" s="29" t="n">
        <f aca="false">F8+F11</f>
        <v>-2.1355</v>
      </c>
      <c r="G21" s="29" t="n">
        <f aca="false">G8+G11</f>
        <v>-4.3254</v>
      </c>
      <c r="H21" s="29" t="n">
        <f aca="false">H8+H11</f>
        <v>-2.3192</v>
      </c>
      <c r="I21" s="29" t="n">
        <f aca="false">I8+I11</f>
        <v>-0.108199999999999</v>
      </c>
      <c r="J21" s="29" t="n">
        <f aca="false">J8+J11</f>
        <v>-0.6865</v>
      </c>
      <c r="K21" s="29" t="n">
        <f aca="false">K8+K11</f>
        <v>0.7331</v>
      </c>
      <c r="L21" s="29" t="n">
        <f aca="false">L8+L11</f>
        <v>3.2383</v>
      </c>
      <c r="M21" s="29" t="n">
        <f aca="false">M8+M11</f>
        <v>9.9525</v>
      </c>
      <c r="N21" s="29" t="n">
        <f aca="false">N8+N11</f>
        <v>15.1319</v>
      </c>
      <c r="O21" s="29" t="n">
        <f aca="false">O8+O11</f>
        <v>23.9538</v>
      </c>
      <c r="P21" s="29" t="n">
        <f aca="false">P8+P11</f>
        <v>36.1378</v>
      </c>
      <c r="Q21" s="29" t="n">
        <f aca="false">Q8+Q11</f>
        <v>48.2668</v>
      </c>
      <c r="R21" s="29" t="n">
        <f aca="false">R8+R11</f>
        <v>58.1173</v>
      </c>
      <c r="S21" s="29" t="n">
        <f aca="false">SUM(C21:R21)</f>
        <v>177.8224</v>
      </c>
    </row>
    <row r="23" customFormat="false" ht="15" hidden="false" customHeight="false" outlineLevel="0" collapsed="false">
      <c r="A23" s="3" t="s">
        <v>219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customFormat="false" ht="15" hidden="false" customHeight="false" outlineLevel="0" collapsed="false">
      <c r="A24" s="22" t="s">
        <v>250</v>
      </c>
      <c r="B24" s="30" t="s">
        <v>221</v>
      </c>
      <c r="C24" s="31" t="n">
        <f aca="false">C8-原始数据!C39</f>
        <v>0</v>
      </c>
      <c r="D24" s="31" t="n">
        <f aca="false">D8-原始数据!D39</f>
        <v>0</v>
      </c>
      <c r="E24" s="31" t="n">
        <f aca="false">E8-原始数据!E39</f>
        <v>0</v>
      </c>
      <c r="F24" s="31" t="n">
        <f aca="false">F8-原始数据!F39</f>
        <v>0</v>
      </c>
      <c r="G24" s="31" t="n">
        <f aca="false">G8-原始数据!G39</f>
        <v>0</v>
      </c>
      <c r="H24" s="31" t="n">
        <f aca="false">H8-原始数据!H39</f>
        <v>-9.99999999995449E-005</v>
      </c>
      <c r="I24" s="31" t="n">
        <f aca="false">I8-原始数据!I39</f>
        <v>0</v>
      </c>
      <c r="J24" s="31" t="n">
        <f aca="false">J8-原始数据!J39</f>
        <v>0</v>
      </c>
      <c r="K24" s="31" t="n">
        <f aca="false">K8-原始数据!K39</f>
        <v>-9.99999999997669E-005</v>
      </c>
      <c r="L24" s="31" t="n">
        <f aca="false">L8-原始数据!L39</f>
        <v>9.99999999997669E-005</v>
      </c>
      <c r="M24" s="31" t="n">
        <f aca="false">M8-原始数据!M39</f>
        <v>0</v>
      </c>
      <c r="N24" s="31" t="n">
        <f aca="false">N8-原始数据!N39</f>
        <v>0</v>
      </c>
      <c r="O24" s="31" t="n">
        <f aca="false">O8-原始数据!O39</f>
        <v>0.00010000000000332</v>
      </c>
      <c r="P24" s="31" t="n">
        <f aca="false">P8-原始数据!P39</f>
        <v>0</v>
      </c>
      <c r="Q24" s="31" t="n">
        <f aca="false">Q8-原始数据!Q39</f>
        <v>0.00010000000000332</v>
      </c>
      <c r="R24" s="31" t="n">
        <f aca="false">R8-原始数据!R39</f>
        <v>0</v>
      </c>
    </row>
    <row r="25" customFormat="false" ht="15" hidden="false" customHeight="false" outlineLevel="0" collapsed="false">
      <c r="A25" s="22" t="s">
        <v>251</v>
      </c>
      <c r="B25" s="30" t="s">
        <v>221</v>
      </c>
      <c r="C25" s="31" t="n">
        <f aca="false">C11-原始数据!C40</f>
        <v>0</v>
      </c>
      <c r="D25" s="31" t="n">
        <f aca="false">D11-原始数据!D40</f>
        <v>0</v>
      </c>
      <c r="E25" s="31" t="n">
        <f aca="false">E11-原始数据!E40</f>
        <v>0</v>
      </c>
      <c r="F25" s="31" t="n">
        <f aca="false">F11-原始数据!F40</f>
        <v>0</v>
      </c>
      <c r="G25" s="31" t="n">
        <f aca="false">G11-原始数据!G40</f>
        <v>0</v>
      </c>
      <c r="H25" s="31" t="n">
        <f aca="false">H11-原始数据!H40</f>
        <v>0</v>
      </c>
      <c r="I25" s="31" t="n">
        <f aca="false">I11-原始数据!I40</f>
        <v>0</v>
      </c>
      <c r="J25" s="31" t="n">
        <f aca="false">J11-原始数据!J40</f>
        <v>0</v>
      </c>
      <c r="K25" s="31" t="n">
        <f aca="false">K11-原始数据!K40</f>
        <v>0</v>
      </c>
      <c r="L25" s="31" t="n">
        <f aca="false">L11-原始数据!L40</f>
        <v>0</v>
      </c>
      <c r="M25" s="31" t="n">
        <f aca="false">M11-原始数据!M40</f>
        <v>0</v>
      </c>
      <c r="N25" s="31" t="n">
        <f aca="false">N11-原始数据!N40</f>
        <v>0</v>
      </c>
      <c r="O25" s="31" t="n">
        <f aca="false">O11-原始数据!O40</f>
        <v>0</v>
      </c>
      <c r="P25" s="31" t="n">
        <f aca="false">P11-原始数据!P40</f>
        <v>0</v>
      </c>
      <c r="Q25" s="31" t="n">
        <f aca="false">Q11-原始数据!Q40</f>
        <v>0</v>
      </c>
      <c r="R25" s="31" t="n">
        <f aca="false">R11-原始数据!R40</f>
        <v>0</v>
      </c>
    </row>
    <row r="26" customFormat="false" ht="15" hidden="false" customHeight="false" outlineLevel="0" collapsed="false">
      <c r="A26" s="22" t="s">
        <v>252</v>
      </c>
      <c r="B26" s="30" t="s">
        <v>221</v>
      </c>
      <c r="C26" s="31" t="n">
        <f aca="false">C13-原始数据!C41</f>
        <v>0</v>
      </c>
      <c r="D26" s="31" t="n">
        <f aca="false">D13-原始数据!D41</f>
        <v>0</v>
      </c>
      <c r="E26" s="31" t="n">
        <f aca="false">E13-原始数据!E41</f>
        <v>0</v>
      </c>
      <c r="F26" s="31" t="n">
        <f aca="false">F13-原始数据!F41</f>
        <v>0</v>
      </c>
      <c r="G26" s="31" t="n">
        <f aca="false">G13-原始数据!G41</f>
        <v>0</v>
      </c>
      <c r="H26" s="31" t="n">
        <f aca="false">H13-原始数据!H41</f>
        <v>0</v>
      </c>
      <c r="I26" s="31" t="n">
        <f aca="false">I13-原始数据!I41</f>
        <v>0</v>
      </c>
      <c r="J26" s="31" t="n">
        <f aca="false">J13-原始数据!J41</f>
        <v>0</v>
      </c>
      <c r="K26" s="31" t="n">
        <f aca="false">K13-原始数据!K41</f>
        <v>0</v>
      </c>
      <c r="L26" s="31" t="n">
        <f aca="false">L13-原始数据!L41</f>
        <v>0</v>
      </c>
      <c r="M26" s="31" t="n">
        <f aca="false">M13-原始数据!M41</f>
        <v>0</v>
      </c>
      <c r="N26" s="31" t="n">
        <f aca="false">N13-原始数据!N41</f>
        <v>0</v>
      </c>
      <c r="O26" s="31" t="n">
        <f aca="false">O13-原始数据!O41</f>
        <v>0</v>
      </c>
      <c r="P26" s="31" t="n">
        <f aca="false">P13-原始数据!P41</f>
        <v>0</v>
      </c>
      <c r="Q26" s="31" t="n">
        <f aca="false">Q13-原始数据!Q41</f>
        <v>0</v>
      </c>
      <c r="R26" s="31" t="n">
        <f aca="false">R13-原始数据!R41</f>
        <v>0</v>
      </c>
    </row>
    <row r="27" customFormat="false" ht="15" hidden="false" customHeight="false" outlineLevel="0" collapsed="false">
      <c r="A27" s="22" t="s">
        <v>253</v>
      </c>
      <c r="B27" s="30" t="s">
        <v>221</v>
      </c>
      <c r="C27" s="31" t="n">
        <f aca="false">C19-原始数据!C45</f>
        <v>0</v>
      </c>
      <c r="D27" s="31" t="n">
        <f aca="false">D19-原始数据!D45</f>
        <v>0</v>
      </c>
      <c r="E27" s="31" t="n">
        <f aca="false">E19-原始数据!E45</f>
        <v>0</v>
      </c>
      <c r="F27" s="31" t="n">
        <f aca="false">F19-原始数据!F45</f>
        <v>0</v>
      </c>
      <c r="G27" s="31" t="n">
        <f aca="false">G19-原始数据!G45</f>
        <v>0</v>
      </c>
      <c r="H27" s="31" t="n">
        <f aca="false">H19-原始数据!H45</f>
        <v>-0.000100000000000211</v>
      </c>
      <c r="I27" s="31" t="n">
        <f aca="false">I19-原始数据!I45</f>
        <v>-9.99999999993229E-005</v>
      </c>
      <c r="J27" s="31" t="n">
        <f aca="false">J19-原始数据!J45</f>
        <v>-9.99999999988788E-005</v>
      </c>
      <c r="K27" s="31" t="n">
        <f aca="false">K19-原始数据!K45</f>
        <v>-9.99999999988788E-005</v>
      </c>
      <c r="L27" s="31" t="n">
        <f aca="false">L19-原始数据!L45</f>
        <v>-9.99999999979906E-005</v>
      </c>
      <c r="M27" s="31" t="n">
        <f aca="false">M19-原始数据!M45</f>
        <v>-9.99999999971024E-005</v>
      </c>
      <c r="N27" s="31" t="n">
        <f aca="false">N19-原始数据!N45</f>
        <v>-9.99999999997669E-005</v>
      </c>
      <c r="O27" s="31" t="n">
        <f aca="false">O19-原始数据!O45</f>
        <v>0</v>
      </c>
      <c r="P27" s="31" t="n">
        <f aca="false">P19-原始数据!P45</f>
        <v>0</v>
      </c>
      <c r="Q27" s="31" t="n">
        <f aca="false">Q19-原始数据!Q45</f>
        <v>0.00010000000000332</v>
      </c>
      <c r="R27" s="31" t="n">
        <f aca="false">R19-原始数据!R45</f>
        <v>0.00010000000000332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1" style="0" width="27.3"/>
    <col collapsed="false" customWidth="true" hidden="false" outlineLevel="0" max="18" min="3" style="0" width="8.65"/>
    <col collapsed="false" customWidth="true" hidden="false" outlineLevel="0" max="19" min="19" style="0" width="10.01"/>
  </cols>
  <sheetData>
    <row r="1" customFormat="false" ht="17.35" hidden="false" customHeight="false" outlineLevel="0" collapsed="false">
      <c r="A1" s="1" t="s">
        <v>254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20" t="s">
        <v>256</v>
      </c>
      <c r="B4" s="20" t="s">
        <v>257</v>
      </c>
      <c r="C4" s="21" t="s">
        <v>102</v>
      </c>
      <c r="D4" s="21" t="s">
        <v>103</v>
      </c>
      <c r="E4" s="21" t="s">
        <v>104</v>
      </c>
      <c r="F4" s="21" t="s">
        <v>105</v>
      </c>
      <c r="G4" s="21" t="s">
        <v>106</v>
      </c>
      <c r="H4" s="21" t="s">
        <v>107</v>
      </c>
      <c r="I4" s="21" t="s">
        <v>108</v>
      </c>
      <c r="J4" s="21" t="s">
        <v>109</v>
      </c>
      <c r="K4" s="21" t="s">
        <v>110</v>
      </c>
      <c r="L4" s="21" t="s">
        <v>111</v>
      </c>
      <c r="M4" s="21" t="s">
        <v>112</v>
      </c>
      <c r="N4" s="21" t="s">
        <v>113</v>
      </c>
      <c r="O4" s="21" t="s">
        <v>114</v>
      </c>
      <c r="P4" s="21" t="s">
        <v>115</v>
      </c>
      <c r="Q4" s="21" t="s">
        <v>116</v>
      </c>
      <c r="R4" s="21" t="s">
        <v>117</v>
      </c>
      <c r="S4" s="20" t="s">
        <v>258</v>
      </c>
    </row>
    <row r="5" customFormat="false" ht="15" hidden="false" customHeight="false" outlineLevel="0" collapsed="false">
      <c r="A5" s="3" t="s">
        <v>259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15" hidden="false" customHeight="false" outlineLevel="0" collapsed="false">
      <c r="A6" s="22" t="s">
        <v>156</v>
      </c>
      <c r="B6" s="30" t="s">
        <v>63</v>
      </c>
      <c r="C6" s="26" t="n">
        <f aca="false">利润表!C7</f>
        <v>4.608</v>
      </c>
      <c r="D6" s="26" t="n">
        <f aca="false">利润表!D7</f>
        <v>2.8224</v>
      </c>
      <c r="E6" s="26" t="n">
        <f aca="false">利润表!E7</f>
        <v>2.46</v>
      </c>
      <c r="F6" s="26" t="n">
        <f aca="false">利润表!F7</f>
        <v>3.0036</v>
      </c>
      <c r="G6" s="26" t="n">
        <f aca="false">利润表!G7</f>
        <v>3.8448</v>
      </c>
      <c r="H6" s="26" t="n">
        <f aca="false">利润表!H7</f>
        <v>5.3136</v>
      </c>
      <c r="I6" s="26" t="n">
        <f aca="false">利润表!I7</f>
        <v>7.1124</v>
      </c>
      <c r="J6" s="26" t="n">
        <f aca="false">利润表!J7</f>
        <v>9.1536</v>
      </c>
      <c r="K6" s="26" t="n">
        <f aca="false">利润表!K7</f>
        <v>11.5968</v>
      </c>
      <c r="L6" s="26" t="n">
        <f aca="false">利润表!L7</f>
        <v>13.2096</v>
      </c>
      <c r="M6" s="26" t="n">
        <f aca="false">利润表!M7</f>
        <v>16.8192</v>
      </c>
      <c r="N6" s="26" t="n">
        <f aca="false">利润表!N7</f>
        <v>22.8768</v>
      </c>
      <c r="O6" s="26" t="n">
        <f aca="false">利润表!O7</f>
        <v>33.216</v>
      </c>
      <c r="P6" s="26" t="n">
        <f aca="false">利润表!P7</f>
        <v>47.59</v>
      </c>
      <c r="Q6" s="26" t="n">
        <f aca="false">利润表!Q7</f>
        <v>61.6474</v>
      </c>
      <c r="R6" s="26" t="n">
        <f aca="false">利润表!R7</f>
        <v>72.8369</v>
      </c>
      <c r="S6" s="26" t="n">
        <f aca="false">SUM(C6:R6)</f>
        <v>318.1111</v>
      </c>
    </row>
    <row r="7" customFormat="false" ht="15" hidden="false" customHeight="false" outlineLevel="0" collapsed="false">
      <c r="A7" s="22" t="s">
        <v>260</v>
      </c>
      <c r="B7" s="23" t="s">
        <v>214</v>
      </c>
      <c r="C7" s="34" t="s">
        <v>261</v>
      </c>
      <c r="D7" s="28" t="n">
        <f aca="false">D6/C6-1</f>
        <v>-0.3875</v>
      </c>
      <c r="E7" s="28" t="n">
        <f aca="false">E6/D6-1</f>
        <v>-0.128401360544218</v>
      </c>
      <c r="F7" s="28" t="n">
        <f aca="false">F6/E6-1</f>
        <v>0.220975609756098</v>
      </c>
      <c r="G7" s="28" t="n">
        <f aca="false">G6/F6-1</f>
        <v>0.280063923292049</v>
      </c>
      <c r="H7" s="28" t="n">
        <f aca="false">H6/G6-1</f>
        <v>0.382022471910112</v>
      </c>
      <c r="I7" s="28" t="n">
        <f aca="false">I6/H6-1</f>
        <v>0.338527551942186</v>
      </c>
      <c r="J7" s="28" t="n">
        <f aca="false">J6/I6-1</f>
        <v>0.28699173274844</v>
      </c>
      <c r="K7" s="28" t="n">
        <f aca="false">K6/J6-1</f>
        <v>0.266911379129523</v>
      </c>
      <c r="L7" s="28" t="n">
        <f aca="false">L6/K6-1</f>
        <v>0.139072847682119</v>
      </c>
      <c r="M7" s="28" t="n">
        <f aca="false">M6/L6-1</f>
        <v>0.273255813953489</v>
      </c>
      <c r="N7" s="28" t="n">
        <f aca="false">N6/M6-1</f>
        <v>0.360159817351598</v>
      </c>
      <c r="O7" s="28" t="n">
        <f aca="false">O6/N6-1</f>
        <v>0.451951321863198</v>
      </c>
      <c r="P7" s="28" t="n">
        <f aca="false">P6/O6-1</f>
        <v>0.432743256262042</v>
      </c>
      <c r="Q7" s="28" t="n">
        <f aca="false">Q6/P6-1</f>
        <v>0.295385585206976</v>
      </c>
      <c r="R7" s="28" t="n">
        <f aca="false">R6/Q6-1</f>
        <v>0.181508060356155</v>
      </c>
      <c r="S7" s="34" t="s">
        <v>261</v>
      </c>
    </row>
    <row r="8" customFormat="false" ht="15" hidden="false" customHeight="false" outlineLevel="0" collapsed="false">
      <c r="A8" s="22" t="s">
        <v>213</v>
      </c>
      <c r="B8" s="30" t="s">
        <v>262</v>
      </c>
      <c r="C8" s="28" t="n">
        <f aca="false">利润表!C10/利润表!C7</f>
        <v>0.134418402777778</v>
      </c>
      <c r="D8" s="28" t="n">
        <f aca="false">利润表!D10/利润表!D7</f>
        <v>-0.289576247165533</v>
      </c>
      <c r="E8" s="28" t="n">
        <f aca="false">利润表!E10/利润表!E7</f>
        <v>-0.480772357723577</v>
      </c>
      <c r="F8" s="28" t="n">
        <f aca="false">利润表!F10/利润表!F7</f>
        <v>-0.145292315887602</v>
      </c>
      <c r="G8" s="28" t="n">
        <f aca="false">利润表!G10/利润表!G7</f>
        <v>0.112671660424469</v>
      </c>
      <c r="H8" s="28" t="n">
        <f aca="false">利润表!H10/利润表!H7</f>
        <v>0.235678259560373</v>
      </c>
      <c r="I8" s="28" t="n">
        <f aca="false">利润表!I10/利润表!I7</f>
        <v>0.329073167988302</v>
      </c>
      <c r="J8" s="28" t="n">
        <f aca="false">利润表!J10/利润表!J7</f>
        <v>0.414995193148051</v>
      </c>
      <c r="K8" s="28" t="n">
        <f aca="false">利润表!K10/利润表!K7</f>
        <v>0.494791666666667</v>
      </c>
      <c r="L8" s="28" t="n">
        <f aca="false">利润表!L10/利润表!L7</f>
        <v>0.537820978682171</v>
      </c>
      <c r="M8" s="28" t="n">
        <f aca="false">利润表!M10/利润表!M7</f>
        <v>0.602436501141553</v>
      </c>
      <c r="N8" s="28" t="n">
        <f aca="false">利润表!N10/利润表!N7</f>
        <v>0.684903483004616</v>
      </c>
      <c r="O8" s="28" t="n">
        <f aca="false">利润表!O10/利润表!O7</f>
        <v>0.76252408477842</v>
      </c>
      <c r="P8" s="28" t="n">
        <f aca="false">利润表!P10/利润表!P7</f>
        <v>0.840783778104644</v>
      </c>
      <c r="Q8" s="28" t="n">
        <f aca="false">利润表!Q10/利润表!Q7</f>
        <v>0.884180030301359</v>
      </c>
      <c r="R8" s="28" t="n">
        <f aca="false">利润表!R10/利润表!R7</f>
        <v>0.90094306594597</v>
      </c>
      <c r="S8" s="28" t="n">
        <f aca="false">利润表!S10/利润表!S7</f>
        <v>0.723398837701671</v>
      </c>
    </row>
    <row r="9" customFormat="false" ht="15" hidden="false" customHeight="false" outlineLevel="0" collapsed="false">
      <c r="A9" s="22" t="s">
        <v>263</v>
      </c>
      <c r="B9" s="30" t="s">
        <v>264</v>
      </c>
      <c r="C9" s="28" t="n">
        <f aca="false">利润表!C15/利润表!C7</f>
        <v>-0.744487847222222</v>
      </c>
      <c r="D9" s="28" t="n">
        <f aca="false">利润表!D15/利润表!D7</f>
        <v>-0.661600056689342</v>
      </c>
      <c r="E9" s="28" t="n">
        <f aca="false">利润表!E15/利润表!E7</f>
        <v>-0.90760162601626</v>
      </c>
      <c r="F9" s="28" t="n">
        <f aca="false">利润表!F15/利润表!F7</f>
        <v>-0.494872819283526</v>
      </c>
      <c r="G9" s="28" t="n">
        <f aca="false">利润表!G15/利润表!G7</f>
        <v>-0.160424469413234</v>
      </c>
      <c r="H9" s="28" t="n">
        <f aca="false">利润表!H15/利润表!H7</f>
        <v>0.0380721168322794</v>
      </c>
      <c r="I9" s="28" t="n">
        <f aca="false">利润表!I15/利润表!I7</f>
        <v>0.181443675833755</v>
      </c>
      <c r="J9" s="28" t="n">
        <f aca="false">利润表!J15/利润表!J7</f>
        <v>0.300286226184234</v>
      </c>
      <c r="K9" s="28" t="n">
        <f aca="false">利润表!K15/利润表!K7</f>
        <v>0.40424944812362</v>
      </c>
      <c r="L9" s="28" t="n">
        <f aca="false">利润表!L15/利润表!L7</f>
        <v>0.458333333333333</v>
      </c>
      <c r="M9" s="28" t="n">
        <f aca="false">利润表!M15/利润表!M7</f>
        <v>0.540007848173516</v>
      </c>
      <c r="N9" s="28" t="n">
        <f aca="false">利润表!N15/利润表!N7</f>
        <v>0.639005455308435</v>
      </c>
      <c r="O9" s="28" t="n">
        <f aca="false">利润表!O15/利润表!O7</f>
        <v>0.73091281310212</v>
      </c>
      <c r="P9" s="28" t="n">
        <f aca="false">利润表!P15/利润表!P7</f>
        <v>0.818720319394831</v>
      </c>
      <c r="Q9" s="28" t="n">
        <f aca="false">利润表!Q15/利润表!Q7</f>
        <v>0.867147681816265</v>
      </c>
      <c r="R9" s="28" t="n">
        <f aca="false">利润表!R15/利润表!R7</f>
        <v>0.886527295917317</v>
      </c>
      <c r="S9" s="28" t="n">
        <f aca="false">利润表!S15/利润表!S7</f>
        <v>0.661156432453945</v>
      </c>
    </row>
    <row r="10" customFormat="false" ht="15" hidden="false" customHeight="false" outlineLevel="0" collapsed="false">
      <c r="A10" s="22" t="s">
        <v>265</v>
      </c>
      <c r="B10" s="30" t="s">
        <v>266</v>
      </c>
      <c r="C10" s="28" t="n">
        <f aca="false">利润表!C19/利润表!C7</f>
        <v>-0.746657986111111</v>
      </c>
      <c r="D10" s="28" t="n">
        <f aca="false">利润表!D19/利润表!D7</f>
        <v>-0.674284297052154</v>
      </c>
      <c r="E10" s="28" t="n">
        <f aca="false">利润表!E19/利润表!E7</f>
        <v>-0.929512195121951</v>
      </c>
      <c r="F10" s="28" t="n">
        <f aca="false">利润表!F19/利润表!F7</f>
        <v>-0.524537222000266</v>
      </c>
      <c r="G10" s="28" t="n">
        <f aca="false">利润表!G19/利润表!G7</f>
        <v>-0.191687473990845</v>
      </c>
      <c r="H10" s="28" t="n">
        <f aca="false">利润表!H19/利润表!H7</f>
        <v>0.0036698283649503</v>
      </c>
      <c r="I10" s="28" t="n">
        <f aca="false">利润表!I19/利润表!I7</f>
        <v>0.129337495079017</v>
      </c>
      <c r="J10" s="28" t="n">
        <f aca="false">利润表!J19/利润表!J7</f>
        <v>0.235819786750568</v>
      </c>
      <c r="K10" s="28" t="n">
        <f aca="false">利润表!K19/利润表!K7</f>
        <v>0.327616238962472</v>
      </c>
      <c r="L10" s="28" t="n">
        <f aca="false">利润表!L19/利润表!L7</f>
        <v>0.375340661337209</v>
      </c>
      <c r="M10" s="28" t="n">
        <f aca="false">利润表!M19/利润表!M7</f>
        <v>0.449831145357687</v>
      </c>
      <c r="N10" s="28" t="n">
        <f aca="false">利润表!N19/利润表!N7</f>
        <v>0.541968282277242</v>
      </c>
      <c r="O10" s="28" t="n">
        <f aca="false">利润表!O19/利润表!O7</f>
        <v>0.624418954720617</v>
      </c>
      <c r="P10" s="28" t="n">
        <f aca="false">利润表!P19/利润表!P7</f>
        <v>0.701527631855432</v>
      </c>
      <c r="Q10" s="28" t="n">
        <f aca="false">利润表!Q19/利润表!Q7</f>
        <v>0.745397210587957</v>
      </c>
      <c r="R10" s="28" t="n">
        <f aca="false">利润表!R19/利润表!R7</f>
        <v>0.765097086778817</v>
      </c>
      <c r="S10" s="28" t="n">
        <f aca="false">利润表!S19/利润表!S7</f>
        <v>0.558554542736799</v>
      </c>
    </row>
    <row r="11" customFormat="false" ht="15" hidden="false" customHeight="false" outlineLevel="0" collapsed="false">
      <c r="A11" s="24" t="s">
        <v>267</v>
      </c>
      <c r="B11" s="30" t="s">
        <v>268</v>
      </c>
      <c r="C11" s="26" t="n">
        <f aca="false">利润表!C15+现金流量表!C6</f>
        <v>-1.4306</v>
      </c>
      <c r="D11" s="26" t="n">
        <f aca="false">利润表!D15+现金流量表!D6</f>
        <v>0.1327</v>
      </c>
      <c r="E11" s="26" t="n">
        <f aca="false">利润表!E15+现金流量表!E6</f>
        <v>-0.2327</v>
      </c>
      <c r="F11" s="26" t="n">
        <f aca="false">利润表!F15+现金流量表!F6</f>
        <v>0.5136</v>
      </c>
      <c r="G11" s="26" t="n">
        <f aca="false">利润表!G15+现金流量表!G6</f>
        <v>1.4582</v>
      </c>
      <c r="H11" s="26" t="n">
        <f aca="false">利润表!H15+现金流量表!H6</f>
        <v>2.3523</v>
      </c>
      <c r="I11" s="26" t="n">
        <f aca="false">利润表!I15+现金流量表!I6</f>
        <v>3.5155</v>
      </c>
      <c r="J11" s="26" t="n">
        <f aca="false">利润表!J15+现金流量表!J6</f>
        <v>5.0487</v>
      </c>
      <c r="K11" s="26" t="n">
        <f aca="false">利润表!K15+现金流量表!K6</f>
        <v>7.213</v>
      </c>
      <c r="L11" s="26" t="n">
        <f aca="false">利润表!L15+现金流量表!L6</f>
        <v>8.7744</v>
      </c>
      <c r="M11" s="26" t="n">
        <f aca="false">利润表!M15+现金流量表!M6</f>
        <v>11.9675</v>
      </c>
      <c r="N11" s="26" t="n">
        <f aca="false">利润表!N15+现金流量表!N6</f>
        <v>17.7884</v>
      </c>
      <c r="O11" s="26" t="n">
        <f aca="false">利润表!O15+现金流量表!O6</f>
        <v>27.763</v>
      </c>
      <c r="P11" s="26" t="n">
        <f aca="false">利润表!P15+现金流量表!P6</f>
        <v>42.7029</v>
      </c>
      <c r="Q11" s="26" t="n">
        <f aca="false">利润表!Q15+现金流量表!Q6</f>
        <v>57.2724</v>
      </c>
      <c r="R11" s="26" t="n">
        <f aca="false">利润表!R15+现金流量表!R6</f>
        <v>68.4619</v>
      </c>
      <c r="S11" s="26" t="n">
        <f aca="false">SUM(C11:R11)</f>
        <v>253.3012</v>
      </c>
    </row>
    <row r="12" customFormat="false" ht="15" hidden="false" customHeight="false" outlineLevel="0" collapsed="false">
      <c r="A12" s="24" t="s">
        <v>269</v>
      </c>
      <c r="B12" s="23" t="s">
        <v>270</v>
      </c>
      <c r="C12" s="28" t="n">
        <f aca="false">利润表!C6/利润表!C7</f>
        <v>0</v>
      </c>
      <c r="D12" s="28" t="n">
        <f aca="false">利润表!D6/利润表!D7</f>
        <v>0</v>
      </c>
      <c r="E12" s="28" t="n">
        <f aca="false">利润表!E6/利润表!E7</f>
        <v>0</v>
      </c>
      <c r="F12" s="28" t="n">
        <f aca="false">利润表!F6/利润表!F7</f>
        <v>0.0894926088693568</v>
      </c>
      <c r="G12" s="28" t="n">
        <f aca="false">利润表!G6/利润表!G7</f>
        <v>0.119850187265918</v>
      </c>
      <c r="H12" s="28" t="n">
        <f aca="false">利润表!H6/利润表!H7</f>
        <v>0.154471544715447</v>
      </c>
      <c r="I12" s="28" t="n">
        <f aca="false">利润表!I6/利润表!I7</f>
        <v>0.201788425847815</v>
      </c>
      <c r="J12" s="28" t="n">
        <f aca="false">利润表!J6/利润表!J7</f>
        <v>0.264289459884636</v>
      </c>
      <c r="K12" s="28" t="n">
        <f aca="false">利润表!K6/利润表!K7</f>
        <v>0.337748344370861</v>
      </c>
      <c r="L12" s="28" t="n">
        <f aca="false">利润表!L6/利润表!L7</f>
        <v>0.436046511627907</v>
      </c>
      <c r="M12" s="28" t="n">
        <f aca="false">利润表!M6/利润表!M7</f>
        <v>0.485730593607306</v>
      </c>
      <c r="N12" s="28" t="n">
        <f aca="false">利润表!N6/利润表!N7</f>
        <v>0.50986151909358</v>
      </c>
      <c r="O12" s="28" t="n">
        <f aca="false">利润表!O6/利润表!O7</f>
        <v>0.508670520231214</v>
      </c>
      <c r="P12" s="28" t="n">
        <f aca="false">利润表!P6/利润表!P7</f>
        <v>0.517419625971843</v>
      </c>
      <c r="Q12" s="28" t="n">
        <f aca="false">利润表!Q6/利润表!Q7</f>
        <v>0.548149638103148</v>
      </c>
      <c r="R12" s="28" t="n">
        <f aca="false">利润表!R6/利润表!R7</f>
        <v>0.585197887334579</v>
      </c>
      <c r="S12" s="28" t="n">
        <f aca="false">利润表!S6/利润表!S7</f>
        <v>0.480496279444509</v>
      </c>
    </row>
    <row r="13" customFormat="false" ht="15" hidden="false" customHeight="false" outlineLevel="0" collapsed="false">
      <c r="A13" s="3" t="s">
        <v>271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customFormat="false" ht="15" hidden="false" customHeight="false" outlineLevel="0" collapsed="false">
      <c r="A14" s="22" t="s">
        <v>272</v>
      </c>
      <c r="B14" s="30" t="s">
        <v>273</v>
      </c>
      <c r="C14" s="33" t="n">
        <f aca="false">原始数据!C13*P_BASE*1000</f>
        <v>19.2</v>
      </c>
      <c r="D14" s="33" t="n">
        <f aca="false">原始数据!D13*P_BASE*1000</f>
        <v>13.44</v>
      </c>
      <c r="E14" s="33" t="n">
        <f aca="false">原始数据!E13*P_BASE*1000</f>
        <v>12</v>
      </c>
      <c r="F14" s="33" t="n">
        <f aca="false">原始数据!F13*P_BASE*1000</f>
        <v>12.72</v>
      </c>
      <c r="G14" s="33" t="n">
        <f aca="false">原始数据!G13*P_BASE*1000</f>
        <v>14.4</v>
      </c>
      <c r="H14" s="33" t="n">
        <f aca="false">原始数据!H13*P_BASE*1000</f>
        <v>17.28</v>
      </c>
      <c r="I14" s="33" t="n">
        <f aca="false">原始数据!I13*P_BASE*1000</f>
        <v>19.92</v>
      </c>
      <c r="J14" s="33" t="n">
        <f aca="false">原始数据!J13*P_BASE*1000</f>
        <v>22.08</v>
      </c>
      <c r="K14" s="33" t="n">
        <f aca="false">原始数据!K13*P_BASE*1000</f>
        <v>24</v>
      </c>
      <c r="L14" s="33" t="n">
        <f aca="false">原始数据!L13*P_BASE*1000</f>
        <v>23.28</v>
      </c>
      <c r="M14" s="33" t="n">
        <f aca="false">原始数据!M13*P_BASE*1000</f>
        <v>25.44</v>
      </c>
      <c r="N14" s="33" t="n">
        <f aca="false">原始数据!N13*P_BASE*1000</f>
        <v>30.72</v>
      </c>
      <c r="O14" s="33" t="n">
        <f aca="false">原始数据!O13*P_BASE*1000</f>
        <v>40.8</v>
      </c>
      <c r="P14" s="33" t="n">
        <f aca="false">原始数据!P13*P_BASE*1000</f>
        <v>63.6</v>
      </c>
      <c r="Q14" s="33" t="n">
        <f aca="false">原始数据!Q13*P_BASE*1000</f>
        <v>93.6</v>
      </c>
      <c r="R14" s="33" t="n">
        <f aca="false">原始数据!R13*P_BASE*1000</f>
        <v>109.2</v>
      </c>
      <c r="S14" s="35" t="s">
        <v>261</v>
      </c>
    </row>
    <row r="15" customFormat="false" ht="15" hidden="false" customHeight="false" outlineLevel="0" collapsed="false">
      <c r="A15" s="24" t="s">
        <v>274</v>
      </c>
      <c r="B15" s="23" t="s">
        <v>275</v>
      </c>
      <c r="C15" s="33" t="n">
        <f aca="false">原始数据!C14*P_BASE*1000</f>
        <v>38.4</v>
      </c>
      <c r="D15" s="33" t="n">
        <f aca="false">原始数据!D14*P_BASE*1000</f>
        <v>33.6</v>
      </c>
      <c r="E15" s="33" t="n">
        <f aca="false">原始数据!E14*P_BASE*1000</f>
        <v>31.2</v>
      </c>
      <c r="F15" s="33" t="n">
        <f aca="false">原始数据!F14*P_BASE*1000</f>
        <v>33.6</v>
      </c>
      <c r="G15" s="33" t="n">
        <f aca="false">原始数据!G14*P_BASE*1000</f>
        <v>38.4</v>
      </c>
      <c r="H15" s="33" t="n">
        <f aca="false">原始数据!H14*P_BASE*1000</f>
        <v>45.6</v>
      </c>
      <c r="I15" s="33" t="n">
        <f aca="false">原始数据!I14*P_BASE*1000</f>
        <v>55.2</v>
      </c>
      <c r="J15" s="33" t="n">
        <f aca="false">原始数据!J14*P_BASE*1000</f>
        <v>67.2</v>
      </c>
      <c r="K15" s="33" t="n">
        <f aca="false">原始数据!K14*P_BASE*1000</f>
        <v>81.6</v>
      </c>
      <c r="L15" s="33" t="n">
        <f aca="false">原始数据!L14*P_BASE*1000</f>
        <v>96</v>
      </c>
      <c r="M15" s="33" t="n">
        <f aca="false">原始数据!M14*P_BASE*1000</f>
        <v>110.4</v>
      </c>
      <c r="N15" s="33" t="n">
        <f aca="false">原始数据!N14*P_BASE*1000</f>
        <v>129.6</v>
      </c>
      <c r="O15" s="33" t="n">
        <f aca="false">原始数据!O14*P_BASE*1000</f>
        <v>153.6</v>
      </c>
      <c r="P15" s="33" t="n">
        <f aca="false">原始数据!P14*P_BASE*1000</f>
        <v>182.4</v>
      </c>
      <c r="Q15" s="33" t="n">
        <f aca="false">原始数据!Q14*P_BASE*1000</f>
        <v>211.2</v>
      </c>
      <c r="R15" s="33" t="n">
        <f aca="false">原始数据!R14*P_BASE*1000</f>
        <v>230.4</v>
      </c>
      <c r="S15" s="35" t="s">
        <v>261</v>
      </c>
    </row>
    <row r="16" customFormat="false" ht="15" hidden="false" customHeight="false" outlineLevel="0" collapsed="false">
      <c r="A16" s="22" t="s">
        <v>276</v>
      </c>
      <c r="B16" s="30" t="s">
        <v>277</v>
      </c>
      <c r="C16" s="33" t="n">
        <f aca="false">原始数据!C23</f>
        <v>16.765</v>
      </c>
      <c r="D16" s="33" t="n">
        <f aca="false">原始数据!D23</f>
        <v>15</v>
      </c>
      <c r="E16" s="33" t="n">
        <f aca="false">原始数据!E23</f>
        <v>15</v>
      </c>
      <c r="F16" s="33" t="n">
        <f aca="false">原始数据!F23</f>
        <v>15</v>
      </c>
      <c r="G16" s="33" t="n">
        <f aca="false">原始数据!G23</f>
        <v>15.25</v>
      </c>
      <c r="H16" s="33" t="n">
        <f aca="false">原始数据!H23</f>
        <v>15.5</v>
      </c>
      <c r="I16" s="33" t="n">
        <f aca="false">原始数据!I23</f>
        <v>15.75</v>
      </c>
      <c r="J16" s="33" t="n">
        <f aca="false">原始数据!J23</f>
        <v>16</v>
      </c>
      <c r="K16" s="33" t="n">
        <f aca="false">原始数据!K23</f>
        <v>15.846</v>
      </c>
      <c r="L16" s="33" t="n">
        <f aca="false">原始数据!L23</f>
        <v>15.783</v>
      </c>
      <c r="M16" s="33" t="n">
        <f aca="false">原始数据!M23</f>
        <v>15.792</v>
      </c>
      <c r="N16" s="33" t="n">
        <f aca="false">原始数据!N23</f>
        <v>15.557</v>
      </c>
      <c r="O16" s="33" t="n">
        <f aca="false">原始数据!O23</f>
        <v>15.31</v>
      </c>
      <c r="P16" s="33" t="n">
        <f aca="false">原始数据!P23</f>
        <v>15.194</v>
      </c>
      <c r="Q16" s="33" t="n">
        <f aca="false">原始数据!Q23</f>
        <v>15.355</v>
      </c>
      <c r="R16" s="33" t="n">
        <f aca="false">原始数据!R23</f>
        <v>15.516</v>
      </c>
      <c r="S16" s="35" t="s">
        <v>261</v>
      </c>
    </row>
    <row r="17" customFormat="false" ht="15" hidden="false" customHeight="false" outlineLevel="0" collapsed="false">
      <c r="A17" s="22" t="s">
        <v>278</v>
      </c>
      <c r="B17" s="30" t="s">
        <v>279</v>
      </c>
      <c r="C17" s="33" t="n">
        <f aca="false">V_COST*1000</f>
        <v>5</v>
      </c>
      <c r="D17" s="33" t="n">
        <f aca="false">V_COST*1000</f>
        <v>5</v>
      </c>
      <c r="E17" s="33" t="n">
        <f aca="false">V_COST*1000</f>
        <v>5</v>
      </c>
      <c r="F17" s="33" t="n">
        <f aca="false">V_COST*1000</f>
        <v>5</v>
      </c>
      <c r="G17" s="33" t="n">
        <f aca="false">V_COST*1000</f>
        <v>5</v>
      </c>
      <c r="H17" s="33" t="n">
        <f aca="false">V_COST*1000</f>
        <v>5</v>
      </c>
      <c r="I17" s="33" t="n">
        <f aca="false">V_COST*1000</f>
        <v>5</v>
      </c>
      <c r="J17" s="33" t="n">
        <f aca="false">V_COST*1000</f>
        <v>5</v>
      </c>
      <c r="K17" s="33" t="n">
        <f aca="false">V_COST*1000</f>
        <v>5</v>
      </c>
      <c r="L17" s="33" t="n">
        <f aca="false">V_COST*1000</f>
        <v>5</v>
      </c>
      <c r="M17" s="33" t="n">
        <f aca="false">V_COST*1000</f>
        <v>5</v>
      </c>
      <c r="N17" s="33" t="n">
        <f aca="false">V_COST*1000</f>
        <v>5</v>
      </c>
      <c r="O17" s="33" t="n">
        <f aca="false">V_COST*1000</f>
        <v>5</v>
      </c>
      <c r="P17" s="33" t="n">
        <f aca="false">V_COST*1000</f>
        <v>5</v>
      </c>
      <c r="Q17" s="33" t="n">
        <f aca="false">V_COST*1000</f>
        <v>5</v>
      </c>
      <c r="R17" s="33" t="n">
        <f aca="false">V_COST*1000</f>
        <v>5</v>
      </c>
      <c r="S17" s="35" t="s">
        <v>261</v>
      </c>
    </row>
    <row r="18" customFormat="false" ht="15" hidden="false" customHeight="false" outlineLevel="0" collapsed="false">
      <c r="A18" s="22" t="s">
        <v>280</v>
      </c>
      <c r="B18" s="23" t="s">
        <v>281</v>
      </c>
      <c r="C18" s="33" t="n">
        <f aca="false">(PLANT_FIXED+V_COST*原始数据!C19+RND_BASE+SGA_Q)/原始数据!C19*1000</f>
        <v>13.0392156862745</v>
      </c>
      <c r="D18" s="33" t="n">
        <f aca="false">(PLANT_FIXED+V_COST*原始数据!D19+RND_BASE+SGA_Q)/原始数据!D19*1000</f>
        <v>11.8333333333333</v>
      </c>
      <c r="E18" s="33" t="n">
        <f aca="false">(PLANT_FIXED+V_COST*原始数据!E19+RND_BASE+SGA_Q)/原始数据!E19*1000</f>
        <v>11.8333333333333</v>
      </c>
      <c r="F18" s="33" t="n">
        <f aca="false">(PLANT_FIXED+V_COST*原始数据!F19+RND_BASE+SGA_Q)/原始数据!F19*1000</f>
        <v>11.8333333333333</v>
      </c>
      <c r="G18" s="33" t="n">
        <f aca="false">(PLANT_FIXED+V_COST*原始数据!G19+RND_BASE+SGA_Q)/原始数据!G19*1000</f>
        <v>11.8333333333333</v>
      </c>
      <c r="H18" s="33" t="n">
        <f aca="false">(PLANT_FIXED+V_COST*原始数据!H19+RND_BASE+SGA_Q)/原始数据!H19*1000</f>
        <v>11.8333333333333</v>
      </c>
      <c r="I18" s="33" t="n">
        <f aca="false">(PLANT_FIXED+V_COST*原始数据!I19+RND_BASE+SGA_Q)/原始数据!I19*1000</f>
        <v>11.8333333333333</v>
      </c>
      <c r="J18" s="33" t="n">
        <f aca="false">(PLANT_FIXED+V_COST*原始数据!J19+RND_BASE+SGA_Q)/原始数据!J19*1000</f>
        <v>11.8333333333333</v>
      </c>
      <c r="K18" s="33" t="n">
        <f aca="false">(PLANT_FIXED+V_COST*原始数据!K19+RND_BASE+SGA_Q)/原始数据!K19*1000</f>
        <v>11.3076923076923</v>
      </c>
      <c r="L18" s="33" t="n">
        <f aca="false">(PLANT_FIXED+V_COST*原始数据!L19+RND_BASE+SGA_Q)/原始数据!L19*1000</f>
        <v>10.9420289855072</v>
      </c>
      <c r="M18" s="33" t="n">
        <f aca="false">(PLANT_FIXED+V_COST*原始数据!M19+RND_BASE+SGA_Q)/原始数据!M19*1000</f>
        <v>10.6944444444444</v>
      </c>
      <c r="N18" s="33" t="n">
        <f aca="false">(PLANT_FIXED+V_COST*原始数据!N19+RND_BASE+SGA_Q)/原始数据!N19*1000</f>
        <v>10.1898734177215</v>
      </c>
      <c r="O18" s="33" t="n">
        <f aca="false">(PLANT_FIXED+V_COST*原始数据!O19+RND_BASE+SGA_Q)/原始数据!O19*1000</f>
        <v>9.71264367816092</v>
      </c>
      <c r="P18" s="33" t="n">
        <f aca="false">(PLANT_FIXED+V_COST*原始数据!P19+RND_BASE+SGA_Q)/原始数据!P19*1000</f>
        <v>9.40860215053763</v>
      </c>
      <c r="Q18" s="33" t="n">
        <f aca="false">(PLANT_FIXED+V_COST*原始数据!Q19+RND_BASE+SGA_Q)/原始数据!Q19*1000</f>
        <v>9.40860215053763</v>
      </c>
      <c r="R18" s="33" t="n">
        <f aca="false">(PLANT_FIXED+V_COST*原始数据!R19+RND_BASE+SGA_Q)/原始数据!R19*1000</f>
        <v>9.40860215053763</v>
      </c>
      <c r="S18" s="35" t="s">
        <v>261</v>
      </c>
    </row>
    <row r="19" customFormat="false" ht="15" hidden="false" customHeight="false" outlineLevel="0" collapsed="false">
      <c r="A19" s="22" t="s">
        <v>282</v>
      </c>
      <c r="B19" s="30" t="s">
        <v>283</v>
      </c>
      <c r="C19" s="33" t="n">
        <f aca="false">C14-C16</f>
        <v>2.435</v>
      </c>
      <c r="D19" s="33" t="n">
        <f aca="false">D14-D16</f>
        <v>-1.56</v>
      </c>
      <c r="E19" s="33" t="n">
        <f aca="false">E14-E16</f>
        <v>-3</v>
      </c>
      <c r="F19" s="33" t="n">
        <f aca="false">F14-F16</f>
        <v>-2.28</v>
      </c>
      <c r="G19" s="33" t="n">
        <f aca="false">G14-G16</f>
        <v>-0.85</v>
      </c>
      <c r="H19" s="33" t="n">
        <f aca="false">H14-H16</f>
        <v>1.78</v>
      </c>
      <c r="I19" s="33" t="n">
        <f aca="false">I14-I16</f>
        <v>4.17</v>
      </c>
      <c r="J19" s="33" t="n">
        <f aca="false">J14-J16</f>
        <v>6.08</v>
      </c>
      <c r="K19" s="33" t="n">
        <f aca="false">K14-K16</f>
        <v>8.154</v>
      </c>
      <c r="L19" s="33" t="n">
        <f aca="false">L14-L16</f>
        <v>7.497</v>
      </c>
      <c r="M19" s="33" t="n">
        <f aca="false">M14-M16</f>
        <v>9.648</v>
      </c>
      <c r="N19" s="33" t="n">
        <f aca="false">N14-N16</f>
        <v>15.163</v>
      </c>
      <c r="O19" s="33" t="n">
        <f aca="false">O14-O16</f>
        <v>25.49</v>
      </c>
      <c r="P19" s="33" t="n">
        <f aca="false">P14-P16</f>
        <v>48.406</v>
      </c>
      <c r="Q19" s="33" t="n">
        <f aca="false">Q14-Q16</f>
        <v>78.245</v>
      </c>
      <c r="R19" s="33" t="n">
        <f aca="false">R14-R16</f>
        <v>93.684</v>
      </c>
      <c r="S19" s="35" t="s">
        <v>261</v>
      </c>
    </row>
    <row r="20" customFormat="false" ht="15" hidden="false" customHeight="false" outlineLevel="0" collapsed="false">
      <c r="A20" s="24" t="s">
        <v>284</v>
      </c>
      <c r="B20" s="30" t="s">
        <v>92</v>
      </c>
      <c r="C20" s="36" t="n">
        <f aca="false">C15/C14</f>
        <v>2</v>
      </c>
      <c r="D20" s="36" t="n">
        <f aca="false">D15/D14</f>
        <v>2.5</v>
      </c>
      <c r="E20" s="36" t="n">
        <f aca="false">E15/E14</f>
        <v>2.6</v>
      </c>
      <c r="F20" s="36" t="n">
        <f aca="false">F15/F14</f>
        <v>2.64150943396226</v>
      </c>
      <c r="G20" s="36" t="n">
        <f aca="false">G15/G14</f>
        <v>2.66666666666667</v>
      </c>
      <c r="H20" s="36" t="n">
        <f aca="false">H15/H14</f>
        <v>2.63888888888889</v>
      </c>
      <c r="I20" s="36" t="n">
        <f aca="false">I15/I14</f>
        <v>2.7710843373494</v>
      </c>
      <c r="J20" s="36" t="n">
        <f aca="false">J15/J14</f>
        <v>3.04347826086957</v>
      </c>
      <c r="K20" s="36" t="n">
        <f aca="false">K15/K14</f>
        <v>3.4</v>
      </c>
      <c r="L20" s="36" t="n">
        <f aca="false">L15/L14</f>
        <v>4.12371134020619</v>
      </c>
      <c r="M20" s="36" t="n">
        <f aca="false">M15/M14</f>
        <v>4.33962264150943</v>
      </c>
      <c r="N20" s="36" t="n">
        <f aca="false">N15/N14</f>
        <v>4.21875</v>
      </c>
      <c r="O20" s="36" t="n">
        <f aca="false">O15/O14</f>
        <v>3.76470588235294</v>
      </c>
      <c r="P20" s="36" t="n">
        <f aca="false">P15/P14</f>
        <v>2.86792452830189</v>
      </c>
      <c r="Q20" s="36" t="n">
        <f aca="false">Q15/Q14</f>
        <v>2.25641025641026</v>
      </c>
      <c r="R20" s="36" t="n">
        <f aca="false">R15/R14</f>
        <v>2.10989010989011</v>
      </c>
      <c r="S20" s="37" t="s">
        <v>261</v>
      </c>
    </row>
    <row r="21" customFormat="false" ht="15" hidden="false" customHeight="false" outlineLevel="0" collapsed="false">
      <c r="A21" s="3" t="s">
        <v>140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customFormat="false" ht="15" hidden="false" customHeight="false" outlineLevel="0" collapsed="false">
      <c r="A22" s="22" t="s">
        <v>285</v>
      </c>
      <c r="B22" s="30" t="s">
        <v>286</v>
      </c>
      <c r="C22" s="28" t="n">
        <f aca="false">原始数据!C19/原始数据!C18</f>
        <v>0.85</v>
      </c>
      <c r="D22" s="28" t="n">
        <f aca="false">原始数据!D19/原始数据!D18</f>
        <v>1</v>
      </c>
      <c r="E22" s="28" t="n">
        <f aca="false">原始数据!E19/原始数据!E18</f>
        <v>1</v>
      </c>
      <c r="F22" s="28" t="n">
        <f aca="false">原始数据!F19/原始数据!F18</f>
        <v>1</v>
      </c>
      <c r="G22" s="28" t="n">
        <f aca="false">原始数据!G19/原始数据!G18</f>
        <v>1</v>
      </c>
      <c r="H22" s="28" t="n">
        <f aca="false">原始数据!H19/原始数据!H18</f>
        <v>1</v>
      </c>
      <c r="I22" s="28" t="n">
        <f aca="false">原始数据!I19/原始数据!I18</f>
        <v>1</v>
      </c>
      <c r="J22" s="28" t="n">
        <f aca="false">原始数据!J19/原始数据!J18</f>
        <v>1</v>
      </c>
      <c r="K22" s="28" t="n">
        <f aca="false">原始数据!K19/原始数据!K18</f>
        <v>1</v>
      </c>
      <c r="L22" s="28" t="n">
        <f aca="false">原始数据!L19/原始数据!L18</f>
        <v>1</v>
      </c>
      <c r="M22" s="28" t="n">
        <f aca="false">原始数据!M19/原始数据!M18</f>
        <v>1</v>
      </c>
      <c r="N22" s="28" t="n">
        <f aca="false">原始数据!N19/原始数据!N18</f>
        <v>1</v>
      </c>
      <c r="O22" s="28" t="n">
        <f aca="false">原始数据!O19/原始数据!O18</f>
        <v>1</v>
      </c>
      <c r="P22" s="28" t="n">
        <f aca="false">原始数据!P19/原始数据!P18</f>
        <v>1</v>
      </c>
      <c r="Q22" s="28" t="n">
        <f aca="false">原始数据!Q19/原始数据!Q18</f>
        <v>1</v>
      </c>
      <c r="R22" s="28" t="n">
        <f aca="false">原始数据!R19/原始数据!R18</f>
        <v>1</v>
      </c>
      <c r="S22" s="34" t="s">
        <v>261</v>
      </c>
    </row>
    <row r="23" customFormat="false" ht="15" hidden="false" customHeight="false" outlineLevel="0" collapsed="false">
      <c r="A23" s="22" t="s">
        <v>287</v>
      </c>
      <c r="B23" s="30" t="s">
        <v>288</v>
      </c>
      <c r="C23" s="28" t="n">
        <f aca="false">原始数据!C21/原始数据!C15</f>
        <v>1</v>
      </c>
      <c r="D23" s="28" t="n">
        <f aca="false">原始数据!D21/原始数据!D15</f>
        <v>1</v>
      </c>
      <c r="E23" s="28" t="n">
        <f aca="false">原始数据!E21/原始数据!E15</f>
        <v>1</v>
      </c>
      <c r="F23" s="28" t="n">
        <f aca="false">原始数据!F21/原始数据!F15</f>
        <v>1</v>
      </c>
      <c r="G23" s="28" t="n">
        <f aca="false">原始数据!G21/原始数据!G15</f>
        <v>1</v>
      </c>
      <c r="H23" s="28" t="n">
        <f aca="false">原始数据!H21/原始数据!H15</f>
        <v>1</v>
      </c>
      <c r="I23" s="28" t="n">
        <f aca="false">原始数据!I21/原始数据!I15</f>
        <v>1</v>
      </c>
      <c r="J23" s="28" t="n">
        <f aca="false">原始数据!J21/原始数据!J15</f>
        <v>1</v>
      </c>
      <c r="K23" s="28" t="n">
        <f aca="false">原始数据!K21/原始数据!K15</f>
        <v>1</v>
      </c>
      <c r="L23" s="28" t="n">
        <f aca="false">原始数据!L21/原始数据!L15</f>
        <v>1</v>
      </c>
      <c r="M23" s="28" t="n">
        <f aca="false">原始数据!M21/原始数据!M15</f>
        <v>1</v>
      </c>
      <c r="N23" s="28" t="n">
        <f aca="false">原始数据!N21/原始数据!N15</f>
        <v>1</v>
      </c>
      <c r="O23" s="28" t="n">
        <f aca="false">原始数据!O21/原始数据!O15</f>
        <v>1</v>
      </c>
      <c r="P23" s="28" t="n">
        <f aca="false">原始数据!P21/原始数据!P15</f>
        <v>0.820681818181818</v>
      </c>
      <c r="Q23" s="28" t="n">
        <f aca="false">原始数据!Q21/原始数据!Q15</f>
        <v>0.62</v>
      </c>
      <c r="R23" s="28" t="n">
        <f aca="false">原始数据!R21/原始数据!R15</f>
        <v>0.542490196078431</v>
      </c>
      <c r="S23" s="28" t="n">
        <f aca="false">SUM(原始数据!C21:R21)/SUM(原始数据!C15:R15)</f>
        <v>0.90358089668616</v>
      </c>
    </row>
    <row r="24" customFormat="false" ht="15" hidden="false" customHeight="false" outlineLevel="0" collapsed="false">
      <c r="A24" s="22" t="s">
        <v>289</v>
      </c>
      <c r="B24" s="30" t="s">
        <v>290</v>
      </c>
      <c r="C24" s="33" t="n">
        <f aca="false">原始数据!C15-原始数据!C21</f>
        <v>0</v>
      </c>
      <c r="D24" s="33" t="n">
        <f aca="false">原始数据!D15-原始数据!D21</f>
        <v>0</v>
      </c>
      <c r="E24" s="33" t="n">
        <f aca="false">原始数据!E15-原始数据!E21</f>
        <v>0</v>
      </c>
      <c r="F24" s="33" t="n">
        <f aca="false">原始数据!F15-原始数据!F21</f>
        <v>0</v>
      </c>
      <c r="G24" s="33" t="n">
        <f aca="false">原始数据!G15-原始数据!G21</f>
        <v>0</v>
      </c>
      <c r="H24" s="33" t="n">
        <f aca="false">原始数据!H15-原始数据!H21</f>
        <v>0</v>
      </c>
      <c r="I24" s="33" t="n">
        <f aca="false">原始数据!I15-原始数据!I21</f>
        <v>0</v>
      </c>
      <c r="J24" s="33" t="n">
        <f aca="false">原始数据!J15-原始数据!J21</f>
        <v>0</v>
      </c>
      <c r="K24" s="33" t="n">
        <f aca="false">原始数据!K15-原始数据!K21</f>
        <v>0</v>
      </c>
      <c r="L24" s="33" t="n">
        <f aca="false">原始数据!L15-原始数据!L21</f>
        <v>0</v>
      </c>
      <c r="M24" s="33" t="n">
        <f aca="false">原始数据!M15-原始数据!M21</f>
        <v>0</v>
      </c>
      <c r="N24" s="33" t="n">
        <f aca="false">原始数据!N15-原始数据!N21</f>
        <v>0</v>
      </c>
      <c r="O24" s="33" t="n">
        <f aca="false">原始数据!O15-原始数据!O21</f>
        <v>0</v>
      </c>
      <c r="P24" s="33" t="n">
        <f aca="false">原始数据!P15-原始数据!P21</f>
        <v>78.9</v>
      </c>
      <c r="Q24" s="33" t="n">
        <f aca="false">原始数据!Q15-原始数据!Q21</f>
        <v>182.4</v>
      </c>
      <c r="R24" s="33" t="n">
        <f aca="false">原始数据!R15-原始数据!R21</f>
        <v>233.33</v>
      </c>
      <c r="S24" s="33" t="n">
        <f aca="false">SUM(C24:R24)</f>
        <v>494.63</v>
      </c>
    </row>
    <row r="25" customFormat="false" ht="15" hidden="false" customHeight="false" outlineLevel="0" collapsed="false">
      <c r="A25" s="24" t="s">
        <v>291</v>
      </c>
      <c r="B25" s="23" t="s">
        <v>292</v>
      </c>
      <c r="C25" s="33" t="n">
        <f aca="false">原始数据!C20-原始数据!C22</f>
        <v>0</v>
      </c>
      <c r="D25" s="33" t="n">
        <f aca="false">原始数据!D20-原始数据!D22</f>
        <v>0</v>
      </c>
      <c r="E25" s="33" t="n">
        <f aca="false">原始数据!E20-原始数据!E22</f>
        <v>0</v>
      </c>
      <c r="F25" s="33" t="n">
        <f aca="false">原始数据!F20-原始数据!F22</f>
        <v>4</v>
      </c>
      <c r="G25" s="33" t="n">
        <f aca="false">原始数据!G20-原始数据!G22</f>
        <v>3</v>
      </c>
      <c r="H25" s="33" t="n">
        <f aca="false">原始数据!H20-原始数据!H22</f>
        <v>3</v>
      </c>
      <c r="I25" s="33" t="n">
        <f aca="false">原始数据!I20-原始数据!I22</f>
        <v>7</v>
      </c>
      <c r="J25" s="33" t="n">
        <f aca="false">原始数据!J20-原始数据!J22</f>
        <v>6</v>
      </c>
      <c r="K25" s="33" t="n">
        <f aca="false">原始数据!K20-原始数据!K22</f>
        <v>7.25</v>
      </c>
      <c r="L25" s="33" t="n">
        <f aca="false">原始数据!L20-原始数据!L22</f>
        <v>9</v>
      </c>
      <c r="M25" s="33" t="n">
        <f aca="false">原始数据!M20-原始数据!M22</f>
        <v>10.6</v>
      </c>
      <c r="N25" s="33" t="n">
        <f aca="false">原始数据!N20-原始数据!N22</f>
        <v>6.77</v>
      </c>
      <c r="O25" s="33" t="n">
        <f aca="false">原始数据!O20-原始数据!O22</f>
        <v>3.09999999999999</v>
      </c>
      <c r="P25" s="33" t="n">
        <f aca="false">原始数据!P20-原始数据!P22</f>
        <v>2.16999999999999</v>
      </c>
      <c r="Q25" s="33" t="n">
        <f aca="false">原始数据!Q20-原始数据!Q22</f>
        <v>7.40000000000001</v>
      </c>
      <c r="R25" s="33" t="n">
        <f aca="false">原始数据!R20-原始数据!R22</f>
        <v>3.33000000000001</v>
      </c>
      <c r="S25" s="33" t="n">
        <f aca="false">SUM(C25:R25)</f>
        <v>72.62</v>
      </c>
    </row>
    <row r="26" customFormat="false" ht="15" hidden="false" customHeight="false" outlineLevel="0" collapsed="false">
      <c r="A26" s="22" t="s">
        <v>293</v>
      </c>
      <c r="B26" s="30" t="s">
        <v>294</v>
      </c>
      <c r="C26" s="38" t="n">
        <f aca="false">AVERAGE(资产负债表!B6,资产负债表!C6)/利润表!C8*DAYS_Q</f>
        <v>25.2386802386802</v>
      </c>
      <c r="D26" s="38" t="n">
        <f aca="false">AVERAGE(资产负债表!C6,资产负债表!D6)/利润表!D8*DAYS_Q</f>
        <v>42.0323618704838</v>
      </c>
      <c r="E26" s="38" t="n">
        <f aca="false">AVERAGE(资产负债表!D6,资产负债表!E6)/利润表!E8*DAYS_Q</f>
        <v>63.5107715430862</v>
      </c>
      <c r="F26" s="38" t="n">
        <f aca="false">AVERAGE(资产负债表!E6,资产负债表!F6)/利润表!F8*DAYS_Q</f>
        <v>92.6824127906977</v>
      </c>
      <c r="G26" s="38" t="n">
        <f aca="false">AVERAGE(资产负债表!F6,资产负债表!G6)/利润表!G8*DAYS_Q</f>
        <v>123.188569879236</v>
      </c>
      <c r="H26" s="38" t="n">
        <f aca="false">AVERAGE(资产负债表!G6,资产负债表!H6)/利润表!H8*DAYS_Q</f>
        <v>123.164919483909</v>
      </c>
      <c r="I26" s="38" t="n">
        <f aca="false">AVERAGE(资产负债表!H6,资产负债表!I6)/利润表!I8*DAYS_Q</f>
        <v>110.004256690207</v>
      </c>
      <c r="J26" s="38" t="n">
        <f aca="false">AVERAGE(资产负债表!I6,资产负债表!J6)/利润表!J8*DAYS_Q</f>
        <v>92.9003692879419</v>
      </c>
      <c r="K26" s="38" t="n">
        <f aca="false">AVERAGE(资产负债表!J6,资产负债表!K6)/利润表!K8*DAYS_Q</f>
        <v>75.0692761316311</v>
      </c>
      <c r="L26" s="38" t="n">
        <f aca="false">AVERAGE(资产负债表!K6,资产负债表!L6)/利润表!L8*DAYS_Q</f>
        <v>61.8088269016576</v>
      </c>
      <c r="M26" s="38" t="n">
        <f aca="false">AVERAGE(资产负债表!L6,资产负债表!M6)/利润表!M8*DAYS_Q</f>
        <v>45.0941514498931</v>
      </c>
      <c r="N26" s="38" t="n">
        <f aca="false">AVERAGE(资产负债表!M6,资产负债表!N6)/利润表!N8*DAYS_Q</f>
        <v>28.7596241884468</v>
      </c>
      <c r="O26" s="38" t="n">
        <f aca="false">AVERAGE(资产负债表!N6,资产负债表!O6)/利润表!O8*DAYS_Q</f>
        <v>13.0275339122718</v>
      </c>
      <c r="P26" s="38" t="n">
        <f aca="false">AVERAGE(资产负债表!O6,资产负债表!P6)/利润表!P8*DAYS_Q</f>
        <v>3.08357584036109</v>
      </c>
      <c r="Q26" s="38" t="n">
        <f aca="false">AVERAGE(资产负债表!P6,资产负债表!Q6)/利润表!Q8*DAYS_Q</f>
        <v>0</v>
      </c>
      <c r="R26" s="38" t="n">
        <f aca="false">AVERAGE(资产负债表!Q6,资产负债表!R6)/利润表!R8*DAYS_Q</f>
        <v>0</v>
      </c>
      <c r="S26" s="39" t="s">
        <v>261</v>
      </c>
    </row>
    <row r="27" customFormat="false" ht="15" hidden="false" customHeight="false" outlineLevel="0" collapsed="false">
      <c r="A27" s="22" t="s">
        <v>295</v>
      </c>
      <c r="B27" s="30" t="s">
        <v>296</v>
      </c>
      <c r="C27" s="38" t="n">
        <f aca="false">原始数据!C52/原始数据!C21*DAYS_Q</f>
        <v>28.515625</v>
      </c>
      <c r="D27" s="38" t="n">
        <f aca="false">原始数据!D52/原始数据!D21*DAYS_Q</f>
        <v>71.6964285714286</v>
      </c>
      <c r="E27" s="38" t="n">
        <f aca="false">原始数据!E52/原始数据!E21*DAYS_Q</f>
        <v>115.731707317073</v>
      </c>
      <c r="F27" s="38" t="n">
        <f aca="false">原始数据!F52/原始数据!F21*DAYS_Q</f>
        <v>141.331395348837</v>
      </c>
      <c r="G27" s="38" t="n">
        <f aca="false">原始数据!G52/原始数据!G21*DAYS_Q</f>
        <v>148.718085106383</v>
      </c>
      <c r="H27" s="38" t="n">
        <f aca="false">原始数据!H52/原始数据!H21*DAYS_Q</f>
        <v>141.086538461538</v>
      </c>
      <c r="I27" s="38" t="n">
        <f aca="false">原始数据!I52/原始数据!I21*DAYS_Q</f>
        <v>122.947368421053</v>
      </c>
      <c r="J27" s="38" t="n">
        <f aca="false">原始数据!J52/原始数据!J21*DAYS_Q</f>
        <v>100.823770491803</v>
      </c>
      <c r="K27" s="38" t="n">
        <f aca="false">原始数据!K52/原始数据!K21*DAYS_Q</f>
        <v>81.7685546875</v>
      </c>
      <c r="L27" s="38" t="n">
        <f aca="false">原始数据!L52/原始数据!L21*DAYS_Q</f>
        <v>69.2216796875</v>
      </c>
      <c r="M27" s="38" t="n">
        <f aca="false">原始数据!M52/原始数据!M21*DAYS_Q</f>
        <v>47.8123161764706</v>
      </c>
      <c r="N27" s="38" t="n">
        <f aca="false">原始数据!N52/原始数据!N21*DAYS_Q</f>
        <v>27.845</v>
      </c>
      <c r="O27" s="38" t="n">
        <f aca="false">原始数据!O52/原始数据!O21*DAYS_Q</f>
        <v>7.58971875</v>
      </c>
      <c r="P27" s="38" t="n">
        <f aca="false">原始数据!P52/原始数据!P21*DAYS_Q</f>
        <v>0</v>
      </c>
      <c r="Q27" s="38" t="n">
        <f aca="false">原始数据!Q52/原始数据!Q21*DAYS_Q</f>
        <v>0</v>
      </c>
      <c r="R27" s="38" t="n">
        <f aca="false">原始数据!R52/原始数据!R21*DAYS_Q</f>
        <v>0</v>
      </c>
      <c r="S27" s="39" t="s">
        <v>261</v>
      </c>
    </row>
    <row r="28" customFormat="false" ht="15" hidden="false" customHeight="false" outlineLevel="0" collapsed="false">
      <c r="A28" s="3" t="s">
        <v>297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customFormat="false" ht="15" hidden="false" customHeight="false" outlineLevel="0" collapsed="false">
      <c r="A29" s="22" t="s">
        <v>181</v>
      </c>
      <c r="B29" s="30" t="s">
        <v>298</v>
      </c>
      <c r="C29" s="26" t="n">
        <f aca="false">现金流量表!C8</f>
        <v>-1.727</v>
      </c>
      <c r="D29" s="26" t="n">
        <f aca="false">现金流量表!D8</f>
        <v>-0.7634</v>
      </c>
      <c r="E29" s="26" t="n">
        <f aca="false">现金流量表!E8</f>
        <v>-1.1439</v>
      </c>
      <c r="F29" s="26" t="n">
        <f aca="false">现金流量表!F8</f>
        <v>-0.6355</v>
      </c>
      <c r="G29" s="26" t="n">
        <f aca="false">现金流量表!G8</f>
        <v>0.1746</v>
      </c>
      <c r="H29" s="26" t="n">
        <f aca="false">现金流量表!H8</f>
        <v>1.5808</v>
      </c>
      <c r="I29" s="26" t="n">
        <f aca="false">现金流量表!I8</f>
        <v>3.1918</v>
      </c>
      <c r="J29" s="26" t="n">
        <f aca="false">现金流量表!J8</f>
        <v>5.0135</v>
      </c>
      <c r="K29" s="26" t="n">
        <f aca="false">现金流量表!K8</f>
        <v>7.0331</v>
      </c>
      <c r="L29" s="26" t="n">
        <f aca="false">现金流量表!L8</f>
        <v>8.3383</v>
      </c>
      <c r="M29" s="26" t="n">
        <f aca="false">现金流量表!M8</f>
        <v>11.4525</v>
      </c>
      <c r="N29" s="26" t="n">
        <f aca="false">现金流量表!N8</f>
        <v>16.6319</v>
      </c>
      <c r="O29" s="26" t="n">
        <f aca="false">现金流量表!O8</f>
        <v>25.4538</v>
      </c>
      <c r="P29" s="26" t="n">
        <f aca="false">现金流量表!P8</f>
        <v>37.6378</v>
      </c>
      <c r="Q29" s="26" t="n">
        <f aca="false">现金流量表!Q8</f>
        <v>49.7668</v>
      </c>
      <c r="R29" s="26" t="n">
        <f aca="false">现金流量表!R8</f>
        <v>59.6173</v>
      </c>
      <c r="S29" s="26" t="n">
        <f aca="false">SUM(C29:R29)</f>
        <v>221.6224</v>
      </c>
    </row>
    <row r="30" customFormat="false" ht="15" hidden="false" customHeight="false" outlineLevel="0" collapsed="false">
      <c r="A30" s="22" t="s">
        <v>299</v>
      </c>
      <c r="B30" s="30" t="s">
        <v>300</v>
      </c>
      <c r="C30" s="26" t="n">
        <f aca="false">现金流量表!C21</f>
        <v>-3.227</v>
      </c>
      <c r="D30" s="26" t="n">
        <f aca="false">现金流量表!D21</f>
        <v>-2.2634</v>
      </c>
      <c r="E30" s="26" t="n">
        <f aca="false">现金流量表!E21</f>
        <v>-2.6439</v>
      </c>
      <c r="F30" s="26" t="n">
        <f aca="false">现金流量表!F21</f>
        <v>-2.1355</v>
      </c>
      <c r="G30" s="26" t="n">
        <f aca="false">现金流量表!G21</f>
        <v>-4.3254</v>
      </c>
      <c r="H30" s="26" t="n">
        <f aca="false">现金流量表!H21</f>
        <v>-2.3192</v>
      </c>
      <c r="I30" s="26" t="n">
        <f aca="false">现金流量表!I21</f>
        <v>-0.108199999999999</v>
      </c>
      <c r="J30" s="26" t="n">
        <f aca="false">现金流量表!J21</f>
        <v>-0.6865</v>
      </c>
      <c r="K30" s="26" t="n">
        <f aca="false">现金流量表!K21</f>
        <v>0.7331</v>
      </c>
      <c r="L30" s="26" t="n">
        <f aca="false">现金流量表!L21</f>
        <v>3.2383</v>
      </c>
      <c r="M30" s="26" t="n">
        <f aca="false">现金流量表!M21</f>
        <v>9.9525</v>
      </c>
      <c r="N30" s="26" t="n">
        <f aca="false">现金流量表!N21</f>
        <v>15.1319</v>
      </c>
      <c r="O30" s="26" t="n">
        <f aca="false">现金流量表!O21</f>
        <v>23.9538</v>
      </c>
      <c r="P30" s="26" t="n">
        <f aca="false">现金流量表!P21</f>
        <v>36.1378</v>
      </c>
      <c r="Q30" s="26" t="n">
        <f aca="false">现金流量表!Q21</f>
        <v>48.2668</v>
      </c>
      <c r="R30" s="26" t="n">
        <f aca="false">现金流量表!R21</f>
        <v>58.1173</v>
      </c>
      <c r="S30" s="26" t="n">
        <f aca="false">SUM(C30:R30)</f>
        <v>177.8224</v>
      </c>
    </row>
    <row r="31" customFormat="false" ht="15" hidden="false" customHeight="false" outlineLevel="0" collapsed="false">
      <c r="A31" s="22" t="s">
        <v>301</v>
      </c>
      <c r="B31" s="30" t="s">
        <v>92</v>
      </c>
      <c r="C31" s="36" t="n">
        <f aca="false">IF(利润表!C19&gt;0,现金流量表!C8/利润表!C19,0)</f>
        <v>0</v>
      </c>
      <c r="D31" s="36" t="n">
        <f aca="false">IF(利润表!D19&gt;0,现金流量表!D8/利润表!D19,0)</f>
        <v>0</v>
      </c>
      <c r="E31" s="36" t="n">
        <f aca="false">IF(利润表!E19&gt;0,现金流量表!E8/利润表!E19,0)</f>
        <v>0</v>
      </c>
      <c r="F31" s="36" t="n">
        <f aca="false">IF(利润表!F19&gt;0,现金流量表!F8/利润表!F19,0)</f>
        <v>0</v>
      </c>
      <c r="G31" s="36" t="n">
        <f aca="false">IF(利润表!G19&gt;0,现金流量表!G8/利润表!G19,0)</f>
        <v>0</v>
      </c>
      <c r="H31" s="36" t="n">
        <f aca="false">IF(利润表!H19&gt;0,现金流量表!H8/利润表!H19,0)</f>
        <v>81.066666666667</v>
      </c>
      <c r="I31" s="36" t="n">
        <f aca="false">IF(利润表!I19&gt;0,现金流量表!I8/利润表!I19,0)</f>
        <v>3.46972497010545</v>
      </c>
      <c r="J31" s="36" t="n">
        <f aca="false">IF(利润表!J19&gt;0,现金流量表!J8/利润表!J19,0)</f>
        <v>2.32257018437876</v>
      </c>
      <c r="K31" s="36" t="n">
        <f aca="false">IF(利润表!K19&gt;0,现金流量表!K8/利润表!K19,0)</f>
        <v>1.85115679204064</v>
      </c>
      <c r="L31" s="36" t="n">
        <f aca="false">IF(利润表!L19&gt;0,现金流量表!L8/利润表!L19,0)</f>
        <v>1.68175309090176</v>
      </c>
      <c r="M31" s="36" t="n">
        <f aca="false">IF(利润表!M19&gt;0,现金流量表!M8/利润表!M19,0)</f>
        <v>1.51371963308573</v>
      </c>
      <c r="N31" s="36" t="n">
        <f aca="false">IF(利润表!N19&gt;0,现金流量表!N8/利润表!N19,0)</f>
        <v>1.34144452958019</v>
      </c>
      <c r="O31" s="36" t="n">
        <f aca="false">IF(利润表!O19&gt;0,现金流量表!O8/利润表!O19,0)</f>
        <v>1.22723919636271</v>
      </c>
      <c r="P31" s="36" t="n">
        <f aca="false">IF(利润表!P19&gt;0,现金流量表!P8/利润表!P19,0)</f>
        <v>1.12736291286389</v>
      </c>
      <c r="Q31" s="36" t="n">
        <f aca="false">IF(利润表!Q19&gt;0,现金流量表!Q8/利润表!Q19,0)</f>
        <v>1.08302177499032</v>
      </c>
      <c r="R31" s="36" t="n">
        <f aca="false">IF(利润表!R19&gt;0,现金流量表!R8/利润表!R19,0)</f>
        <v>1.06980420727363</v>
      </c>
      <c r="S31" s="37" t="s">
        <v>261</v>
      </c>
    </row>
    <row r="32" customFormat="false" ht="15" hidden="false" customHeight="false" outlineLevel="0" collapsed="false">
      <c r="A32" s="22" t="s">
        <v>29</v>
      </c>
      <c r="B32" s="30" t="s">
        <v>302</v>
      </c>
      <c r="C32" s="26" t="n">
        <f aca="false">资产负债表!C12-资产负债表!C5</f>
        <v>-0.773</v>
      </c>
      <c r="D32" s="26" t="n">
        <f aca="false">资产负债表!D12-资产负债表!D5</f>
        <v>1.4904</v>
      </c>
      <c r="E32" s="26" t="n">
        <f aca="false">资产负债表!E12-资产负债表!E5</f>
        <v>4.1343</v>
      </c>
      <c r="F32" s="26" t="n">
        <f aca="false">资产负债表!F12-资产负债表!F5</f>
        <v>6.2698</v>
      </c>
      <c r="G32" s="26" t="n">
        <f aca="false">资产负债表!G12-资产负债表!G5</f>
        <v>10.5952</v>
      </c>
      <c r="H32" s="26" t="n">
        <f aca="false">资产负债表!H12-资产负债表!H5</f>
        <v>12.9144</v>
      </c>
      <c r="I32" s="26" t="n">
        <f aca="false">资产负债表!I12-资产负债表!I5</f>
        <v>13.0226</v>
      </c>
      <c r="J32" s="26" t="n">
        <f aca="false">资产负债表!J12-资产负债表!J5</f>
        <v>13.7091</v>
      </c>
      <c r="K32" s="26" t="n">
        <f aca="false">资产负债表!K12-资产负债表!K5</f>
        <v>12.976</v>
      </c>
      <c r="L32" s="26" t="n">
        <f aca="false">资产负债表!L12-资产负债表!L5</f>
        <v>9.7377</v>
      </c>
      <c r="M32" s="26" t="n">
        <f aca="false">资产负债表!M12-资产负债表!M5</f>
        <v>-0.214800000000002</v>
      </c>
      <c r="N32" s="26" t="n">
        <f aca="false">资产负债表!N12-资产负债表!N5</f>
        <v>-15.3467</v>
      </c>
      <c r="O32" s="26" t="n">
        <f aca="false">资产负债表!O12-资产负债表!O5</f>
        <v>-39.3005</v>
      </c>
      <c r="P32" s="26" t="n">
        <f aca="false">资产负债表!P12-资产负债表!P5</f>
        <v>-75.4383</v>
      </c>
      <c r="Q32" s="26" t="n">
        <f aca="false">资产负债表!Q12-资产负债表!Q5</f>
        <v>-123.7051</v>
      </c>
      <c r="R32" s="26" t="n">
        <f aca="false">资产负债表!R12-资产负债表!R5</f>
        <v>-181.8224</v>
      </c>
      <c r="S32" s="40" t="s">
        <v>261</v>
      </c>
    </row>
    <row r="33" customFormat="false" ht="15" hidden="false" customHeight="false" outlineLevel="0" collapsed="false">
      <c r="A33" s="22" t="s">
        <v>303</v>
      </c>
      <c r="B33" s="23" t="s">
        <v>214</v>
      </c>
      <c r="C33" s="28" t="n">
        <f aca="false">C32/资产负债表!C13</f>
        <v>-0.0245245785135504</v>
      </c>
      <c r="D33" s="28" t="n">
        <f aca="false">D32/资产负债表!D13</f>
        <v>0.0503236393472514</v>
      </c>
      <c r="E33" s="28" t="n">
        <f aca="false">E32/资产负债表!E13</f>
        <v>0.151274986553091</v>
      </c>
      <c r="F33" s="28" t="n">
        <f aca="false">F32/资产负债表!F13</f>
        <v>0.243447670671191</v>
      </c>
      <c r="G33" s="28" t="n">
        <f aca="false">G32/资产负债表!G13</f>
        <v>0.423516620565051</v>
      </c>
      <c r="H33" s="28" t="n">
        <f aca="false">H32/资产负债表!H13</f>
        <v>0.515818778033846</v>
      </c>
      <c r="I33" s="28" t="n">
        <f aca="false">I32/资产负债表!I13</f>
        <v>0.50170669502169</v>
      </c>
      <c r="J33" s="28" t="n">
        <f aca="false">J32/资产负债表!J13</f>
        <v>0.487604569770089</v>
      </c>
      <c r="K33" s="28" t="n">
        <f aca="false">K32/资产负债表!K13</f>
        <v>0.406586347898291</v>
      </c>
      <c r="L33" s="28" t="n">
        <f aca="false">L32/资产负债表!L13</f>
        <v>0.264090408596085</v>
      </c>
      <c r="M33" s="28" t="n">
        <f aca="false">M32/资产负债表!M13</f>
        <v>-0.00483365737740337</v>
      </c>
      <c r="N33" s="28" t="n">
        <f aca="false">N32/资产负债表!N13</f>
        <v>-0.270012966928175</v>
      </c>
      <c r="O33" s="28" t="n">
        <f aca="false">O32/资产负债表!O13</f>
        <v>-0.506595976158066</v>
      </c>
      <c r="P33" s="28" t="n">
        <f aca="false">P32/资产负债表!P13</f>
        <v>-0.679849103262069</v>
      </c>
      <c r="Q33" s="28" t="n">
        <f aca="false">Q32/资产负债表!Q13</f>
        <v>-0.788356888533991</v>
      </c>
      <c r="R33" s="28" t="n">
        <f aca="false">R32/资产负债表!R13</f>
        <v>-0.855061831506793</v>
      </c>
      <c r="S33" s="34" t="s">
        <v>261</v>
      </c>
    </row>
    <row r="34" customFormat="false" ht="15" hidden="false" customHeight="false" outlineLevel="0" collapsed="false">
      <c r="A34" s="22" t="s">
        <v>304</v>
      </c>
      <c r="B34" s="30" t="s">
        <v>305</v>
      </c>
      <c r="C34" s="28" t="n">
        <f aca="false">资产负债表!C12/资产负债表!C8</f>
        <v>0.15991726946593</v>
      </c>
      <c r="D34" s="28" t="n">
        <f aca="false">资产负债表!D12/资产负债表!D8</f>
        <v>0.168462192872365</v>
      </c>
      <c r="E34" s="28" t="n">
        <f aca="false">资产负债表!E12/资产负债表!E8</f>
        <v>0.226438379040864</v>
      </c>
      <c r="F34" s="28" t="n">
        <f aca="false">资产负债表!F12/资产负债表!F8</f>
        <v>0.279687421337913</v>
      </c>
      <c r="G34" s="28" t="n">
        <f aca="false">资产负债表!G12/资产负债表!G8</f>
        <v>0.350492766867789</v>
      </c>
      <c r="H34" s="28" t="n">
        <f aca="false">资产负债表!H12/资产负债表!H8</f>
        <v>0.374656252887975</v>
      </c>
      <c r="I34" s="28" t="n">
        <f aca="false">资产负债表!I12/资产负债表!I8</f>
        <v>0.366241338392347</v>
      </c>
      <c r="J34" s="28" t="n">
        <f aca="false">资产负债表!J12/资产负债表!J8</f>
        <v>0.355380692969423</v>
      </c>
      <c r="K34" s="28" t="n">
        <f aca="false">资产负债表!K12/资产负债表!K8</f>
        <v>0.344866518182471</v>
      </c>
      <c r="L34" s="28" t="n">
        <f aca="false">资产负债表!L12/资产负债表!L8</f>
        <v>0.286418720946885</v>
      </c>
      <c r="M34" s="28" t="n">
        <f aca="false">资产负债表!M12/资产负债表!M8</f>
        <v>0.0974848898420745</v>
      </c>
      <c r="N34" s="28" t="n">
        <f aca="false">资产负债表!N12/资产负债表!N8</f>
        <v>0</v>
      </c>
      <c r="O34" s="28" t="n">
        <f aca="false">资产负债表!O12/资产负债表!O8</f>
        <v>0</v>
      </c>
      <c r="P34" s="28" t="n">
        <f aca="false">资产负债表!P12/资产负债表!P8</f>
        <v>0</v>
      </c>
      <c r="Q34" s="28" t="n">
        <f aca="false">资产负债表!Q12/资产负债表!Q8</f>
        <v>0</v>
      </c>
      <c r="R34" s="28" t="n">
        <f aca="false">资产负债表!R12/资产负债表!R8</f>
        <v>0</v>
      </c>
      <c r="S34" s="34" t="s">
        <v>261</v>
      </c>
    </row>
    <row r="35" customFormat="false" ht="15" hidden="false" customHeight="false" outlineLevel="0" collapsed="false">
      <c r="A35" s="22" t="s">
        <v>306</v>
      </c>
      <c r="B35" s="23" t="s">
        <v>307</v>
      </c>
      <c r="C35" s="26" t="n">
        <f aca="false">MAX(DEBT_FLOOR,DEBT_RATIO*资产负债表!C13)</f>
        <v>18.91164</v>
      </c>
      <c r="D35" s="26" t="n">
        <f aca="false">MAX(DEBT_FLOOR,DEBT_RATIO*资产负债表!D13)</f>
        <v>17.76978</v>
      </c>
      <c r="E35" s="26" t="n">
        <f aca="false">MAX(DEBT_FLOOR,DEBT_RATIO*资产负债表!E13)</f>
        <v>16.39782</v>
      </c>
      <c r="F35" s="26" t="n">
        <f aca="false">MAX(DEBT_FLOOR,DEBT_RATIO*资产负债表!F13)</f>
        <v>15.45252</v>
      </c>
      <c r="G35" s="26" t="n">
        <f aca="false">MAX(DEBT_FLOOR,DEBT_RATIO*资产负债表!G13)</f>
        <v>15.01032</v>
      </c>
      <c r="H35" s="26" t="n">
        <f aca="false">MAX(DEBT_FLOOR,DEBT_RATIO*资产负债表!H13)</f>
        <v>15.02202</v>
      </c>
      <c r="I35" s="26" t="n">
        <f aca="false">MAX(DEBT_FLOOR,DEBT_RATIO*资产负债表!I13)</f>
        <v>15.57396</v>
      </c>
      <c r="J35" s="26" t="n">
        <f aca="false">MAX(DEBT_FLOOR,DEBT_RATIO*资产负债表!J13)</f>
        <v>16.86912</v>
      </c>
      <c r="K35" s="26" t="n">
        <f aca="false">MAX(DEBT_FLOOR,DEBT_RATIO*资产负债表!K13)</f>
        <v>19.1487</v>
      </c>
      <c r="L35" s="26" t="n">
        <f aca="false">MAX(DEBT_FLOOR,DEBT_RATIO*资产负债表!L13)</f>
        <v>22.12356</v>
      </c>
      <c r="M35" s="26" t="n">
        <f aca="false">MAX(DEBT_FLOOR,DEBT_RATIO*资产负债表!M13)</f>
        <v>26.66304</v>
      </c>
      <c r="N35" s="26" t="n">
        <f aca="false">MAX(DEBT_FLOOR,DEBT_RATIO*资产负债表!N13)</f>
        <v>34.10214</v>
      </c>
      <c r="O35" s="26" t="n">
        <f aca="false">MAX(DEBT_FLOOR,DEBT_RATIO*资产负债表!O13)</f>
        <v>46.54656</v>
      </c>
      <c r="P35" s="26" t="n">
        <f aca="false">MAX(DEBT_FLOOR,DEBT_RATIO*资产负债表!P13)</f>
        <v>66.57798</v>
      </c>
      <c r="Q35" s="26" t="n">
        <f aca="false">MAX(DEBT_FLOOR,DEBT_RATIO*资产负债表!Q13)</f>
        <v>94.14906</v>
      </c>
      <c r="R35" s="26" t="n">
        <f aca="false">MAX(DEBT_FLOOR,DEBT_RATIO*资产负债表!R13)</f>
        <v>127.58544</v>
      </c>
      <c r="S35" s="40" t="s">
        <v>261</v>
      </c>
    </row>
    <row r="36" customFormat="false" ht="15" hidden="false" customHeight="false" outlineLevel="0" collapsed="false">
      <c r="A36" s="22" t="s">
        <v>308</v>
      </c>
      <c r="B36" s="30" t="s">
        <v>309</v>
      </c>
      <c r="C36" s="28" t="n">
        <f aca="false">资产负债表!C10/C35</f>
        <v>0.317264922555632</v>
      </c>
      <c r="D36" s="28" t="n">
        <f aca="false">资产负债表!D10/D35</f>
        <v>0.337651901149029</v>
      </c>
      <c r="E36" s="28" t="n">
        <f aca="false">资产负债表!E10/E35</f>
        <v>0.487869729024956</v>
      </c>
      <c r="F36" s="28" t="n">
        <f aca="false">资产负债表!F10/F35</f>
        <v>0.647143637413186</v>
      </c>
      <c r="G36" s="28" t="n">
        <f aca="false">资产负债表!G10/G35</f>
        <v>0.899381225716707</v>
      </c>
      <c r="H36" s="28" t="n">
        <f aca="false">资产负债表!H10/H35</f>
        <v>0.998534151865062</v>
      </c>
      <c r="I36" s="28" t="n">
        <f aca="false">资产负债表!I10/I35</f>
        <v>0.963146174768652</v>
      </c>
      <c r="J36" s="28" t="n">
        <f aca="false">资产负债表!J10/J35</f>
        <v>0.918838682752864</v>
      </c>
      <c r="K36" s="28" t="n">
        <f aca="false">资产负债表!K10/K35</f>
        <v>0.877344153911232</v>
      </c>
      <c r="L36" s="28" t="n">
        <f aca="false">资产负债表!L10/L35</f>
        <v>0.66897009342077</v>
      </c>
      <c r="M36" s="28" t="n">
        <f aca="false">资产负债表!M10/M35</f>
        <v>0.180024483329733</v>
      </c>
      <c r="N36" s="28" t="n">
        <f aca="false">资产负债表!N10/N35</f>
        <v>0</v>
      </c>
      <c r="O36" s="28" t="n">
        <f aca="false">资产负债表!O10/O35</f>
        <v>0</v>
      </c>
      <c r="P36" s="28" t="n">
        <f aca="false">资产负债表!P10/P35</f>
        <v>0</v>
      </c>
      <c r="Q36" s="28" t="n">
        <f aca="false">资产负债表!Q10/Q35</f>
        <v>0</v>
      </c>
      <c r="R36" s="28" t="n">
        <f aca="false">资产负债表!R10/R35</f>
        <v>0</v>
      </c>
      <c r="S36" s="34" t="s">
        <v>261</v>
      </c>
    </row>
    <row r="37" customFormat="false" ht="15" hidden="false" customHeight="false" outlineLevel="0" collapsed="false">
      <c r="A37" s="3" t="s">
        <v>310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customFormat="false" ht="15" hidden="false" customHeight="false" outlineLevel="0" collapsed="false">
      <c r="A38" s="22" t="s">
        <v>311</v>
      </c>
      <c r="B38" s="23" t="s">
        <v>312</v>
      </c>
      <c r="C38" s="26" t="n">
        <f aca="false">AVERAGE(资产负债表!B13,资产负债表!C13)</f>
        <v>33.2397</v>
      </c>
      <c r="D38" s="26" t="n">
        <f aca="false">AVERAGE(资产负债表!C13,资产负债表!D13)</f>
        <v>30.56785</v>
      </c>
      <c r="E38" s="26" t="n">
        <f aca="false">AVERAGE(资产负债表!D13,资产负债表!E13)</f>
        <v>28.473</v>
      </c>
      <c r="F38" s="26" t="n">
        <f aca="false">AVERAGE(资产负债表!E13,资产负债表!F13)</f>
        <v>26.54195</v>
      </c>
      <c r="G38" s="26" t="n">
        <f aca="false">AVERAGE(资产负债表!F13,资产负债表!G13)</f>
        <v>25.3857</v>
      </c>
      <c r="H38" s="26" t="n">
        <f aca="false">AVERAGE(资产负债表!G13,资产负债表!H13)</f>
        <v>25.02695</v>
      </c>
      <c r="I38" s="26" t="n">
        <f aca="false">AVERAGE(资产负债表!H13,资产负债表!I13)</f>
        <v>25.49665</v>
      </c>
      <c r="J38" s="26" t="n">
        <f aca="false">AVERAGE(资产负债表!I13,资产负债表!J13)</f>
        <v>27.0359</v>
      </c>
      <c r="K38" s="26" t="n">
        <f aca="false">AVERAGE(资产负债表!J13,资产负债表!K13)</f>
        <v>30.01485</v>
      </c>
      <c r="L38" s="26" t="n">
        <f aca="false">AVERAGE(资产负债表!K13,资产负债表!L13)</f>
        <v>34.39355</v>
      </c>
      <c r="M38" s="26" t="n">
        <f aca="false">AVERAGE(资产负债表!L13,资产负债表!M13)</f>
        <v>40.6555</v>
      </c>
      <c r="N38" s="26" t="n">
        <f aca="false">AVERAGE(资产负债表!M13,资产负债表!N13)</f>
        <v>50.63765</v>
      </c>
      <c r="O38" s="26" t="n">
        <f aca="false">AVERAGE(资产负债表!N13,资产负债表!O13)</f>
        <v>67.20725</v>
      </c>
      <c r="P38" s="26" t="n">
        <f aca="false">AVERAGE(资产负债表!O13,资产负债表!P13)</f>
        <v>94.27045</v>
      </c>
      <c r="Q38" s="26" t="n">
        <f aca="false">AVERAGE(资产负债表!P13,资产负债表!Q13)</f>
        <v>133.9392</v>
      </c>
      <c r="R38" s="26" t="n">
        <f aca="false">AVERAGE(资产负债表!Q13,资产负债表!R13)</f>
        <v>184.77875</v>
      </c>
      <c r="S38" s="40" t="s">
        <v>261</v>
      </c>
    </row>
    <row r="39" customFormat="false" ht="15" hidden="false" customHeight="false" outlineLevel="0" collapsed="false">
      <c r="A39" s="24" t="s">
        <v>313</v>
      </c>
      <c r="B39" s="30" t="s">
        <v>314</v>
      </c>
      <c r="C39" s="28" t="n">
        <f aca="false">利润表!C19/C38</f>
        <v>-0.103508756095873</v>
      </c>
      <c r="D39" s="28" t="n">
        <f aca="false">利润表!D19/D38</f>
        <v>-0.0622582222825616</v>
      </c>
      <c r="E39" s="28" t="n">
        <f aca="false">利润表!E19/E38</f>
        <v>-0.0803076598883153</v>
      </c>
      <c r="F39" s="28" t="n">
        <f aca="false">利润表!F19/F38</f>
        <v>-0.0593588639870092</v>
      </c>
      <c r="G39" s="28" t="n">
        <f aca="false">利润表!G19/G38</f>
        <v>-0.0290320928711834</v>
      </c>
      <c r="H39" s="28" t="n">
        <f aca="false">利润表!H19/H38</f>
        <v>0.000779160065449443</v>
      </c>
      <c r="I39" s="28" t="n">
        <f aca="false">利润表!I19/I38</f>
        <v>0.0360792496269118</v>
      </c>
      <c r="J39" s="28" t="n">
        <f aca="false">利润表!J19/J38</f>
        <v>0.0798419878753805</v>
      </c>
      <c r="K39" s="28" t="n">
        <f aca="false">利润表!K19/K38</f>
        <v>0.126580675898763</v>
      </c>
      <c r="L39" s="28" t="n">
        <f aca="false">利润表!L19/L38</f>
        <v>0.144157843549154</v>
      </c>
      <c r="M39" s="28" t="n">
        <f aca="false">利润表!M19/M38</f>
        <v>0.18609536225111</v>
      </c>
      <c r="N39" s="28" t="n">
        <f aca="false">利润表!N19/N38</f>
        <v>0.244847460338305</v>
      </c>
      <c r="O39" s="28" t="n">
        <f aca="false">利润表!O19/O38</f>
        <v>0.308608074277701</v>
      </c>
      <c r="P39" s="28" t="n">
        <f aca="false">利润表!P19/P38</f>
        <v>0.354148092005501</v>
      </c>
      <c r="Q39" s="28" t="n">
        <f aca="false">利润表!Q19/Q38</f>
        <v>0.34307954654052</v>
      </c>
      <c r="R39" s="28" t="n">
        <f aca="false">利润表!R19/R38</f>
        <v>0.301589333189017</v>
      </c>
      <c r="S39" s="34" t="s">
        <v>261</v>
      </c>
    </row>
    <row r="40" customFormat="false" ht="15" hidden="false" customHeight="false" outlineLevel="0" collapsed="false">
      <c r="A40" s="24" t="s">
        <v>315</v>
      </c>
      <c r="B40" s="30" t="s">
        <v>316</v>
      </c>
      <c r="C40" s="28" t="n">
        <f aca="false">C39*ANNUAL</f>
        <v>-0.414035024383493</v>
      </c>
      <c r="D40" s="28" t="n">
        <f aca="false">D39*ANNUAL</f>
        <v>-0.249032889130246</v>
      </c>
      <c r="E40" s="28" t="n">
        <f aca="false">E39*ANNUAL</f>
        <v>-0.321230639553261</v>
      </c>
      <c r="F40" s="28" t="n">
        <f aca="false">F39*ANNUAL</f>
        <v>-0.237435455948037</v>
      </c>
      <c r="G40" s="28" t="n">
        <f aca="false">G39*ANNUAL</f>
        <v>-0.116128371484734</v>
      </c>
      <c r="H40" s="28" t="n">
        <f aca="false">H39*ANNUAL</f>
        <v>0.00311664026179777</v>
      </c>
      <c r="I40" s="28" t="n">
        <f aca="false">I39*ANNUAL</f>
        <v>0.144316998507647</v>
      </c>
      <c r="J40" s="28" t="n">
        <f aca="false">J39*ANNUAL</f>
        <v>0.319367951501522</v>
      </c>
      <c r="K40" s="28" t="n">
        <f aca="false">K39*ANNUAL</f>
        <v>0.506322703595054</v>
      </c>
      <c r="L40" s="28" t="n">
        <f aca="false">L39*ANNUAL</f>
        <v>0.576631374196615</v>
      </c>
      <c r="M40" s="28" t="n">
        <f aca="false">M39*ANNUAL</f>
        <v>0.74438144900444</v>
      </c>
      <c r="N40" s="28" t="n">
        <f aca="false">N39*ANNUAL</f>
        <v>0.979389841353222</v>
      </c>
      <c r="O40" s="28" t="n">
        <f aca="false">O39*ANNUAL</f>
        <v>1.2344322971108</v>
      </c>
      <c r="P40" s="28" t="n">
        <f aca="false">P39*ANNUAL</f>
        <v>1.416592368022</v>
      </c>
      <c r="Q40" s="28" t="n">
        <f aca="false">Q39*ANNUAL</f>
        <v>1.37231818616208</v>
      </c>
      <c r="R40" s="28" t="n">
        <f aca="false">R39*ANNUAL</f>
        <v>1.20635733275607</v>
      </c>
      <c r="S40" s="34" t="s">
        <v>261</v>
      </c>
    </row>
    <row r="41" customFormat="false" ht="15" hidden="false" customHeight="false" outlineLevel="0" collapsed="false">
      <c r="A41" s="22" t="s">
        <v>317</v>
      </c>
      <c r="B41" s="30" t="s">
        <v>318</v>
      </c>
      <c r="C41" s="28" t="n">
        <f aca="false">利润表!C20/资产负债表!$B$13</f>
        <v>-0.0984153318077803</v>
      </c>
      <c r="D41" s="28" t="n">
        <f aca="false">利润表!D20/资产负债表!$B$13</f>
        <v>-0.152851830663616</v>
      </c>
      <c r="E41" s="28" t="n">
        <f aca="false">利润表!E20/资产负债表!$B$13</f>
        <v>-0.218258009153318</v>
      </c>
      <c r="F41" s="28" t="n">
        <f aca="false">利润表!F20/资产负债表!$B$13</f>
        <v>-0.263323798627002</v>
      </c>
      <c r="G41" s="28" t="n">
        <f aca="false">利润表!G20/资产负债表!$B$13</f>
        <v>-0.284405034324943</v>
      </c>
      <c r="H41" s="28" t="n">
        <f aca="false">利润表!H20/资产负债表!$B$13</f>
        <v>-0.283847254004577</v>
      </c>
      <c r="I41" s="28" t="n">
        <f aca="false">利润表!I20/资产负债表!$B$13</f>
        <v>-0.257534324942792</v>
      </c>
      <c r="J41" s="28" t="n">
        <f aca="false">利润表!J20/资产负债表!$B$13</f>
        <v>-0.19578947368421</v>
      </c>
      <c r="K41" s="28" t="n">
        <f aca="false">利润表!K20/资产负债表!$B$13</f>
        <v>-0.0871138443935926</v>
      </c>
      <c r="L41" s="28" t="n">
        <f aca="false">利润表!L20/资产负债表!$B$13</f>
        <v>0.0547082379862701</v>
      </c>
      <c r="M41" s="28" t="n">
        <f aca="false">利润表!M20/资产负债表!$B$13</f>
        <v>0.271121281464531</v>
      </c>
      <c r="N41" s="28" t="n">
        <f aca="false">利润表!N20/资产负债表!$B$13</f>
        <v>0.625769450800915</v>
      </c>
      <c r="O41" s="28" t="n">
        <f aca="false">利润表!O20/资产负债表!$B$13</f>
        <v>1.21903890160183</v>
      </c>
      <c r="P41" s="28" t="n">
        <f aca="false">利润表!P20/资产负债表!$B$13</f>
        <v>2.17400743707094</v>
      </c>
      <c r="Q41" s="28" t="n">
        <f aca="false">利润表!Q20/资产负债表!$B$13</f>
        <v>3.48841819221968</v>
      </c>
      <c r="R41" s="28" t="n">
        <f aca="false">利润表!R20/资产负债表!$B$13</f>
        <v>5.08244851258581</v>
      </c>
      <c r="S41" s="34" t="s">
        <v>261</v>
      </c>
    </row>
    <row r="42" customFormat="false" ht="15" hidden="false" customHeight="false" outlineLevel="0" collapsed="false">
      <c r="A42" s="22" t="s">
        <v>319</v>
      </c>
      <c r="B42" s="30" t="s">
        <v>92</v>
      </c>
      <c r="C42" s="36" t="n">
        <f aca="false">资产负债表!C13/资产负债表!$B$13</f>
        <v>0.90158466819222</v>
      </c>
      <c r="D42" s="36" t="n">
        <f aca="false">资产负债表!D13/资产负债表!$B$13</f>
        <v>0.847148169336385</v>
      </c>
      <c r="E42" s="36" t="n">
        <f aca="false">资产负债表!E13/资产负债表!$B$13</f>
        <v>0.781741990846682</v>
      </c>
      <c r="F42" s="36" t="n">
        <f aca="false">资产负债表!F13/资产负债表!$B$13</f>
        <v>0.736676201372998</v>
      </c>
      <c r="G42" s="36" t="n">
        <f aca="false">资产负债表!G13/资产负债表!$B$13</f>
        <v>0.715594965675057</v>
      </c>
      <c r="H42" s="36" t="n">
        <f aca="false">资产负债表!H13/资产负债表!$B$13</f>
        <v>0.716152745995423</v>
      </c>
      <c r="I42" s="36" t="n">
        <f aca="false">资产负债表!I13/资产负债表!$B$13</f>
        <v>0.742465675057208</v>
      </c>
      <c r="J42" s="36" t="n">
        <f aca="false">资产负债表!J13/资产负债表!$B$13</f>
        <v>0.80421052631579</v>
      </c>
      <c r="K42" s="36" t="n">
        <f aca="false">资产负债表!K13/资产负债表!$B$13</f>
        <v>0.912886155606407</v>
      </c>
      <c r="L42" s="36" t="n">
        <f aca="false">资产负债表!L13/资产负债表!$B$13</f>
        <v>1.05470823798627</v>
      </c>
      <c r="M42" s="36" t="n">
        <f aca="false">资产负债表!M13/资产负债表!$B$13</f>
        <v>1.27112128146453</v>
      </c>
      <c r="N42" s="36" t="n">
        <f aca="false">资产负债表!N13/资产负债表!$B$13</f>
        <v>1.62576945080092</v>
      </c>
      <c r="O42" s="36" t="n">
        <f aca="false">资产负债表!O13/资产负债表!$B$13</f>
        <v>2.21903890160183</v>
      </c>
      <c r="P42" s="36" t="n">
        <f aca="false">资产负债表!P13/资产负债表!$B$13</f>
        <v>3.17400743707094</v>
      </c>
      <c r="Q42" s="36" t="n">
        <f aca="false">资产负债表!Q13/资产负债表!$B$13</f>
        <v>4.48841819221968</v>
      </c>
      <c r="R42" s="36" t="n">
        <f aca="false">资产负债表!R13/资产负债表!$B$13</f>
        <v>6.08244851258581</v>
      </c>
      <c r="S42" s="37" t="s">
        <v>261</v>
      </c>
    </row>
    <row r="44" customFormat="false" ht="15" hidden="false" customHeight="false" outlineLevel="0" collapsed="false">
      <c r="A44" s="3" t="s">
        <v>320</v>
      </c>
      <c r="B44" s="4"/>
      <c r="C44" s="4"/>
      <c r="D44" s="4"/>
    </row>
    <row r="45" customFormat="false" ht="15" hidden="false" customHeight="false" outlineLevel="0" collapsed="false">
      <c r="A45" s="22" t="s">
        <v>321</v>
      </c>
      <c r="B45" s="29" t="n">
        <f aca="false">资产负债表!R13</f>
        <v>212.6424</v>
      </c>
    </row>
    <row r="46" customFormat="false" ht="15" hidden="false" customHeight="false" outlineLevel="0" collapsed="false">
      <c r="A46" s="22" t="s">
        <v>322</v>
      </c>
      <c r="B46" s="29" t="n">
        <f aca="false">资产负债表!B13</f>
        <v>34.96</v>
      </c>
    </row>
    <row r="47" customFormat="false" ht="15" hidden="false" customHeight="false" outlineLevel="0" collapsed="false">
      <c r="A47" s="24" t="s">
        <v>323</v>
      </c>
      <c r="B47" s="29" t="n">
        <f aca="false">利润表!S19</f>
        <v>177.6824</v>
      </c>
    </row>
    <row r="48" customFormat="false" ht="15" hidden="false" customHeight="false" outlineLevel="0" collapsed="false">
      <c r="A48" s="24" t="s">
        <v>324</v>
      </c>
      <c r="B48" s="29" t="n">
        <f aca="false">利润表!S7</f>
        <v>318.1111</v>
      </c>
    </row>
    <row r="49" customFormat="false" ht="15" hidden="false" customHeight="false" outlineLevel="0" collapsed="false">
      <c r="A49" s="22" t="s">
        <v>325</v>
      </c>
      <c r="B49" s="29" t="n">
        <f aca="false">利润表!S6</f>
        <v>152.8512</v>
      </c>
    </row>
    <row r="50" customFormat="false" ht="15" hidden="false" customHeight="false" outlineLevel="0" collapsed="false">
      <c r="A50" s="22" t="s">
        <v>326</v>
      </c>
      <c r="B50" s="41" t="n">
        <f aca="false">利润表!S10/利润表!S7</f>
        <v>0.723398837701671</v>
      </c>
    </row>
    <row r="51" customFormat="false" ht="15" hidden="false" customHeight="false" outlineLevel="0" collapsed="false">
      <c r="A51" s="24" t="s">
        <v>327</v>
      </c>
      <c r="B51" s="29" t="n">
        <f aca="false">现金流量表!S8</f>
        <v>221.6224</v>
      </c>
    </row>
    <row r="52" customFormat="false" ht="15" hidden="false" customHeight="false" outlineLevel="0" collapsed="false">
      <c r="A52" s="24" t="s">
        <v>328</v>
      </c>
      <c r="B52" s="29" t="n">
        <f aca="false">-现金流量表!S10</f>
        <v>43.8</v>
      </c>
    </row>
    <row r="53" customFormat="false" ht="15" hidden="false" customHeight="false" outlineLevel="0" collapsed="false">
      <c r="A53" s="24" t="s">
        <v>329</v>
      </c>
      <c r="B53" s="29" t="n">
        <f aca="false">现金流量表!S21</f>
        <v>177.8224</v>
      </c>
    </row>
    <row r="54" customFormat="false" ht="15" hidden="false" customHeight="false" outlineLevel="0" collapsed="false">
      <c r="A54" s="22" t="s">
        <v>330</v>
      </c>
      <c r="B54" s="29" t="n">
        <f aca="false">MIN(资产负债表!C5:R5)</f>
        <v>1.7909</v>
      </c>
    </row>
    <row r="55" customFormat="false" ht="15" hidden="false" customHeight="false" outlineLevel="0" collapsed="false">
      <c r="A55" s="22" t="s">
        <v>331</v>
      </c>
      <c r="B55" s="29" t="n">
        <f aca="false">MAX(资产负债表!C10:R10)</f>
        <v>16.8</v>
      </c>
    </row>
    <row r="56" customFormat="false" ht="15" hidden="false" customHeight="false" outlineLevel="0" collapsed="false">
      <c r="A56" s="22" t="s">
        <v>332</v>
      </c>
      <c r="B56" s="29" t="n">
        <f aca="false">MAX(C32:R32)</f>
        <v>13.7091</v>
      </c>
    </row>
    <row r="57" customFormat="false" ht="15" hidden="false" customHeight="false" outlineLevel="0" collapsed="false">
      <c r="A57" s="22" t="s">
        <v>333</v>
      </c>
      <c r="B57" s="29" t="n">
        <f aca="false">SUM(现金流量表!C14:R14)</f>
        <v>0</v>
      </c>
    </row>
    <row r="58" customFormat="false" ht="15" hidden="false" customHeight="false" outlineLevel="0" collapsed="false">
      <c r="A58" s="22" t="s">
        <v>334</v>
      </c>
      <c r="B58" s="41" t="n">
        <f aca="false">(资产负债表!R13/资产负债表!B13)^(1/16)-1</f>
        <v>0.11945052044514</v>
      </c>
    </row>
    <row r="59" customFormat="false" ht="15" hidden="false" customHeight="false" outlineLevel="0" collapsed="false">
      <c r="A59" s="22" t="s">
        <v>335</v>
      </c>
      <c r="B59" s="41" t="n">
        <f aca="false">(1+B58)^ANNUAL-1</f>
        <v>0.570433714837896</v>
      </c>
    </row>
    <row r="60" customFormat="false" ht="15" hidden="false" customHeight="false" outlineLevel="0" collapsed="false">
      <c r="A60" s="22" t="s">
        <v>336</v>
      </c>
      <c r="B60" s="42" t="n">
        <f aca="false">原始数据!R18-资产负债表!B19</f>
        <v>165</v>
      </c>
    </row>
    <row r="61" customFormat="false" ht="15" hidden="false" customHeight="false" outlineLevel="0" collapsed="false">
      <c r="A61" s="24" t="s">
        <v>337</v>
      </c>
      <c r="B61" s="42" t="n">
        <f aca="false">S25</f>
        <v>72.62</v>
      </c>
    </row>
    <row r="62" customFormat="false" ht="15" hidden="false" customHeight="false" outlineLevel="0" collapsed="false">
      <c r="A62" s="22" t="s">
        <v>338</v>
      </c>
      <c r="B62" s="42" t="n">
        <f aca="false">S24</f>
        <v>494.63</v>
      </c>
    </row>
    <row r="64" customFormat="false" ht="15" hidden="false" customHeight="false" outlineLevel="0" collapsed="false">
      <c r="A64" s="43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47.31"/>
    <col collapsed="false" customWidth="true" hidden="false" outlineLevel="0" max="2" min="2" style="0" width="9.1"/>
    <col collapsed="false" customWidth="true" hidden="false" outlineLevel="0" max="19" min="3" style="0" width="8.65"/>
  </cols>
  <sheetData>
    <row r="1" customFormat="false" ht="17.35" hidden="false" customHeight="false" outlineLevel="0" collapsed="false">
      <c r="A1" s="1" t="s">
        <v>340</v>
      </c>
    </row>
    <row r="2" customFormat="false" ht="15" hidden="false" customHeight="false" outlineLevel="0" collapsed="false">
      <c r="A2" s="2" t="s">
        <v>341</v>
      </c>
    </row>
    <row r="4" customFormat="false" ht="15" hidden="false" customHeight="false" outlineLevel="0" collapsed="false">
      <c r="A4" s="20" t="s">
        <v>342</v>
      </c>
      <c r="B4" s="20" t="s">
        <v>228</v>
      </c>
      <c r="C4" s="21" t="s">
        <v>102</v>
      </c>
      <c r="D4" s="21" t="s">
        <v>103</v>
      </c>
      <c r="E4" s="21" t="s">
        <v>104</v>
      </c>
      <c r="F4" s="21" t="s">
        <v>105</v>
      </c>
      <c r="G4" s="21" t="s">
        <v>106</v>
      </c>
      <c r="H4" s="21" t="s">
        <v>107</v>
      </c>
      <c r="I4" s="21" t="s">
        <v>108</v>
      </c>
      <c r="J4" s="21" t="s">
        <v>109</v>
      </c>
      <c r="K4" s="21" t="s">
        <v>110</v>
      </c>
      <c r="L4" s="21" t="s">
        <v>111</v>
      </c>
      <c r="M4" s="21" t="s">
        <v>112</v>
      </c>
      <c r="N4" s="21" t="s">
        <v>113</v>
      </c>
      <c r="O4" s="21" t="s">
        <v>114</v>
      </c>
      <c r="P4" s="21" t="s">
        <v>115</v>
      </c>
      <c r="Q4" s="21" t="s">
        <v>116</v>
      </c>
      <c r="R4" s="21" t="s">
        <v>117</v>
      </c>
    </row>
    <row r="5" customFormat="false" ht="15" hidden="false" customHeight="false" outlineLevel="0" collapsed="false">
      <c r="A5" s="3" t="s">
        <v>343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customFormat="false" ht="15" hidden="false" customHeight="false" outlineLevel="0" collapsed="false">
      <c r="A6" s="22" t="s">
        <v>344</v>
      </c>
      <c r="B6" s="30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customFormat="false" ht="15" hidden="false" customHeight="false" outlineLevel="0" collapsed="false">
      <c r="A7" s="22" t="s">
        <v>345</v>
      </c>
      <c r="B7" s="30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customFormat="false" ht="15" hidden="false" customHeight="false" outlineLevel="0" collapsed="false">
      <c r="A8" s="22" t="s">
        <v>346</v>
      </c>
      <c r="B8" s="30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customFormat="false" ht="15" hidden="false" customHeight="false" outlineLevel="0" collapsed="false">
      <c r="A9" s="24" t="s">
        <v>347</v>
      </c>
      <c r="B9" s="30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customFormat="false" ht="15" hidden="false" customHeight="false" outlineLevel="0" collapsed="false">
      <c r="A10" s="22" t="s">
        <v>348</v>
      </c>
      <c r="B10" s="30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customFormat="false" ht="15" hidden="false" customHeight="false" outlineLevel="0" collapsed="false">
      <c r="A11" s="3" t="s">
        <v>349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customFormat="false" ht="15" hidden="false" customHeight="false" outlineLevel="0" collapsed="false">
      <c r="A12" s="22" t="s">
        <v>119</v>
      </c>
      <c r="B12" s="30"/>
      <c r="C12" s="28" t="n">
        <f aca="false">IF(C6="",原始数据!C6,C6)</f>
        <v>0.85</v>
      </c>
      <c r="D12" s="28" t="n">
        <f aca="false">IF(D6="",原始数据!D6,D6)</f>
        <v>1</v>
      </c>
      <c r="E12" s="28" t="n">
        <f aca="false">IF(E6="",原始数据!E6,E6)</f>
        <v>1</v>
      </c>
      <c r="F12" s="28" t="n">
        <f aca="false">IF(F6="",原始数据!F6,F6)</f>
        <v>1</v>
      </c>
      <c r="G12" s="28" t="n">
        <f aca="false">IF(G6="",原始数据!G6,G6)</f>
        <v>1</v>
      </c>
      <c r="H12" s="28" t="n">
        <f aca="false">IF(H6="",原始数据!H6,H6)</f>
        <v>1</v>
      </c>
      <c r="I12" s="28" t="n">
        <f aca="false">IF(I6="",原始数据!I6,I6)</f>
        <v>1</v>
      </c>
      <c r="J12" s="28" t="n">
        <f aca="false">IF(J6="",原始数据!J6,J6)</f>
        <v>1</v>
      </c>
      <c r="K12" s="28" t="n">
        <f aca="false">IF(K6="",原始数据!K6,K6)</f>
        <v>1</v>
      </c>
      <c r="L12" s="28" t="n">
        <f aca="false">IF(L6="",原始数据!L6,L6)</f>
        <v>1</v>
      </c>
      <c r="M12" s="28" t="n">
        <f aca="false">IF(M6="",原始数据!M6,M6)</f>
        <v>1</v>
      </c>
      <c r="N12" s="28" t="n">
        <f aca="false">IF(N6="",原始数据!N6,N6)</f>
        <v>1</v>
      </c>
      <c r="O12" s="28" t="n">
        <f aca="false">IF(O6="",原始数据!O6,O6)</f>
        <v>1</v>
      </c>
      <c r="P12" s="28" t="n">
        <f aca="false">IF(P6="",原始数据!P6,P6)</f>
        <v>1</v>
      </c>
      <c r="Q12" s="28" t="n">
        <f aca="false">IF(Q6="",原始数据!Q6,Q6)</f>
        <v>1</v>
      </c>
      <c r="R12" s="28" t="n">
        <f aca="false">IF(R6="",原始数据!R6,R6)</f>
        <v>1</v>
      </c>
    </row>
    <row r="13" customFormat="false" ht="15" hidden="false" customHeight="false" outlineLevel="0" collapsed="false">
      <c r="A13" s="22" t="s">
        <v>121</v>
      </c>
      <c r="B13" s="30"/>
      <c r="C13" s="28" t="n">
        <f aca="false">IF(C7="",原始数据!C7,C7)</f>
        <v>1</v>
      </c>
      <c r="D13" s="28" t="n">
        <f aca="false">IF(D7="",原始数据!D7,D7)</f>
        <v>1</v>
      </c>
      <c r="E13" s="28" t="n">
        <f aca="false">IF(E7="",原始数据!E7,E7)</f>
        <v>1</v>
      </c>
      <c r="F13" s="28" t="n">
        <f aca="false">IF(F7="",原始数据!F7,F7)</f>
        <v>1</v>
      </c>
      <c r="G13" s="28" t="n">
        <f aca="false">IF(G7="",原始数据!G7,G7)</f>
        <v>1</v>
      </c>
      <c r="H13" s="28" t="n">
        <f aca="false">IF(H7="",原始数据!H7,H7)</f>
        <v>1</v>
      </c>
      <c r="I13" s="28" t="n">
        <f aca="false">IF(I7="",原始数据!I7,I7)</f>
        <v>1</v>
      </c>
      <c r="J13" s="28" t="n">
        <f aca="false">IF(J7="",原始数据!J7,J7)</f>
        <v>1</v>
      </c>
      <c r="K13" s="28" t="n">
        <f aca="false">IF(K7="",原始数据!K7,K7)</f>
        <v>1</v>
      </c>
      <c r="L13" s="28" t="n">
        <f aca="false">IF(L7="",原始数据!L7,L7)</f>
        <v>1</v>
      </c>
      <c r="M13" s="28" t="n">
        <f aca="false">IF(M7="",原始数据!M7,M7)</f>
        <v>1</v>
      </c>
      <c r="N13" s="28" t="n">
        <f aca="false">IF(N7="",原始数据!N7,N7)</f>
        <v>1</v>
      </c>
      <c r="O13" s="28" t="n">
        <f aca="false">IF(O7="",原始数据!O7,O7)</f>
        <v>1</v>
      </c>
      <c r="P13" s="28" t="n">
        <f aca="false">IF(P7="",原始数据!P7,P7)</f>
        <v>1</v>
      </c>
      <c r="Q13" s="28" t="n">
        <f aca="false">IF(Q7="",原始数据!Q7,Q7)</f>
        <v>1</v>
      </c>
      <c r="R13" s="28" t="n">
        <f aca="false">IF(R7="",原始数据!R7,R7)</f>
        <v>1</v>
      </c>
    </row>
    <row r="14" customFormat="false" ht="15" hidden="false" customHeight="false" outlineLevel="0" collapsed="false">
      <c r="A14" s="22" t="s">
        <v>123</v>
      </c>
      <c r="B14" s="30"/>
      <c r="C14" s="26" t="n">
        <f aca="false">IF(C8="",原始数据!C8,C8)</f>
        <v>1.5</v>
      </c>
      <c r="D14" s="26" t="n">
        <f aca="false">IF(D8="",原始数据!D8,D8)</f>
        <v>1.5</v>
      </c>
      <c r="E14" s="26" t="n">
        <f aca="false">IF(E8="",原始数据!E8,E8)</f>
        <v>1.5</v>
      </c>
      <c r="F14" s="26" t="n">
        <f aca="false">IF(F8="",原始数据!F8,F8)</f>
        <v>1.5</v>
      </c>
      <c r="G14" s="26" t="n">
        <f aca="false">IF(G8="",原始数据!G8,G8)</f>
        <v>4.5</v>
      </c>
      <c r="H14" s="26" t="n">
        <f aca="false">IF(H8="",原始数据!H8,H8)</f>
        <v>3.9</v>
      </c>
      <c r="I14" s="26" t="n">
        <f aca="false">IF(I8="",原始数据!I8,I8)</f>
        <v>3.3</v>
      </c>
      <c r="J14" s="26" t="n">
        <f aca="false">IF(J8="",原始数据!J8,J8)</f>
        <v>5.7</v>
      </c>
      <c r="K14" s="26" t="n">
        <f aca="false">IF(K8="",原始数据!K8,K8)</f>
        <v>6.3</v>
      </c>
      <c r="L14" s="26" t="n">
        <f aca="false">IF(L8="",原始数据!L8,L8)</f>
        <v>5.1</v>
      </c>
      <c r="M14" s="26" t="n">
        <f aca="false">IF(M8="",原始数据!M8,M8)</f>
        <v>1.5</v>
      </c>
      <c r="N14" s="26" t="n">
        <f aca="false">IF(N8="",原始数据!N8,N8)</f>
        <v>1.5</v>
      </c>
      <c r="O14" s="26" t="n">
        <f aca="false">IF(O8="",原始数据!O8,O8)</f>
        <v>1.5</v>
      </c>
      <c r="P14" s="26" t="n">
        <f aca="false">IF(P8="",原始数据!P8,P8)</f>
        <v>1.5</v>
      </c>
      <c r="Q14" s="26" t="n">
        <f aca="false">IF(Q8="",原始数据!Q8,Q8)</f>
        <v>1.5</v>
      </c>
      <c r="R14" s="26" t="n">
        <f aca="false">IF(R8="",原始数据!R8,R8)</f>
        <v>1.5</v>
      </c>
    </row>
    <row r="15" customFormat="false" ht="15" hidden="false" customHeight="false" outlineLevel="0" collapsed="false">
      <c r="A15" s="24" t="s">
        <v>127</v>
      </c>
      <c r="B15" s="30"/>
      <c r="C15" s="28" t="n">
        <f aca="false">IF(C9="",原始数据!C10,C9)</f>
        <v>0</v>
      </c>
      <c r="D15" s="28" t="n">
        <f aca="false">IF(D9="",原始数据!D10,D9)</f>
        <v>0</v>
      </c>
      <c r="E15" s="28" t="n">
        <f aca="false">IF(E9="",原始数据!E10,E9)</f>
        <v>0</v>
      </c>
      <c r="F15" s="28" t="n">
        <f aca="false">IF(F9="",原始数据!F10,F9)</f>
        <v>0.04</v>
      </c>
      <c r="G15" s="28" t="n">
        <f aca="false">IF(G9="",原始数据!G10,G9)</f>
        <v>0.05</v>
      </c>
      <c r="H15" s="28" t="n">
        <f aca="false">IF(H9="",原始数据!H10,H9)</f>
        <v>0.07</v>
      </c>
      <c r="I15" s="28" t="n">
        <f aca="false">IF(I9="",原始数据!I10,I9)</f>
        <v>0.11</v>
      </c>
      <c r="J15" s="28" t="n">
        <f aca="false">IF(J9="",原始数据!J10,J9)</f>
        <v>0.14</v>
      </c>
      <c r="K15" s="28" t="n">
        <f aca="false">IF(K9="",原始数据!K10,K9)</f>
        <v>0.17</v>
      </c>
      <c r="L15" s="28" t="n">
        <f aca="false">IF(L9="",原始数据!L10,L9)</f>
        <v>0.2</v>
      </c>
      <c r="M15" s="28" t="n">
        <f aca="false">IF(M9="",原始数据!M10,M9)</f>
        <v>0.235</v>
      </c>
      <c r="N15" s="28" t="n">
        <f aca="false">IF(N9="",原始数据!N10,N9)</f>
        <v>0.245</v>
      </c>
      <c r="O15" s="28" t="n">
        <f aca="false">IF(O9="",原始数据!O10,O9)</f>
        <v>0.26</v>
      </c>
      <c r="P15" s="28" t="n">
        <f aca="false">IF(P9="",原始数据!P10,P9)</f>
        <v>0.295</v>
      </c>
      <c r="Q15" s="28" t="n">
        <f aca="false">IF(Q9="",原始数据!Q10,Q9)</f>
        <v>0.36</v>
      </c>
      <c r="R15" s="28" t="n">
        <f aca="false">IF(R9="",原始数据!R10,R9)</f>
        <v>0.405</v>
      </c>
    </row>
    <row r="16" customFormat="false" ht="15" hidden="false" customHeight="false" outlineLevel="0" collapsed="false">
      <c r="A16" s="22" t="s">
        <v>350</v>
      </c>
      <c r="B16" s="30"/>
      <c r="C16" s="26" t="n">
        <f aca="false">IF(C10="",原始数据!C11,C10)</f>
        <v>0</v>
      </c>
      <c r="D16" s="26" t="n">
        <f aca="false">IF(D10="",原始数据!D11,D10)</f>
        <v>0</v>
      </c>
      <c r="E16" s="26" t="n">
        <f aca="false">IF(E10="",原始数据!E11,E10)</f>
        <v>2</v>
      </c>
      <c r="F16" s="26" t="n">
        <f aca="false">IF(F10="",原始数据!F11,F10)</f>
        <v>2</v>
      </c>
      <c r="G16" s="26" t="n">
        <f aca="false">IF(G10="",原始数据!G11,G10)</f>
        <v>3.5</v>
      </c>
      <c r="H16" s="26" t="n">
        <f aca="false">IF(H10="",原始数据!H11,H10)</f>
        <v>1.5</v>
      </c>
      <c r="I16" s="26" t="n">
        <f aca="false">IF(I10="",原始数据!I11,I10)</f>
        <v>0</v>
      </c>
      <c r="J16" s="26" t="n">
        <f aca="false">IF(J10="",原始数据!J11,J10)</f>
        <v>0.5</v>
      </c>
      <c r="K16" s="26" t="n">
        <f aca="false">IF(K10="",原始数据!K11,K10)</f>
        <v>1.3</v>
      </c>
      <c r="L16" s="26" t="n">
        <f aca="false">IF(L10="",原始数据!L11,L10)</f>
        <v>-2</v>
      </c>
      <c r="M16" s="26" t="n">
        <f aca="false">IF(M10="",原始数据!M11,M10)</f>
        <v>-10</v>
      </c>
      <c r="N16" s="26" t="n">
        <f aca="false">IF(N10="",原始数据!N11,N10)</f>
        <v>-4.8</v>
      </c>
      <c r="O16" s="26" t="n">
        <f aca="false">IF(O10="",原始数据!O11,O10)</f>
        <v>0</v>
      </c>
      <c r="P16" s="26" t="n">
        <f aca="false">IF(P10="",原始数据!P11,P10)</f>
        <v>0</v>
      </c>
      <c r="Q16" s="26" t="n">
        <f aca="false">IF(Q10="",原始数据!Q11,Q10)</f>
        <v>0</v>
      </c>
      <c r="R16" s="26" t="n">
        <f aca="false">IF(R10="",原始数据!R11,R10)</f>
        <v>0</v>
      </c>
    </row>
    <row r="17" customFormat="false" ht="15" hidden="false" customHeight="false" outlineLevel="0" collapsed="false">
      <c r="A17" s="3" t="s">
        <v>351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customFormat="false" ht="15" hidden="false" customHeight="false" outlineLevel="0" collapsed="false">
      <c r="A18" s="22" t="s">
        <v>352</v>
      </c>
      <c r="B18" s="33" t="n">
        <f aca="false">资产负债表!B19</f>
        <v>300</v>
      </c>
      <c r="C18" s="33" t="n">
        <f aca="false">$B$18</f>
        <v>300</v>
      </c>
      <c r="D18" s="33" t="n">
        <f aca="false">$B$18</f>
        <v>300</v>
      </c>
      <c r="E18" s="33" t="n">
        <f aca="false">$B$18</f>
        <v>300</v>
      </c>
      <c r="F18" s="33" t="n">
        <f aca="false">$B$18</f>
        <v>300</v>
      </c>
      <c r="G18" s="33" t="n">
        <f aca="false">$B$18+(SUM($C$14:C14)-MAINT*1)/CAP_COST</f>
        <v>300</v>
      </c>
      <c r="H18" s="33" t="n">
        <f aca="false">$B$18+(SUM($C$14:D14)-MAINT*2)/CAP_COST</f>
        <v>300</v>
      </c>
      <c r="I18" s="33" t="n">
        <f aca="false">$B$18+(SUM($C$14:E14)-MAINT*3)/CAP_COST</f>
        <v>300</v>
      </c>
      <c r="J18" s="33" t="n">
        <f aca="false">$B$18+(SUM($C$14:F14)-MAINT*4)/CAP_COST</f>
        <v>300</v>
      </c>
      <c r="K18" s="33" t="n">
        <f aca="false">$B$18+(SUM($C$14:G14)-MAINT*5)/CAP_COST</f>
        <v>325</v>
      </c>
      <c r="L18" s="33" t="n">
        <f aca="false">$B$18+(SUM($C$14:H14)-MAINT*6)/CAP_COST</f>
        <v>345</v>
      </c>
      <c r="M18" s="33" t="n">
        <f aca="false">$B$18+(SUM($C$14:I14)-MAINT*7)/CAP_COST</f>
        <v>360</v>
      </c>
      <c r="N18" s="33" t="n">
        <f aca="false">$B$18+(SUM($C$14:J14)-MAINT*8)/CAP_COST</f>
        <v>395</v>
      </c>
      <c r="O18" s="33" t="n">
        <f aca="false">$B$18+(SUM($C$14:K14)-MAINT*9)/CAP_COST</f>
        <v>435</v>
      </c>
      <c r="P18" s="33" t="n">
        <f aca="false">$B$18+(SUM($C$14:L14)-MAINT*10)/CAP_COST</f>
        <v>465</v>
      </c>
      <c r="Q18" s="33" t="n">
        <f aca="false">$B$18+(SUM($C$14:M14)-MAINT*11)/CAP_COST</f>
        <v>465</v>
      </c>
      <c r="R18" s="33" t="n">
        <f aca="false">$B$18+(SUM($C$14:N14)-MAINT*12)/CAP_COST</f>
        <v>465</v>
      </c>
    </row>
    <row r="19" customFormat="false" ht="15" hidden="false" customHeight="false" outlineLevel="0" collapsed="false">
      <c r="A19" s="22" t="s">
        <v>353</v>
      </c>
      <c r="B19" s="30"/>
      <c r="C19" s="26" t="n">
        <f aca="false">DEP_BASE</f>
        <v>2</v>
      </c>
      <c r="D19" s="26" t="n">
        <f aca="false">DEP_BASE</f>
        <v>2</v>
      </c>
      <c r="E19" s="26" t="n">
        <f aca="false">DEP_BASE</f>
        <v>2</v>
      </c>
      <c r="F19" s="26" t="n">
        <f aca="false">DEP_BASE</f>
        <v>2</v>
      </c>
      <c r="G19" s="26" t="n">
        <f aca="false">DEP_BASE+SUM($C$14:C14)/DEP_LIFE</f>
        <v>2.075</v>
      </c>
      <c r="H19" s="26" t="n">
        <f aca="false">DEP_BASE+SUM($C$14:D14)/DEP_LIFE</f>
        <v>2.15</v>
      </c>
      <c r="I19" s="26" t="n">
        <f aca="false">DEP_BASE+SUM($C$14:E14)/DEP_LIFE</f>
        <v>2.225</v>
      </c>
      <c r="J19" s="26" t="n">
        <f aca="false">DEP_BASE+SUM($C$14:F14)/DEP_LIFE</f>
        <v>2.3</v>
      </c>
      <c r="K19" s="26" t="n">
        <f aca="false">DEP_BASE+SUM($C$14:G14)/DEP_LIFE</f>
        <v>2.525</v>
      </c>
      <c r="L19" s="26" t="n">
        <f aca="false">DEP_BASE+SUM($C$14:H14)/DEP_LIFE</f>
        <v>2.72</v>
      </c>
      <c r="M19" s="26" t="n">
        <f aca="false">DEP_BASE+SUM($C$14:I14)/DEP_LIFE</f>
        <v>2.885</v>
      </c>
      <c r="N19" s="26" t="n">
        <f aca="false">DEP_BASE+SUM($C$14:J14)/DEP_LIFE</f>
        <v>3.17</v>
      </c>
      <c r="O19" s="26" t="n">
        <f aca="false">DEP_BASE+SUM($C$14:K14)/DEP_LIFE</f>
        <v>3.485</v>
      </c>
      <c r="P19" s="26" t="n">
        <f aca="false">DEP_BASE+SUM($C$14:L14)/DEP_LIFE</f>
        <v>3.74</v>
      </c>
      <c r="Q19" s="26" t="n">
        <f aca="false">DEP_BASE+SUM($C$14:M14)/DEP_LIFE</f>
        <v>3.815</v>
      </c>
      <c r="R19" s="26" t="n">
        <f aca="false">DEP_BASE+SUM($C$14:N14)/DEP_LIFE</f>
        <v>3.89</v>
      </c>
    </row>
    <row r="20" customFormat="false" ht="15" hidden="false" customHeight="false" outlineLevel="0" collapsed="false">
      <c r="A20" s="22" t="s">
        <v>354</v>
      </c>
      <c r="B20" s="30"/>
      <c r="C20" s="33" t="n">
        <f aca="false">C18*C12</f>
        <v>255</v>
      </c>
      <c r="D20" s="33" t="n">
        <f aca="false">D18*D12</f>
        <v>300</v>
      </c>
      <c r="E20" s="33" t="n">
        <f aca="false">E18*E12</f>
        <v>300</v>
      </c>
      <c r="F20" s="33" t="n">
        <f aca="false">F18*F12</f>
        <v>300</v>
      </c>
      <c r="G20" s="33" t="n">
        <f aca="false">G18*G12</f>
        <v>300</v>
      </c>
      <c r="H20" s="33" t="n">
        <f aca="false">H18*H12</f>
        <v>300</v>
      </c>
      <c r="I20" s="33" t="n">
        <f aca="false">I18*I12</f>
        <v>300</v>
      </c>
      <c r="J20" s="33" t="n">
        <f aca="false">J18*J12</f>
        <v>300</v>
      </c>
      <c r="K20" s="33" t="n">
        <f aca="false">K18*K12</f>
        <v>325</v>
      </c>
      <c r="L20" s="33" t="n">
        <f aca="false">L18*L12</f>
        <v>345</v>
      </c>
      <c r="M20" s="33" t="n">
        <f aca="false">M18*M12</f>
        <v>360</v>
      </c>
      <c r="N20" s="33" t="n">
        <f aca="false">N18*N12</f>
        <v>395</v>
      </c>
      <c r="O20" s="33" t="n">
        <f aca="false">O18*O12</f>
        <v>435</v>
      </c>
      <c r="P20" s="33" t="n">
        <f aca="false">P18*P12</f>
        <v>465</v>
      </c>
      <c r="Q20" s="33" t="n">
        <f aca="false">Q18*Q12</f>
        <v>465</v>
      </c>
      <c r="R20" s="33" t="n">
        <f aca="false">R18*R12</f>
        <v>465</v>
      </c>
    </row>
    <row r="21" customFormat="false" ht="15" hidden="false" customHeight="false" outlineLevel="0" collapsed="false">
      <c r="A21" s="24" t="s">
        <v>355</v>
      </c>
      <c r="B21" s="30"/>
      <c r="C21" s="44" t="n">
        <f aca="false">原始数据!C24</f>
        <v>0</v>
      </c>
      <c r="D21" s="44" t="n">
        <f aca="false">原始数据!D24</f>
        <v>0</v>
      </c>
      <c r="E21" s="44" t="n">
        <f aca="false">原始数据!E24</f>
        <v>0</v>
      </c>
      <c r="F21" s="44" t="n">
        <f aca="false">原始数据!F24</f>
        <v>1</v>
      </c>
      <c r="G21" s="44" t="n">
        <f aca="false">原始数据!G24</f>
        <v>1</v>
      </c>
      <c r="H21" s="44" t="n">
        <f aca="false">原始数据!H24</f>
        <v>1</v>
      </c>
      <c r="I21" s="44" t="n">
        <f aca="false">原始数据!I24</f>
        <v>1</v>
      </c>
      <c r="J21" s="44" t="n">
        <f aca="false">原始数据!J24</f>
        <v>1</v>
      </c>
      <c r="K21" s="44" t="n">
        <f aca="false">原始数据!K24</f>
        <v>1</v>
      </c>
      <c r="L21" s="44" t="n">
        <f aca="false">原始数据!L24</f>
        <v>1</v>
      </c>
      <c r="M21" s="44" t="n">
        <f aca="false">原始数据!M24</f>
        <v>1</v>
      </c>
      <c r="N21" s="44" t="n">
        <f aca="false">原始数据!N24</f>
        <v>1</v>
      </c>
      <c r="O21" s="44" t="n">
        <f aca="false">原始数据!O24</f>
        <v>1</v>
      </c>
      <c r="P21" s="44" t="n">
        <f aca="false">原始数据!P24</f>
        <v>1</v>
      </c>
      <c r="Q21" s="44" t="n">
        <f aca="false">原始数据!Q24</f>
        <v>1</v>
      </c>
      <c r="R21" s="44" t="n">
        <f aca="false">原始数据!R24</f>
        <v>1</v>
      </c>
    </row>
    <row r="22" customFormat="false" ht="15" hidden="false" customHeight="false" outlineLevel="0" collapsed="false">
      <c r="A22" s="24" t="s">
        <v>356</v>
      </c>
      <c r="B22" s="30"/>
      <c r="C22" s="33" t="n">
        <f aca="false">C20*C15*C21</f>
        <v>0</v>
      </c>
      <c r="D22" s="33" t="n">
        <f aca="false">D20*D15*D21</f>
        <v>0</v>
      </c>
      <c r="E22" s="33" t="n">
        <f aca="false">E20*E15*E21</f>
        <v>0</v>
      </c>
      <c r="F22" s="33" t="n">
        <f aca="false">F20*F15*F21</f>
        <v>12</v>
      </c>
      <c r="G22" s="33" t="n">
        <f aca="false">G20*G15*G21</f>
        <v>15</v>
      </c>
      <c r="H22" s="33" t="n">
        <f aca="false">H20*H15*H21</f>
        <v>21</v>
      </c>
      <c r="I22" s="33" t="n">
        <f aca="false">I20*I15*I21</f>
        <v>33</v>
      </c>
      <c r="J22" s="33" t="n">
        <f aca="false">J20*J15*J21</f>
        <v>42</v>
      </c>
      <c r="K22" s="33" t="n">
        <f aca="false">K20*K15*K21</f>
        <v>55.25</v>
      </c>
      <c r="L22" s="33" t="n">
        <f aca="false">L20*L15*L21</f>
        <v>69</v>
      </c>
      <c r="M22" s="33" t="n">
        <f aca="false">M20*M15*M21</f>
        <v>84.6</v>
      </c>
      <c r="N22" s="33" t="n">
        <f aca="false">N20*N15*N21</f>
        <v>96.775</v>
      </c>
      <c r="O22" s="33" t="n">
        <f aca="false">O20*O15*O21</f>
        <v>113.1</v>
      </c>
      <c r="P22" s="33" t="n">
        <f aca="false">P20*P15*P21</f>
        <v>137.175</v>
      </c>
      <c r="Q22" s="33" t="n">
        <f aca="false">Q20*Q15*Q21</f>
        <v>167.4</v>
      </c>
      <c r="R22" s="33" t="n">
        <f aca="false">R20*R15*R21</f>
        <v>188.325</v>
      </c>
    </row>
    <row r="23" customFormat="false" ht="15" hidden="false" customHeight="false" outlineLevel="0" collapsed="false">
      <c r="A23" s="22" t="s">
        <v>357</v>
      </c>
      <c r="B23" s="30"/>
      <c r="C23" s="33" t="n">
        <f aca="false">C20-C22</f>
        <v>255</v>
      </c>
      <c r="D23" s="33" t="n">
        <f aca="false">D20-D22</f>
        <v>300</v>
      </c>
      <c r="E23" s="33" t="n">
        <f aca="false">E20-E22</f>
        <v>300</v>
      </c>
      <c r="F23" s="33" t="n">
        <f aca="false">F20-F22</f>
        <v>288</v>
      </c>
      <c r="G23" s="33" t="n">
        <f aca="false">G20-G22</f>
        <v>285</v>
      </c>
      <c r="H23" s="33" t="n">
        <f aca="false">H20-H22</f>
        <v>279</v>
      </c>
      <c r="I23" s="33" t="n">
        <f aca="false">I20-I22</f>
        <v>267</v>
      </c>
      <c r="J23" s="33" t="n">
        <f aca="false">J20-J22</f>
        <v>258</v>
      </c>
      <c r="K23" s="33" t="n">
        <f aca="false">K20-K22</f>
        <v>269.75</v>
      </c>
      <c r="L23" s="33" t="n">
        <f aca="false">L20-L22</f>
        <v>276</v>
      </c>
      <c r="M23" s="33" t="n">
        <f aca="false">M20-M22</f>
        <v>275.4</v>
      </c>
      <c r="N23" s="33" t="n">
        <f aca="false">N20-N22</f>
        <v>298.225</v>
      </c>
      <c r="O23" s="33" t="n">
        <f aca="false">O20-O22</f>
        <v>321.9</v>
      </c>
      <c r="P23" s="33" t="n">
        <f aca="false">P20-P22</f>
        <v>327.825</v>
      </c>
      <c r="Q23" s="33" t="n">
        <f aca="false">Q20-Q22</f>
        <v>297.6</v>
      </c>
      <c r="R23" s="33" t="n">
        <f aca="false">R20-R22</f>
        <v>276.675</v>
      </c>
    </row>
    <row r="24" customFormat="false" ht="15" hidden="false" customHeight="false" outlineLevel="0" collapsed="false">
      <c r="A24" s="22" t="s">
        <v>358</v>
      </c>
      <c r="B24" s="30"/>
      <c r="C24" s="45" t="n">
        <f aca="false">(C19+PLANT_FIXED+V_COST*C20)/C20</f>
        <v>0.0167647058823529</v>
      </c>
      <c r="D24" s="45" t="n">
        <f aca="false">(D19+PLANT_FIXED+V_COST*D20)/D20</f>
        <v>0.015</v>
      </c>
      <c r="E24" s="45" t="n">
        <f aca="false">(E19+PLANT_FIXED+V_COST*E20)/E20</f>
        <v>0.015</v>
      </c>
      <c r="F24" s="45" t="n">
        <f aca="false">(F19+PLANT_FIXED+V_COST*F20)/F20</f>
        <v>0.015</v>
      </c>
      <c r="G24" s="45" t="n">
        <f aca="false">(G19+PLANT_FIXED+V_COST*G20)/G20</f>
        <v>0.01525</v>
      </c>
      <c r="H24" s="45" t="n">
        <f aca="false">(H19+PLANT_FIXED+V_COST*H20)/H20</f>
        <v>0.0155</v>
      </c>
      <c r="I24" s="45" t="n">
        <f aca="false">(I19+PLANT_FIXED+V_COST*I20)/I20</f>
        <v>0.01575</v>
      </c>
      <c r="J24" s="45" t="n">
        <f aca="false">(J19+PLANT_FIXED+V_COST*J20)/J20</f>
        <v>0.016</v>
      </c>
      <c r="K24" s="45" t="n">
        <f aca="false">(K19+PLANT_FIXED+V_COST*K20)/K20</f>
        <v>0.0158461538461538</v>
      </c>
      <c r="L24" s="45" t="n">
        <f aca="false">(L19+PLANT_FIXED+V_COST*L20)/L20</f>
        <v>0.0157826086956522</v>
      </c>
      <c r="M24" s="45" t="n">
        <f aca="false">(M19+PLANT_FIXED+V_COST*M20)/M20</f>
        <v>0.0157916666666667</v>
      </c>
      <c r="N24" s="45" t="n">
        <f aca="false">(N19+PLANT_FIXED+V_COST*N20)/N20</f>
        <v>0.0155569620253165</v>
      </c>
      <c r="O24" s="45" t="n">
        <f aca="false">(O19+PLANT_FIXED+V_COST*O20)/O20</f>
        <v>0.0153103448275862</v>
      </c>
      <c r="P24" s="45" t="n">
        <f aca="false">(P19+PLANT_FIXED+V_COST*P20)/P20</f>
        <v>0.0151935483870968</v>
      </c>
      <c r="Q24" s="45" t="n">
        <f aca="false">(Q19+PLANT_FIXED+V_COST*Q20)/Q20</f>
        <v>0.0153548387096774</v>
      </c>
      <c r="R24" s="45" t="n">
        <f aca="false">(R19+PLANT_FIXED+V_COST*R20)/R20</f>
        <v>0.0155161290322581</v>
      </c>
    </row>
    <row r="25" customFormat="false" ht="15" hidden="false" customHeight="false" outlineLevel="0" collapsed="false">
      <c r="A25" s="3" t="s">
        <v>359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customFormat="false" ht="15" hidden="false" customHeight="false" outlineLevel="0" collapsed="false">
      <c r="A26" s="22" t="s">
        <v>360</v>
      </c>
      <c r="B26" s="30"/>
      <c r="C26" s="33" t="n">
        <f aca="false">B33</f>
        <v>60</v>
      </c>
      <c r="D26" s="33" t="n">
        <f aca="false">C33</f>
        <v>75</v>
      </c>
      <c r="E26" s="33" t="n">
        <f aca="false">D33</f>
        <v>165</v>
      </c>
      <c r="F26" s="33" t="n">
        <f aca="false">E33</f>
        <v>260</v>
      </c>
      <c r="G26" s="33" t="n">
        <f aca="false">F33</f>
        <v>333</v>
      </c>
      <c r="H26" s="33" t="n">
        <f aca="false">G33</f>
        <v>383</v>
      </c>
      <c r="I26" s="33" t="n">
        <f aca="false">H33</f>
        <v>402</v>
      </c>
      <c r="J26" s="33" t="n">
        <f aca="false">I33</f>
        <v>384</v>
      </c>
      <c r="K26" s="33" t="n">
        <f aca="false">J33</f>
        <v>337</v>
      </c>
      <c r="L26" s="33" t="n">
        <f aca="false">K33</f>
        <v>286.75</v>
      </c>
      <c r="M26" s="33" t="n">
        <f aca="false">L33</f>
        <v>242.75</v>
      </c>
      <c r="N26" s="33" t="n">
        <f aca="false">M33</f>
        <v>178.15</v>
      </c>
      <c r="O26" s="33" t="n">
        <f aca="false">N33</f>
        <v>111.375</v>
      </c>
      <c r="P26" s="33" t="n">
        <f aca="false">O33</f>
        <v>33.275</v>
      </c>
      <c r="Q26" s="33" t="n">
        <f aca="false">P33</f>
        <v>0</v>
      </c>
      <c r="R26" s="33" t="n">
        <f aca="false">Q33</f>
        <v>0</v>
      </c>
    </row>
    <row r="27" customFormat="false" ht="15" hidden="false" customHeight="false" outlineLevel="0" collapsed="false">
      <c r="A27" s="22" t="s">
        <v>361</v>
      </c>
      <c r="B27" s="30"/>
      <c r="C27" s="26" t="n">
        <f aca="false">B36</f>
        <v>0.96</v>
      </c>
      <c r="D27" s="26" t="n">
        <f aca="false">C36</f>
        <v>1.24642857142857</v>
      </c>
      <c r="E27" s="26" t="n">
        <f aca="false">D36</f>
        <v>2.10672</v>
      </c>
      <c r="F27" s="26" t="n">
        <f aca="false">E36</f>
        <v>2.964</v>
      </c>
      <c r="G27" s="26" t="n">
        <f aca="false">F36</f>
        <v>4.023972</v>
      </c>
      <c r="H27" s="26" t="n">
        <f aca="false">G36</f>
        <v>5.18737059223301</v>
      </c>
      <c r="I27" s="26" t="n">
        <f aca="false">H36</f>
        <v>5.77609060132579</v>
      </c>
      <c r="J27" s="26" t="n">
        <f aca="false">I36</f>
        <v>5.72919998641121</v>
      </c>
      <c r="K27" s="26" t="n">
        <f aca="false">J36</f>
        <v>5.1742622981629</v>
      </c>
      <c r="L27" s="26" t="n">
        <f aca="false">K36</f>
        <v>4.46548428347459</v>
      </c>
      <c r="M27" s="26" t="n">
        <f aca="false">L36</f>
        <v>3.8052693199706</v>
      </c>
      <c r="N27" s="26" t="n">
        <f aca="false">M36</f>
        <v>2.80360423256347</v>
      </c>
      <c r="O27" s="26" t="n">
        <f aca="false">N36</f>
        <v>1.74016887856574</v>
      </c>
      <c r="P27" s="26" t="n">
        <f aca="false">O36</f>
        <v>0.512138086513819</v>
      </c>
      <c r="Q27" s="26" t="n">
        <f aca="false">P36</f>
        <v>0</v>
      </c>
      <c r="R27" s="26" t="n">
        <f aca="false">Q36</f>
        <v>0</v>
      </c>
    </row>
    <row r="28" customFormat="false" ht="15" hidden="false" customHeight="false" outlineLevel="0" collapsed="false">
      <c r="A28" s="22" t="s">
        <v>362</v>
      </c>
      <c r="B28" s="30"/>
      <c r="C28" s="33" t="n">
        <f aca="false">C26+C23</f>
        <v>315</v>
      </c>
      <c r="D28" s="33" t="n">
        <f aca="false">D26+D23</f>
        <v>375</v>
      </c>
      <c r="E28" s="33" t="n">
        <f aca="false">E26+E23</f>
        <v>465</v>
      </c>
      <c r="F28" s="33" t="n">
        <f aca="false">F26+F23</f>
        <v>548</v>
      </c>
      <c r="G28" s="33" t="n">
        <f aca="false">G26+G23</f>
        <v>618</v>
      </c>
      <c r="H28" s="33" t="n">
        <f aca="false">H26+H23</f>
        <v>662</v>
      </c>
      <c r="I28" s="33" t="n">
        <f aca="false">I26+I23</f>
        <v>669</v>
      </c>
      <c r="J28" s="33" t="n">
        <f aca="false">J26+J23</f>
        <v>642</v>
      </c>
      <c r="K28" s="33" t="n">
        <f aca="false">K26+K23</f>
        <v>606.75</v>
      </c>
      <c r="L28" s="33" t="n">
        <f aca="false">L26+L23</f>
        <v>562.75</v>
      </c>
      <c r="M28" s="33" t="n">
        <f aca="false">M26+M23</f>
        <v>518.15</v>
      </c>
      <c r="N28" s="33" t="n">
        <f aca="false">N26+N23</f>
        <v>476.375</v>
      </c>
      <c r="O28" s="33" t="n">
        <f aca="false">O26+O23</f>
        <v>433.275</v>
      </c>
      <c r="P28" s="33" t="n">
        <f aca="false">P26+P23</f>
        <v>361.1</v>
      </c>
      <c r="Q28" s="33" t="n">
        <f aca="false">Q26+Q23</f>
        <v>297.6</v>
      </c>
      <c r="R28" s="33" t="n">
        <f aca="false">R26+R23</f>
        <v>276.675</v>
      </c>
    </row>
    <row r="29" customFormat="false" ht="15" hidden="false" customHeight="false" outlineLevel="0" collapsed="false">
      <c r="A29" s="22" t="s">
        <v>363</v>
      </c>
      <c r="B29" s="30"/>
      <c r="C29" s="26" t="n">
        <f aca="false">C27+C23*C24</f>
        <v>5.235</v>
      </c>
      <c r="D29" s="26" t="n">
        <f aca="false">D27+D23*D24</f>
        <v>5.74642857142857</v>
      </c>
      <c r="E29" s="26" t="n">
        <f aca="false">E27+E23*E24</f>
        <v>6.60672</v>
      </c>
      <c r="F29" s="26" t="n">
        <f aca="false">F27+F23*F24</f>
        <v>7.284</v>
      </c>
      <c r="G29" s="26" t="n">
        <f aca="false">G27+G23*G24</f>
        <v>8.370222</v>
      </c>
      <c r="H29" s="26" t="n">
        <f aca="false">H27+H23*H24</f>
        <v>9.51187059223301</v>
      </c>
      <c r="I29" s="26" t="n">
        <f aca="false">I27+I23*I24</f>
        <v>9.98134060132579</v>
      </c>
      <c r="J29" s="26" t="n">
        <f aca="false">J27+J23*J24</f>
        <v>9.85719998641121</v>
      </c>
      <c r="K29" s="26" t="n">
        <f aca="false">K27+K23*K24</f>
        <v>9.44876229816289</v>
      </c>
      <c r="L29" s="26" t="n">
        <f aca="false">L27+L23*L24</f>
        <v>8.82148428347459</v>
      </c>
      <c r="M29" s="26" t="n">
        <f aca="false">M27+M23*M24</f>
        <v>8.1542943199706</v>
      </c>
      <c r="N29" s="26" t="n">
        <f aca="false">N27+N23*N24</f>
        <v>7.44307923256347</v>
      </c>
      <c r="O29" s="26" t="n">
        <f aca="false">O27+O23*O24</f>
        <v>6.66856887856575</v>
      </c>
      <c r="P29" s="26" t="n">
        <f aca="false">P27+P23*P24</f>
        <v>5.49296308651382</v>
      </c>
      <c r="Q29" s="26" t="n">
        <f aca="false">Q27+Q23*Q24</f>
        <v>4.5696</v>
      </c>
      <c r="R29" s="26" t="n">
        <f aca="false">R27+R23*R24</f>
        <v>4.292925</v>
      </c>
    </row>
    <row r="30" customFormat="false" ht="15" hidden="false" customHeight="false" outlineLevel="0" collapsed="false">
      <c r="A30" s="22" t="s">
        <v>364</v>
      </c>
      <c r="B30" s="30"/>
      <c r="C30" s="45" t="n">
        <f aca="false">IF(C28&gt;0,C29/C28,0)</f>
        <v>0.0166190476190476</v>
      </c>
      <c r="D30" s="45" t="n">
        <f aca="false">IF(D28&gt;0,D29/D28,0)</f>
        <v>0.0153238095238095</v>
      </c>
      <c r="E30" s="45" t="n">
        <f aca="false">IF(E28&gt;0,E29/E28,0)</f>
        <v>0.014208</v>
      </c>
      <c r="F30" s="45" t="n">
        <f aca="false">IF(F28&gt;0,F29/F28,0)</f>
        <v>0.0132919708029197</v>
      </c>
      <c r="G30" s="45" t="n">
        <f aca="false">IF(G28&gt;0,G29/G28,0)</f>
        <v>0.0135440485436893</v>
      </c>
      <c r="H30" s="45" t="n">
        <f aca="false">IF(H28&gt;0,H29/H28,0)</f>
        <v>0.0143683845804124</v>
      </c>
      <c r="I30" s="45" t="n">
        <f aca="false">IF(I28&gt;0,I29/I28,0)</f>
        <v>0.0149197916312792</v>
      </c>
      <c r="J30" s="45" t="n">
        <f aca="false">IF(J28&gt;0,J29/J28,0)</f>
        <v>0.0153538940598306</v>
      </c>
      <c r="K30" s="45" t="n">
        <f aca="false">IF(K28&gt;0,K29/K28,0)</f>
        <v>0.0155727437959009</v>
      </c>
      <c r="L30" s="45" t="n">
        <f aca="false">IF(L28&gt;0,L29/L28,0)</f>
        <v>0.01567567176095</v>
      </c>
      <c r="M30" s="45" t="n">
        <f aca="false">IF(M28&gt;0,M29/M28,0)</f>
        <v>0.0157373237864916</v>
      </c>
      <c r="N30" s="45" t="n">
        <f aca="false">IF(N28&gt;0,N29/N28,0)</f>
        <v>0.0156244119287609</v>
      </c>
      <c r="O30" s="45" t="n">
        <f aca="false">IF(O28&gt;0,O29/O28,0)</f>
        <v>0.0153910769801298</v>
      </c>
      <c r="P30" s="45" t="n">
        <f aca="false">IF(P28&gt;0,P29/P28,0)</f>
        <v>0.0152117504472828</v>
      </c>
      <c r="Q30" s="45" t="n">
        <f aca="false">IF(Q28&gt;0,Q29/Q28,0)</f>
        <v>0.0153548387096774</v>
      </c>
      <c r="R30" s="45" t="n">
        <f aca="false">IF(R28&gt;0,R29/R28,0)</f>
        <v>0.0155161290322581</v>
      </c>
    </row>
    <row r="31" customFormat="false" ht="15" hidden="false" customHeight="false" outlineLevel="0" collapsed="false">
      <c r="A31" s="22" t="s">
        <v>365</v>
      </c>
      <c r="B31" s="30"/>
      <c r="C31" s="33" t="n">
        <f aca="false">MIN(C13*C28,原始数据!C15)</f>
        <v>240</v>
      </c>
      <c r="D31" s="33" t="n">
        <f aca="false">MIN(D13*D28,原始数据!D15)</f>
        <v>210</v>
      </c>
      <c r="E31" s="33" t="n">
        <f aca="false">MIN(E13*E28,原始数据!E15)</f>
        <v>205</v>
      </c>
      <c r="F31" s="33" t="n">
        <f aca="false">MIN(F13*F28,原始数据!F15)</f>
        <v>215</v>
      </c>
      <c r="G31" s="33" t="n">
        <f aca="false">MIN(G13*G28,原始数据!G15)</f>
        <v>235</v>
      </c>
      <c r="H31" s="33" t="n">
        <f aca="false">MIN(H13*H28,原始数据!H15)</f>
        <v>260</v>
      </c>
      <c r="I31" s="33" t="n">
        <f aca="false">MIN(I13*I28,原始数据!I15)</f>
        <v>285</v>
      </c>
      <c r="J31" s="33" t="n">
        <f aca="false">MIN(J13*J28,原始数据!J15)</f>
        <v>305</v>
      </c>
      <c r="K31" s="33" t="n">
        <f aca="false">MIN(K13*K28,原始数据!K15)</f>
        <v>320</v>
      </c>
      <c r="L31" s="33" t="n">
        <f aca="false">MIN(L13*L28,原始数据!L15)</f>
        <v>320</v>
      </c>
      <c r="M31" s="33" t="n">
        <f aca="false">MIN(M13*M28,原始数据!M15)</f>
        <v>340</v>
      </c>
      <c r="N31" s="33" t="n">
        <f aca="false">MIN(N13*N28,原始数据!N15)</f>
        <v>365</v>
      </c>
      <c r="O31" s="33" t="n">
        <f aca="false">MIN(O13*O28,原始数据!O15)</f>
        <v>400</v>
      </c>
      <c r="P31" s="33" t="n">
        <f aca="false">MIN(P13*P28,原始数据!P15)</f>
        <v>361.1</v>
      </c>
      <c r="Q31" s="33" t="n">
        <f aca="false">MIN(Q13*Q28,原始数据!Q15)</f>
        <v>297.6</v>
      </c>
      <c r="R31" s="33" t="n">
        <f aca="false">MIN(R13*R28,原始数据!R15)</f>
        <v>276.675</v>
      </c>
    </row>
    <row r="32" customFormat="false" ht="15" hidden="false" customHeight="false" outlineLevel="0" collapsed="false">
      <c r="A32" s="24" t="s">
        <v>366</v>
      </c>
      <c r="B32" s="30"/>
      <c r="C32" s="33" t="n">
        <f aca="false">MIN(C22,原始数据!C16)</f>
        <v>0</v>
      </c>
      <c r="D32" s="33" t="n">
        <f aca="false">MIN(D22,原始数据!D16)</f>
        <v>0</v>
      </c>
      <c r="E32" s="33" t="n">
        <f aca="false">MIN(E22,原始数据!E16)</f>
        <v>0</v>
      </c>
      <c r="F32" s="33" t="n">
        <f aca="false">MIN(F22,原始数据!F16)</f>
        <v>8</v>
      </c>
      <c r="G32" s="33" t="n">
        <f aca="false">MIN(G22,原始数据!G16)</f>
        <v>12</v>
      </c>
      <c r="H32" s="33" t="n">
        <f aca="false">MIN(H22,原始数据!H16)</f>
        <v>18</v>
      </c>
      <c r="I32" s="33" t="n">
        <f aca="false">MIN(I22,原始数据!I16)</f>
        <v>26</v>
      </c>
      <c r="J32" s="33" t="n">
        <f aca="false">MIN(J22,原始数据!J16)</f>
        <v>36</v>
      </c>
      <c r="K32" s="33" t="n">
        <f aca="false">MIN(K22,原始数据!K16)</f>
        <v>48</v>
      </c>
      <c r="L32" s="33" t="n">
        <f aca="false">MIN(L22,原始数据!L16)</f>
        <v>60</v>
      </c>
      <c r="M32" s="33" t="n">
        <f aca="false">MIN(M22,原始数据!M16)</f>
        <v>74</v>
      </c>
      <c r="N32" s="33" t="n">
        <f aca="false">MIN(N22,原始数据!N16)</f>
        <v>90</v>
      </c>
      <c r="O32" s="33" t="n">
        <f aca="false">MIN(O22,原始数据!O16)</f>
        <v>110</v>
      </c>
      <c r="P32" s="33" t="n">
        <f aca="false">MIN(P22,原始数据!P16)</f>
        <v>135</v>
      </c>
      <c r="Q32" s="33" t="n">
        <f aca="false">MIN(Q22,原始数据!Q16)</f>
        <v>160</v>
      </c>
      <c r="R32" s="33" t="n">
        <f aca="false">MIN(R22,原始数据!R16)</f>
        <v>185</v>
      </c>
    </row>
    <row r="33" customFormat="false" ht="15" hidden="false" customHeight="false" outlineLevel="0" collapsed="false">
      <c r="A33" s="22" t="s">
        <v>367</v>
      </c>
      <c r="B33" s="33" t="n">
        <f aca="false">资产负债表!B17</f>
        <v>60</v>
      </c>
      <c r="C33" s="33" t="n">
        <f aca="false">C28-C31</f>
        <v>75</v>
      </c>
      <c r="D33" s="33" t="n">
        <f aca="false">D28-D31</f>
        <v>165</v>
      </c>
      <c r="E33" s="33" t="n">
        <f aca="false">E28-E31</f>
        <v>260</v>
      </c>
      <c r="F33" s="33" t="n">
        <f aca="false">F28-F31</f>
        <v>333</v>
      </c>
      <c r="G33" s="33" t="n">
        <f aca="false">G28-G31</f>
        <v>383</v>
      </c>
      <c r="H33" s="33" t="n">
        <f aca="false">H28-H31</f>
        <v>402</v>
      </c>
      <c r="I33" s="33" t="n">
        <f aca="false">I28-I31</f>
        <v>384</v>
      </c>
      <c r="J33" s="33" t="n">
        <f aca="false">J28-J31</f>
        <v>337</v>
      </c>
      <c r="K33" s="33" t="n">
        <f aca="false">K28-K31</f>
        <v>286.75</v>
      </c>
      <c r="L33" s="33" t="n">
        <f aca="false">L28-L31</f>
        <v>242.75</v>
      </c>
      <c r="M33" s="33" t="n">
        <f aca="false">M28-M31</f>
        <v>178.15</v>
      </c>
      <c r="N33" s="33" t="n">
        <f aca="false">N28-N31</f>
        <v>111.375</v>
      </c>
      <c r="O33" s="33" t="n">
        <f aca="false">O28-O31</f>
        <v>33.275</v>
      </c>
      <c r="P33" s="33" t="n">
        <f aca="false">P28-P31</f>
        <v>0</v>
      </c>
      <c r="Q33" s="33" t="n">
        <f aca="false">Q28-Q31</f>
        <v>0</v>
      </c>
      <c r="R33" s="33" t="n">
        <f aca="false">R28-R31</f>
        <v>0</v>
      </c>
    </row>
    <row r="34" customFormat="false" ht="15" hidden="false" customHeight="false" outlineLevel="0" collapsed="false">
      <c r="A34" s="22" t="s">
        <v>368</v>
      </c>
      <c r="B34" s="30"/>
      <c r="C34" s="45" t="n">
        <f aca="false">(1-SELL_COST)*原始数据!C13*PRICE_SCEN*P_BASE</f>
        <v>0.01824</v>
      </c>
      <c r="D34" s="45" t="n">
        <f aca="false">(1-SELL_COST)*原始数据!D13*PRICE_SCEN*P_BASE</f>
        <v>0.012768</v>
      </c>
      <c r="E34" s="45" t="n">
        <f aca="false">(1-SELL_COST)*原始数据!E13*PRICE_SCEN*P_BASE</f>
        <v>0.0114</v>
      </c>
      <c r="F34" s="45" t="n">
        <f aca="false">(1-SELL_COST)*原始数据!F13*PRICE_SCEN*P_BASE</f>
        <v>0.012084</v>
      </c>
      <c r="G34" s="45" t="n">
        <f aca="false">(1-SELL_COST)*原始数据!G13*PRICE_SCEN*P_BASE</f>
        <v>0.01368</v>
      </c>
      <c r="H34" s="45" t="n">
        <f aca="false">(1-SELL_COST)*原始数据!H13*PRICE_SCEN*P_BASE</f>
        <v>0.016416</v>
      </c>
      <c r="I34" s="45" t="n">
        <f aca="false">(1-SELL_COST)*原始数据!I13*PRICE_SCEN*P_BASE</f>
        <v>0.018924</v>
      </c>
      <c r="J34" s="45" t="n">
        <f aca="false">(1-SELL_COST)*原始数据!J13*PRICE_SCEN*P_BASE</f>
        <v>0.020976</v>
      </c>
      <c r="K34" s="45" t="n">
        <f aca="false">(1-SELL_COST)*原始数据!K13*PRICE_SCEN*P_BASE</f>
        <v>0.0228</v>
      </c>
      <c r="L34" s="45" t="n">
        <f aca="false">(1-SELL_COST)*原始数据!L13*PRICE_SCEN*P_BASE</f>
        <v>0.022116</v>
      </c>
      <c r="M34" s="45" t="n">
        <f aca="false">(1-SELL_COST)*原始数据!M13*PRICE_SCEN*P_BASE</f>
        <v>0.024168</v>
      </c>
      <c r="N34" s="45" t="n">
        <f aca="false">(1-SELL_COST)*原始数据!N13*PRICE_SCEN*P_BASE</f>
        <v>0.029184</v>
      </c>
      <c r="O34" s="45" t="n">
        <f aca="false">(1-SELL_COST)*原始数据!O13*PRICE_SCEN*P_BASE</f>
        <v>0.03876</v>
      </c>
      <c r="P34" s="45" t="n">
        <f aca="false">(1-SELL_COST)*原始数据!P13*PRICE_SCEN*P_BASE</f>
        <v>0.06042</v>
      </c>
      <c r="Q34" s="45" t="n">
        <f aca="false">(1-SELL_COST)*原始数据!Q13*PRICE_SCEN*P_BASE</f>
        <v>0.08892</v>
      </c>
      <c r="R34" s="45" t="n">
        <f aca="false">(1-SELL_COST)*原始数据!R13*PRICE_SCEN*P_BASE</f>
        <v>0.10374</v>
      </c>
    </row>
    <row r="35" customFormat="false" ht="15" hidden="false" customHeight="false" outlineLevel="0" collapsed="false">
      <c r="A35" s="22" t="s">
        <v>369</v>
      </c>
      <c r="B35" s="30"/>
      <c r="C35" s="26" t="n">
        <f aca="false">IF(C33&gt;0.000001,MAX(0,C33*(C30-C34)),0)</f>
        <v>0</v>
      </c>
      <c r="D35" s="26" t="n">
        <f aca="false">IF(D33&gt;0.000001,MAX(0,D33*(D30-D34)),0)</f>
        <v>0.421708571428571</v>
      </c>
      <c r="E35" s="26" t="n">
        <f aca="false">IF(E33&gt;0.000001,MAX(0,E33*(E30-E34)),0)</f>
        <v>0.73008</v>
      </c>
      <c r="F35" s="26" t="n">
        <f aca="false">IF(F33&gt;0.000001,MAX(0,F33*(F30-F34)),0)</f>
        <v>0.402254277372264</v>
      </c>
      <c r="G35" s="26" t="n">
        <f aca="false">IF(G33&gt;0.000001,MAX(0,G33*(G30-G34)),0)</f>
        <v>0</v>
      </c>
      <c r="H35" s="26" t="n">
        <f aca="false">IF(H33&gt;0.000001,MAX(0,H33*(H30-H34)),0)</f>
        <v>0</v>
      </c>
      <c r="I35" s="26" t="n">
        <f aca="false">IF(I33&gt;0.000001,MAX(0,I33*(I30-I34)),0)</f>
        <v>0</v>
      </c>
      <c r="J35" s="26" t="n">
        <f aca="false">IF(J33&gt;0.000001,MAX(0,J33*(J30-J34)),0)</f>
        <v>0</v>
      </c>
      <c r="K35" s="26" t="n">
        <f aca="false">IF(K33&gt;0.000001,MAX(0,K33*(K30-K34)),0)</f>
        <v>0</v>
      </c>
      <c r="L35" s="26" t="n">
        <f aca="false">IF(L33&gt;0.000001,MAX(0,L33*(L30-L34)),0)</f>
        <v>0</v>
      </c>
      <c r="M35" s="26" t="n">
        <f aca="false">IF(M33&gt;0.000001,MAX(0,M33*(M30-M34)),0)</f>
        <v>0</v>
      </c>
      <c r="N35" s="26" t="n">
        <f aca="false">IF(N33&gt;0.000001,MAX(0,N33*(N30-N34)),0)</f>
        <v>0</v>
      </c>
      <c r="O35" s="26" t="n">
        <f aca="false">IF(O33&gt;0.000001,MAX(0,O33*(O30-O34)),0)</f>
        <v>0</v>
      </c>
      <c r="P35" s="26" t="n">
        <f aca="false">IF(P33&gt;0.000001,MAX(0,P33*(P30-P34)),0)</f>
        <v>0</v>
      </c>
      <c r="Q35" s="26" t="n">
        <f aca="false">IF(Q33&gt;0.000001,MAX(0,Q33*(Q30-Q34)),0)</f>
        <v>0</v>
      </c>
      <c r="R35" s="26" t="n">
        <f aca="false">IF(R33&gt;0.000001,MAX(0,R33*(R30-R34)),0)</f>
        <v>0</v>
      </c>
    </row>
    <row r="36" customFormat="false" ht="15" hidden="false" customHeight="false" outlineLevel="0" collapsed="false">
      <c r="A36" s="22" t="s">
        <v>370</v>
      </c>
      <c r="B36" s="26" t="n">
        <f aca="false">资产负债表!B6</f>
        <v>0.96</v>
      </c>
      <c r="C36" s="26" t="n">
        <f aca="false">C33*C30-C35</f>
        <v>1.24642857142857</v>
      </c>
      <c r="D36" s="26" t="n">
        <f aca="false">D33*D30-D35</f>
        <v>2.10672</v>
      </c>
      <c r="E36" s="26" t="n">
        <f aca="false">E33*E30-E35</f>
        <v>2.964</v>
      </c>
      <c r="F36" s="26" t="n">
        <f aca="false">F33*F30-F35</f>
        <v>4.023972</v>
      </c>
      <c r="G36" s="26" t="n">
        <f aca="false">G33*G30-G35</f>
        <v>5.18737059223301</v>
      </c>
      <c r="H36" s="26" t="n">
        <f aca="false">H33*H30-H35</f>
        <v>5.77609060132579</v>
      </c>
      <c r="I36" s="26" t="n">
        <f aca="false">I33*I30-I35</f>
        <v>5.72919998641121</v>
      </c>
      <c r="J36" s="26" t="n">
        <f aca="false">J33*J30-J35</f>
        <v>5.1742622981629</v>
      </c>
      <c r="K36" s="26" t="n">
        <f aca="false">K33*K30-K35</f>
        <v>4.46548428347459</v>
      </c>
      <c r="L36" s="26" t="n">
        <f aca="false">L33*L30-L35</f>
        <v>3.8052693199706</v>
      </c>
      <c r="M36" s="26" t="n">
        <f aca="false">M33*M30-M35</f>
        <v>2.80360423256347</v>
      </c>
      <c r="N36" s="26" t="n">
        <f aca="false">N33*N30-N35</f>
        <v>1.74016887856574</v>
      </c>
      <c r="O36" s="26" t="n">
        <f aca="false">O33*O30-O35</f>
        <v>0.512138086513819</v>
      </c>
      <c r="P36" s="26" t="n">
        <f aca="false">P33*P30-P35</f>
        <v>0</v>
      </c>
      <c r="Q36" s="26" t="n">
        <f aca="false">Q33*Q30-Q35</f>
        <v>0</v>
      </c>
      <c r="R36" s="26" t="n">
        <f aca="false">R33*R30-R35</f>
        <v>0</v>
      </c>
    </row>
    <row r="37" customFormat="false" ht="15" hidden="false" customHeight="false" outlineLevel="0" collapsed="false">
      <c r="A37" s="3" t="s">
        <v>371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customFormat="false" ht="15" hidden="false" customHeight="false" outlineLevel="0" collapsed="false">
      <c r="A38" s="22" t="s">
        <v>156</v>
      </c>
      <c r="B38" s="30"/>
      <c r="C38" s="26" t="n">
        <f aca="false">C31*原始数据!C13*PRICE_SCEN*P_BASE+C32*原始数据!C14*HBM_PRICE_SCEN*P_BASE</f>
        <v>4.608</v>
      </c>
      <c r="D38" s="26" t="n">
        <f aca="false">D31*原始数据!D13*PRICE_SCEN*P_BASE+D32*原始数据!D14*HBM_PRICE_SCEN*P_BASE</f>
        <v>2.8224</v>
      </c>
      <c r="E38" s="26" t="n">
        <f aca="false">E31*原始数据!E13*PRICE_SCEN*P_BASE+E32*原始数据!E14*HBM_PRICE_SCEN*P_BASE</f>
        <v>2.46</v>
      </c>
      <c r="F38" s="26" t="n">
        <f aca="false">F31*原始数据!F13*PRICE_SCEN*P_BASE+F32*原始数据!F14*HBM_PRICE_SCEN*P_BASE</f>
        <v>3.0036</v>
      </c>
      <c r="G38" s="26" t="n">
        <f aca="false">G31*原始数据!G13*PRICE_SCEN*P_BASE+G32*原始数据!G14*HBM_PRICE_SCEN*P_BASE</f>
        <v>3.8448</v>
      </c>
      <c r="H38" s="26" t="n">
        <f aca="false">H31*原始数据!H13*PRICE_SCEN*P_BASE+H32*原始数据!H14*HBM_PRICE_SCEN*P_BASE</f>
        <v>5.3136</v>
      </c>
      <c r="I38" s="26" t="n">
        <f aca="false">I31*原始数据!I13*PRICE_SCEN*P_BASE+I32*原始数据!I14*HBM_PRICE_SCEN*P_BASE</f>
        <v>7.1124</v>
      </c>
      <c r="J38" s="26" t="n">
        <f aca="false">J31*原始数据!J13*PRICE_SCEN*P_BASE+J32*原始数据!J14*HBM_PRICE_SCEN*P_BASE</f>
        <v>9.1536</v>
      </c>
      <c r="K38" s="26" t="n">
        <f aca="false">K31*原始数据!K13*PRICE_SCEN*P_BASE+K32*原始数据!K14*HBM_PRICE_SCEN*P_BASE</f>
        <v>11.5968</v>
      </c>
      <c r="L38" s="26" t="n">
        <f aca="false">L31*原始数据!L13*PRICE_SCEN*P_BASE+L32*原始数据!L14*HBM_PRICE_SCEN*P_BASE</f>
        <v>13.2096</v>
      </c>
      <c r="M38" s="26" t="n">
        <f aca="false">M31*原始数据!M13*PRICE_SCEN*P_BASE+M32*原始数据!M14*HBM_PRICE_SCEN*P_BASE</f>
        <v>16.8192</v>
      </c>
      <c r="N38" s="26" t="n">
        <f aca="false">N31*原始数据!N13*PRICE_SCEN*P_BASE+N32*原始数据!N14*HBM_PRICE_SCEN*P_BASE</f>
        <v>22.8768</v>
      </c>
      <c r="O38" s="26" t="n">
        <f aca="false">O31*原始数据!O13*PRICE_SCEN*P_BASE+O32*原始数据!O14*HBM_PRICE_SCEN*P_BASE</f>
        <v>33.216</v>
      </c>
      <c r="P38" s="26" t="n">
        <f aca="false">P31*原始数据!P13*PRICE_SCEN*P_BASE+P32*原始数据!P14*HBM_PRICE_SCEN*P_BASE</f>
        <v>47.58996</v>
      </c>
      <c r="Q38" s="26" t="n">
        <f aca="false">Q31*原始数据!Q13*PRICE_SCEN*P_BASE+Q32*原始数据!Q14*HBM_PRICE_SCEN*P_BASE</f>
        <v>61.64736</v>
      </c>
      <c r="R38" s="26" t="n">
        <f aca="false">R31*原始数据!R13*PRICE_SCEN*P_BASE+R32*原始数据!R14*HBM_PRICE_SCEN*P_BASE</f>
        <v>72.83691</v>
      </c>
    </row>
    <row r="39" customFormat="false" ht="15" hidden="false" customHeight="false" outlineLevel="0" collapsed="false">
      <c r="A39" s="22" t="s">
        <v>372</v>
      </c>
      <c r="B39" s="30"/>
      <c r="C39" s="26" t="n">
        <f aca="false">C31*C30+C22*C24+C35</f>
        <v>3.98857142857143</v>
      </c>
      <c r="D39" s="26" t="n">
        <f aca="false">D31*D30+D22*D24+D35</f>
        <v>3.63970857142857</v>
      </c>
      <c r="E39" s="26" t="n">
        <f aca="false">E31*E30+E22*E24+E35</f>
        <v>3.64272</v>
      </c>
      <c r="F39" s="26" t="n">
        <f aca="false">F31*F30+F22*F24+F35</f>
        <v>3.440028</v>
      </c>
      <c r="G39" s="26" t="n">
        <f aca="false">G31*G30+G22*G24+G35</f>
        <v>3.41160140776699</v>
      </c>
      <c r="H39" s="26" t="n">
        <f aca="false">H31*H30+H22*H24+H35</f>
        <v>4.06127999090723</v>
      </c>
      <c r="I39" s="26" t="n">
        <f aca="false">I31*I30+I22*I24+I35</f>
        <v>4.77189061491457</v>
      </c>
      <c r="J39" s="26" t="n">
        <f aca="false">J31*J30+J22*J24+J35</f>
        <v>5.35493768824832</v>
      </c>
      <c r="K39" s="26" t="n">
        <f aca="false">K31*K30+K22*K24+K35</f>
        <v>5.8587780146883</v>
      </c>
      <c r="L39" s="26" t="n">
        <f aca="false">L31*L30+L22*L24+L35</f>
        <v>6.10521496350399</v>
      </c>
      <c r="M39" s="26" t="n">
        <f aca="false">M31*M30+M22*M24+M35</f>
        <v>6.68666508740713</v>
      </c>
      <c r="N39" s="26" t="n">
        <f aca="false">N31*N30+N22*N24+N35</f>
        <v>7.20843535399773</v>
      </c>
      <c r="O39" s="26" t="n">
        <f aca="false">O31*O30+O22*O24+O35</f>
        <v>7.88803079205193</v>
      </c>
      <c r="P39" s="26" t="n">
        <f aca="false">P31*P30+P22*P24+P35</f>
        <v>7.57713808651382</v>
      </c>
      <c r="Q39" s="26" t="n">
        <f aca="false">Q31*Q30+Q22*Q24+Q35</f>
        <v>7.14</v>
      </c>
      <c r="R39" s="26" t="n">
        <f aca="false">R31*R30+R22*R24+R35</f>
        <v>7.215</v>
      </c>
    </row>
    <row r="40" customFormat="false" ht="15" hidden="false" customHeight="false" outlineLevel="0" collapsed="false">
      <c r="A40" s="22" t="s">
        <v>373</v>
      </c>
      <c r="B40" s="30"/>
      <c r="C40" s="26" t="n">
        <f aca="false">RND_BASE+原始数据!C9</f>
        <v>3.8</v>
      </c>
      <c r="D40" s="26" t="n">
        <f aca="false">RND_BASE+原始数据!D9</f>
        <v>0.8</v>
      </c>
      <c r="E40" s="26" t="n">
        <f aca="false">RND_BASE+原始数据!E9</f>
        <v>0.8</v>
      </c>
      <c r="F40" s="26" t="n">
        <f aca="false">RND_BASE+原始数据!F9</f>
        <v>0.8</v>
      </c>
      <c r="G40" s="26" t="n">
        <f aca="false">RND_BASE+原始数据!G9</f>
        <v>0.8</v>
      </c>
      <c r="H40" s="26" t="n">
        <f aca="false">RND_BASE+原始数据!H9</f>
        <v>0.8</v>
      </c>
      <c r="I40" s="26" t="n">
        <f aca="false">RND_BASE+原始数据!I9</f>
        <v>0.8</v>
      </c>
      <c r="J40" s="26" t="n">
        <f aca="false">RND_BASE+原始数据!J9</f>
        <v>0.8</v>
      </c>
      <c r="K40" s="26" t="n">
        <f aca="false">RND_BASE+原始数据!K9</f>
        <v>0.8</v>
      </c>
      <c r="L40" s="26" t="n">
        <f aca="false">RND_BASE+原始数据!L9</f>
        <v>0.8</v>
      </c>
      <c r="M40" s="26" t="n">
        <f aca="false">RND_BASE+原始数据!M9</f>
        <v>0.8</v>
      </c>
      <c r="N40" s="26" t="n">
        <f aca="false">RND_BASE+原始数据!N9</f>
        <v>0.8</v>
      </c>
      <c r="O40" s="26" t="n">
        <f aca="false">RND_BASE+原始数据!O9</f>
        <v>0.8</v>
      </c>
      <c r="P40" s="26" t="n">
        <f aca="false">RND_BASE+原始数据!P9</f>
        <v>0.8</v>
      </c>
      <c r="Q40" s="26" t="n">
        <f aca="false">RND_BASE+原始数据!Q9</f>
        <v>0.8</v>
      </c>
      <c r="R40" s="26" t="n">
        <f aca="false">RND_BASE+原始数据!R9</f>
        <v>0.8</v>
      </c>
    </row>
    <row r="41" customFormat="false" ht="15" hidden="false" customHeight="false" outlineLevel="0" collapsed="false">
      <c r="A41" s="22" t="s">
        <v>172</v>
      </c>
      <c r="B41" s="30"/>
      <c r="C41" s="26" t="n">
        <f aca="false">C38-C39-C40-SGA_Q</f>
        <v>-3.43057142857143</v>
      </c>
      <c r="D41" s="26" t="n">
        <f aca="false">D38-D39-D40-SGA_Q</f>
        <v>-1.86730857142857</v>
      </c>
      <c r="E41" s="26" t="n">
        <f aca="false">E38-E39-E40-SGA_Q</f>
        <v>-2.23272</v>
      </c>
      <c r="F41" s="26" t="n">
        <f aca="false">F38-F39-F40-SGA_Q</f>
        <v>-1.486428</v>
      </c>
      <c r="G41" s="26" t="n">
        <f aca="false">G38-G39-G40-SGA_Q</f>
        <v>-0.61680140776699</v>
      </c>
      <c r="H41" s="26" t="n">
        <f aca="false">H38-H39-H40-SGA_Q</f>
        <v>0.202320009092775</v>
      </c>
      <c r="I41" s="26" t="n">
        <f aca="false">I38-I39-I40-SGA_Q</f>
        <v>1.29050938508543</v>
      </c>
      <c r="J41" s="26" t="n">
        <f aca="false">J38-J39-J40-SGA_Q</f>
        <v>2.74866231175168</v>
      </c>
      <c r="K41" s="26" t="n">
        <f aca="false">K38-K39-K40-SGA_Q</f>
        <v>4.6880219853117</v>
      </c>
      <c r="L41" s="26" t="n">
        <f aca="false">L38-L39-L40-SGA_Q</f>
        <v>6.05438503649601</v>
      </c>
      <c r="M41" s="26" t="n">
        <f aca="false">M38-M39-M40-SGA_Q</f>
        <v>9.08253491259287</v>
      </c>
      <c r="N41" s="26" t="n">
        <f aca="false">N38-N39-N40-SGA_Q</f>
        <v>14.6183646460023</v>
      </c>
      <c r="O41" s="26" t="n">
        <f aca="false">O38-O39-O40-SGA_Q</f>
        <v>24.2779692079481</v>
      </c>
      <c r="P41" s="26" t="n">
        <f aca="false">P38-P39-P40-SGA_Q</f>
        <v>38.9628219134862</v>
      </c>
      <c r="Q41" s="26" t="n">
        <f aca="false">Q38-Q39-Q40-SGA_Q</f>
        <v>53.45736</v>
      </c>
      <c r="R41" s="26" t="n">
        <f aca="false">R38-R39-R40-SGA_Q</f>
        <v>64.57191</v>
      </c>
    </row>
    <row r="42" customFormat="false" ht="15" hidden="false" customHeight="false" outlineLevel="0" collapsed="false">
      <c r="A42" s="22" t="s">
        <v>374</v>
      </c>
      <c r="B42" s="30"/>
      <c r="C42" s="45" t="n">
        <f aca="false">RATE_DEBT*B51+RATE_EMERG*B52-RATE_CASH*B50</f>
        <v>0.01</v>
      </c>
      <c r="D42" s="45" t="n">
        <f aca="false">RATE_DEBT*C51+RATE_EMERG*C52-RATE_CASH*C50</f>
        <v>0.035816</v>
      </c>
      <c r="E42" s="45" t="n">
        <f aca="false">RATE_DEBT*D51+RATE_EMERG*D52-RATE_CASH*D50</f>
        <v>0.053923328</v>
      </c>
      <c r="F42" s="45" t="n">
        <f aca="false">RATE_DEBT*E51+RATE_EMERG*E52-RATE_CASH*E50</f>
        <v>0.089074714624</v>
      </c>
      <c r="G42" s="45" t="n">
        <f aca="false">RATE_DEBT*F51+RATE_EMERG*F52-RATE_CASH*F50</f>
        <v>0.120158512340992</v>
      </c>
      <c r="H42" s="45" t="n">
        <f aca="false">RATE_DEBT*G51+RATE_EMERG*G52-RATE_CASH*G50</f>
        <v>0.17926138043972</v>
      </c>
      <c r="I42" s="45" t="n">
        <f aca="false">RATE_DEBT*H51+RATE_EMERG*H52-RATE_CASH*H50</f>
        <v>0.208314341837621</v>
      </c>
      <c r="J42" s="45" t="n">
        <f aca="false">RATE_DEBT*I51+RATE_EMERG*I52-RATE_CASH*I50</f>
        <v>0.20918029062422</v>
      </c>
      <c r="K42" s="45" t="n">
        <f aca="false">RATE_DEBT*J51+RATE_EMERG*J52-RATE_CASH*J50</f>
        <v>0.218172311374566</v>
      </c>
      <c r="L42" s="45" t="n">
        <f aca="false">RATE_DEBT*K51+RATE_EMERG*K52-RATE_CASH*K50</f>
        <v>0.221407109474288</v>
      </c>
      <c r="M42" s="45" t="n">
        <f aca="false">RATE_DEBT*L51+RATE_EMERG*L52-RATE_CASH*L50</f>
        <v>0.181501139862508</v>
      </c>
      <c r="N42" s="45" t="n">
        <f aca="false">RATE_DEBT*M51+RATE_EMERG*M52-RATE_CASH*M50</f>
        <v>0.0318807895086844</v>
      </c>
      <c r="O42" s="45" t="n">
        <f aca="false">RATE_DEBT*N51+RATE_EMERG*N52-RATE_CASH*N50</f>
        <v>-0.122774783547454</v>
      </c>
      <c r="P42" s="45" t="n">
        <f aca="false">RATE_DEBT*O51+RATE_EMERG*O52-RATE_CASH*O50</f>
        <v>-0.314404089026039</v>
      </c>
      <c r="Q42" s="45" t="n">
        <f aca="false">RATE_DEBT*P51+RATE_EMERG*P52-RATE_CASH*P50</f>
        <v>-0.603506330535233</v>
      </c>
      <c r="R42" s="45" t="n">
        <f aca="false">RATE_DEBT*Q51+RATE_EMERG*Q52-RATE_CASH*Q50</f>
        <v>-0.989640221582872</v>
      </c>
    </row>
    <row r="43" customFormat="false" ht="15" hidden="false" customHeight="false" outlineLevel="0" collapsed="false">
      <c r="A43" s="22" t="s">
        <v>217</v>
      </c>
      <c r="B43" s="30"/>
      <c r="C43" s="26" t="n">
        <f aca="false">C41-C42</f>
        <v>-3.44057142857143</v>
      </c>
      <c r="D43" s="26" t="n">
        <f aca="false">D41-D42</f>
        <v>-1.90312457142857</v>
      </c>
      <c r="E43" s="26" t="n">
        <f aca="false">E41-E42</f>
        <v>-2.286643328</v>
      </c>
      <c r="F43" s="26" t="n">
        <f aca="false">F41-F42</f>
        <v>-1.575502714624</v>
      </c>
      <c r="G43" s="26" t="n">
        <f aca="false">G41-G42</f>
        <v>-0.736959920107982</v>
      </c>
      <c r="H43" s="26" t="n">
        <f aca="false">H41-H42</f>
        <v>0.0230586286530556</v>
      </c>
      <c r="I43" s="26" t="n">
        <f aca="false">I41-I42</f>
        <v>1.08219504324781</v>
      </c>
      <c r="J43" s="26" t="n">
        <f aca="false">J41-J42</f>
        <v>2.53948202112746</v>
      </c>
      <c r="K43" s="26" t="n">
        <f aca="false">K41-K42</f>
        <v>4.46984967393713</v>
      </c>
      <c r="L43" s="26" t="n">
        <f aca="false">L41-L42</f>
        <v>5.83297792702172</v>
      </c>
      <c r="M43" s="26" t="n">
        <f aca="false">M41-M42</f>
        <v>8.90103377273036</v>
      </c>
      <c r="N43" s="26" t="n">
        <f aca="false">N41-N42</f>
        <v>14.5864838564936</v>
      </c>
      <c r="O43" s="26" t="n">
        <f aca="false">O41-O42</f>
        <v>24.4007439914955</v>
      </c>
      <c r="P43" s="26" t="n">
        <f aca="false">P41-P42</f>
        <v>39.2772260025122</v>
      </c>
      <c r="Q43" s="26" t="n">
        <f aca="false">Q41-Q42</f>
        <v>54.0608663305352</v>
      </c>
      <c r="R43" s="26" t="n">
        <f aca="false">R41-R42</f>
        <v>65.5615502215829</v>
      </c>
    </row>
    <row r="44" customFormat="false" ht="15" hidden="false" customHeight="false" outlineLevel="0" collapsed="false">
      <c r="A44" s="22" t="s">
        <v>176</v>
      </c>
      <c r="B44" s="30"/>
      <c r="C44" s="26" t="n">
        <f aca="false">TAX_RATE*MAX(0,C43)</f>
        <v>0</v>
      </c>
      <c r="D44" s="26" t="n">
        <f aca="false">TAX_RATE*MAX(0,D43)</f>
        <v>0</v>
      </c>
      <c r="E44" s="26" t="n">
        <f aca="false">TAX_RATE*MAX(0,E43)</f>
        <v>0</v>
      </c>
      <c r="F44" s="26" t="n">
        <f aca="false">TAX_RATE*MAX(0,F43)</f>
        <v>0</v>
      </c>
      <c r="G44" s="26" t="n">
        <f aca="false">TAX_RATE*MAX(0,G43)</f>
        <v>0</v>
      </c>
      <c r="H44" s="26" t="n">
        <f aca="false">TAX_RATE*MAX(0,H43)</f>
        <v>0.00345879429795833</v>
      </c>
      <c r="I44" s="26" t="n">
        <f aca="false">TAX_RATE*MAX(0,I43)</f>
        <v>0.162329256487171</v>
      </c>
      <c r="J44" s="26" t="n">
        <f aca="false">TAX_RATE*MAX(0,J43)</f>
        <v>0.380922303169119</v>
      </c>
      <c r="K44" s="26" t="n">
        <f aca="false">TAX_RATE*MAX(0,K43)</f>
        <v>0.67047745109057</v>
      </c>
      <c r="L44" s="26" t="n">
        <f aca="false">TAX_RATE*MAX(0,L43)</f>
        <v>0.874946689053258</v>
      </c>
      <c r="M44" s="26" t="n">
        <f aca="false">TAX_RATE*MAX(0,M43)</f>
        <v>1.33515506590955</v>
      </c>
      <c r="N44" s="26" t="n">
        <f aca="false">TAX_RATE*MAX(0,N43)</f>
        <v>2.18797257847404</v>
      </c>
      <c r="O44" s="26" t="n">
        <f aca="false">TAX_RATE*MAX(0,O43)</f>
        <v>3.66011159872433</v>
      </c>
      <c r="P44" s="26" t="n">
        <f aca="false">TAX_RATE*MAX(0,P43)</f>
        <v>5.89158390037683</v>
      </c>
      <c r="Q44" s="26" t="n">
        <f aca="false">TAX_RATE*MAX(0,Q43)</f>
        <v>8.10912994958029</v>
      </c>
      <c r="R44" s="26" t="n">
        <f aca="false">TAX_RATE*MAX(0,R43)</f>
        <v>9.83423253323743</v>
      </c>
    </row>
    <row r="45" customFormat="false" ht="15" hidden="false" customHeight="false" outlineLevel="0" collapsed="false">
      <c r="A45" s="22" t="s">
        <v>178</v>
      </c>
      <c r="B45" s="30"/>
      <c r="C45" s="29" t="n">
        <f aca="false">C43-C44</f>
        <v>-3.44057142857143</v>
      </c>
      <c r="D45" s="29" t="n">
        <f aca="false">D43-D44</f>
        <v>-1.90312457142857</v>
      </c>
      <c r="E45" s="29" t="n">
        <f aca="false">E43-E44</f>
        <v>-2.286643328</v>
      </c>
      <c r="F45" s="29" t="n">
        <f aca="false">F43-F44</f>
        <v>-1.575502714624</v>
      </c>
      <c r="G45" s="29" t="n">
        <f aca="false">G43-G44</f>
        <v>-0.736959920107982</v>
      </c>
      <c r="H45" s="29" t="n">
        <f aca="false">H43-H44</f>
        <v>0.0195998343550972</v>
      </c>
      <c r="I45" s="29" t="n">
        <f aca="false">I43-I44</f>
        <v>0.919865786760635</v>
      </c>
      <c r="J45" s="29" t="n">
        <f aca="false">J43-J44</f>
        <v>2.15855971795834</v>
      </c>
      <c r="K45" s="29" t="n">
        <f aca="false">K43-K44</f>
        <v>3.79937222284656</v>
      </c>
      <c r="L45" s="29" t="n">
        <f aca="false">L43-L44</f>
        <v>4.95803123796846</v>
      </c>
      <c r="M45" s="29" t="n">
        <f aca="false">M43-M44</f>
        <v>7.56587870682081</v>
      </c>
      <c r="N45" s="29" t="n">
        <f aca="false">N43-N44</f>
        <v>12.3985112780196</v>
      </c>
      <c r="O45" s="29" t="n">
        <f aca="false">O43-O44</f>
        <v>20.7406323927712</v>
      </c>
      <c r="P45" s="29" t="n">
        <f aca="false">P43-P44</f>
        <v>33.3856421021354</v>
      </c>
      <c r="Q45" s="29" t="n">
        <f aca="false">Q43-Q44</f>
        <v>45.951736380955</v>
      </c>
      <c r="R45" s="29" t="n">
        <f aca="false">R43-R44</f>
        <v>55.7273176883454</v>
      </c>
    </row>
    <row r="46" customFormat="false" ht="15" hidden="false" customHeight="false" outlineLevel="0" collapsed="false">
      <c r="A46" s="3" t="s">
        <v>375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customFormat="false" ht="15" hidden="false" customHeight="false" outlineLevel="0" collapsed="false">
      <c r="A47" s="22" t="s">
        <v>181</v>
      </c>
      <c r="B47" s="30"/>
      <c r="C47" s="26" t="n">
        <f aca="false">C45+C19-(C36-C27)</f>
        <v>-1.727</v>
      </c>
      <c r="D47" s="26" t="n">
        <f aca="false">D45+D19-(D36-D27)</f>
        <v>-0.763416</v>
      </c>
      <c r="E47" s="26" t="n">
        <f aca="false">E45+E19-(E36-E27)</f>
        <v>-1.143923328</v>
      </c>
      <c r="F47" s="26" t="n">
        <f aca="false">F45+F19-(F36-F27)</f>
        <v>-0.635474714624001</v>
      </c>
      <c r="G47" s="26" t="n">
        <f aca="false">G45+G19-(G36-G27)</f>
        <v>0.174641487659008</v>
      </c>
      <c r="H47" s="26" t="n">
        <f aca="false">H45+H19-(H36-H27)</f>
        <v>1.58087982526232</v>
      </c>
      <c r="I47" s="26" t="n">
        <f aca="false">I45+I19-(I36-I27)</f>
        <v>3.19175640167521</v>
      </c>
      <c r="J47" s="26" t="n">
        <f aca="false">J45+J19-(J36-J27)</f>
        <v>5.01349740620666</v>
      </c>
      <c r="K47" s="26" t="n">
        <f aca="false">K45+K19-(K36-K27)</f>
        <v>7.03315023753487</v>
      </c>
      <c r="L47" s="26" t="n">
        <f aca="false">L45+L19-(L36-L27)</f>
        <v>8.33824620147245</v>
      </c>
      <c r="M47" s="26" t="n">
        <f aca="false">M45+M19-(M36-M27)</f>
        <v>11.4525437942279</v>
      </c>
      <c r="N47" s="26" t="n">
        <f aca="false">N45+N19-(N36-N27)</f>
        <v>16.6319466320173</v>
      </c>
      <c r="O47" s="26" t="n">
        <f aca="false">O45+O19-(O36-O27)</f>
        <v>25.4536631848231</v>
      </c>
      <c r="P47" s="26" t="n">
        <f aca="false">P45+P19-(P36-P27)</f>
        <v>37.6377801886492</v>
      </c>
      <c r="Q47" s="26" t="n">
        <f aca="false">Q45+Q19-(Q36-Q27)</f>
        <v>49.766736380955</v>
      </c>
      <c r="R47" s="26" t="n">
        <f aca="false">R45+R19-(R36-R27)</f>
        <v>59.6173176883454</v>
      </c>
    </row>
    <row r="48" customFormat="false" ht="15" hidden="false" customHeight="false" outlineLevel="0" collapsed="false">
      <c r="A48" s="22" t="s">
        <v>376</v>
      </c>
      <c r="B48" s="30"/>
      <c r="C48" s="26" t="n">
        <f aca="false">B50+C47-C14+C16</f>
        <v>6.773</v>
      </c>
      <c r="D48" s="26" t="n">
        <f aca="false">C50+D47-D14+D16</f>
        <v>4.509584</v>
      </c>
      <c r="E48" s="26" t="n">
        <f aca="false">D50+E47-E14+E16</f>
        <v>3.865660672</v>
      </c>
      <c r="F48" s="26" t="n">
        <f aca="false">E50+F47-F14+F16</f>
        <v>3.730185957376</v>
      </c>
      <c r="G48" s="26" t="n">
        <f aca="false">F50+G47-G14+G16</f>
        <v>2.90482744503501</v>
      </c>
      <c r="H48" s="26" t="n">
        <f aca="false">G50+H47-H14+H16</f>
        <v>2.08570727029733</v>
      </c>
      <c r="I48" s="26" t="n">
        <f aca="false">H50+I47-I14+I16</f>
        <v>1.97746367197254</v>
      </c>
      <c r="J48" s="26" t="n">
        <f aca="false">I50+J47-J14+J16</f>
        <v>1.7909610781792</v>
      </c>
      <c r="K48" s="26" t="n">
        <f aca="false">J50+K47-K14+K16</f>
        <v>3.82411131571406</v>
      </c>
      <c r="L48" s="26" t="n">
        <f aca="false">K50+L47-L14+L16</f>
        <v>5.06235751718652</v>
      </c>
      <c r="M48" s="26" t="n">
        <f aca="false">L50+M47-M14+M16</f>
        <v>5.01490131141446</v>
      </c>
      <c r="N48" s="26" t="n">
        <f aca="false">M50+N47-N14+N16</f>
        <v>15.3468479434317</v>
      </c>
      <c r="O48" s="26" t="n">
        <f aca="false">N50+O47-O14+O16</f>
        <v>39.3005111282549</v>
      </c>
      <c r="P48" s="26" t="n">
        <f aca="false">O50+P47-P14+P16</f>
        <v>75.4382913169041</v>
      </c>
      <c r="Q48" s="26" t="n">
        <f aca="false">P50+Q47-Q14+Q16</f>
        <v>123.705027697859</v>
      </c>
      <c r="R48" s="26" t="n">
        <f aca="false">Q50+R47-R14+R16</f>
        <v>181.822345386204</v>
      </c>
    </row>
    <row r="49" customFormat="false" ht="15" hidden="false" customHeight="false" outlineLevel="0" collapsed="false">
      <c r="A49" s="22" t="s">
        <v>377</v>
      </c>
      <c r="B49" s="30"/>
      <c r="C49" s="26" t="n">
        <f aca="false">MAX(0,EMERG_FLOOR-C48)</f>
        <v>0</v>
      </c>
      <c r="D49" s="26" t="n">
        <f aca="false">MAX(0,EMERG_FLOOR-D48)</f>
        <v>0</v>
      </c>
      <c r="E49" s="26" t="n">
        <f aca="false">MAX(0,EMERG_FLOOR-E48)</f>
        <v>0</v>
      </c>
      <c r="F49" s="26" t="n">
        <f aca="false">MAX(0,EMERG_FLOOR-F48)</f>
        <v>0</v>
      </c>
      <c r="G49" s="26" t="n">
        <f aca="false">MAX(0,EMERG_FLOOR-G48)</f>
        <v>0</v>
      </c>
      <c r="H49" s="26" t="n">
        <f aca="false">MAX(0,EMERG_FLOOR-H48)</f>
        <v>0</v>
      </c>
      <c r="I49" s="26" t="n">
        <f aca="false">MAX(0,EMERG_FLOOR-I48)</f>
        <v>0</v>
      </c>
      <c r="J49" s="26" t="n">
        <f aca="false">MAX(0,EMERG_FLOOR-J48)</f>
        <v>0</v>
      </c>
      <c r="K49" s="26" t="n">
        <f aca="false">MAX(0,EMERG_FLOOR-K48)</f>
        <v>0</v>
      </c>
      <c r="L49" s="26" t="n">
        <f aca="false">MAX(0,EMERG_FLOOR-L48)</f>
        <v>0</v>
      </c>
      <c r="M49" s="26" t="n">
        <f aca="false">MAX(0,EMERG_FLOOR-M48)</f>
        <v>0</v>
      </c>
      <c r="N49" s="26" t="n">
        <f aca="false">MAX(0,EMERG_FLOOR-N48)</f>
        <v>0</v>
      </c>
      <c r="O49" s="26" t="n">
        <f aca="false">MAX(0,EMERG_FLOOR-O48)</f>
        <v>0</v>
      </c>
      <c r="P49" s="26" t="n">
        <f aca="false">MAX(0,EMERG_FLOOR-P48)</f>
        <v>0</v>
      </c>
      <c r="Q49" s="26" t="n">
        <f aca="false">MAX(0,EMERG_FLOOR-Q48)</f>
        <v>0</v>
      </c>
      <c r="R49" s="26" t="n">
        <f aca="false">MAX(0,EMERG_FLOOR-R48)</f>
        <v>0</v>
      </c>
    </row>
    <row r="50" customFormat="false" ht="15" hidden="false" customHeight="false" outlineLevel="0" collapsed="false">
      <c r="A50" s="22" t="s">
        <v>248</v>
      </c>
      <c r="B50" s="26" t="n">
        <f aca="false">资产负债表!B5</f>
        <v>10</v>
      </c>
      <c r="C50" s="29" t="n">
        <f aca="false">C48+C49</f>
        <v>6.773</v>
      </c>
      <c r="D50" s="29" t="n">
        <f aca="false">D48+D49</f>
        <v>4.509584</v>
      </c>
      <c r="E50" s="29" t="n">
        <f aca="false">E48+E49</f>
        <v>3.865660672</v>
      </c>
      <c r="F50" s="29" t="n">
        <f aca="false">F48+F49</f>
        <v>3.730185957376</v>
      </c>
      <c r="G50" s="29" t="n">
        <f aca="false">G48+G49</f>
        <v>2.90482744503501</v>
      </c>
      <c r="H50" s="29" t="n">
        <f aca="false">H48+H49</f>
        <v>2.08570727029733</v>
      </c>
      <c r="I50" s="29" t="n">
        <f aca="false">I48+I49</f>
        <v>1.97746367197254</v>
      </c>
      <c r="J50" s="29" t="n">
        <f aca="false">J48+J49</f>
        <v>1.7909610781792</v>
      </c>
      <c r="K50" s="29" t="n">
        <f aca="false">K48+K49</f>
        <v>3.82411131571406</v>
      </c>
      <c r="L50" s="29" t="n">
        <f aca="false">L48+L49</f>
        <v>5.06235751718652</v>
      </c>
      <c r="M50" s="29" t="n">
        <f aca="false">M48+M49</f>
        <v>5.01490131141446</v>
      </c>
      <c r="N50" s="29" t="n">
        <f aca="false">N48+N49</f>
        <v>15.3468479434317</v>
      </c>
      <c r="O50" s="29" t="n">
        <f aca="false">O48+O49</f>
        <v>39.3005111282549</v>
      </c>
      <c r="P50" s="29" t="n">
        <f aca="false">P48+P49</f>
        <v>75.4382913169041</v>
      </c>
      <c r="Q50" s="29" t="n">
        <f aca="false">Q48+Q49</f>
        <v>123.705027697859</v>
      </c>
      <c r="R50" s="29" t="n">
        <f aca="false">R48+R49</f>
        <v>181.822345386204</v>
      </c>
    </row>
    <row r="51" customFormat="false" ht="15" hidden="false" customHeight="false" outlineLevel="0" collapsed="false">
      <c r="A51" s="22" t="s">
        <v>378</v>
      </c>
      <c r="B51" s="26" t="n">
        <f aca="false">资产负债表!B10</f>
        <v>6</v>
      </c>
      <c r="C51" s="26" t="n">
        <f aca="false">B51+C16</f>
        <v>6</v>
      </c>
      <c r="D51" s="26" t="n">
        <f aca="false">C51+D16</f>
        <v>6</v>
      </c>
      <c r="E51" s="26" t="n">
        <f aca="false">D51+E16</f>
        <v>8</v>
      </c>
      <c r="F51" s="26" t="n">
        <f aca="false">E51+F16</f>
        <v>10</v>
      </c>
      <c r="G51" s="26" t="n">
        <f aca="false">F51+G16</f>
        <v>13.5</v>
      </c>
      <c r="H51" s="26" t="n">
        <f aca="false">G51+H16</f>
        <v>15</v>
      </c>
      <c r="I51" s="26" t="n">
        <f aca="false">H51+I16</f>
        <v>15</v>
      </c>
      <c r="J51" s="26" t="n">
        <f aca="false">I51+J16</f>
        <v>15.5</v>
      </c>
      <c r="K51" s="26" t="n">
        <f aca="false">J51+K16</f>
        <v>16.8</v>
      </c>
      <c r="L51" s="26" t="n">
        <f aca="false">K51+L16</f>
        <v>14.8</v>
      </c>
      <c r="M51" s="26" t="n">
        <f aca="false">L51+M16</f>
        <v>4.8</v>
      </c>
      <c r="N51" s="26" t="n">
        <f aca="false">M51+N16</f>
        <v>0</v>
      </c>
      <c r="O51" s="26" t="n">
        <f aca="false">N51+O16</f>
        <v>0</v>
      </c>
      <c r="P51" s="26" t="n">
        <f aca="false">O51+P16</f>
        <v>0</v>
      </c>
      <c r="Q51" s="26" t="n">
        <f aca="false">P51+Q16</f>
        <v>0</v>
      </c>
      <c r="R51" s="26" t="n">
        <f aca="false">Q51+R16</f>
        <v>0</v>
      </c>
    </row>
    <row r="52" customFormat="false" ht="15" hidden="false" customHeight="false" outlineLevel="0" collapsed="false">
      <c r="A52" s="22" t="s">
        <v>202</v>
      </c>
      <c r="B52" s="26" t="n">
        <f aca="false">资产负债表!B11</f>
        <v>0</v>
      </c>
      <c r="C52" s="26" t="n">
        <f aca="false">B52+C49</f>
        <v>0</v>
      </c>
      <c r="D52" s="26" t="n">
        <f aca="false">C52+D49</f>
        <v>0</v>
      </c>
      <c r="E52" s="26" t="n">
        <f aca="false">D52+E49</f>
        <v>0</v>
      </c>
      <c r="F52" s="26" t="n">
        <f aca="false">E52+F49</f>
        <v>0</v>
      </c>
      <c r="G52" s="26" t="n">
        <f aca="false">F52+G49</f>
        <v>0</v>
      </c>
      <c r="H52" s="26" t="n">
        <f aca="false">G52+H49</f>
        <v>0</v>
      </c>
      <c r="I52" s="26" t="n">
        <f aca="false">H52+I49</f>
        <v>0</v>
      </c>
      <c r="J52" s="26" t="n">
        <f aca="false">I52+J49</f>
        <v>0</v>
      </c>
      <c r="K52" s="26" t="n">
        <f aca="false">J52+K49</f>
        <v>0</v>
      </c>
      <c r="L52" s="26" t="n">
        <f aca="false">K52+L49</f>
        <v>0</v>
      </c>
      <c r="M52" s="26" t="n">
        <f aca="false">L52+M49</f>
        <v>0</v>
      </c>
      <c r="N52" s="26" t="n">
        <f aca="false">M52+N49</f>
        <v>0</v>
      </c>
      <c r="O52" s="26" t="n">
        <f aca="false">N52+O49</f>
        <v>0</v>
      </c>
      <c r="P52" s="26" t="n">
        <f aca="false">O52+P49</f>
        <v>0</v>
      </c>
      <c r="Q52" s="26" t="n">
        <f aca="false">P52+Q49</f>
        <v>0</v>
      </c>
      <c r="R52" s="26" t="n">
        <f aca="false">Q52+R49</f>
        <v>0</v>
      </c>
    </row>
    <row r="53" customFormat="false" ht="15" hidden="false" customHeight="false" outlineLevel="0" collapsed="false">
      <c r="A53" s="22" t="s">
        <v>321</v>
      </c>
      <c r="B53" s="26" t="n">
        <f aca="false">资产负债表!B13</f>
        <v>34.96</v>
      </c>
      <c r="C53" s="29" t="n">
        <f aca="false">B53+C45</f>
        <v>31.5194285714286</v>
      </c>
      <c r="D53" s="29" t="n">
        <f aca="false">C53+D45</f>
        <v>29.616304</v>
      </c>
      <c r="E53" s="29" t="n">
        <f aca="false">D53+E45</f>
        <v>27.329660672</v>
      </c>
      <c r="F53" s="29" t="n">
        <f aca="false">E53+F45</f>
        <v>25.754157957376</v>
      </c>
      <c r="G53" s="29" t="n">
        <f aca="false">F53+G45</f>
        <v>25.017198037268</v>
      </c>
      <c r="H53" s="29" t="n">
        <f aca="false">G53+H45</f>
        <v>25.0367978716231</v>
      </c>
      <c r="I53" s="29" t="n">
        <f aca="false">H53+I45</f>
        <v>25.9566636583838</v>
      </c>
      <c r="J53" s="29" t="n">
        <f aca="false">I53+J45</f>
        <v>28.1152233763421</v>
      </c>
      <c r="K53" s="29" t="n">
        <f aca="false">J53+K45</f>
        <v>31.9145955991887</v>
      </c>
      <c r="L53" s="29" t="n">
        <f aca="false">K53+L45</f>
        <v>36.8726268371571</v>
      </c>
      <c r="M53" s="29" t="n">
        <f aca="false">L53+M45</f>
        <v>44.4385055439779</v>
      </c>
      <c r="N53" s="29" t="n">
        <f aca="false">M53+N45</f>
        <v>56.8370168219975</v>
      </c>
      <c r="O53" s="29" t="n">
        <f aca="false">N53+O45</f>
        <v>77.5776492147687</v>
      </c>
      <c r="P53" s="29" t="n">
        <f aca="false">O53+P45</f>
        <v>110.963291316904</v>
      </c>
      <c r="Q53" s="29" t="n">
        <f aca="false">P53+Q45</f>
        <v>156.915027697859</v>
      </c>
      <c r="R53" s="29" t="n">
        <f aca="false">Q53+R45</f>
        <v>212.642345386204</v>
      </c>
    </row>
    <row r="54" customFormat="false" ht="15" hidden="false" customHeight="false" outlineLevel="0" collapsed="false">
      <c r="A54" s="3" t="s">
        <v>379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customFormat="false" ht="15" hidden="false" customHeight="false" outlineLevel="0" collapsed="false">
      <c r="A55" s="22" t="s">
        <v>380</v>
      </c>
      <c r="B55" s="30"/>
      <c r="C55" s="31" t="n">
        <f aca="false">C38-原始数据!C26</f>
        <v>0</v>
      </c>
      <c r="D55" s="31" t="n">
        <f aca="false">D38-原始数据!D26</f>
        <v>0</v>
      </c>
      <c r="E55" s="31" t="n">
        <f aca="false">E38-原始数据!E26</f>
        <v>0</v>
      </c>
      <c r="F55" s="31" t="n">
        <f aca="false">F38-原始数据!F26</f>
        <v>0</v>
      </c>
      <c r="G55" s="31" t="n">
        <f aca="false">G38-原始数据!G26</f>
        <v>0</v>
      </c>
      <c r="H55" s="31" t="n">
        <f aca="false">H38-原始数据!H26</f>
        <v>0</v>
      </c>
      <c r="I55" s="31" t="n">
        <f aca="false">I38-原始数据!I26</f>
        <v>0</v>
      </c>
      <c r="J55" s="31" t="n">
        <f aca="false">J38-原始数据!J26</f>
        <v>0</v>
      </c>
      <c r="K55" s="31" t="n">
        <f aca="false">K38-原始数据!K26</f>
        <v>0</v>
      </c>
      <c r="L55" s="31" t="n">
        <f aca="false">L38-原始数据!L26</f>
        <v>0</v>
      </c>
      <c r="M55" s="31" t="n">
        <f aca="false">M38-原始数据!M26</f>
        <v>0</v>
      </c>
      <c r="N55" s="31" t="n">
        <f aca="false">N38-原始数据!N26</f>
        <v>0</v>
      </c>
      <c r="O55" s="31" t="n">
        <f aca="false">O38-原始数据!O26</f>
        <v>0</v>
      </c>
      <c r="P55" s="31" t="n">
        <f aca="false">P38-原始数据!P26</f>
        <v>-3.99999999984857E-005</v>
      </c>
      <c r="Q55" s="31" t="n">
        <f aca="false">Q38-原始数据!Q26</f>
        <v>-3.99999999913803E-005</v>
      </c>
      <c r="R55" s="31" t="n">
        <f aca="false">R38-原始数据!R26</f>
        <v>9.99999998896328E-006</v>
      </c>
    </row>
    <row r="56" customFormat="false" ht="15" hidden="false" customHeight="false" outlineLevel="0" collapsed="false">
      <c r="A56" s="22" t="s">
        <v>381</v>
      </c>
      <c r="B56" s="30"/>
      <c r="C56" s="31" t="n">
        <f aca="false">C45-原始数据!C37</f>
        <v>2.8571428571933E-005</v>
      </c>
      <c r="D56" s="31" t="n">
        <f aca="false">D45-原始数据!D37</f>
        <v>-2.45714285709298E-005</v>
      </c>
      <c r="E56" s="31" t="n">
        <f aca="false">E45-原始数据!E37</f>
        <v>-4.33280000002867E-005</v>
      </c>
      <c r="F56" s="31" t="n">
        <f aca="false">F45-原始数据!F37</f>
        <v>-2.71462400136535E-006</v>
      </c>
      <c r="G56" s="31" t="n">
        <f aca="false">G45-原始数据!G37</f>
        <v>4.00798920181522E-005</v>
      </c>
      <c r="H56" s="31" t="n">
        <f aca="false">H45-原始数据!H37</f>
        <v>-1.65644902780371E-007</v>
      </c>
      <c r="I56" s="31" t="n">
        <f aca="false">I45-原始数据!I37</f>
        <v>-3.42132393649219E-005</v>
      </c>
      <c r="J56" s="31" t="n">
        <f aca="false">J45-原始数据!J37</f>
        <v>-4.02820416565142E-005</v>
      </c>
      <c r="K56" s="31" t="n">
        <f aca="false">K45-原始数据!K37</f>
        <v>-2.77771534356042E-005</v>
      </c>
      <c r="L56" s="31" t="n">
        <f aca="false">L45-原始数据!L37</f>
        <v>3.12379684626052E-005</v>
      </c>
      <c r="M56" s="31" t="n">
        <f aca="false">M45-原始数据!M37</f>
        <v>-2.12931791923054E-005</v>
      </c>
      <c r="N56" s="31" t="n">
        <f aca="false">N45-原始数据!N37</f>
        <v>1.12780195511419E-005</v>
      </c>
      <c r="O56" s="31" t="n">
        <f aca="false">O45-原始数据!O37</f>
        <v>3.23927711995964E-005</v>
      </c>
      <c r="P56" s="31" t="n">
        <f aca="false">P45-原始数据!P37</f>
        <v>4.2102135395794E-005</v>
      </c>
      <c r="Q56" s="31" t="n">
        <f aca="false">Q45-原始数据!Q37</f>
        <v>3.63809549526195E-005</v>
      </c>
      <c r="R56" s="31" t="n">
        <f aca="false">R45-原始数据!R37</f>
        <v>1.76883454372501E-005</v>
      </c>
    </row>
    <row r="57" customFormat="false" ht="15" hidden="false" customHeight="false" outlineLevel="0" collapsed="false">
      <c r="A57" s="22" t="s">
        <v>382</v>
      </c>
      <c r="B57" s="30"/>
      <c r="C57" s="31" t="n">
        <f aca="false">C50-原始数据!C45</f>
        <v>0</v>
      </c>
      <c r="D57" s="31" t="n">
        <f aca="false">D50-原始数据!D45</f>
        <v>-1.59999999995719E-005</v>
      </c>
      <c r="E57" s="31" t="n">
        <f aca="false">E50-原始数据!E45</f>
        <v>-3.93279999997276E-005</v>
      </c>
      <c r="F57" s="31" t="n">
        <f aca="false">F50-原始数据!F45</f>
        <v>-1.40426240005098E-005</v>
      </c>
      <c r="G57" s="31" t="n">
        <f aca="false">G50-原始数据!G45</f>
        <v>2.74450350077338E-005</v>
      </c>
      <c r="H57" s="31" t="n">
        <f aca="false">H50-原始数据!H45</f>
        <v>7.27029732994211E-006</v>
      </c>
      <c r="I57" s="31" t="n">
        <f aca="false">I50-原始数据!I45</f>
        <v>-3.63280274635613E-005</v>
      </c>
      <c r="J57" s="31" t="n">
        <f aca="false">J50-原始数据!J45</f>
        <v>-3.89218208023401E-005</v>
      </c>
      <c r="K57" s="31" t="n">
        <f aca="false">K50-原始数据!K45</f>
        <v>1.13157140630982E-005</v>
      </c>
      <c r="L57" s="31" t="n">
        <f aca="false">L50-原始数据!L45</f>
        <v>-4.24828134839572E-005</v>
      </c>
      <c r="M57" s="31" t="n">
        <f aca="false">M50-原始数据!M45</f>
        <v>1.31141445525174E-006</v>
      </c>
      <c r="N57" s="31" t="n">
        <f aca="false">N50-原始数据!N45</f>
        <v>4.79434317330885E-005</v>
      </c>
      <c r="O57" s="31" t="n">
        <f aca="false">O50-原始数据!O45</f>
        <v>1.11282548544978E-005</v>
      </c>
      <c r="P57" s="31" t="n">
        <f aca="false">P50-原始数据!P45</f>
        <v>-8.68309592760852E-006</v>
      </c>
      <c r="Q57" s="31" t="n">
        <f aca="false">Q50-原始数据!Q45</f>
        <v>2.7697859025011E-005</v>
      </c>
      <c r="R57" s="31" t="n">
        <f aca="false">R50-原始数据!R45</f>
        <v>4.53862044480502E-005</v>
      </c>
    </row>
    <row r="58" customFormat="false" ht="15" hidden="false" customHeight="false" outlineLevel="0" collapsed="false">
      <c r="A58" s="22" t="s">
        <v>383</v>
      </c>
      <c r="B58" s="30"/>
      <c r="C58" s="31" t="n">
        <f aca="false">C53-原始数据!C51</f>
        <v>2.8571428572377E-005</v>
      </c>
      <c r="D58" s="31" t="n">
        <f aca="false">D53-原始数据!D51</f>
        <v>4.00000000411183E-006</v>
      </c>
      <c r="E58" s="31" t="n">
        <f aca="false">E53-原始数据!E51</f>
        <v>-3.93279999961749E-005</v>
      </c>
      <c r="F58" s="31" t="n">
        <f aca="false">F53-原始数据!F51</f>
        <v>-4.20426239990945E-005</v>
      </c>
      <c r="G58" s="31" t="n">
        <f aca="false">G53-原始数据!G51</f>
        <v>-1.96273197872188E-006</v>
      </c>
      <c r="H58" s="31" t="n">
        <f aca="false">H53-原始数据!H51</f>
        <v>-2.12837688096101E-006</v>
      </c>
      <c r="I58" s="31" t="n">
        <f aca="false">I53-原始数据!I51</f>
        <v>-3.63416162478814E-005</v>
      </c>
      <c r="J58" s="31" t="n">
        <f aca="false">J53-原始数据!J51</f>
        <v>2.33763420958155E-005</v>
      </c>
      <c r="K58" s="31" t="n">
        <f aca="false">K53-原始数据!K51</f>
        <v>-4.40081133845638E-006</v>
      </c>
      <c r="L58" s="31" t="n">
        <f aca="false">L53-原始数据!L51</f>
        <v>2.68371571294779E-005</v>
      </c>
      <c r="M58" s="31" t="n">
        <f aca="false">M53-原始数据!M51</f>
        <v>5.54397794161332E-006</v>
      </c>
      <c r="N58" s="31" t="n">
        <f aca="false">N53-原始数据!N51</f>
        <v>1.68219974909789E-005</v>
      </c>
      <c r="O58" s="31" t="n">
        <f aca="false">O53-原始数据!O51</f>
        <v>4.9214768694128E-005</v>
      </c>
      <c r="P58" s="31" t="n">
        <f aca="false">P53-原始数据!P51</f>
        <v>-8.68309591339767E-006</v>
      </c>
      <c r="Q58" s="31" t="n">
        <f aca="false">Q53-原始数据!Q51</f>
        <v>2.76978590534327E-005</v>
      </c>
      <c r="R58" s="31" t="n">
        <f aca="false">R53-原始数据!R51</f>
        <v>4.53862044764719E-005</v>
      </c>
    </row>
    <row r="59" customFormat="false" ht="15" hidden="false" customHeight="false" outlineLevel="0" collapsed="false">
      <c r="A59" s="22" t="s">
        <v>384</v>
      </c>
      <c r="B59" s="30"/>
      <c r="C59" s="31" t="n">
        <f aca="false">C33-原始数据!C52</f>
        <v>0</v>
      </c>
      <c r="D59" s="31" t="n">
        <f aca="false">D33-原始数据!D52</f>
        <v>0</v>
      </c>
      <c r="E59" s="31" t="n">
        <f aca="false">E33-原始数据!E52</f>
        <v>0</v>
      </c>
      <c r="F59" s="31" t="n">
        <f aca="false">F33-原始数据!F52</f>
        <v>0</v>
      </c>
      <c r="G59" s="31" t="n">
        <f aca="false">G33-原始数据!G52</f>
        <v>0</v>
      </c>
      <c r="H59" s="31" t="n">
        <f aca="false">H33-原始数据!H52</f>
        <v>0</v>
      </c>
      <c r="I59" s="31" t="n">
        <f aca="false">I33-原始数据!I52</f>
        <v>0</v>
      </c>
      <c r="J59" s="31" t="n">
        <f aca="false">J33-原始数据!J52</f>
        <v>0</v>
      </c>
      <c r="K59" s="31" t="n">
        <f aca="false">K33-原始数据!K52</f>
        <v>0</v>
      </c>
      <c r="L59" s="31" t="n">
        <f aca="false">L33-原始数据!L52</f>
        <v>0</v>
      </c>
      <c r="M59" s="31" t="n">
        <f aca="false">M33-原始数据!M52</f>
        <v>0</v>
      </c>
      <c r="N59" s="31" t="n">
        <f aca="false">N33-原始数据!N52</f>
        <v>-0.00499999999999545</v>
      </c>
      <c r="O59" s="31" t="n">
        <f aca="false">O33-原始数据!O52</f>
        <v>0.00499999999997414</v>
      </c>
      <c r="P59" s="31" t="n">
        <f aca="false">P33-原始数据!P52</f>
        <v>0</v>
      </c>
      <c r="Q59" s="31" t="n">
        <f aca="false">Q33-原始数据!Q52</f>
        <v>0</v>
      </c>
      <c r="R59" s="31" t="n">
        <f aca="false">R33-原始数据!R52</f>
        <v>0</v>
      </c>
    </row>
    <row r="61" customFormat="false" ht="15" hidden="false" customHeight="false" outlineLevel="0" collapsed="false">
      <c r="A61" s="3" t="s">
        <v>385</v>
      </c>
      <c r="B61" s="4"/>
      <c r="C61" s="4"/>
      <c r="D61" s="4"/>
    </row>
    <row r="62" customFormat="false" ht="15" hidden="false" customHeight="false" outlineLevel="0" collapsed="false">
      <c r="A62" s="22" t="s">
        <v>386</v>
      </c>
      <c r="B62" s="29" t="n">
        <f aca="false">R53</f>
        <v>212.642345386204</v>
      </c>
    </row>
    <row r="63" customFormat="false" ht="15" hidden="false" customHeight="false" outlineLevel="0" collapsed="false">
      <c r="A63" s="22" t="s">
        <v>387</v>
      </c>
      <c r="B63" s="29" t="n">
        <f aca="false">原始数据!R51</f>
        <v>212.6423</v>
      </c>
    </row>
    <row r="64" customFormat="false" ht="15" hidden="false" customHeight="false" outlineLevel="0" collapsed="false">
      <c r="A64" s="22" t="s">
        <v>388</v>
      </c>
      <c r="B64" s="29" t="n">
        <f aca="false">B62-B63</f>
        <v>4.53862044764719E-005</v>
      </c>
    </row>
    <row r="65" customFormat="false" ht="15" hidden="false" customHeight="false" outlineLevel="0" collapsed="false">
      <c r="A65" s="22" t="s">
        <v>389</v>
      </c>
      <c r="B65" s="29" t="n">
        <f aca="false">SUM(C38:R38)</f>
        <v>318.11103</v>
      </c>
    </row>
    <row r="66" customFormat="false" ht="15" hidden="false" customHeight="false" outlineLevel="0" collapsed="false">
      <c r="A66" s="22" t="s">
        <v>390</v>
      </c>
      <c r="B66" s="29" t="n">
        <f aca="false">MIN(C50:R50)</f>
        <v>1.7909610781792</v>
      </c>
    </row>
    <row r="67" customFormat="false" ht="15" hidden="false" customHeight="false" outlineLevel="0" collapsed="false">
      <c r="A67" s="22" t="s">
        <v>391</v>
      </c>
      <c r="B67" s="29" t="n">
        <f aca="false">SUM(C49:R49)</f>
        <v>0</v>
      </c>
    </row>
    <row r="68" customFormat="false" ht="15" hidden="false" customHeight="false" outlineLevel="0" collapsed="false">
      <c r="A68" s="22" t="s">
        <v>392</v>
      </c>
      <c r="B68" s="42" t="n">
        <f aca="false">R33</f>
        <v>0</v>
      </c>
    </row>
    <row r="70" customFormat="false" ht="15" hidden="false" customHeight="false" outlineLevel="0" collapsed="false">
      <c r="A70" s="2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6.37"/>
    <col collapsed="false" customWidth="true" hidden="false" outlineLevel="0" max="2" min="2" style="0" width="7.28"/>
    <col collapsed="false" customWidth="true" hidden="false" outlineLevel="0" max="6" min="3" style="0" width="8.19"/>
    <col collapsed="false" customWidth="true" hidden="false" outlineLevel="0" max="7" min="7" style="0" width="7.28"/>
    <col collapsed="false" customWidth="true" hidden="false" outlineLevel="0" max="8" min="8" style="0" width="100.08"/>
  </cols>
  <sheetData>
    <row r="1" customFormat="false" ht="17.35" hidden="false" customHeight="false" outlineLevel="0" collapsed="false">
      <c r="A1" s="1" t="s">
        <v>394</v>
      </c>
    </row>
    <row r="2" customFormat="false" ht="15" hidden="false" customHeight="false" outlineLevel="0" collapsed="false">
      <c r="A2" s="2" t="s">
        <v>395</v>
      </c>
    </row>
    <row r="4" customFormat="false" ht="15" hidden="false" customHeight="false" outlineLevel="0" collapsed="false">
      <c r="A4" s="12" t="s">
        <v>396</v>
      </c>
      <c r="B4" s="12" t="s">
        <v>119</v>
      </c>
      <c r="C4" s="12" t="s">
        <v>121</v>
      </c>
      <c r="D4" s="12" t="s">
        <v>123</v>
      </c>
      <c r="E4" s="46" t="s">
        <v>397</v>
      </c>
      <c r="F4" s="46" t="s">
        <v>398</v>
      </c>
      <c r="G4" s="12" t="s">
        <v>200</v>
      </c>
      <c r="H4" s="12" t="s">
        <v>399</v>
      </c>
    </row>
    <row r="5" customFormat="false" ht="120" hidden="false" customHeight="true" outlineLevel="0" collapsed="false">
      <c r="A5" s="47" t="s">
        <v>102</v>
      </c>
      <c r="B5" s="17" t="n">
        <v>0.85</v>
      </c>
      <c r="C5" s="17" t="n">
        <v>1</v>
      </c>
      <c r="D5" s="15" t="n">
        <v>1.5</v>
      </c>
      <c r="E5" s="15" t="n">
        <v>3</v>
      </c>
      <c r="F5" s="17" t="n">
        <v>0</v>
      </c>
      <c r="G5" s="15" t="n">
        <v>0</v>
      </c>
      <c r="H5" s="48" t="s">
        <v>400</v>
      </c>
    </row>
    <row r="6" customFormat="false" ht="120" hidden="false" customHeight="true" outlineLevel="0" collapsed="false">
      <c r="A6" s="47" t="s">
        <v>103</v>
      </c>
      <c r="B6" s="17" t="n">
        <v>1</v>
      </c>
      <c r="C6" s="17" t="n">
        <v>1</v>
      </c>
      <c r="D6" s="15" t="n">
        <v>1.5</v>
      </c>
      <c r="E6" s="15" t="n">
        <v>0</v>
      </c>
      <c r="F6" s="17" t="n">
        <v>0</v>
      </c>
      <c r="G6" s="15" t="n">
        <v>0</v>
      </c>
      <c r="H6" s="48" t="s">
        <v>401</v>
      </c>
    </row>
    <row r="7" customFormat="false" ht="120" hidden="false" customHeight="true" outlineLevel="0" collapsed="false">
      <c r="A7" s="47" t="s">
        <v>104</v>
      </c>
      <c r="B7" s="17" t="n">
        <v>1</v>
      </c>
      <c r="C7" s="17" t="n">
        <v>1</v>
      </c>
      <c r="D7" s="15" t="n">
        <v>1.5</v>
      </c>
      <c r="E7" s="15" t="n">
        <v>0</v>
      </c>
      <c r="F7" s="17" t="n">
        <v>0</v>
      </c>
      <c r="G7" s="15" t="n">
        <v>2</v>
      </c>
      <c r="H7" s="48" t="s">
        <v>402</v>
      </c>
    </row>
    <row r="8" customFormat="false" ht="120" hidden="false" customHeight="true" outlineLevel="0" collapsed="false">
      <c r="A8" s="47" t="s">
        <v>105</v>
      </c>
      <c r="B8" s="17" t="n">
        <v>1</v>
      </c>
      <c r="C8" s="17" t="n">
        <v>1</v>
      </c>
      <c r="D8" s="15" t="n">
        <v>1.5</v>
      </c>
      <c r="E8" s="15" t="n">
        <v>0</v>
      </c>
      <c r="F8" s="17" t="n">
        <v>0.04</v>
      </c>
      <c r="G8" s="15" t="n">
        <v>2</v>
      </c>
      <c r="H8" s="48" t="s">
        <v>403</v>
      </c>
    </row>
    <row r="9" customFormat="false" ht="120" hidden="false" customHeight="true" outlineLevel="0" collapsed="false">
      <c r="A9" s="47" t="s">
        <v>106</v>
      </c>
      <c r="B9" s="17" t="n">
        <v>1</v>
      </c>
      <c r="C9" s="17" t="n">
        <v>1</v>
      </c>
      <c r="D9" s="15" t="n">
        <v>4.5</v>
      </c>
      <c r="E9" s="15" t="n">
        <v>0</v>
      </c>
      <c r="F9" s="17" t="n">
        <v>0.05</v>
      </c>
      <c r="G9" s="15" t="n">
        <v>3.5</v>
      </c>
      <c r="H9" s="48" t="s">
        <v>404</v>
      </c>
    </row>
    <row r="10" customFormat="false" ht="120" hidden="false" customHeight="true" outlineLevel="0" collapsed="false">
      <c r="A10" s="47" t="s">
        <v>107</v>
      </c>
      <c r="B10" s="17" t="n">
        <v>1</v>
      </c>
      <c r="C10" s="17" t="n">
        <v>1</v>
      </c>
      <c r="D10" s="15" t="n">
        <v>3.9</v>
      </c>
      <c r="E10" s="15" t="n">
        <v>0</v>
      </c>
      <c r="F10" s="17" t="n">
        <v>0.07</v>
      </c>
      <c r="G10" s="15" t="n">
        <v>1.5</v>
      </c>
      <c r="H10" s="48" t="s">
        <v>405</v>
      </c>
    </row>
    <row r="11" customFormat="false" ht="120" hidden="false" customHeight="true" outlineLevel="0" collapsed="false">
      <c r="A11" s="47" t="s">
        <v>108</v>
      </c>
      <c r="B11" s="17" t="n">
        <v>1</v>
      </c>
      <c r="C11" s="17" t="n">
        <v>1</v>
      </c>
      <c r="D11" s="15" t="n">
        <v>3.3</v>
      </c>
      <c r="E11" s="15" t="n">
        <v>0</v>
      </c>
      <c r="F11" s="17" t="n">
        <v>0.11</v>
      </c>
      <c r="G11" s="15" t="n">
        <v>0</v>
      </c>
      <c r="H11" s="48" t="s">
        <v>406</v>
      </c>
    </row>
    <row r="12" customFormat="false" ht="120" hidden="false" customHeight="true" outlineLevel="0" collapsed="false">
      <c r="A12" s="47" t="s">
        <v>109</v>
      </c>
      <c r="B12" s="17" t="n">
        <v>1</v>
      </c>
      <c r="C12" s="17" t="n">
        <v>1</v>
      </c>
      <c r="D12" s="15" t="n">
        <v>5.7</v>
      </c>
      <c r="E12" s="15" t="n">
        <v>0</v>
      </c>
      <c r="F12" s="17" t="n">
        <v>0.14</v>
      </c>
      <c r="G12" s="15" t="n">
        <v>0.5</v>
      </c>
      <c r="H12" s="48" t="s">
        <v>407</v>
      </c>
    </row>
    <row r="13" customFormat="false" ht="120" hidden="false" customHeight="true" outlineLevel="0" collapsed="false">
      <c r="A13" s="47" t="s">
        <v>110</v>
      </c>
      <c r="B13" s="17" t="n">
        <v>1</v>
      </c>
      <c r="C13" s="17" t="n">
        <v>1</v>
      </c>
      <c r="D13" s="15" t="n">
        <v>6.3</v>
      </c>
      <c r="E13" s="15" t="n">
        <v>0</v>
      </c>
      <c r="F13" s="17" t="n">
        <v>0.17</v>
      </c>
      <c r="G13" s="15" t="n">
        <v>1.3</v>
      </c>
      <c r="H13" s="48" t="s">
        <v>408</v>
      </c>
    </row>
    <row r="14" customFormat="false" ht="120" hidden="false" customHeight="true" outlineLevel="0" collapsed="false">
      <c r="A14" s="47" t="s">
        <v>111</v>
      </c>
      <c r="B14" s="17" t="n">
        <v>1</v>
      </c>
      <c r="C14" s="17" t="n">
        <v>1</v>
      </c>
      <c r="D14" s="15" t="n">
        <v>5.1</v>
      </c>
      <c r="E14" s="15" t="n">
        <v>0</v>
      </c>
      <c r="F14" s="17" t="n">
        <v>0.2</v>
      </c>
      <c r="G14" s="15" t="n">
        <v>-2</v>
      </c>
      <c r="H14" s="48" t="s">
        <v>409</v>
      </c>
    </row>
    <row r="15" customFormat="false" ht="120" hidden="false" customHeight="true" outlineLevel="0" collapsed="false">
      <c r="A15" s="47" t="s">
        <v>112</v>
      </c>
      <c r="B15" s="17" t="n">
        <v>1</v>
      </c>
      <c r="C15" s="17" t="n">
        <v>1</v>
      </c>
      <c r="D15" s="15" t="n">
        <v>1.5</v>
      </c>
      <c r="E15" s="15" t="n">
        <v>0</v>
      </c>
      <c r="F15" s="17" t="n">
        <v>0.235</v>
      </c>
      <c r="G15" s="15" t="n">
        <v>-10</v>
      </c>
      <c r="H15" s="48" t="s">
        <v>410</v>
      </c>
    </row>
    <row r="16" customFormat="false" ht="120" hidden="false" customHeight="true" outlineLevel="0" collapsed="false">
      <c r="A16" s="47" t="s">
        <v>113</v>
      </c>
      <c r="B16" s="17" t="n">
        <v>1</v>
      </c>
      <c r="C16" s="17" t="n">
        <v>1</v>
      </c>
      <c r="D16" s="15" t="n">
        <v>1.5</v>
      </c>
      <c r="E16" s="15" t="n">
        <v>0</v>
      </c>
      <c r="F16" s="17" t="n">
        <v>0.245</v>
      </c>
      <c r="G16" s="15" t="n">
        <v>-4.8</v>
      </c>
      <c r="H16" s="48" t="s">
        <v>411</v>
      </c>
    </row>
    <row r="17" customFormat="false" ht="120" hidden="false" customHeight="true" outlineLevel="0" collapsed="false">
      <c r="A17" s="47" t="s">
        <v>114</v>
      </c>
      <c r="B17" s="17" t="n">
        <v>1</v>
      </c>
      <c r="C17" s="17" t="n">
        <v>1</v>
      </c>
      <c r="D17" s="15" t="n">
        <v>1.5</v>
      </c>
      <c r="E17" s="15" t="n">
        <v>0</v>
      </c>
      <c r="F17" s="17" t="n">
        <v>0.26</v>
      </c>
      <c r="G17" s="15" t="n">
        <v>0</v>
      </c>
      <c r="H17" s="48" t="s">
        <v>412</v>
      </c>
    </row>
    <row r="18" customFormat="false" ht="120" hidden="false" customHeight="true" outlineLevel="0" collapsed="false">
      <c r="A18" s="47" t="s">
        <v>115</v>
      </c>
      <c r="B18" s="17" t="n">
        <v>1</v>
      </c>
      <c r="C18" s="17" t="n">
        <v>1</v>
      </c>
      <c r="D18" s="15" t="n">
        <v>1.5</v>
      </c>
      <c r="E18" s="15" t="n">
        <v>0</v>
      </c>
      <c r="F18" s="17" t="n">
        <v>0.295</v>
      </c>
      <c r="G18" s="15" t="n">
        <v>0</v>
      </c>
      <c r="H18" s="48" t="s">
        <v>413</v>
      </c>
    </row>
    <row r="19" customFormat="false" ht="120" hidden="false" customHeight="true" outlineLevel="0" collapsed="false">
      <c r="A19" s="47" t="s">
        <v>116</v>
      </c>
      <c r="B19" s="17" t="n">
        <v>1</v>
      </c>
      <c r="C19" s="17" t="n">
        <v>1</v>
      </c>
      <c r="D19" s="15" t="n">
        <v>1.5</v>
      </c>
      <c r="E19" s="15" t="n">
        <v>0</v>
      </c>
      <c r="F19" s="17" t="n">
        <v>0.36</v>
      </c>
      <c r="G19" s="15" t="n">
        <v>0</v>
      </c>
      <c r="H19" s="48" t="s">
        <v>414</v>
      </c>
    </row>
    <row r="20" customFormat="false" ht="120" hidden="false" customHeight="true" outlineLevel="0" collapsed="false">
      <c r="A20" s="47" t="s">
        <v>117</v>
      </c>
      <c r="B20" s="17" t="n">
        <v>1</v>
      </c>
      <c r="C20" s="17" t="n">
        <v>1</v>
      </c>
      <c r="D20" s="15" t="n">
        <v>1.5</v>
      </c>
      <c r="E20" s="15" t="n">
        <v>0</v>
      </c>
      <c r="F20" s="17" t="n">
        <v>0.405</v>
      </c>
      <c r="G20" s="15" t="n">
        <v>0</v>
      </c>
      <c r="H20" s="48" t="s">
        <v>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2026-10-22T21:02:33Z</dcterms:created>
  <dc:creator>openpyxl</dc:creator>
  <dc:description/>
  <dc:language>zh-CN</dc:language>
  <cp:lastModifiedBy/>
  <dcterms:modified xsi:type="dcterms:W3CDTF">2026-10-22T21:02:33Z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