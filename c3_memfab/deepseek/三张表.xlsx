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原始数据" sheetId="2" state="visible" r:id="rId2"/>
    <sheet xmlns:r="http://schemas.openxmlformats.org/officeDocument/2006/relationships" name="利润表" sheetId="3" state="visible" r:id="rId3"/>
    <sheet xmlns:r="http://schemas.openxmlformats.org/officeDocument/2006/relationships" name="资产负债表" sheetId="4" state="visible" r:id="rId4"/>
    <sheet xmlns:r="http://schemas.openxmlformats.org/officeDocument/2006/relationships" name="现金流量表" sheetId="5" state="visible" r:id="rId5"/>
    <sheet xmlns:r="http://schemas.openxmlformats.org/officeDocument/2006/relationships" name="假设与参数" sheetId="6" state="visible" r:id="rId6"/>
    <sheet xmlns:r="http://schemas.openxmlformats.org/officeDocument/2006/relationships" name="分析" sheetId="7" state="visible" r:id="rId7"/>
    <sheet xmlns:r="http://schemas.openxmlformats.org/officeDocument/2006/relationships" name="图表" sheetId="8" state="visible" r:id="rId8"/>
    <sheet xmlns:r="http://schemas.openxmlformats.org/officeDocument/2006/relationships" name="数据源" sheetId="9" state="visible" r:id="rId9"/>
  </sheets>
  <definedNames>
    <definedName name="_xlnm.Print_Area" localSheetId="0">'封面'!$A$1:$J$28</definedName>
    <definedName name="_xlnm.Print_Titles" localSheetId="1">'原始数据'!$5:$6</definedName>
    <definedName name="_xlnm.Print_Titles" localSheetId="2">'利润表'!$5:$5</definedName>
    <definedName name="_xlnm.Print_Titles" localSheetId="3">'资产负债表'!$5:$5</definedName>
    <definedName name="_xlnm.Print_Titles" localSheetId="4">'现金流量表'!$5:$5</definedName>
    <definedName name="_xlnm.Print_Titles" localSheetId="6">'分析'!$12:$12</definedName>
    <definedName name="_xlnm.Print_Area" localSheetId="6">'分析'!$A$1:$S$66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[Red]-#,##0.00"/>
    <numFmt numFmtId="165" formatCode="0.00&quot;x&quot;;[Red]-0.00&quot;x&quot;"/>
    <numFmt numFmtId="166" formatCode="0.0%;[Red]-0.0%"/>
    <numFmt numFmtId="167" formatCode="#,##0.0;[Red]-#,##0.0"/>
    <numFmt numFmtId="168" formatCode="0.00%;[Red]-0.00%"/>
    <numFmt numFmtId="169" formatCode="#,##0.0"/>
  </numFmts>
  <fonts count="16">
    <font>
      <name val="Calibri"/>
      <family val="2"/>
      <color theme="1"/>
      <sz val="11"/>
      <scheme val="minor"/>
    </font>
    <font>
      <name val="Microsoft YaHei"/>
      <b val="1"/>
      <color rgb="001F3864"/>
      <sz val="40"/>
    </font>
    <font>
      <name val="Microsoft YaHei"/>
      <b val="1"/>
      <color rgb="00C9A227"/>
      <sz val="18"/>
    </font>
    <font>
      <name val="Microsoft YaHei"/>
      <color rgb="00595959"/>
      <sz val="13"/>
    </font>
    <font>
      <name val="Microsoft YaHei"/>
      <color rgb="00404040"/>
      <sz val="11"/>
    </font>
    <font>
      <name val="Microsoft YaHei"/>
      <b val="1"/>
      <color rgb="001F3864"/>
      <sz val="22"/>
    </font>
    <font>
      <name val="Microsoft YaHei"/>
      <color rgb="007F7F7F"/>
      <sz val="9"/>
    </font>
    <font>
      <name val="Microsoft YaHei"/>
      <b val="1"/>
      <color rgb="001F3864"/>
      <sz val="12"/>
    </font>
    <font>
      <name val="Microsoft YaHei"/>
      <sz val="10"/>
    </font>
    <font>
      <name val="Microsoft YaHei"/>
      <color rgb="00595959"/>
      <sz val="9"/>
    </font>
    <font>
      <name val="Microsoft YaHei"/>
      <b val="1"/>
      <color rgb="001F3864"/>
      <sz val="18"/>
    </font>
    <font>
      <name val="Microsoft YaHei"/>
      <color rgb="00595959"/>
      <sz val="10"/>
    </font>
    <font>
      <name val="Microsoft YaHei"/>
      <color rgb="007F7F7F"/>
      <sz val="8"/>
    </font>
    <font>
      <name val="Microsoft YaHei"/>
      <b val="1"/>
      <sz val="10"/>
    </font>
    <font>
      <name val="Microsoft YaHei"/>
      <b val="1"/>
      <color rgb="00FFFFFF"/>
      <sz val="10"/>
    </font>
    <font>
      <name val="Microsoft YaHei"/>
      <b val="1"/>
      <color rgb="001F3864"/>
      <sz val="17"/>
    </font>
  </fonts>
  <fills count="11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0" fillId="2" borderId="1" pivotButton="0" quotePrefix="0" xfId="0"/>
    <xf numFmtId="0" fontId="0" fillId="0" borderId="4" pivotButton="0" quotePrefix="0" xfId="0"/>
    <xf numFmtId="0" fontId="8" fillId="0" borderId="0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4" borderId="1" pivotButton="0" quotePrefix="0" xfId="0"/>
    <xf numFmtId="0" fontId="7" fillId="0" borderId="0" pivotButton="0" quotePrefix="0" xfId="0"/>
    <xf numFmtId="0" fontId="9" fillId="5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166" fontId="8" fillId="2" borderId="1" applyAlignment="1" pivotButton="0" quotePrefix="0" xfId="0">
      <alignment horizontal="center" vertical="center" wrapText="1"/>
    </xf>
    <xf numFmtId="164" fontId="8" fillId="2" borderId="1" applyAlignment="1" pivotButton="0" quotePrefix="0" xfId="0">
      <alignment horizontal="center" vertical="center" wrapText="1"/>
    </xf>
    <xf numFmtId="167" fontId="8" fillId="2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164" fontId="13" fillId="9" borderId="1" applyAlignment="1" pivotButton="0" quotePrefix="0" xfId="0">
      <alignment horizontal="center" vertical="center" wrapText="1"/>
    </xf>
    <xf numFmtId="167" fontId="13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164" fontId="13" fillId="3" borderId="1" applyAlignment="1" pivotButton="0" quotePrefix="0" xfId="0">
      <alignment horizontal="right" vertical="center"/>
    </xf>
    <xf numFmtId="164" fontId="13" fillId="9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164" fontId="8" fillId="3" borderId="1" applyAlignment="1" pivotButton="0" quotePrefix="0" xfId="0">
      <alignment horizontal="right" vertical="center"/>
    </xf>
    <xf numFmtId="166" fontId="8" fillId="3" borderId="1" applyAlignment="1" pivotButton="0" quotePrefix="0" xfId="0">
      <alignment horizontal="right" vertical="center"/>
    </xf>
    <xf numFmtId="166" fontId="13" fillId="9" borderId="1" applyAlignment="1" pivotButton="0" quotePrefix="0" xfId="0">
      <alignment horizontal="right" vertical="center"/>
    </xf>
    <xf numFmtId="0" fontId="7" fillId="6" borderId="0" applyAlignment="1" pivotButton="0" quotePrefix="0" xfId="0">
      <alignment horizontal="left" vertical="center" wrapText="1"/>
    </xf>
    <xf numFmtId="165" fontId="8" fillId="3" borderId="1" applyAlignment="1" pivotButton="0" quotePrefix="0" xfId="0">
      <alignment horizontal="right" vertical="center"/>
    </xf>
    <xf numFmtId="165" fontId="13" fillId="9" borderId="1" applyAlignment="1" pivotButton="0" quotePrefix="0" xfId="0">
      <alignment horizontal="right" vertical="center"/>
    </xf>
    <xf numFmtId="167" fontId="8" fillId="3" borderId="1" applyAlignment="1" pivotButton="0" quotePrefix="0" xfId="0">
      <alignment horizontal="right" vertical="center"/>
    </xf>
    <xf numFmtId="167" fontId="13" fillId="9" borderId="1" applyAlignment="1" pivotButton="0" quotePrefix="0" xfId="0">
      <alignment horizontal="right" vertical="center"/>
    </xf>
    <xf numFmtId="0" fontId="13" fillId="1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164" fontId="13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167" fontId="13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7" fontId="13" fillId="4" borderId="1" applyAlignment="1" pivotButton="0" quotePrefix="0" xfId="0">
      <alignment horizontal="center" vertical="center" wrapText="1"/>
    </xf>
    <xf numFmtId="164" fontId="13" fillId="4" borderId="1" applyAlignment="1" pivotButton="0" quotePrefix="0" xfId="0">
      <alignment horizontal="center" vertical="center" wrapText="1"/>
    </xf>
    <xf numFmtId="3" fontId="13" fillId="4" borderId="1" applyAlignment="1" pivotButton="0" quotePrefix="0" xfId="0">
      <alignment horizontal="center" vertical="center" wrapText="1"/>
    </xf>
    <xf numFmtId="166" fontId="13" fillId="4" borderId="1" applyAlignment="1" pivotButton="0" quotePrefix="0" xfId="0">
      <alignment horizontal="center" vertical="center" wrapText="1"/>
    </xf>
    <xf numFmtId="168" fontId="13" fillId="4" borderId="1" applyAlignment="1" pivotButton="0" quotePrefix="0" xfId="0">
      <alignment horizontal="center" vertical="center" wrapText="1"/>
    </xf>
    <xf numFmtId="3" fontId="13" fillId="2" borderId="1" applyAlignment="1" pivotButton="0" quotePrefix="0" xfId="0">
      <alignment horizontal="center" vertical="center" wrapText="1"/>
    </xf>
    <xf numFmtId="166" fontId="13" fillId="2" borderId="1" applyAlignment="1" pivotButton="0" quotePrefix="0" xfId="0">
      <alignment horizontal="center" vertical="center" wrapText="1"/>
    </xf>
    <xf numFmtId="164" fontId="15" fillId="3" borderId="0" applyAlignment="1" pivotButton="0" quotePrefix="0" xfId="0">
      <alignment horizontal="left" vertical="center" wrapText="1"/>
    </xf>
    <xf numFmtId="165" fontId="15" fillId="3" borderId="0" applyAlignment="1" pivotButton="0" quotePrefix="0" xfId="0">
      <alignment horizontal="left" vertical="center" wrapText="1"/>
    </xf>
    <xf numFmtId="166" fontId="15" fillId="3" borderId="0" applyAlignment="1" pivotButton="0" quotePrefix="0" xfId="0">
      <alignment horizontal="left" vertical="center" wrapText="1"/>
    </xf>
    <xf numFmtId="166" fontId="13" fillId="3" borderId="1" applyAlignment="1" pivotButton="0" quotePrefix="0" xfId="0">
      <alignment horizontal="right" vertical="center"/>
    </xf>
    <xf numFmtId="169" fontId="13" fillId="3" borderId="1" applyAlignment="1" pivotButton="0" quotePrefix="0" xfId="0">
      <alignment horizontal="right" vertical="center"/>
    </xf>
    <xf numFmtId="169" fontId="13" fillId="9" borderId="1" applyAlignment="1" pivotButton="0" quotePrefix="0" xfId="0">
      <alignment horizontal="right" vertical="center"/>
    </xf>
    <xf numFmtId="164" fontId="13" fillId="9" borderId="1" pivotButton="0" quotePrefix="0" xfId="0"/>
    <xf numFmtId="0" fontId="12" fillId="1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逐季营业收入与净利润</a:t>
            </a:r>
          </a:p>
        </rich>
      </tx>
    </title>
    <plotArea>
      <barChart>
        <barDir val="col"/>
        <grouping val="clustered"/>
        <ser>
          <idx val="0"/>
          <order val="0"/>
          <tx>
            <v>营业收入</v>
          </tx>
          <spPr>
            <a:solidFill xmlns:a="http://schemas.openxmlformats.org/drawingml/2006/main">
              <a:srgbClr val="2F5597"/>
            </a:solidFill>
            <a:ln xmlns:a="http://schemas.openxmlformats.org/drawingml/2006/main">
              <a:solidFill>
                <a:srgbClr val="2F5597"/>
              </a:solidFill>
              <a:prstDash val="solid"/>
            </a:ln>
          </spPr>
          <cat>
            <numRef>
              <f>'利润表'!$B$5:$Q$5</f>
            </numRef>
          </cat>
          <val>
            <numRef>
              <f>'利润表'!$B$6:$Q$6</f>
            </numRef>
          </val>
        </ser>
        <ser>
          <idx val="1"/>
          <order val="1"/>
          <tx>
            <v>净利润</v>
          </tx>
          <spPr>
            <a:solidFill xmlns:a="http://schemas.openxmlformats.org/drawingml/2006/main">
              <a:srgbClr val="C9A227"/>
            </a:solidFill>
            <a:ln xmlns:a="http://schemas.openxmlformats.org/drawingml/2006/main">
              <a:solidFill>
                <a:srgbClr val="C9A227"/>
              </a:solidFill>
              <a:prstDash val="solid"/>
            </a:ln>
          </spPr>
          <cat>
            <numRef>
              <f>'利润表'!$B$5:$Q$5</f>
            </numRef>
          </cat>
          <val>
            <numRef>
              <f>'利润表'!$B$20:$Q$20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季度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十亿美元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收入结构：普通内存 vs HBM（十亿美元）</a:t>
            </a:r>
          </a:p>
        </rich>
      </tx>
    </title>
    <plotArea>
      <barChart>
        <barDir val="col"/>
        <grouping val="stacked"/>
        <ser>
          <idx val="0"/>
          <order val="0"/>
          <tx>
            <v>普通内存</v>
          </tx>
          <spPr>
            <a:solidFill xmlns:a="http://schemas.openxmlformats.org/drawingml/2006/main">
              <a:srgbClr val="2F5597"/>
            </a:solidFill>
            <a:ln xmlns:a="http://schemas.openxmlformats.org/drawingml/2006/main">
              <a:solidFill>
                <a:srgbClr val="2F5597"/>
              </a:solidFill>
              <a:prstDash val="solid"/>
            </a:ln>
          </spPr>
          <cat>
            <numRef>
              <f>'利润表'!$B$5:$Q$5</f>
            </numRef>
          </cat>
          <val>
            <numRef>
              <f>'利润表'!$B$7:$Q$7</f>
            </numRef>
          </val>
        </ser>
        <ser>
          <idx val="1"/>
          <order val="1"/>
          <tx>
            <v>HBM</v>
          </tx>
          <spPr>
            <a:solidFill xmlns:a="http://schemas.openxmlformats.org/drawingml/2006/main">
              <a:srgbClr val="C9A227"/>
            </a:solidFill>
            <a:ln xmlns:a="http://schemas.openxmlformats.org/drawingml/2006/main">
              <a:solidFill>
                <a:srgbClr val="C9A227"/>
              </a:solidFill>
              <a:prstDash val="solid"/>
            </a:ln>
          </spPr>
          <cat>
            <numRef>
              <f>'利润表'!$B$5:$Q$5</f>
            </numRef>
          </cat>
          <val>
            <numRef>
              <f>'利润表'!$B$8:$Q$8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季度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十亿美元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毛利率、净利率与年化 ROE</a:t>
            </a:r>
          </a:p>
        </rich>
      </tx>
    </title>
    <plotArea>
      <lineChart>
        <grouping val="standard"/>
        <ser>
          <idx val="0"/>
          <order val="0"/>
          <tx>
            <v>毛利率</v>
          </tx>
          <spPr>
            <a:ln xmlns:a="http://schemas.openxmlformats.org/drawingml/2006/main" w="22000">
              <a:solidFill>
                <a:srgbClr val="2F55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'利润表'!$B$5:$Q$5</f>
            </numRef>
          </cat>
          <val>
            <numRef>
              <f>'分析'!$B$15:$Q$15</f>
            </numRef>
          </val>
        </ser>
        <ser>
          <idx val="1"/>
          <order val="1"/>
          <tx>
            <v>净利率</v>
          </tx>
          <spPr>
            <a:ln xmlns:a="http://schemas.openxmlformats.org/drawingml/2006/main" w="22000">
              <a:solidFill>
                <a:srgbClr val="C9A22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'利润表'!$B$5:$Q$5</f>
            </numRef>
          </cat>
          <val>
            <numRef>
              <f>'分析'!$B$17:$Q$17</f>
            </numRef>
          </val>
        </ser>
        <ser>
          <idx val="2"/>
          <order val="2"/>
          <tx>
            <v>年化 ROE</v>
          </tx>
          <spPr>
            <a:ln xmlns:a="http://schemas.openxmlformats.org/drawingml/2006/main" w="22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'利润表'!$B$5:$Q$5</f>
            </numRef>
          </cat>
          <val>
            <numRef>
              <f>'分析'!$B$27:$Q$27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季度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百分比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经营现金流与自由现金流（十亿美元）</a:t>
            </a:r>
          </a:p>
        </rich>
      </tx>
    </title>
    <plotArea>
      <barChart>
        <barDir val="col"/>
        <grouping val="clustered"/>
        <ser>
          <idx val="0"/>
          <order val="0"/>
          <tx>
            <v>经营现金流</v>
          </tx>
          <spPr>
            <a:solidFill xmlns:a="http://schemas.openxmlformats.org/drawingml/2006/main">
              <a:srgbClr val="2F5597"/>
            </a:solidFill>
            <a:ln xmlns:a="http://schemas.openxmlformats.org/drawingml/2006/main">
              <a:solidFill>
                <a:srgbClr val="2F5597"/>
              </a:solidFill>
              <a:prstDash val="solid"/>
            </a:ln>
          </spPr>
          <cat>
            <numRef>
              <f>'利润表'!$B$5:$Q$5</f>
            </numRef>
          </cat>
          <val>
            <numRef>
              <f>'分析'!$B$18:$Q$18</f>
            </numRef>
          </val>
        </ser>
        <ser>
          <idx val="1"/>
          <order val="1"/>
          <tx>
            <v>自由现金流</v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'利润表'!$B$5:$Q$5</f>
            </numRef>
          </cat>
          <val>
            <numRef>
              <f>'分析'!$B$20:$Q$20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季度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十亿美元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净负债与股东权益（十亿美元）</a:t>
            </a:r>
          </a:p>
        </rich>
      </tx>
    </title>
    <plotArea>
      <lineChart>
        <grouping val="standard"/>
        <ser>
          <idx val="0"/>
          <order val="0"/>
          <tx>
            <v>净负债</v>
          </tx>
          <spPr>
            <a:ln xmlns:a="http://schemas.openxmlformats.org/drawingml/2006/main" w="22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'利润表'!$B$5:$Q$5</f>
            </numRef>
          </cat>
          <val>
            <numRef>
              <f>'分析'!$B$23:$Q$23</f>
            </numRef>
          </val>
        </ser>
        <ser>
          <idx val="1"/>
          <order val="1"/>
          <tx>
            <v>股东权益</v>
          </tx>
          <spPr>
            <a:ln xmlns:a="http://schemas.openxmlformats.org/drawingml/2006/main" w="22000">
              <a:solidFill>
                <a:srgbClr val="2F55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'利润表'!$B$5:$Q$5</f>
            </numRef>
          </cat>
          <val>
            <numRef>
              <f>'分析'!$B$24:$Q$24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季度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十亿美元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产能利用率与 HBM 收入占比</a:t>
            </a:r>
          </a:p>
        </rich>
      </tx>
    </title>
    <plotArea>
      <lineChart>
        <grouping val="standard"/>
        <ser>
          <idx val="0"/>
          <order val="0"/>
          <tx>
            <v>产能利用率</v>
          </tx>
          <spPr>
            <a:ln xmlns:a="http://schemas.openxmlformats.org/drawingml/2006/main" w="22000">
              <a:solidFill>
                <a:srgbClr val="2F55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'利润表'!$B$5:$Q$5</f>
            </numRef>
          </cat>
          <val>
            <numRef>
              <f>'分析'!$B$37:$Q$37</f>
            </numRef>
          </val>
        </ser>
        <ser>
          <idx val="1"/>
          <order val="1"/>
          <tx>
            <v>HBM 收入占比</v>
          </tx>
          <spPr>
            <a:ln xmlns:a="http://schemas.openxmlformats.org/drawingml/2006/main" w="22000">
              <a:solidFill>
                <a:srgbClr val="C9A22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'利润表'!$B$5:$Q$5</f>
            </numRef>
          </cat>
          <val>
            <numRef>
              <f>'分析'!$B$39:$Q$39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季度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百分比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Relationship Type="http://schemas.openxmlformats.org/officeDocument/2006/relationships/chart" Target="/xl/charts/chart5.xml" Id="rId4"/><Relationship Type="http://schemas.openxmlformats.org/officeDocument/2006/relationships/chart" Target="/xl/charts/chart6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29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648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</row>
      <rowOff>0</rowOff>
    </from>
    <ext cx="648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20</row>
      <rowOff>0</rowOff>
    </from>
    <ext cx="6480000" cy="259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20</row>
      <rowOff>0</rowOff>
    </from>
    <ext cx="6480000" cy="2592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37</row>
      <rowOff>0</rowOff>
    </from>
    <ext cx="6480000" cy="2592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J2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55" customHeight="1">
      <c r="B2" s="1" t="inlineStr">
        <is>
          <t>MemoryFab</t>
        </is>
      </c>
    </row>
    <row r="3" ht="32" customHeight="1">
      <c r="B3" s="2" t="inlineStr">
        <is>
          <t>内存芯片公司 · 16 个季度经营模拟</t>
        </is>
      </c>
    </row>
    <row r="4" ht="24" customHeight="1">
      <c r="B4" s="3" t="inlineStr">
        <is>
          <t>逐季利润表 · 资产负债表 · 现金流量表 · 经营分析</t>
        </is>
      </c>
    </row>
    <row r="7">
      <c r="B7" s="4" t="inlineStr">
        <is>
          <t>期末股东权益</t>
        </is>
      </c>
      <c r="D7" s="4" t="inlineStr">
        <is>
          <t>累计净利润</t>
        </is>
      </c>
      <c r="F7" s="4" t="inlineStr">
        <is>
          <t>权益倍数</t>
        </is>
      </c>
      <c r="H7" s="4" t="inlineStr">
        <is>
          <t>累计营业收入</t>
        </is>
      </c>
    </row>
    <row r="8">
      <c r="B8" s="5">
        <f>资产负债表!Q16</f>
        <v/>
      </c>
      <c r="D8" s="5">
        <f>利润表!R20</f>
        <v/>
      </c>
      <c r="F8" s="6">
        <f>资产负债表!Q16/34.96</f>
        <v/>
      </c>
      <c r="H8" s="5">
        <f>利润表!R6</f>
        <v/>
      </c>
    </row>
    <row r="9">
      <c r="B9" s="7" t="inlineStr">
        <is>
          <t>十亿美元</t>
        </is>
      </c>
      <c r="D9" s="7" t="inlineStr">
        <is>
          <t>十亿美元</t>
        </is>
      </c>
      <c r="F9" s="7" t="inlineStr">
        <is>
          <t>倍</t>
        </is>
      </c>
      <c r="H9" s="7" t="inlineStr">
        <is>
          <t>十亿美元</t>
        </is>
      </c>
    </row>
    <row r="12">
      <c r="B12" s="8" t="inlineStr">
        <is>
          <t>颜色约定：输入格 / 公式格 / 假设格</t>
        </is>
      </c>
    </row>
    <row r="13">
      <c r="B13" s="9" t="n"/>
      <c r="C13" s="10" t="n"/>
      <c r="D13" s="11" t="inlineStr">
        <is>
          <t>引擎原始数据（输入格）</t>
        </is>
      </c>
    </row>
    <row r="14">
      <c r="B14" s="12" t="n"/>
      <c r="C14" s="10" t="n"/>
      <c r="D14" s="11" t="inlineStr">
        <is>
          <t>公式计算（自动联动）</t>
        </is>
      </c>
    </row>
    <row r="15">
      <c r="B15" s="13" t="n"/>
      <c r="C15" s="10" t="n"/>
      <c r="D15" s="11" t="inlineStr">
        <is>
          <t>假设与参数（可修改）</t>
        </is>
      </c>
    </row>
    <row r="18">
      <c r="B18" s="14" t="inlineStr">
        <is>
          <t>数据来源</t>
        </is>
      </c>
    </row>
    <row r="19" ht="92" customHeight="1">
      <c r="B19" s="11" t="inlineStr">
        <is>
          <t>本工作簿的全部财务数字来自本机经营模拟引擎（game id: memfab-deepseek）的逐季返回与最终导出，原始文件为 工作/export.json（history[1..16]）与 工作/state_q0.json（第 0 季末状态）。“原始数据”页逐项列示引擎字段；“数据源”页给出每个科目的字段路径。基准价、可变成本、固定费用、折旧年限、利率等为从报表行为反推的模型参数，均以“假设”标注，不是引擎披露的事实。</t>
        </is>
      </c>
    </row>
    <row r="24" ht="64" customHeight="1">
      <c r="B24" s="15" t="inlineStr">
        <is>
          <t>说明：这是研究与展示用的经营模拟复盘，不构成投资建议；不评价任何证券的价格，不给出买入、卖出或持有建议。所有金额单位为十亿美元，数量为千片（kwafers），单价为百万美元/千片，另有注明的除外。修改“假设与参数”页的黄色格，三张表、比率与敏感性会自动重算。</t>
        </is>
      </c>
    </row>
  </sheetData>
  <mergeCells count="22">
    <mergeCell ref="B7:C7"/>
    <mergeCell ref="H9:I9"/>
    <mergeCell ref="F7:G7"/>
    <mergeCell ref="B19:J19"/>
    <mergeCell ref="B14:C14"/>
    <mergeCell ref="B8:C8"/>
    <mergeCell ref="B24:J24"/>
    <mergeCell ref="F8:G8"/>
    <mergeCell ref="B13:C13"/>
    <mergeCell ref="D7:E7"/>
    <mergeCell ref="H7:I7"/>
    <mergeCell ref="B4:J4"/>
    <mergeCell ref="B9:C9"/>
    <mergeCell ref="D9:E9"/>
    <mergeCell ref="F9:G9"/>
    <mergeCell ref="D8:E8"/>
    <mergeCell ref="B3:J3"/>
    <mergeCell ref="B15:C15"/>
    <mergeCell ref="B18:J18"/>
    <mergeCell ref="H8:I8"/>
    <mergeCell ref="B12:J12"/>
    <mergeCell ref="B2:J2"/>
  </mergeCells>
  <printOptions horizontalCentered="1"/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Q2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9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1" customWidth="1" min="16" max="16"/>
    <col width="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9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9" customWidth="1" min="42" max="42"/>
    <col width="9" customWidth="1" min="43" max="43"/>
  </cols>
  <sheetData>
    <row r="1" ht="34" customHeight="1">
      <c r="A1" s="16" t="inlineStr">
        <is>
          <t>原始数据：引擎逐季返回</t>
        </is>
      </c>
    </row>
    <row r="2" ht="20" customHeight="1">
      <c r="A2" s="17" t="inlineStr">
        <is>
          <t>蓝色底纹为引擎导出的原始输入；本页不做任何加工。字段路径见“数据源”页。</t>
        </is>
      </c>
    </row>
    <row r="3">
      <c r="A3" s="18" t="inlineStr">
        <is>
          <t>单位：金额十亿美元；数量千片；单价百万美元/千片。数据源：工作/export.json → history[q].decision / market / operations / income_statement / cash_flow / balance_sheet。</t>
        </is>
      </c>
    </row>
    <row r="4">
      <c r="A4" s="19" t="inlineStr">
        <is>
          <t>决策与市场</t>
        </is>
      </c>
      <c r="L4" s="20" t="inlineStr">
        <is>
          <t>经营</t>
        </is>
      </c>
      <c r="R4" s="21" t="inlineStr">
        <is>
          <t>利润表</t>
        </is>
      </c>
      <c r="AE4" s="22" t="inlineStr">
        <is>
          <t>现金流量表</t>
        </is>
      </c>
      <c r="AH4" s="23" t="inlineStr">
        <is>
          <t>资产负债表与补充</t>
        </is>
      </c>
    </row>
    <row r="5" ht="34" customHeight="1">
      <c r="A5" s="24" t="inlineStr">
        <is>
          <t>季度</t>
        </is>
      </c>
      <c r="B5" s="24" t="inlineStr">
        <is>
          <t>价格指数</t>
        </is>
      </c>
      <c r="C5" s="24" t="inlineStr">
        <is>
          <t>HBM价格指数</t>
        </is>
      </c>
      <c r="D5" s="24" t="inlineStr">
        <is>
          <t>普通需求</t>
        </is>
      </c>
      <c r="E5" s="24" t="inlineStr">
        <is>
          <t>HBM需求</t>
        </is>
      </c>
      <c r="F5" s="24" t="inlineStr">
        <is>
          <t>开工率</t>
        </is>
      </c>
      <c r="G5" s="24" t="inlineStr">
        <is>
          <t>可售比例</t>
        </is>
      </c>
      <c r="H5" s="24" t="inlineStr">
        <is>
          <t>资本开支</t>
        </is>
      </c>
      <c r="I5" s="24" t="inlineStr">
        <is>
          <t>HBM研发</t>
        </is>
      </c>
      <c r="J5" s="24" t="inlineStr">
        <is>
          <t>HBM份额</t>
        </is>
      </c>
      <c r="K5" s="24" t="inlineStr">
        <is>
          <t>净借款</t>
        </is>
      </c>
      <c r="L5" s="24" t="inlineStr">
        <is>
          <t>产量</t>
        </is>
      </c>
      <c r="M5" s="24" t="inlineStr">
        <is>
          <t>HBM产量</t>
        </is>
      </c>
      <c r="N5" s="24" t="inlineStr">
        <is>
          <t>普通销量</t>
        </is>
      </c>
      <c r="O5" s="24" t="inlineStr">
        <is>
          <t>HBM销量</t>
        </is>
      </c>
      <c r="P5" s="24" t="inlineStr">
        <is>
          <t>单位成本</t>
        </is>
      </c>
      <c r="Q5" s="24" t="inlineStr">
        <is>
          <t>产能</t>
        </is>
      </c>
      <c r="R5" s="24" t="inlineStr">
        <is>
          <t>营业收入</t>
        </is>
      </c>
      <c r="S5" s="24" t="inlineStr">
        <is>
          <t>普通收入</t>
        </is>
      </c>
      <c r="T5" s="24" t="inlineStr">
        <is>
          <t>HBM收入</t>
        </is>
      </c>
      <c r="U5" s="24" t="inlineStr">
        <is>
          <t>营业成本</t>
        </is>
      </c>
      <c r="V5" s="24" t="inlineStr">
        <is>
          <t>存货跌价</t>
        </is>
      </c>
      <c r="W5" s="24" t="inlineStr">
        <is>
          <t>毛利</t>
        </is>
      </c>
      <c r="X5" s="24" t="inlineStr">
        <is>
          <t>毛利率</t>
        </is>
      </c>
      <c r="Y5" s="24" t="inlineStr">
        <is>
          <t>研发费用</t>
        </is>
      </c>
      <c r="Z5" s="24" t="inlineStr">
        <is>
          <t>销售管理费用</t>
        </is>
      </c>
      <c r="AA5" s="24" t="inlineStr">
        <is>
          <t>营业利润</t>
        </is>
      </c>
      <c r="AB5" s="24" t="inlineStr">
        <is>
          <t>净利息</t>
        </is>
      </c>
      <c r="AC5" s="24" t="inlineStr">
        <is>
          <t>所得税</t>
        </is>
      </c>
      <c r="AD5" s="24" t="inlineStr">
        <is>
          <t>净利润</t>
        </is>
      </c>
      <c r="AE5" s="24" t="inlineStr">
        <is>
          <t>经营现金流</t>
        </is>
      </c>
      <c r="AF5" s="24" t="inlineStr">
        <is>
          <t>投资现金流</t>
        </is>
      </c>
      <c r="AG5" s="24" t="inlineStr">
        <is>
          <t>筹资现金流</t>
        </is>
      </c>
      <c r="AH5" s="24" t="inlineStr">
        <is>
          <t>折旧</t>
        </is>
      </c>
      <c r="AI5" s="24" t="inlineStr">
        <is>
          <t>期末现金</t>
        </is>
      </c>
      <c r="AJ5" s="24" t="inlineStr">
        <is>
          <t>期末存货</t>
        </is>
      </c>
      <c r="AK5" s="24" t="inlineStr">
        <is>
          <t>净固定资产</t>
        </is>
      </c>
      <c r="AL5" s="24" t="inlineStr">
        <is>
          <t>总资产</t>
        </is>
      </c>
      <c r="AM5" s="24" t="inlineStr">
        <is>
          <t>借款</t>
        </is>
      </c>
      <c r="AN5" s="24" t="inlineStr">
        <is>
          <t>紧急授信</t>
        </is>
      </c>
      <c r="AO5" s="24" t="inlineStr">
        <is>
          <t>股东权益</t>
        </is>
      </c>
      <c r="AP5" s="24" t="inlineStr">
        <is>
          <t>期末存货量</t>
        </is>
      </c>
      <c r="AQ5" s="24" t="inlineStr">
        <is>
          <t>期末产能</t>
        </is>
      </c>
    </row>
    <row r="6" ht="20" customHeight="1">
      <c r="A6" s="25" t="inlineStr">
        <is>
          <t>季</t>
        </is>
      </c>
      <c r="B6" s="25" t="inlineStr">
        <is>
          <t>倍</t>
        </is>
      </c>
      <c r="C6" s="25" t="inlineStr">
        <is>
          <t>倍</t>
        </is>
      </c>
      <c r="D6" s="25" t="inlineStr">
        <is>
          <t>千片</t>
        </is>
      </c>
      <c r="E6" s="25" t="inlineStr">
        <is>
          <t>千片</t>
        </is>
      </c>
      <c r="F6" s="25" t="inlineStr">
        <is>
          <t>%</t>
        </is>
      </c>
      <c r="G6" s="25" t="inlineStr">
        <is>
          <t>%</t>
        </is>
      </c>
      <c r="H6" s="25" t="inlineStr">
        <is>
          <t>十亿美元</t>
        </is>
      </c>
      <c r="I6" s="25" t="inlineStr">
        <is>
          <t>十亿美元</t>
        </is>
      </c>
      <c r="J6" s="25" t="inlineStr">
        <is>
          <t>%</t>
        </is>
      </c>
      <c r="K6" s="25" t="inlineStr">
        <is>
          <t>十亿美元</t>
        </is>
      </c>
      <c r="L6" s="25" t="inlineStr">
        <is>
          <t>千片</t>
        </is>
      </c>
      <c r="M6" s="25" t="inlineStr">
        <is>
          <t>千片</t>
        </is>
      </c>
      <c r="N6" s="25" t="inlineStr">
        <is>
          <t>千片</t>
        </is>
      </c>
      <c r="O6" s="25" t="inlineStr">
        <is>
          <t>千片</t>
        </is>
      </c>
      <c r="P6" s="25" t="inlineStr">
        <is>
          <t>百万美元/千片</t>
        </is>
      </c>
      <c r="Q6" s="25" t="inlineStr">
        <is>
          <t>千片/季</t>
        </is>
      </c>
      <c r="R6" s="25" t="inlineStr">
        <is>
          <t>十亿美元</t>
        </is>
      </c>
      <c r="S6" s="25" t="inlineStr">
        <is>
          <t>十亿美元</t>
        </is>
      </c>
      <c r="T6" s="25" t="inlineStr">
        <is>
          <t>十亿美元</t>
        </is>
      </c>
      <c r="U6" s="25" t="inlineStr">
        <is>
          <t>十亿美元</t>
        </is>
      </c>
      <c r="V6" s="25" t="inlineStr">
        <is>
          <t>十亿美元</t>
        </is>
      </c>
      <c r="W6" s="25" t="inlineStr">
        <is>
          <t>十亿美元</t>
        </is>
      </c>
      <c r="X6" s="25" t="inlineStr">
        <is>
          <t>%</t>
        </is>
      </c>
      <c r="Y6" s="25" t="inlineStr">
        <is>
          <t>十亿美元</t>
        </is>
      </c>
      <c r="Z6" s="25" t="inlineStr">
        <is>
          <t>十亿美元</t>
        </is>
      </c>
      <c r="AA6" s="25" t="inlineStr">
        <is>
          <t>十亿美元</t>
        </is>
      </c>
      <c r="AB6" s="25" t="inlineStr">
        <is>
          <t>十亿美元</t>
        </is>
      </c>
      <c r="AC6" s="25" t="inlineStr">
        <is>
          <t>十亿美元</t>
        </is>
      </c>
      <c r="AD6" s="25" t="inlineStr">
        <is>
          <t>十亿美元</t>
        </is>
      </c>
      <c r="AE6" s="25" t="inlineStr">
        <is>
          <t>十亿美元</t>
        </is>
      </c>
      <c r="AF6" s="25" t="inlineStr">
        <is>
          <t>十亿美元</t>
        </is>
      </c>
      <c r="AG6" s="25" t="inlineStr">
        <is>
          <t>十亿美元</t>
        </is>
      </c>
      <c r="AH6" s="25" t="inlineStr">
        <is>
          <t>十亿美元</t>
        </is>
      </c>
      <c r="AI6" s="25" t="inlineStr">
        <is>
          <t>十亿美元</t>
        </is>
      </c>
      <c r="AJ6" s="25" t="inlineStr">
        <is>
          <t>十亿美元</t>
        </is>
      </c>
      <c r="AK6" s="25" t="inlineStr">
        <is>
          <t>十亿美元</t>
        </is>
      </c>
      <c r="AL6" s="25" t="inlineStr">
        <is>
          <t>十亿美元</t>
        </is>
      </c>
      <c r="AM6" s="25" t="inlineStr">
        <is>
          <t>十亿美元</t>
        </is>
      </c>
      <c r="AN6" s="25" t="inlineStr">
        <is>
          <t>十亿美元</t>
        </is>
      </c>
      <c r="AO6" s="25" t="inlineStr">
        <is>
          <t>十亿美元</t>
        </is>
      </c>
      <c r="AP6" s="25" t="inlineStr">
        <is>
          <t>千片</t>
        </is>
      </c>
      <c r="AQ6" s="25" t="inlineStr">
        <is>
          <t>千片/季</t>
        </is>
      </c>
    </row>
    <row r="7" ht="19" customHeight="1">
      <c r="A7" s="26" t="n">
        <v>1</v>
      </c>
      <c r="B7" s="26" t="n">
        <v>0.8</v>
      </c>
      <c r="C7" s="26" t="n">
        <v>1.6</v>
      </c>
      <c r="D7" s="26" t="n">
        <v>240</v>
      </c>
      <c r="E7" s="26" t="n">
        <v>5</v>
      </c>
      <c r="F7" s="27" t="n">
        <v>0.8</v>
      </c>
      <c r="G7" s="27" t="n">
        <v>1</v>
      </c>
      <c r="H7" s="28" t="n">
        <v>1.5</v>
      </c>
      <c r="I7" s="28" t="n">
        <v>3</v>
      </c>
      <c r="J7" s="27" t="n">
        <v>0</v>
      </c>
      <c r="K7" s="28" t="n">
        <v>2</v>
      </c>
      <c r="L7" s="29" t="n">
        <v>240</v>
      </c>
      <c r="M7" s="29" t="n">
        <v>0</v>
      </c>
      <c r="N7" s="29" t="n">
        <v>240</v>
      </c>
      <c r="O7" s="29" t="n">
        <v>0</v>
      </c>
      <c r="P7" s="29" t="n">
        <v>17.5</v>
      </c>
      <c r="Q7" s="29" t="n">
        <v>300</v>
      </c>
      <c r="R7" s="28" t="n">
        <v>4.608</v>
      </c>
      <c r="S7" s="28" t="n">
        <v>4.608</v>
      </c>
      <c r="T7" s="28" t="n">
        <v>0</v>
      </c>
      <c r="U7" s="28" t="n">
        <v>4.128</v>
      </c>
      <c r="V7" s="28" t="n">
        <v>0</v>
      </c>
      <c r="W7" s="28" t="n">
        <v>0.48</v>
      </c>
      <c r="X7" s="27" t="n">
        <v>0.1042</v>
      </c>
      <c r="Y7" s="28" t="n">
        <v>3.8</v>
      </c>
      <c r="Z7" s="28" t="n">
        <v>0.25</v>
      </c>
      <c r="AA7" s="28" t="n">
        <v>-3.57</v>
      </c>
      <c r="AB7" s="28" t="n">
        <v>0.01</v>
      </c>
      <c r="AC7" s="28" t="n">
        <v>0</v>
      </c>
      <c r="AD7" s="28" t="n">
        <v>-3.58</v>
      </c>
      <c r="AE7" s="28" t="n">
        <v>-1.652</v>
      </c>
      <c r="AF7" s="28" t="n">
        <v>-1.5</v>
      </c>
      <c r="AG7" s="28" t="n">
        <v>2</v>
      </c>
      <c r="AH7" s="28" t="n">
        <v>2</v>
      </c>
      <c r="AI7" s="28" t="n">
        <v>8.848000000000001</v>
      </c>
      <c r="AJ7" s="28" t="n">
        <v>1.032</v>
      </c>
      <c r="AK7" s="28" t="n">
        <v>29.5</v>
      </c>
      <c r="AL7" s="28" t="n">
        <v>39.38</v>
      </c>
      <c r="AM7" s="28" t="n">
        <v>8</v>
      </c>
      <c r="AN7" s="28" t="n">
        <v>0</v>
      </c>
      <c r="AO7" s="28" t="n">
        <v>31.38</v>
      </c>
      <c r="AP7" s="29" t="n">
        <v>60</v>
      </c>
      <c r="AQ7" s="29" t="n">
        <v>300</v>
      </c>
    </row>
    <row r="8" ht="19" customHeight="1">
      <c r="A8" s="26" t="n">
        <v>2</v>
      </c>
      <c r="B8" s="26" t="n">
        <v>0.5600000000000001</v>
      </c>
      <c r="C8" s="26" t="n">
        <v>1.4</v>
      </c>
      <c r="D8" s="26" t="n">
        <v>210</v>
      </c>
      <c r="E8" s="26" t="n">
        <v>5</v>
      </c>
      <c r="F8" s="27" t="n">
        <v>1</v>
      </c>
      <c r="G8" s="27" t="n">
        <v>1</v>
      </c>
      <c r="H8" s="28" t="n">
        <v>2.5</v>
      </c>
      <c r="I8" s="28" t="n">
        <v>0</v>
      </c>
      <c r="J8" s="27" t="n">
        <v>0</v>
      </c>
      <c r="K8" s="28" t="n">
        <v>4</v>
      </c>
      <c r="L8" s="29" t="n">
        <v>300</v>
      </c>
      <c r="M8" s="29" t="n">
        <v>0</v>
      </c>
      <c r="N8" s="29" t="n">
        <v>210</v>
      </c>
      <c r="O8" s="29" t="n">
        <v>0</v>
      </c>
      <c r="P8" s="29" t="n">
        <v>15</v>
      </c>
      <c r="Q8" s="29" t="n">
        <v>300</v>
      </c>
      <c r="R8" s="28" t="n">
        <v>2.8224</v>
      </c>
      <c r="S8" s="28" t="n">
        <v>2.8224</v>
      </c>
      <c r="T8" s="28" t="n">
        <v>0</v>
      </c>
      <c r="U8" s="28" t="n">
        <v>3.6168</v>
      </c>
      <c r="V8" s="28" t="n">
        <v>0.3898</v>
      </c>
      <c r="W8" s="28" t="n">
        <v>-0.7944</v>
      </c>
      <c r="X8" s="27" t="n">
        <v>-0.2815</v>
      </c>
      <c r="Y8" s="28" t="n">
        <v>0.8</v>
      </c>
      <c r="Z8" s="28" t="n">
        <v>0.25</v>
      </c>
      <c r="AA8" s="28" t="n">
        <v>-1.8444</v>
      </c>
      <c r="AB8" s="28" t="n">
        <v>0.0492</v>
      </c>
      <c r="AC8" s="28" t="n">
        <v>0</v>
      </c>
      <c r="AD8" s="28" t="n">
        <v>-1.8936</v>
      </c>
      <c r="AE8" s="28" t="n">
        <v>-0.7768</v>
      </c>
      <c r="AF8" s="28" t="n">
        <v>-2.5</v>
      </c>
      <c r="AG8" s="28" t="n">
        <v>4</v>
      </c>
      <c r="AH8" s="28" t="n">
        <v>2</v>
      </c>
      <c r="AI8" s="28" t="n">
        <v>9.571199999999999</v>
      </c>
      <c r="AJ8" s="28" t="n">
        <v>1.9152</v>
      </c>
      <c r="AK8" s="28" t="n">
        <v>30</v>
      </c>
      <c r="AL8" s="28" t="n">
        <v>41.4864</v>
      </c>
      <c r="AM8" s="28" t="n">
        <v>12</v>
      </c>
      <c r="AN8" s="28" t="n">
        <v>0</v>
      </c>
      <c r="AO8" s="28" t="n">
        <v>29.4864</v>
      </c>
      <c r="AP8" s="29" t="n">
        <v>150</v>
      </c>
      <c r="AQ8" s="29" t="n">
        <v>300</v>
      </c>
    </row>
    <row r="9" ht="19" customHeight="1">
      <c r="A9" s="26" t="n">
        <v>3</v>
      </c>
      <c r="B9" s="26" t="n">
        <v>0.5</v>
      </c>
      <c r="C9" s="26" t="n">
        <v>1.3</v>
      </c>
      <c r="D9" s="26" t="n">
        <v>205</v>
      </c>
      <c r="E9" s="26" t="n">
        <v>6</v>
      </c>
      <c r="F9" s="27" t="n">
        <v>1</v>
      </c>
      <c r="G9" s="27" t="n">
        <v>1</v>
      </c>
      <c r="H9" s="28" t="n">
        <v>3</v>
      </c>
      <c r="I9" s="28" t="n">
        <v>0</v>
      </c>
      <c r="J9" s="27" t="n">
        <v>0</v>
      </c>
      <c r="K9" s="28" t="n">
        <v>3</v>
      </c>
      <c r="L9" s="29" t="n">
        <v>300</v>
      </c>
      <c r="M9" s="29" t="n">
        <v>0</v>
      </c>
      <c r="N9" s="29" t="n">
        <v>205</v>
      </c>
      <c r="O9" s="29" t="n">
        <v>0</v>
      </c>
      <c r="P9" s="29" t="n">
        <v>15</v>
      </c>
      <c r="Q9" s="29" t="n">
        <v>300</v>
      </c>
      <c r="R9" s="28" t="n">
        <v>2.46</v>
      </c>
      <c r="S9" s="28" t="n">
        <v>2.46</v>
      </c>
      <c r="T9" s="28" t="n">
        <v>0</v>
      </c>
      <c r="U9" s="28" t="n">
        <v>3.6222</v>
      </c>
      <c r="V9" s="28" t="n">
        <v>0.6997</v>
      </c>
      <c r="W9" s="28" t="n">
        <v>-1.1622</v>
      </c>
      <c r="X9" s="27" t="n">
        <v>-0.4724</v>
      </c>
      <c r="Y9" s="28" t="n">
        <v>0.8</v>
      </c>
      <c r="Z9" s="28" t="n">
        <v>0.25</v>
      </c>
      <c r="AA9" s="28" t="n">
        <v>-2.2122</v>
      </c>
      <c r="AB9" s="28" t="n">
        <v>0.1034</v>
      </c>
      <c r="AC9" s="28" t="n">
        <v>0</v>
      </c>
      <c r="AD9" s="28" t="n">
        <v>-2.3156</v>
      </c>
      <c r="AE9" s="28" t="n">
        <v>-1.1934</v>
      </c>
      <c r="AF9" s="28" t="n">
        <v>-3</v>
      </c>
      <c r="AG9" s="28" t="n">
        <v>3</v>
      </c>
      <c r="AH9" s="28" t="n">
        <v>2</v>
      </c>
      <c r="AI9" s="28" t="n">
        <v>8.377800000000001</v>
      </c>
      <c r="AJ9" s="28" t="n">
        <v>2.793</v>
      </c>
      <c r="AK9" s="28" t="n">
        <v>31</v>
      </c>
      <c r="AL9" s="28" t="n">
        <v>42.1708</v>
      </c>
      <c r="AM9" s="28" t="n">
        <v>15</v>
      </c>
      <c r="AN9" s="28" t="n">
        <v>0</v>
      </c>
      <c r="AO9" s="28" t="n">
        <v>27.1708</v>
      </c>
      <c r="AP9" s="29" t="n">
        <v>245</v>
      </c>
      <c r="AQ9" s="29" t="n">
        <v>300</v>
      </c>
    </row>
    <row r="10" ht="19" customHeight="1">
      <c r="A10" s="26" t="n">
        <v>4</v>
      </c>
      <c r="B10" s="26" t="n">
        <v>0.53</v>
      </c>
      <c r="C10" s="26" t="n">
        <v>1.4</v>
      </c>
      <c r="D10" s="26" t="n">
        <v>215</v>
      </c>
      <c r="E10" s="26" t="n">
        <v>8</v>
      </c>
      <c r="F10" s="27" t="n">
        <v>1</v>
      </c>
      <c r="G10" s="27" t="n">
        <v>1</v>
      </c>
      <c r="H10" s="28" t="n">
        <v>1.5</v>
      </c>
      <c r="I10" s="28" t="n">
        <v>0</v>
      </c>
      <c r="J10" s="27" t="n">
        <v>0.02</v>
      </c>
      <c r="K10" s="28" t="n">
        <v>1</v>
      </c>
      <c r="L10" s="29" t="n">
        <v>300</v>
      </c>
      <c r="M10" s="29" t="n">
        <v>6</v>
      </c>
      <c r="N10" s="29" t="n">
        <v>215</v>
      </c>
      <c r="O10" s="29" t="n">
        <v>6</v>
      </c>
      <c r="P10" s="29" t="n">
        <v>15</v>
      </c>
      <c r="Q10" s="29" t="n">
        <v>300</v>
      </c>
      <c r="R10" s="28" t="n">
        <v>2.9364</v>
      </c>
      <c r="S10" s="28" t="n">
        <v>2.7348</v>
      </c>
      <c r="T10" s="28" t="n">
        <v>0.2016</v>
      </c>
      <c r="U10" s="28" t="n">
        <v>3.3778</v>
      </c>
      <c r="V10" s="28" t="n">
        <v>0.4146</v>
      </c>
      <c r="W10" s="28" t="n">
        <v>-0.4414</v>
      </c>
      <c r="X10" s="27" t="n">
        <v>-0.1503</v>
      </c>
      <c r="Y10" s="28" t="n">
        <v>0.8</v>
      </c>
      <c r="Z10" s="28" t="n">
        <v>0.25</v>
      </c>
      <c r="AA10" s="28" t="n">
        <v>-1.4914</v>
      </c>
      <c r="AB10" s="28" t="n">
        <v>0.158</v>
      </c>
      <c r="AC10" s="28" t="n">
        <v>0</v>
      </c>
      <c r="AD10" s="28" t="n">
        <v>-1.6494</v>
      </c>
      <c r="AE10" s="28" t="n">
        <v>-0.7716</v>
      </c>
      <c r="AF10" s="28" t="n">
        <v>-1.5</v>
      </c>
      <c r="AG10" s="28" t="n">
        <v>1</v>
      </c>
      <c r="AH10" s="28" t="n">
        <v>2</v>
      </c>
      <c r="AI10" s="28" t="n">
        <v>7.1062</v>
      </c>
      <c r="AJ10" s="28" t="n">
        <v>3.9152</v>
      </c>
      <c r="AK10" s="28" t="n">
        <v>30.5</v>
      </c>
      <c r="AL10" s="28" t="n">
        <v>41.5214</v>
      </c>
      <c r="AM10" s="28" t="n">
        <v>16</v>
      </c>
      <c r="AN10" s="28" t="n">
        <v>0</v>
      </c>
      <c r="AO10" s="28" t="n">
        <v>25.5214</v>
      </c>
      <c r="AP10" s="29" t="n">
        <v>324</v>
      </c>
      <c r="AQ10" s="29" t="n">
        <v>300</v>
      </c>
    </row>
    <row r="11" ht="19" customHeight="1">
      <c r="A11" s="26" t="n">
        <v>5</v>
      </c>
      <c r="B11" s="26" t="n">
        <v>0.6</v>
      </c>
      <c r="C11" s="26" t="n">
        <v>1.6</v>
      </c>
      <c r="D11" s="26" t="n">
        <v>235</v>
      </c>
      <c r="E11" s="26" t="n">
        <v>12</v>
      </c>
      <c r="F11" s="27" t="n">
        <v>1</v>
      </c>
      <c r="G11" s="27" t="n">
        <v>1</v>
      </c>
      <c r="H11" s="28" t="n">
        <v>3.5</v>
      </c>
      <c r="I11" s="28" t="n">
        <v>0</v>
      </c>
      <c r="J11" s="27" t="n">
        <v>0.0333</v>
      </c>
      <c r="K11" s="28" t="n">
        <v>0</v>
      </c>
      <c r="L11" s="29" t="n">
        <v>300</v>
      </c>
      <c r="M11" s="29" t="n">
        <v>9.99</v>
      </c>
      <c r="N11" s="29" t="n">
        <v>235</v>
      </c>
      <c r="O11" s="29" t="n">
        <v>9.99</v>
      </c>
      <c r="P11" s="29" t="n">
        <v>15.25</v>
      </c>
      <c r="Q11" s="29" t="n">
        <v>300</v>
      </c>
      <c r="R11" s="28" t="n">
        <v>3.7676</v>
      </c>
      <c r="S11" s="28" t="n">
        <v>3.384</v>
      </c>
      <c r="T11" s="28" t="n">
        <v>0.3836</v>
      </c>
      <c r="U11" s="28" t="n">
        <v>3.3435</v>
      </c>
      <c r="V11" s="28" t="n">
        <v>0</v>
      </c>
      <c r="W11" s="28" t="n">
        <v>0.4241</v>
      </c>
      <c r="X11" s="27" t="n">
        <v>0.1126</v>
      </c>
      <c r="Y11" s="28" t="n">
        <v>0.8</v>
      </c>
      <c r="Z11" s="28" t="n">
        <v>0.25</v>
      </c>
      <c r="AA11" s="28" t="n">
        <v>-0.6259</v>
      </c>
      <c r="AB11" s="28" t="n">
        <v>0.1832</v>
      </c>
      <c r="AC11" s="28" t="n">
        <v>0</v>
      </c>
      <c r="AD11" s="28" t="n">
        <v>-0.8090000000000001</v>
      </c>
      <c r="AE11" s="28" t="n">
        <v>0.0345</v>
      </c>
      <c r="AF11" s="28" t="n">
        <v>-3.5</v>
      </c>
      <c r="AG11" s="28" t="n">
        <v>0</v>
      </c>
      <c r="AH11" s="28" t="n">
        <v>2.075</v>
      </c>
      <c r="AI11" s="28" t="n">
        <v>3.6406</v>
      </c>
      <c r="AJ11" s="28" t="n">
        <v>5.1467</v>
      </c>
      <c r="AK11" s="28" t="n">
        <v>31.925</v>
      </c>
      <c r="AL11" s="28" t="n">
        <v>40.7124</v>
      </c>
      <c r="AM11" s="28" t="n">
        <v>16</v>
      </c>
      <c r="AN11" s="28" t="n">
        <v>0</v>
      </c>
      <c r="AO11" s="28" t="n">
        <v>24.7124</v>
      </c>
      <c r="AP11" s="29" t="n">
        <v>379.01</v>
      </c>
      <c r="AQ11" s="29" t="n">
        <v>300</v>
      </c>
    </row>
    <row r="12" ht="19" customHeight="1">
      <c r="A12" s="26" t="n">
        <v>6</v>
      </c>
      <c r="B12" s="26" t="n">
        <v>0.72</v>
      </c>
      <c r="C12" s="26" t="n">
        <v>1.9</v>
      </c>
      <c r="D12" s="26" t="n">
        <v>260</v>
      </c>
      <c r="E12" s="26" t="n">
        <v>18</v>
      </c>
      <c r="F12" s="27" t="n">
        <v>1</v>
      </c>
      <c r="G12" s="27" t="n">
        <v>1</v>
      </c>
      <c r="H12" s="28" t="n">
        <v>3</v>
      </c>
      <c r="I12" s="28" t="n">
        <v>0</v>
      </c>
      <c r="J12" s="27" t="n">
        <v>0.058</v>
      </c>
      <c r="K12" s="28" t="n">
        <v>0</v>
      </c>
      <c r="L12" s="29" t="n">
        <v>308.33</v>
      </c>
      <c r="M12" s="29" t="n">
        <v>17.88</v>
      </c>
      <c r="N12" s="29" t="n">
        <v>260</v>
      </c>
      <c r="O12" s="29" t="n">
        <v>17.88</v>
      </c>
      <c r="P12" s="29" t="n">
        <v>15.378</v>
      </c>
      <c r="Q12" s="29" t="n">
        <v>308.33</v>
      </c>
      <c r="R12" s="28" t="n">
        <v>5.3083</v>
      </c>
      <c r="S12" s="28" t="n">
        <v>4.4928</v>
      </c>
      <c r="T12" s="28" t="n">
        <v>0.8155</v>
      </c>
      <c r="U12" s="28" t="n">
        <v>4.0086</v>
      </c>
      <c r="V12" s="28" t="n">
        <v>0</v>
      </c>
      <c r="W12" s="28" t="n">
        <v>1.2997</v>
      </c>
      <c r="X12" s="27" t="n">
        <v>0.2448</v>
      </c>
      <c r="Y12" s="28" t="n">
        <v>0.8</v>
      </c>
      <c r="Z12" s="28" t="n">
        <v>0.25</v>
      </c>
      <c r="AA12" s="28" t="n">
        <v>0.2497</v>
      </c>
      <c r="AB12" s="28" t="n">
        <v>0.2109</v>
      </c>
      <c r="AC12" s="28" t="n">
        <v>0.0058</v>
      </c>
      <c r="AD12" s="28" t="n">
        <v>0.033</v>
      </c>
      <c r="AE12" s="28" t="n">
        <v>1.4999</v>
      </c>
      <c r="AF12" s="28" t="n">
        <v>-3</v>
      </c>
      <c r="AG12" s="28" t="n">
        <v>0</v>
      </c>
      <c r="AH12" s="28" t="n">
        <v>2.2</v>
      </c>
      <c r="AI12" s="28" t="n">
        <v>2.1406</v>
      </c>
      <c r="AJ12" s="28" t="n">
        <v>5.8798</v>
      </c>
      <c r="AK12" s="28" t="n">
        <v>32.725</v>
      </c>
      <c r="AL12" s="28" t="n">
        <v>40.7454</v>
      </c>
      <c r="AM12" s="28" t="n">
        <v>16</v>
      </c>
      <c r="AN12" s="28" t="n">
        <v>0</v>
      </c>
      <c r="AO12" s="28" t="n">
        <v>24.7454</v>
      </c>
      <c r="AP12" s="29" t="n">
        <v>409.46</v>
      </c>
      <c r="AQ12" s="29" t="n">
        <v>308.33</v>
      </c>
    </row>
    <row r="13" ht="19" customHeight="1">
      <c r="A13" s="26" t="n">
        <v>7</v>
      </c>
      <c r="B13" s="26" t="n">
        <v>0.83</v>
      </c>
      <c r="C13" s="26" t="n">
        <v>2.3</v>
      </c>
      <c r="D13" s="26" t="n">
        <v>285</v>
      </c>
      <c r="E13" s="26" t="n">
        <v>26</v>
      </c>
      <c r="F13" s="27" t="n">
        <v>1</v>
      </c>
      <c r="G13" s="27" t="n">
        <v>1</v>
      </c>
      <c r="H13" s="28" t="n">
        <v>3</v>
      </c>
      <c r="I13" s="28" t="n">
        <v>0</v>
      </c>
      <c r="J13" s="27" t="n">
        <v>0.08500000000000001</v>
      </c>
      <c r="K13" s="28" t="n">
        <v>0</v>
      </c>
      <c r="L13" s="29" t="n">
        <v>320.83</v>
      </c>
      <c r="M13" s="29" t="n">
        <v>27.27</v>
      </c>
      <c r="N13" s="29" t="n">
        <v>285</v>
      </c>
      <c r="O13" s="29" t="n">
        <v>26</v>
      </c>
      <c r="P13" s="29" t="n">
        <v>15.442</v>
      </c>
      <c r="Q13" s="29" t="n">
        <v>320.83</v>
      </c>
      <c r="R13" s="28" t="n">
        <v>7.1124</v>
      </c>
      <c r="S13" s="28" t="n">
        <v>5.6772</v>
      </c>
      <c r="T13" s="28" t="n">
        <v>1.4352</v>
      </c>
      <c r="U13" s="28" t="n">
        <v>4.6424</v>
      </c>
      <c r="V13" s="28" t="n">
        <v>0</v>
      </c>
      <c r="W13" s="28" t="n">
        <v>2.47</v>
      </c>
      <c r="X13" s="27" t="n">
        <v>0.3473</v>
      </c>
      <c r="Y13" s="28" t="n">
        <v>0.8</v>
      </c>
      <c r="Z13" s="28" t="n">
        <v>0.25</v>
      </c>
      <c r="AA13" s="28" t="n">
        <v>1.42</v>
      </c>
      <c r="AB13" s="28" t="n">
        <v>0.2229</v>
      </c>
      <c r="AC13" s="28" t="n">
        <v>0.1796</v>
      </c>
      <c r="AD13" s="28" t="n">
        <v>1.0176</v>
      </c>
      <c r="AE13" s="28" t="n">
        <v>3.0558</v>
      </c>
      <c r="AF13" s="28" t="n">
        <v>-3</v>
      </c>
      <c r="AG13" s="28" t="n">
        <v>0</v>
      </c>
      <c r="AH13" s="28" t="n">
        <v>2.35</v>
      </c>
      <c r="AI13" s="28" t="n">
        <v>2.1963</v>
      </c>
      <c r="AJ13" s="28" t="n">
        <v>6.1916</v>
      </c>
      <c r="AK13" s="28" t="n">
        <v>33.375</v>
      </c>
      <c r="AL13" s="28" t="n">
        <v>41.7629</v>
      </c>
      <c r="AM13" s="28" t="n">
        <v>16</v>
      </c>
      <c r="AN13" s="28" t="n">
        <v>0</v>
      </c>
      <c r="AO13" s="28" t="n">
        <v>25.7629</v>
      </c>
      <c r="AP13" s="29" t="n">
        <v>418.02</v>
      </c>
      <c r="AQ13" s="29" t="n">
        <v>320.83</v>
      </c>
    </row>
    <row r="14" ht="19" customHeight="1">
      <c r="A14" s="26" t="n">
        <v>8</v>
      </c>
      <c r="B14" s="26" t="n">
        <v>0.92</v>
      </c>
      <c r="C14" s="26" t="n">
        <v>2.8</v>
      </c>
      <c r="D14" s="26" t="n">
        <v>305</v>
      </c>
      <c r="E14" s="26" t="n">
        <v>36</v>
      </c>
      <c r="F14" s="27" t="n">
        <v>1</v>
      </c>
      <c r="G14" s="27" t="n">
        <v>1</v>
      </c>
      <c r="H14" s="28" t="n">
        <v>5</v>
      </c>
      <c r="I14" s="28" t="n">
        <v>0</v>
      </c>
      <c r="J14" s="27" t="n">
        <v>0.11</v>
      </c>
      <c r="K14" s="28" t="n">
        <v>0</v>
      </c>
      <c r="L14" s="29" t="n">
        <v>320.83</v>
      </c>
      <c r="M14" s="29" t="n">
        <v>35.29</v>
      </c>
      <c r="N14" s="29" t="n">
        <v>305</v>
      </c>
      <c r="O14" s="29" t="n">
        <v>35.29</v>
      </c>
      <c r="P14" s="29" t="n">
        <v>15.675</v>
      </c>
      <c r="Q14" s="29" t="n">
        <v>320.83</v>
      </c>
      <c r="R14" s="28" t="n">
        <v>9.106</v>
      </c>
      <c r="S14" s="28" t="n">
        <v>6.7344</v>
      </c>
      <c r="T14" s="28" t="n">
        <v>2.3716</v>
      </c>
      <c r="U14" s="28" t="n">
        <v>5.1777</v>
      </c>
      <c r="V14" s="28" t="n">
        <v>0</v>
      </c>
      <c r="W14" s="28" t="n">
        <v>3.9283</v>
      </c>
      <c r="X14" s="27" t="n">
        <v>0.4314</v>
      </c>
      <c r="Y14" s="28" t="n">
        <v>0.8</v>
      </c>
      <c r="Z14" s="28" t="n">
        <v>0.25</v>
      </c>
      <c r="AA14" s="28" t="n">
        <v>2.8783</v>
      </c>
      <c r="AB14" s="28" t="n">
        <v>0.2224</v>
      </c>
      <c r="AC14" s="28" t="n">
        <v>0.3984</v>
      </c>
      <c r="AD14" s="28" t="n">
        <v>2.2575</v>
      </c>
      <c r="AE14" s="28" t="n">
        <v>4.831</v>
      </c>
      <c r="AF14" s="28" t="n">
        <v>-5</v>
      </c>
      <c r="AG14" s="28" t="n">
        <v>0</v>
      </c>
      <c r="AH14" s="28" t="n">
        <v>2.425</v>
      </c>
      <c r="AI14" s="28" t="n">
        <v>2.0274</v>
      </c>
      <c r="AJ14" s="28" t="n">
        <v>6.0431</v>
      </c>
      <c r="AK14" s="28" t="n">
        <v>35.95</v>
      </c>
      <c r="AL14" s="28" t="n">
        <v>44.0204</v>
      </c>
      <c r="AM14" s="28" t="n">
        <v>16</v>
      </c>
      <c r="AN14" s="28" t="n">
        <v>0</v>
      </c>
      <c r="AO14" s="28" t="n">
        <v>28.0204</v>
      </c>
      <c r="AP14" s="29" t="n">
        <v>398.56</v>
      </c>
      <c r="AQ14" s="29" t="n">
        <v>320.83</v>
      </c>
    </row>
    <row r="15" ht="19" customHeight="1">
      <c r="A15" s="26" t="n">
        <v>9</v>
      </c>
      <c r="B15" s="26" t="n">
        <v>1</v>
      </c>
      <c r="C15" s="26" t="n">
        <v>3.4</v>
      </c>
      <c r="D15" s="26" t="n">
        <v>320</v>
      </c>
      <c r="E15" s="26" t="n">
        <v>48</v>
      </c>
      <c r="F15" s="27" t="n">
        <v>1</v>
      </c>
      <c r="G15" s="27" t="n">
        <v>1</v>
      </c>
      <c r="H15" s="28" t="n">
        <v>4.5</v>
      </c>
      <c r="I15" s="28" t="n">
        <v>0</v>
      </c>
      <c r="J15" s="27" t="n">
        <v>0.142</v>
      </c>
      <c r="K15" s="28" t="n">
        <v>0</v>
      </c>
      <c r="L15" s="29" t="n">
        <v>337.5</v>
      </c>
      <c r="M15" s="29" t="n">
        <v>47.92</v>
      </c>
      <c r="N15" s="29" t="n">
        <v>320</v>
      </c>
      <c r="O15" s="29" t="n">
        <v>47.92</v>
      </c>
      <c r="P15" s="29" t="n">
        <v>15.667</v>
      </c>
      <c r="Q15" s="29" t="n">
        <v>337.5</v>
      </c>
      <c r="R15" s="28" t="n">
        <v>11.5907</v>
      </c>
      <c r="S15" s="28" t="n">
        <v>7.68</v>
      </c>
      <c r="T15" s="28" t="n">
        <v>3.9107</v>
      </c>
      <c r="U15" s="28" t="n">
        <v>5.6706</v>
      </c>
      <c r="V15" s="28" t="n">
        <v>0</v>
      </c>
      <c r="W15" s="28" t="n">
        <v>5.92</v>
      </c>
      <c r="X15" s="27" t="n">
        <v>0.5108</v>
      </c>
      <c r="Y15" s="28" t="n">
        <v>0.8</v>
      </c>
      <c r="Z15" s="28" t="n">
        <v>0.25</v>
      </c>
      <c r="AA15" s="28" t="n">
        <v>4.87</v>
      </c>
      <c r="AB15" s="28" t="n">
        <v>0.2238</v>
      </c>
      <c r="AC15" s="28" t="n">
        <v>0.6969</v>
      </c>
      <c r="AD15" s="28" t="n">
        <v>3.9493</v>
      </c>
      <c r="AE15" s="28" t="n">
        <v>6.9325</v>
      </c>
      <c r="AF15" s="28" t="n">
        <v>-4.5</v>
      </c>
      <c r="AG15" s="28" t="n">
        <v>0</v>
      </c>
      <c r="AH15" s="28" t="n">
        <v>2.6</v>
      </c>
      <c r="AI15" s="28" t="n">
        <v>4.4598</v>
      </c>
      <c r="AJ15" s="28" t="n">
        <v>5.6599</v>
      </c>
      <c r="AK15" s="28" t="n">
        <v>37.85</v>
      </c>
      <c r="AL15" s="28" t="n">
        <v>47.9698</v>
      </c>
      <c r="AM15" s="28" t="n">
        <v>16</v>
      </c>
      <c r="AN15" s="28" t="n">
        <v>0</v>
      </c>
      <c r="AO15" s="28" t="n">
        <v>31.9698</v>
      </c>
      <c r="AP15" s="29" t="n">
        <v>368.14</v>
      </c>
      <c r="AQ15" s="29" t="n">
        <v>337.5</v>
      </c>
    </row>
    <row r="16" ht="19" customHeight="1">
      <c r="A16" s="26" t="n">
        <v>10</v>
      </c>
      <c r="B16" s="26" t="n">
        <v>0.97</v>
      </c>
      <c r="C16" s="26" t="n">
        <v>4</v>
      </c>
      <c r="D16" s="26" t="n">
        <v>320</v>
      </c>
      <c r="E16" s="26" t="n">
        <v>60</v>
      </c>
      <c r="F16" s="27" t="n">
        <v>1</v>
      </c>
      <c r="G16" s="27" t="n">
        <v>1</v>
      </c>
      <c r="H16" s="28" t="n">
        <v>1.5</v>
      </c>
      <c r="I16" s="28" t="n">
        <v>0</v>
      </c>
      <c r="J16" s="27" t="n">
        <v>0.172</v>
      </c>
      <c r="K16" s="28" t="n">
        <v>-2</v>
      </c>
      <c r="L16" s="29" t="n">
        <v>350</v>
      </c>
      <c r="M16" s="29" t="n">
        <v>60.2</v>
      </c>
      <c r="N16" s="29" t="n">
        <v>320</v>
      </c>
      <c r="O16" s="29" t="n">
        <v>60</v>
      </c>
      <c r="P16" s="29" t="n">
        <v>15.714</v>
      </c>
      <c r="Q16" s="29" t="n">
        <v>350</v>
      </c>
      <c r="R16" s="28" t="n">
        <v>13.2096</v>
      </c>
      <c r="S16" s="28" t="n">
        <v>7.4496</v>
      </c>
      <c r="T16" s="28" t="n">
        <v>5.76</v>
      </c>
      <c r="U16" s="28" t="n">
        <v>5.9137</v>
      </c>
      <c r="V16" s="28" t="n">
        <v>0</v>
      </c>
      <c r="W16" s="28" t="n">
        <v>7.2959</v>
      </c>
      <c r="X16" s="27" t="n">
        <v>0.5523</v>
      </c>
      <c r="Y16" s="28" t="n">
        <v>0.8</v>
      </c>
      <c r="Z16" s="28" t="n">
        <v>0.25</v>
      </c>
      <c r="AA16" s="28" t="n">
        <v>6.2459</v>
      </c>
      <c r="AB16" s="28" t="n">
        <v>0.2043</v>
      </c>
      <c r="AC16" s="28" t="n">
        <v>0.9062</v>
      </c>
      <c r="AD16" s="28" t="n">
        <v>5.1353</v>
      </c>
      <c r="AE16" s="28" t="n">
        <v>8.298999999999999</v>
      </c>
      <c r="AF16" s="28" t="n">
        <v>-1.5</v>
      </c>
      <c r="AG16" s="28" t="n">
        <v>-2</v>
      </c>
      <c r="AH16" s="28" t="n">
        <v>2.75</v>
      </c>
      <c r="AI16" s="28" t="n">
        <v>9.258900000000001</v>
      </c>
      <c r="AJ16" s="28" t="n">
        <v>5.2462</v>
      </c>
      <c r="AK16" s="28" t="n">
        <v>36.6</v>
      </c>
      <c r="AL16" s="28" t="n">
        <v>51.1051</v>
      </c>
      <c r="AM16" s="28" t="n">
        <v>14</v>
      </c>
      <c r="AN16" s="28" t="n">
        <v>0</v>
      </c>
      <c r="AO16" s="28" t="n">
        <v>37.1051</v>
      </c>
      <c r="AP16" s="29" t="n">
        <v>337.94</v>
      </c>
      <c r="AQ16" s="29" t="n">
        <v>350</v>
      </c>
    </row>
    <row r="17" ht="19" customHeight="1">
      <c r="A17" s="26" t="n">
        <v>11</v>
      </c>
      <c r="B17" s="26" t="n">
        <v>1.06</v>
      </c>
      <c r="C17" s="26" t="n">
        <v>4.6</v>
      </c>
      <c r="D17" s="26" t="n">
        <v>340</v>
      </c>
      <c r="E17" s="26" t="n">
        <v>74</v>
      </c>
      <c r="F17" s="27" t="n">
        <v>1</v>
      </c>
      <c r="G17" s="27" t="n">
        <v>1</v>
      </c>
      <c r="H17" s="28" t="n">
        <v>4</v>
      </c>
      <c r="I17" s="28" t="n">
        <v>0</v>
      </c>
      <c r="J17" s="27" t="n">
        <v>0.221</v>
      </c>
      <c r="K17" s="28" t="n">
        <v>0</v>
      </c>
      <c r="L17" s="29" t="n">
        <v>362.5</v>
      </c>
      <c r="M17" s="29" t="n">
        <v>80.11</v>
      </c>
      <c r="N17" s="29" t="n">
        <v>340</v>
      </c>
      <c r="O17" s="29" t="n">
        <v>74</v>
      </c>
      <c r="P17" s="29" t="n">
        <v>15.759</v>
      </c>
      <c r="Q17" s="29" t="n">
        <v>362.5</v>
      </c>
      <c r="R17" s="28" t="n">
        <v>16.8192</v>
      </c>
      <c r="S17" s="28" t="n">
        <v>8.6496</v>
      </c>
      <c r="T17" s="28" t="n">
        <v>8.169600000000001</v>
      </c>
      <c r="U17" s="28" t="n">
        <v>6.577</v>
      </c>
      <c r="V17" s="28" t="n">
        <v>0</v>
      </c>
      <c r="W17" s="28" t="n">
        <v>10.2422</v>
      </c>
      <c r="X17" s="27" t="n">
        <v>0.609</v>
      </c>
      <c r="Y17" s="28" t="n">
        <v>0.8</v>
      </c>
      <c r="Z17" s="28" t="n">
        <v>0.25</v>
      </c>
      <c r="AA17" s="28" t="n">
        <v>9.1922</v>
      </c>
      <c r="AB17" s="28" t="n">
        <v>0.1359</v>
      </c>
      <c r="AC17" s="28" t="n">
        <v>1.3584</v>
      </c>
      <c r="AD17" s="28" t="n">
        <v>7.6979</v>
      </c>
      <c r="AE17" s="28" t="n">
        <v>11.4623</v>
      </c>
      <c r="AF17" s="28" t="n">
        <v>-4</v>
      </c>
      <c r="AG17" s="28" t="n">
        <v>0</v>
      </c>
      <c r="AH17" s="28" t="n">
        <v>2.9</v>
      </c>
      <c r="AI17" s="28" t="n">
        <v>16.7212</v>
      </c>
      <c r="AJ17" s="28" t="n">
        <v>4.3818</v>
      </c>
      <c r="AK17" s="28" t="n">
        <v>37.7</v>
      </c>
      <c r="AL17" s="28" t="n">
        <v>58.8029</v>
      </c>
      <c r="AM17" s="28" t="n">
        <v>14</v>
      </c>
      <c r="AN17" s="28" t="n">
        <v>0</v>
      </c>
      <c r="AO17" s="28" t="n">
        <v>44.8029</v>
      </c>
      <c r="AP17" s="29" t="n">
        <v>280.33</v>
      </c>
      <c r="AQ17" s="29" t="n">
        <v>362.5</v>
      </c>
    </row>
    <row r="18" ht="19" customHeight="1">
      <c r="A18" s="26" t="n">
        <v>12</v>
      </c>
      <c r="B18" s="26" t="n">
        <v>1.28</v>
      </c>
      <c r="C18" s="26" t="n">
        <v>5.4</v>
      </c>
      <c r="D18" s="26" t="n">
        <v>365</v>
      </c>
      <c r="E18" s="26" t="n">
        <v>90</v>
      </c>
      <c r="F18" s="27" t="n">
        <v>1</v>
      </c>
      <c r="G18" s="27" t="n">
        <v>1</v>
      </c>
      <c r="H18" s="28" t="n">
        <v>1.5</v>
      </c>
      <c r="I18" s="28" t="n">
        <v>0</v>
      </c>
      <c r="J18" s="27" t="n">
        <v>0.245</v>
      </c>
      <c r="K18" s="28" t="n">
        <v>-5</v>
      </c>
      <c r="L18" s="29" t="n">
        <v>391.67</v>
      </c>
      <c r="M18" s="29" t="n">
        <v>95.95999999999999</v>
      </c>
      <c r="N18" s="29" t="n">
        <v>365</v>
      </c>
      <c r="O18" s="29" t="n">
        <v>90</v>
      </c>
      <c r="P18" s="29" t="n">
        <v>15.596</v>
      </c>
      <c r="Q18" s="29" t="n">
        <v>391.67</v>
      </c>
      <c r="R18" s="28" t="n">
        <v>22.8768</v>
      </c>
      <c r="S18" s="28" t="n">
        <v>11.2128</v>
      </c>
      <c r="T18" s="28" t="n">
        <v>11.664</v>
      </c>
      <c r="U18" s="28" t="n">
        <v>7.1952</v>
      </c>
      <c r="V18" s="28" t="n">
        <v>0</v>
      </c>
      <c r="W18" s="28" t="n">
        <v>15.6816</v>
      </c>
      <c r="X18" s="27" t="n">
        <v>0.6855</v>
      </c>
      <c r="Y18" s="28" t="n">
        <v>0.8</v>
      </c>
      <c r="Z18" s="28" t="n">
        <v>0.25</v>
      </c>
      <c r="AA18" s="28" t="n">
        <v>14.6316</v>
      </c>
      <c r="AB18" s="28" t="n">
        <v>0.0762</v>
      </c>
      <c r="AC18" s="28" t="n">
        <v>2.1833</v>
      </c>
      <c r="AD18" s="28" t="n">
        <v>12.372</v>
      </c>
      <c r="AE18" s="28" t="n">
        <v>16.6089</v>
      </c>
      <c r="AF18" s="28" t="n">
        <v>-1.5</v>
      </c>
      <c r="AG18" s="28" t="n">
        <v>-5</v>
      </c>
      <c r="AH18" s="28" t="n">
        <v>3.15</v>
      </c>
      <c r="AI18" s="28" t="n">
        <v>26.8301</v>
      </c>
      <c r="AJ18" s="28" t="n">
        <v>3.2949</v>
      </c>
      <c r="AK18" s="28" t="n">
        <v>36.05</v>
      </c>
      <c r="AL18" s="28" t="n">
        <v>66.175</v>
      </c>
      <c r="AM18" s="28" t="n">
        <v>9</v>
      </c>
      <c r="AN18" s="28" t="n">
        <v>0</v>
      </c>
      <c r="AO18" s="28" t="n">
        <v>57.175</v>
      </c>
      <c r="AP18" s="29" t="n">
        <v>211.03</v>
      </c>
      <c r="AQ18" s="29" t="n">
        <v>391.67</v>
      </c>
    </row>
    <row r="19" ht="19" customHeight="1">
      <c r="A19" s="26" t="n">
        <v>13</v>
      </c>
      <c r="B19" s="26" t="n">
        <v>1.7</v>
      </c>
      <c r="C19" s="26" t="n">
        <v>6.4</v>
      </c>
      <c r="D19" s="26" t="n">
        <v>400</v>
      </c>
      <c r="E19" s="26" t="n">
        <v>110</v>
      </c>
      <c r="F19" s="27" t="n">
        <v>1</v>
      </c>
      <c r="G19" s="27" t="n">
        <v>1</v>
      </c>
      <c r="H19" s="28" t="n">
        <v>1.5</v>
      </c>
      <c r="I19" s="28" t="n">
        <v>0</v>
      </c>
      <c r="J19" s="27" t="n">
        <v>0.28</v>
      </c>
      <c r="K19" s="28" t="n">
        <v>-9</v>
      </c>
      <c r="L19" s="29" t="n">
        <v>416.67</v>
      </c>
      <c r="M19" s="29" t="n">
        <v>116.67</v>
      </c>
      <c r="N19" s="29" t="n">
        <v>400</v>
      </c>
      <c r="O19" s="29" t="n">
        <v>110</v>
      </c>
      <c r="P19" s="29" t="n">
        <v>15.5</v>
      </c>
      <c r="Q19" s="29" t="n">
        <v>416.67</v>
      </c>
      <c r="R19" s="28" t="n">
        <v>33.216</v>
      </c>
      <c r="S19" s="28" t="n">
        <v>16.32</v>
      </c>
      <c r="T19" s="28" t="n">
        <v>16.896</v>
      </c>
      <c r="U19" s="28" t="n">
        <v>8.026999999999999</v>
      </c>
      <c r="V19" s="28" t="n">
        <v>0</v>
      </c>
      <c r="W19" s="28" t="n">
        <v>25.189</v>
      </c>
      <c r="X19" s="27" t="n">
        <v>0.7583</v>
      </c>
      <c r="Y19" s="28" t="n">
        <v>0.8</v>
      </c>
      <c r="Z19" s="28" t="n">
        <v>0.25</v>
      </c>
      <c r="AA19" s="28" t="n">
        <v>24.139</v>
      </c>
      <c r="AB19" s="28" t="n">
        <v>-0.0796</v>
      </c>
      <c r="AC19" s="28" t="n">
        <v>3.6328</v>
      </c>
      <c r="AD19" s="28" t="n">
        <v>20.5859</v>
      </c>
      <c r="AE19" s="28" t="n">
        <v>25.5295</v>
      </c>
      <c r="AF19" s="28" t="n">
        <v>-1.5</v>
      </c>
      <c r="AG19" s="28" t="n">
        <v>-9</v>
      </c>
      <c r="AH19" s="28" t="n">
        <v>3.375</v>
      </c>
      <c r="AI19" s="28" t="n">
        <v>41.8596</v>
      </c>
      <c r="AJ19" s="28" t="n">
        <v>1.7262</v>
      </c>
      <c r="AK19" s="28" t="n">
        <v>34.175</v>
      </c>
      <c r="AL19" s="28" t="n">
        <v>77.76090000000001</v>
      </c>
      <c r="AM19" s="28" t="n">
        <v>0</v>
      </c>
      <c r="AN19" s="28" t="n">
        <v>0</v>
      </c>
      <c r="AO19" s="28" t="n">
        <v>77.76090000000001</v>
      </c>
      <c r="AP19" s="29" t="n">
        <v>111.03</v>
      </c>
      <c r="AQ19" s="29" t="n">
        <v>416.67</v>
      </c>
    </row>
    <row r="20" ht="19" customHeight="1">
      <c r="A20" s="26" t="n">
        <v>14</v>
      </c>
      <c r="B20" s="26" t="n">
        <v>2.65</v>
      </c>
      <c r="C20" s="26" t="n">
        <v>7.6</v>
      </c>
      <c r="D20" s="26" t="n">
        <v>440</v>
      </c>
      <c r="E20" s="26" t="n">
        <v>135</v>
      </c>
      <c r="F20" s="27" t="n">
        <v>1</v>
      </c>
      <c r="G20" s="27" t="n">
        <v>1</v>
      </c>
      <c r="H20" s="28" t="n">
        <v>1.5</v>
      </c>
      <c r="I20" s="28" t="n">
        <v>0</v>
      </c>
      <c r="J20" s="27" t="n">
        <v>0.325</v>
      </c>
      <c r="K20" s="28" t="n">
        <v>0</v>
      </c>
      <c r="L20" s="29" t="n">
        <v>416.67</v>
      </c>
      <c r="M20" s="29" t="n">
        <v>135.42</v>
      </c>
      <c r="N20" s="29" t="n">
        <v>392.28</v>
      </c>
      <c r="O20" s="29" t="n">
        <v>135</v>
      </c>
      <c r="P20" s="29" t="n">
        <v>15.68</v>
      </c>
      <c r="Q20" s="29" t="n">
        <v>416.67</v>
      </c>
      <c r="R20" s="28" t="n">
        <v>49.5733</v>
      </c>
      <c r="S20" s="28" t="n">
        <v>24.9493</v>
      </c>
      <c r="T20" s="28" t="n">
        <v>24.624</v>
      </c>
      <c r="U20" s="28" t="n">
        <v>8.259499999999999</v>
      </c>
      <c r="V20" s="28" t="n">
        <v>0</v>
      </c>
      <c r="W20" s="28" t="n">
        <v>41.3138</v>
      </c>
      <c r="X20" s="27" t="n">
        <v>0.8334</v>
      </c>
      <c r="Y20" s="28" t="n">
        <v>0.8</v>
      </c>
      <c r="Z20" s="28" t="n">
        <v>0.25</v>
      </c>
      <c r="AA20" s="28" t="n">
        <v>40.2638</v>
      </c>
      <c r="AB20" s="28" t="n">
        <v>-0.3349</v>
      </c>
      <c r="AC20" s="28" t="n">
        <v>6.0898</v>
      </c>
      <c r="AD20" s="28" t="n">
        <v>34.5089</v>
      </c>
      <c r="AE20" s="28" t="n">
        <v>39.6851</v>
      </c>
      <c r="AF20" s="28" t="n">
        <v>-1.5</v>
      </c>
      <c r="AG20" s="28" t="n">
        <v>0</v>
      </c>
      <c r="AH20" s="28" t="n">
        <v>3.45</v>
      </c>
      <c r="AI20" s="28" t="n">
        <v>80.04470000000001</v>
      </c>
      <c r="AJ20" s="28" t="n">
        <v>-0</v>
      </c>
      <c r="AK20" s="28" t="n">
        <v>32.225</v>
      </c>
      <c r="AL20" s="28" t="n">
        <v>112.2697</v>
      </c>
      <c r="AM20" s="28" t="n">
        <v>0</v>
      </c>
      <c r="AN20" s="28" t="n">
        <v>0</v>
      </c>
      <c r="AO20" s="28" t="n">
        <v>112.2697</v>
      </c>
      <c r="AP20" s="29" t="n">
        <v>0</v>
      </c>
      <c r="AQ20" s="29" t="n">
        <v>416.67</v>
      </c>
    </row>
    <row r="21" ht="19" customHeight="1">
      <c r="A21" s="26" t="n">
        <v>15</v>
      </c>
      <c r="B21" s="26" t="n">
        <v>3.9</v>
      </c>
      <c r="C21" s="26" t="n">
        <v>8.800000000000001</v>
      </c>
      <c r="D21" s="26" t="n">
        <v>480</v>
      </c>
      <c r="E21" s="26" t="n">
        <v>160</v>
      </c>
      <c r="F21" s="27" t="n">
        <v>1</v>
      </c>
      <c r="G21" s="27" t="n">
        <v>1</v>
      </c>
      <c r="H21" s="28" t="n">
        <v>1.5</v>
      </c>
      <c r="I21" s="28" t="n">
        <v>0</v>
      </c>
      <c r="J21" s="27" t="n">
        <v>0.4</v>
      </c>
      <c r="K21" s="28" t="n">
        <v>0</v>
      </c>
      <c r="L21" s="29" t="n">
        <v>437.5</v>
      </c>
      <c r="M21" s="29" t="n">
        <v>175</v>
      </c>
      <c r="N21" s="29" t="n">
        <v>262.5</v>
      </c>
      <c r="O21" s="29" t="n">
        <v>160</v>
      </c>
      <c r="P21" s="29" t="n">
        <v>15.629</v>
      </c>
      <c r="Q21" s="29" t="n">
        <v>437.5</v>
      </c>
      <c r="R21" s="28" t="n">
        <v>58.362</v>
      </c>
      <c r="S21" s="28" t="n">
        <v>24.57</v>
      </c>
      <c r="T21" s="28" t="n">
        <v>33.792</v>
      </c>
      <c r="U21" s="28" t="n">
        <v>6.8375</v>
      </c>
      <c r="V21" s="28" t="n">
        <v>0</v>
      </c>
      <c r="W21" s="28" t="n">
        <v>51.5245</v>
      </c>
      <c r="X21" s="27" t="n">
        <v>0.8828</v>
      </c>
      <c r="Y21" s="28" t="n">
        <v>0.8</v>
      </c>
      <c r="Z21" s="28" t="n">
        <v>0.25</v>
      </c>
      <c r="AA21" s="28" t="n">
        <v>50.4745</v>
      </c>
      <c r="AB21" s="28" t="n">
        <v>-0.6404</v>
      </c>
      <c r="AC21" s="28" t="n">
        <v>7.6672</v>
      </c>
      <c r="AD21" s="28" t="n">
        <v>43.4476</v>
      </c>
      <c r="AE21" s="28" t="n">
        <v>47.0976</v>
      </c>
      <c r="AF21" s="28" t="n">
        <v>-1.5</v>
      </c>
      <c r="AG21" s="28" t="n">
        <v>0</v>
      </c>
      <c r="AH21" s="28" t="n">
        <v>3.65</v>
      </c>
      <c r="AI21" s="28" t="n">
        <v>125.6423</v>
      </c>
      <c r="AJ21" s="28" t="n">
        <v>0</v>
      </c>
      <c r="AK21" s="28" t="n">
        <v>30.075</v>
      </c>
      <c r="AL21" s="28" t="n">
        <v>155.7173</v>
      </c>
      <c r="AM21" s="28" t="n">
        <v>0</v>
      </c>
      <c r="AN21" s="28" t="n">
        <v>0</v>
      </c>
      <c r="AO21" s="28" t="n">
        <v>155.7173</v>
      </c>
      <c r="AP21" s="29" t="n">
        <v>0</v>
      </c>
      <c r="AQ21" s="29" t="n">
        <v>437.5</v>
      </c>
    </row>
    <row r="22" ht="19" customHeight="1">
      <c r="A22" s="26" t="n">
        <v>16</v>
      </c>
      <c r="B22" s="26" t="n">
        <v>4.55</v>
      </c>
      <c r="C22" s="26" t="n">
        <v>9.6</v>
      </c>
      <c r="D22" s="26" t="n">
        <v>510</v>
      </c>
      <c r="E22" s="26" t="n">
        <v>185</v>
      </c>
      <c r="F22" s="27" t="n">
        <v>1</v>
      </c>
      <c r="G22" s="27" t="n">
        <v>1</v>
      </c>
      <c r="H22" s="28" t="n">
        <v>1.5</v>
      </c>
      <c r="I22" s="28" t="n">
        <v>0</v>
      </c>
      <c r="J22" s="27" t="n">
        <v>0.44</v>
      </c>
      <c r="K22" s="28" t="n">
        <v>0</v>
      </c>
      <c r="L22" s="29" t="n">
        <v>437.5</v>
      </c>
      <c r="M22" s="29" t="n">
        <v>192.5</v>
      </c>
      <c r="N22" s="29" t="n">
        <v>245</v>
      </c>
      <c r="O22" s="29" t="n">
        <v>185</v>
      </c>
      <c r="P22" s="29" t="n">
        <v>15.8</v>
      </c>
      <c r="Q22" s="29" t="n">
        <v>437.5</v>
      </c>
      <c r="R22" s="28" t="n">
        <v>69.378</v>
      </c>
      <c r="S22" s="28" t="n">
        <v>26.754</v>
      </c>
      <c r="T22" s="28" t="n">
        <v>42.624</v>
      </c>
      <c r="U22" s="28" t="n">
        <v>6.9125</v>
      </c>
      <c r="V22" s="28" t="n">
        <v>0</v>
      </c>
      <c r="W22" s="28" t="n">
        <v>62.4655</v>
      </c>
      <c r="X22" s="27" t="n">
        <v>0.9004</v>
      </c>
      <c r="Y22" s="28" t="n">
        <v>0.8</v>
      </c>
      <c r="Z22" s="28" t="n">
        <v>0.25</v>
      </c>
      <c r="AA22" s="28" t="n">
        <v>61.4155</v>
      </c>
      <c r="AB22" s="28" t="n">
        <v>-1.0051</v>
      </c>
      <c r="AC22" s="28" t="n">
        <v>9.363099999999999</v>
      </c>
      <c r="AD22" s="28" t="n">
        <v>53.0575</v>
      </c>
      <c r="AE22" s="28" t="n">
        <v>56.7825</v>
      </c>
      <c r="AF22" s="28" t="n">
        <v>-1.5</v>
      </c>
      <c r="AG22" s="28" t="n">
        <v>0</v>
      </c>
      <c r="AH22" s="28" t="n">
        <v>3.725</v>
      </c>
      <c r="AI22" s="28" t="n">
        <v>180.9249</v>
      </c>
      <c r="AJ22" s="28" t="n">
        <v>0</v>
      </c>
      <c r="AK22" s="28" t="n">
        <v>27.85</v>
      </c>
      <c r="AL22" s="28" t="n">
        <v>208.7749</v>
      </c>
      <c r="AM22" s="28" t="n">
        <v>0</v>
      </c>
      <c r="AN22" s="28" t="n">
        <v>0</v>
      </c>
      <c r="AO22" s="28" t="n">
        <v>208.7749</v>
      </c>
      <c r="AP22" s="29" t="n">
        <v>0</v>
      </c>
      <c r="AQ22" s="29" t="n">
        <v>437.5</v>
      </c>
    </row>
    <row r="24">
      <c r="A24" s="30" t="inlineStr">
        <is>
          <t>合计</t>
        </is>
      </c>
      <c r="B24" s="30" t="n"/>
      <c r="C24" s="30" t="n"/>
      <c r="D24" s="30" t="n"/>
      <c r="E24" s="30" t="n"/>
      <c r="F24" s="30" t="n"/>
      <c r="G24" s="30" t="n"/>
      <c r="H24" s="31">
        <f>SUM(H7:H22)</f>
        <v/>
      </c>
      <c r="I24" s="31">
        <f>SUM(I7:I22)</f>
        <v/>
      </c>
      <c r="J24" s="30" t="n"/>
      <c r="K24" s="31">
        <f>SUM(K7:K22)</f>
        <v/>
      </c>
      <c r="L24" s="32">
        <f>SUM(L7:L22)</f>
        <v/>
      </c>
      <c r="M24" s="32">
        <f>SUM(M7:M22)</f>
        <v/>
      </c>
      <c r="N24" s="32">
        <f>SUM(N7:N22)</f>
        <v/>
      </c>
      <c r="O24" s="32">
        <f>SUM(O7:O22)</f>
        <v/>
      </c>
      <c r="P24" s="30" t="n"/>
      <c r="Q24" s="30" t="n"/>
      <c r="R24" s="31">
        <f>SUM(R7:R22)</f>
        <v/>
      </c>
      <c r="S24" s="31">
        <f>SUM(S7:S22)</f>
        <v/>
      </c>
      <c r="T24" s="31">
        <f>SUM(T7:T22)</f>
        <v/>
      </c>
      <c r="U24" s="31">
        <f>SUM(U7:U22)</f>
        <v/>
      </c>
      <c r="V24" s="31">
        <f>SUM(V7:V22)</f>
        <v/>
      </c>
      <c r="W24" s="31">
        <f>SUM(W7:W22)</f>
        <v/>
      </c>
      <c r="X24" s="30" t="n"/>
      <c r="Y24" s="31">
        <f>SUM(Y7:Y22)</f>
        <v/>
      </c>
      <c r="Z24" s="31">
        <f>SUM(Z7:Z22)</f>
        <v/>
      </c>
      <c r="AA24" s="31">
        <f>SUM(AA7:AA22)</f>
        <v/>
      </c>
      <c r="AB24" s="31">
        <f>SUM(AB7:AB22)</f>
        <v/>
      </c>
      <c r="AC24" s="31">
        <f>SUM(AC7:AC22)</f>
        <v/>
      </c>
      <c r="AD24" s="31">
        <f>SUM(AD7:AD22)</f>
        <v/>
      </c>
      <c r="AE24" s="31">
        <f>SUM(AE7:AE22)</f>
        <v/>
      </c>
      <c r="AF24" s="31">
        <f>SUM(AF7:AF22)</f>
        <v/>
      </c>
      <c r="AG24" s="31">
        <f>SUM(AG7:AG22)</f>
        <v/>
      </c>
      <c r="AH24" s="31">
        <f>SUM(AH7:AH22)</f>
        <v/>
      </c>
      <c r="AI24" s="31">
        <f>AI22</f>
        <v/>
      </c>
      <c r="AJ24" s="31">
        <f>AJ22</f>
        <v/>
      </c>
      <c r="AK24" s="31">
        <f>AK22</f>
        <v/>
      </c>
      <c r="AL24" s="31">
        <f>AL22</f>
        <v/>
      </c>
      <c r="AM24" s="31">
        <f>AM22</f>
        <v/>
      </c>
      <c r="AN24" s="31">
        <f>AN22</f>
        <v/>
      </c>
      <c r="AO24" s="31">
        <f>AO22</f>
        <v/>
      </c>
      <c r="AP24" s="32">
        <f>AP22</f>
        <v/>
      </c>
      <c r="AQ24" s="32">
        <f>AQ22</f>
        <v/>
      </c>
    </row>
    <row r="26">
      <c r="A26" s="18" t="inlineStr">
        <is>
          <t>注：季度行 7–22 对应 Q1–Q16；“合计/期末”行对流量项目求和、对存量项目取 Q16 期末值。所有蓝色格可直接修改以做情景测试，但会与引擎原始值不一致，仅供分析。</t>
        </is>
      </c>
    </row>
  </sheetData>
  <mergeCells count="9">
    <mergeCell ref="A4:K4"/>
    <mergeCell ref="A3:AQ3"/>
    <mergeCell ref="R4:AD4"/>
    <mergeCell ref="A2:AQ2"/>
    <mergeCell ref="A26:Q26"/>
    <mergeCell ref="AH4:AQ4"/>
    <mergeCell ref="AE4:AG4"/>
    <mergeCell ref="A1:AQ1"/>
    <mergeCell ref="L4:Q4"/>
  </mergeCells>
  <printOptions horizontalCentered="1"/>
  <pageMargins left="0.75" right="0.75" top="1" bottom="1" header="0.5" footer="0.5"/>
  <pageSetup orientation="landscape" paperSize="8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2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" customWidth="1" min="18" max="18"/>
    <col width="46" customWidth="1" min="19" max="19"/>
  </cols>
  <sheetData>
    <row r="1" ht="34" customHeight="1">
      <c r="A1" s="16" t="inlineStr">
        <is>
          <t>利润表（逐季）</t>
        </is>
      </c>
    </row>
    <row r="2" ht="20" customHeight="1">
      <c r="A2" s="17" t="inlineStr">
        <is>
          <t>单位：十亿美元；比率除外。绿色为公式格，自动引用“原始数据”。</t>
        </is>
      </c>
    </row>
    <row r="5" ht="26" customHeight="1">
      <c r="A5" s="24" t="inlineStr">
        <is>
          <t>项目</t>
        </is>
      </c>
      <c r="B5" s="24" t="inlineStr">
        <is>
          <t>Q1</t>
        </is>
      </c>
      <c r="C5" s="24" t="inlineStr">
        <is>
          <t>Q2</t>
        </is>
      </c>
      <c r="D5" s="24" t="inlineStr">
        <is>
          <t>Q3</t>
        </is>
      </c>
      <c r="E5" s="24" t="inlineStr">
        <is>
          <t>Q4</t>
        </is>
      </c>
      <c r="F5" s="24" t="inlineStr">
        <is>
          <t>Q5</t>
        </is>
      </c>
      <c r="G5" s="24" t="inlineStr">
        <is>
          <t>Q6</t>
        </is>
      </c>
      <c r="H5" s="24" t="inlineStr">
        <is>
          <t>Q7</t>
        </is>
      </c>
      <c r="I5" s="24" t="inlineStr">
        <is>
          <t>Q8</t>
        </is>
      </c>
      <c r="J5" s="24" t="inlineStr">
        <is>
          <t>Q9</t>
        </is>
      </c>
      <c r="K5" s="24" t="inlineStr">
        <is>
          <t>Q10</t>
        </is>
      </c>
      <c r="L5" s="24" t="inlineStr">
        <is>
          <t>Q11</t>
        </is>
      </c>
      <c r="M5" s="24" t="inlineStr">
        <is>
          <t>Q12</t>
        </is>
      </c>
      <c r="N5" s="24" t="inlineStr">
        <is>
          <t>Q13</t>
        </is>
      </c>
      <c r="O5" s="24" t="inlineStr">
        <is>
          <t>Q14</t>
        </is>
      </c>
      <c r="P5" s="24" t="inlineStr">
        <is>
          <t>Q15</t>
        </is>
      </c>
      <c r="Q5" s="24" t="inlineStr">
        <is>
          <t>Q16</t>
        </is>
      </c>
      <c r="R5" s="24" t="inlineStr">
        <is>
          <t>合计</t>
        </is>
      </c>
      <c r="S5" s="24" t="inlineStr">
        <is>
          <t>说明 / 公式</t>
        </is>
      </c>
    </row>
    <row r="6" ht="20" customHeight="1">
      <c r="A6" s="33" t="inlineStr">
        <is>
          <t>营业收入</t>
        </is>
      </c>
      <c r="B6" s="34">
        <f>B7+B8</f>
        <v/>
      </c>
      <c r="C6" s="34">
        <f>C7+C8</f>
        <v/>
      </c>
      <c r="D6" s="34">
        <f>D7+D8</f>
        <v/>
      </c>
      <c r="E6" s="34">
        <f>E7+E8</f>
        <v/>
      </c>
      <c r="F6" s="34">
        <f>F7+F8</f>
        <v/>
      </c>
      <c r="G6" s="34">
        <f>G7+G8</f>
        <v/>
      </c>
      <c r="H6" s="34">
        <f>H7+H8</f>
        <v/>
      </c>
      <c r="I6" s="34">
        <f>I7+I8</f>
        <v/>
      </c>
      <c r="J6" s="34">
        <f>J7+J8</f>
        <v/>
      </c>
      <c r="K6" s="34">
        <f>K7+K8</f>
        <v/>
      </c>
      <c r="L6" s="34">
        <f>L7+L8</f>
        <v/>
      </c>
      <c r="M6" s="34">
        <f>M7+M8</f>
        <v/>
      </c>
      <c r="N6" s="34">
        <f>N7+N8</f>
        <v/>
      </c>
      <c r="O6" s="34">
        <f>O7+O8</f>
        <v/>
      </c>
      <c r="P6" s="34">
        <f>P7+P8</f>
        <v/>
      </c>
      <c r="Q6" s="34">
        <f>Q7+Q8</f>
        <v/>
      </c>
      <c r="R6" s="35">
        <f>SUM(B6:Q6)</f>
        <v/>
      </c>
      <c r="S6" s="36" t="inlineStr">
        <is>
          <t>普通内存收入 + HBM 收入</t>
        </is>
      </c>
    </row>
    <row r="7" ht="20" customHeight="1">
      <c r="A7" s="37" t="inlineStr">
        <is>
          <t xml:space="preserve">  其中：普通内存</t>
        </is>
      </c>
      <c r="B7" s="38">
        <f>'原始数据'!S7</f>
        <v/>
      </c>
      <c r="C7" s="38">
        <f>'原始数据'!S8</f>
        <v/>
      </c>
      <c r="D7" s="38">
        <f>'原始数据'!S9</f>
        <v/>
      </c>
      <c r="E7" s="38">
        <f>'原始数据'!S10</f>
        <v/>
      </c>
      <c r="F7" s="38">
        <f>'原始数据'!S11</f>
        <v/>
      </c>
      <c r="G7" s="38">
        <f>'原始数据'!S12</f>
        <v/>
      </c>
      <c r="H7" s="38">
        <f>'原始数据'!S13</f>
        <v/>
      </c>
      <c r="I7" s="38">
        <f>'原始数据'!S14</f>
        <v/>
      </c>
      <c r="J7" s="38">
        <f>'原始数据'!S15</f>
        <v/>
      </c>
      <c r="K7" s="38">
        <f>'原始数据'!S16</f>
        <v/>
      </c>
      <c r="L7" s="38">
        <f>'原始数据'!S17</f>
        <v/>
      </c>
      <c r="M7" s="38">
        <f>'原始数据'!S18</f>
        <v/>
      </c>
      <c r="N7" s="38">
        <f>'原始数据'!S19</f>
        <v/>
      </c>
      <c r="O7" s="38">
        <f>'原始数据'!S20</f>
        <v/>
      </c>
      <c r="P7" s="38">
        <f>'原始数据'!S21</f>
        <v/>
      </c>
      <c r="Q7" s="38">
        <f>'原始数据'!S22</f>
        <v/>
      </c>
      <c r="R7" s="35">
        <f>SUM(B7:Q7)</f>
        <v/>
      </c>
      <c r="S7" s="36" t="inlineStr">
        <is>
          <t>原始数据 S 列</t>
        </is>
      </c>
    </row>
    <row r="8" ht="20" customHeight="1">
      <c r="A8" s="37" t="inlineStr">
        <is>
          <t xml:space="preserve">  其中：HBM</t>
        </is>
      </c>
      <c r="B8" s="38">
        <f>'原始数据'!T7</f>
        <v/>
      </c>
      <c r="C8" s="38">
        <f>'原始数据'!T8</f>
        <v/>
      </c>
      <c r="D8" s="38">
        <f>'原始数据'!T9</f>
        <v/>
      </c>
      <c r="E8" s="38">
        <f>'原始数据'!T10</f>
        <v/>
      </c>
      <c r="F8" s="38">
        <f>'原始数据'!T11</f>
        <v/>
      </c>
      <c r="G8" s="38">
        <f>'原始数据'!T12</f>
        <v/>
      </c>
      <c r="H8" s="38">
        <f>'原始数据'!T13</f>
        <v/>
      </c>
      <c r="I8" s="38">
        <f>'原始数据'!T14</f>
        <v/>
      </c>
      <c r="J8" s="38">
        <f>'原始数据'!T15</f>
        <v/>
      </c>
      <c r="K8" s="38">
        <f>'原始数据'!T16</f>
        <v/>
      </c>
      <c r="L8" s="38">
        <f>'原始数据'!T17</f>
        <v/>
      </c>
      <c r="M8" s="38">
        <f>'原始数据'!T18</f>
        <v/>
      </c>
      <c r="N8" s="38">
        <f>'原始数据'!T19</f>
        <v/>
      </c>
      <c r="O8" s="38">
        <f>'原始数据'!T20</f>
        <v/>
      </c>
      <c r="P8" s="38">
        <f>'原始数据'!T21</f>
        <v/>
      </c>
      <c r="Q8" s="38">
        <f>'原始数据'!T22</f>
        <v/>
      </c>
      <c r="R8" s="35">
        <f>SUM(B8:Q8)</f>
        <v/>
      </c>
      <c r="S8" s="36" t="inlineStr">
        <is>
          <t>原始数据 T 列</t>
        </is>
      </c>
    </row>
    <row r="9" ht="20" customHeight="1">
      <c r="A9" s="37" t="inlineStr">
        <is>
          <t>营业成本（含存货跌价）</t>
        </is>
      </c>
      <c r="B9" s="38">
        <f>'原始数据'!U7</f>
        <v/>
      </c>
      <c r="C9" s="38">
        <f>'原始数据'!U8</f>
        <v/>
      </c>
      <c r="D9" s="38">
        <f>'原始数据'!U9</f>
        <v/>
      </c>
      <c r="E9" s="38">
        <f>'原始数据'!U10</f>
        <v/>
      </c>
      <c r="F9" s="38">
        <f>'原始数据'!U11</f>
        <v/>
      </c>
      <c r="G9" s="38">
        <f>'原始数据'!U12</f>
        <v/>
      </c>
      <c r="H9" s="38">
        <f>'原始数据'!U13</f>
        <v/>
      </c>
      <c r="I9" s="38">
        <f>'原始数据'!U14</f>
        <v/>
      </c>
      <c r="J9" s="38">
        <f>'原始数据'!U15</f>
        <v/>
      </c>
      <c r="K9" s="38">
        <f>'原始数据'!U16</f>
        <v/>
      </c>
      <c r="L9" s="38">
        <f>'原始数据'!U17</f>
        <v/>
      </c>
      <c r="M9" s="38">
        <f>'原始数据'!U18</f>
        <v/>
      </c>
      <c r="N9" s="38">
        <f>'原始数据'!U19</f>
        <v/>
      </c>
      <c r="O9" s="38">
        <f>'原始数据'!U20</f>
        <v/>
      </c>
      <c r="P9" s="38">
        <f>'原始数据'!U21</f>
        <v/>
      </c>
      <c r="Q9" s="38">
        <f>'原始数据'!U22</f>
        <v/>
      </c>
      <c r="R9" s="35">
        <f>SUM(B9:Q9)</f>
        <v/>
      </c>
      <c r="S9" s="36" t="inlineStr">
        <is>
          <t>原始数据 U 列</t>
        </is>
      </c>
    </row>
    <row r="10" ht="20" customHeight="1">
      <c r="A10" s="37" t="inlineStr">
        <is>
          <t xml:space="preserve">  其中：存货跌价</t>
        </is>
      </c>
      <c r="B10" s="38">
        <f>'原始数据'!V7</f>
        <v/>
      </c>
      <c r="C10" s="38">
        <f>'原始数据'!V8</f>
        <v/>
      </c>
      <c r="D10" s="38">
        <f>'原始数据'!V9</f>
        <v/>
      </c>
      <c r="E10" s="38">
        <f>'原始数据'!V10</f>
        <v/>
      </c>
      <c r="F10" s="38">
        <f>'原始数据'!V11</f>
        <v/>
      </c>
      <c r="G10" s="38">
        <f>'原始数据'!V12</f>
        <v/>
      </c>
      <c r="H10" s="38">
        <f>'原始数据'!V13</f>
        <v/>
      </c>
      <c r="I10" s="38">
        <f>'原始数据'!V14</f>
        <v/>
      </c>
      <c r="J10" s="38">
        <f>'原始数据'!V15</f>
        <v/>
      </c>
      <c r="K10" s="38">
        <f>'原始数据'!V16</f>
        <v/>
      </c>
      <c r="L10" s="38">
        <f>'原始数据'!V17</f>
        <v/>
      </c>
      <c r="M10" s="38">
        <f>'原始数据'!V18</f>
        <v/>
      </c>
      <c r="N10" s="38">
        <f>'原始数据'!V19</f>
        <v/>
      </c>
      <c r="O10" s="38">
        <f>'原始数据'!V20</f>
        <v/>
      </c>
      <c r="P10" s="38">
        <f>'原始数据'!V21</f>
        <v/>
      </c>
      <c r="Q10" s="38">
        <f>'原始数据'!V22</f>
        <v/>
      </c>
      <c r="R10" s="35">
        <f>SUM(B10:Q10)</f>
        <v/>
      </c>
      <c r="S10" s="36" t="inlineStr">
        <is>
          <t>原始数据 V 列</t>
        </is>
      </c>
    </row>
    <row r="11" ht="20" customHeight="1">
      <c r="A11" s="33" t="inlineStr">
        <is>
          <t>毛利</t>
        </is>
      </c>
      <c r="B11" s="34">
        <f>B6-B9</f>
        <v/>
      </c>
      <c r="C11" s="34">
        <f>C6-C9</f>
        <v/>
      </c>
      <c r="D11" s="34">
        <f>D6-D9</f>
        <v/>
      </c>
      <c r="E11" s="34">
        <f>E6-E9</f>
        <v/>
      </c>
      <c r="F11" s="34">
        <f>F6-F9</f>
        <v/>
      </c>
      <c r="G11" s="34">
        <f>G6-G9</f>
        <v/>
      </c>
      <c r="H11" s="34">
        <f>H6-H9</f>
        <v/>
      </c>
      <c r="I11" s="34">
        <f>I6-I9</f>
        <v/>
      </c>
      <c r="J11" s="34">
        <f>J6-J9</f>
        <v/>
      </c>
      <c r="K11" s="34">
        <f>K6-K9</f>
        <v/>
      </c>
      <c r="L11" s="34">
        <f>L6-L9</f>
        <v/>
      </c>
      <c r="M11" s="34">
        <f>M6-M9</f>
        <v/>
      </c>
      <c r="N11" s="34">
        <f>N6-N9</f>
        <v/>
      </c>
      <c r="O11" s="34">
        <f>O6-O9</f>
        <v/>
      </c>
      <c r="P11" s="34">
        <f>P6-P9</f>
        <v/>
      </c>
      <c r="Q11" s="34">
        <f>Q6-Q9</f>
        <v/>
      </c>
      <c r="R11" s="35">
        <f>SUM(B11:Q11)</f>
        <v/>
      </c>
      <c r="S11" s="36" t="inlineStr">
        <is>
          <t>营业收入 − 营业成本</t>
        </is>
      </c>
    </row>
    <row r="12" ht="20" customHeight="1">
      <c r="A12" s="37" t="inlineStr">
        <is>
          <t>毛利率</t>
        </is>
      </c>
      <c r="B12" s="39">
        <f>IFERROR(B11/B6,0)</f>
        <v/>
      </c>
      <c r="C12" s="39">
        <f>IFERROR(C11/C6,0)</f>
        <v/>
      </c>
      <c r="D12" s="39">
        <f>IFERROR(D11/D6,0)</f>
        <v/>
      </c>
      <c r="E12" s="39">
        <f>IFERROR(E11/E6,0)</f>
        <v/>
      </c>
      <c r="F12" s="39">
        <f>IFERROR(F11/F6,0)</f>
        <v/>
      </c>
      <c r="G12" s="39">
        <f>IFERROR(G11/G6,0)</f>
        <v/>
      </c>
      <c r="H12" s="39">
        <f>IFERROR(H11/H6,0)</f>
        <v/>
      </c>
      <c r="I12" s="39">
        <f>IFERROR(I11/I6,0)</f>
        <v/>
      </c>
      <c r="J12" s="39">
        <f>IFERROR(J11/J6,0)</f>
        <v/>
      </c>
      <c r="K12" s="39">
        <f>IFERROR(K11/K6,0)</f>
        <v/>
      </c>
      <c r="L12" s="39">
        <f>IFERROR(L11/L6,0)</f>
        <v/>
      </c>
      <c r="M12" s="39">
        <f>IFERROR(M11/M6,0)</f>
        <v/>
      </c>
      <c r="N12" s="39">
        <f>IFERROR(N11/N6,0)</f>
        <v/>
      </c>
      <c r="O12" s="39">
        <f>IFERROR(O11/O6,0)</f>
        <v/>
      </c>
      <c r="P12" s="39">
        <f>IFERROR(P11/P6,0)</f>
        <v/>
      </c>
      <c r="Q12" s="39">
        <f>IFERROR(Q11/Q6,0)</f>
        <v/>
      </c>
      <c r="R12" s="40">
        <f>IFERROR(R11/R6,0)</f>
        <v/>
      </c>
      <c r="S12" s="36" t="inlineStr">
        <is>
          <t>毛利 ÷ 营业收入</t>
        </is>
      </c>
    </row>
    <row r="13" ht="20" customHeight="1">
      <c r="A13" s="37" t="inlineStr">
        <is>
          <t>研发费用</t>
        </is>
      </c>
      <c r="B13" s="38">
        <f>'原始数据'!Y7</f>
        <v/>
      </c>
      <c r="C13" s="38">
        <f>'原始数据'!Y8</f>
        <v/>
      </c>
      <c r="D13" s="38">
        <f>'原始数据'!Y9</f>
        <v/>
      </c>
      <c r="E13" s="38">
        <f>'原始数据'!Y10</f>
        <v/>
      </c>
      <c r="F13" s="38">
        <f>'原始数据'!Y11</f>
        <v/>
      </c>
      <c r="G13" s="38">
        <f>'原始数据'!Y12</f>
        <v/>
      </c>
      <c r="H13" s="38">
        <f>'原始数据'!Y13</f>
        <v/>
      </c>
      <c r="I13" s="38">
        <f>'原始数据'!Y14</f>
        <v/>
      </c>
      <c r="J13" s="38">
        <f>'原始数据'!Y15</f>
        <v/>
      </c>
      <c r="K13" s="38">
        <f>'原始数据'!Y16</f>
        <v/>
      </c>
      <c r="L13" s="38">
        <f>'原始数据'!Y17</f>
        <v/>
      </c>
      <c r="M13" s="38">
        <f>'原始数据'!Y18</f>
        <v/>
      </c>
      <c r="N13" s="38">
        <f>'原始数据'!Y19</f>
        <v/>
      </c>
      <c r="O13" s="38">
        <f>'原始数据'!Y20</f>
        <v/>
      </c>
      <c r="P13" s="38">
        <f>'原始数据'!Y21</f>
        <v/>
      </c>
      <c r="Q13" s="38">
        <f>'原始数据'!Y22</f>
        <v/>
      </c>
      <c r="R13" s="35">
        <f>SUM(B13:Q13)</f>
        <v/>
      </c>
      <c r="S13" s="36" t="inlineStr">
        <is>
          <t>原始数据 Y 列（含基础 0.8 + HBM 额外研发）</t>
        </is>
      </c>
    </row>
    <row r="14" ht="20" customHeight="1">
      <c r="A14" s="37" t="inlineStr">
        <is>
          <t>销售及管理费用</t>
        </is>
      </c>
      <c r="B14" s="38">
        <f>'原始数据'!Z7</f>
        <v/>
      </c>
      <c r="C14" s="38">
        <f>'原始数据'!Z8</f>
        <v/>
      </c>
      <c r="D14" s="38">
        <f>'原始数据'!Z9</f>
        <v/>
      </c>
      <c r="E14" s="38">
        <f>'原始数据'!Z10</f>
        <v/>
      </c>
      <c r="F14" s="38">
        <f>'原始数据'!Z11</f>
        <v/>
      </c>
      <c r="G14" s="38">
        <f>'原始数据'!Z12</f>
        <v/>
      </c>
      <c r="H14" s="38">
        <f>'原始数据'!Z13</f>
        <v/>
      </c>
      <c r="I14" s="38">
        <f>'原始数据'!Z14</f>
        <v/>
      </c>
      <c r="J14" s="38">
        <f>'原始数据'!Z15</f>
        <v/>
      </c>
      <c r="K14" s="38">
        <f>'原始数据'!Z16</f>
        <v/>
      </c>
      <c r="L14" s="38">
        <f>'原始数据'!Z17</f>
        <v/>
      </c>
      <c r="M14" s="38">
        <f>'原始数据'!Z18</f>
        <v/>
      </c>
      <c r="N14" s="38">
        <f>'原始数据'!Z19</f>
        <v/>
      </c>
      <c r="O14" s="38">
        <f>'原始数据'!Z20</f>
        <v/>
      </c>
      <c r="P14" s="38">
        <f>'原始数据'!Z21</f>
        <v/>
      </c>
      <c r="Q14" s="38">
        <f>'原始数据'!Z22</f>
        <v/>
      </c>
      <c r="R14" s="35">
        <f>SUM(B14:Q14)</f>
        <v/>
      </c>
      <c r="S14" s="36" t="inlineStr">
        <is>
          <t>原始数据 Z 列</t>
        </is>
      </c>
    </row>
    <row r="15" ht="20" customHeight="1">
      <c r="A15" s="33" t="inlineStr">
        <is>
          <t>营业利润</t>
        </is>
      </c>
      <c r="B15" s="34">
        <f>B11-B13-B14</f>
        <v/>
      </c>
      <c r="C15" s="34">
        <f>C11-C13-C14</f>
        <v/>
      </c>
      <c r="D15" s="34">
        <f>D11-D13-D14</f>
        <v/>
      </c>
      <c r="E15" s="34">
        <f>E11-E13-E14</f>
        <v/>
      </c>
      <c r="F15" s="34">
        <f>F11-F13-F14</f>
        <v/>
      </c>
      <c r="G15" s="34">
        <f>G11-G13-G14</f>
        <v/>
      </c>
      <c r="H15" s="34">
        <f>H11-H13-H14</f>
        <v/>
      </c>
      <c r="I15" s="34">
        <f>I11-I13-I14</f>
        <v/>
      </c>
      <c r="J15" s="34">
        <f>J11-J13-J14</f>
        <v/>
      </c>
      <c r="K15" s="34">
        <f>K11-K13-K14</f>
        <v/>
      </c>
      <c r="L15" s="34">
        <f>L11-L13-L14</f>
        <v/>
      </c>
      <c r="M15" s="34">
        <f>M11-M13-M14</f>
        <v/>
      </c>
      <c r="N15" s="34">
        <f>N11-N13-N14</f>
        <v/>
      </c>
      <c r="O15" s="34">
        <f>O11-O13-O14</f>
        <v/>
      </c>
      <c r="P15" s="34">
        <f>P11-P13-P14</f>
        <v/>
      </c>
      <c r="Q15" s="34">
        <f>Q11-Q13-Q14</f>
        <v/>
      </c>
      <c r="R15" s="35">
        <f>SUM(B15:Q15)</f>
        <v/>
      </c>
      <c r="S15" s="36" t="inlineStr">
        <is>
          <t>毛利 − 研发 − 销售管理费用</t>
        </is>
      </c>
    </row>
    <row r="16" ht="20" customHeight="1">
      <c r="A16" s="37" t="inlineStr">
        <is>
          <t>营业利润率</t>
        </is>
      </c>
      <c r="B16" s="39">
        <f>IFERROR(B15/B6,0)</f>
        <v/>
      </c>
      <c r="C16" s="39">
        <f>IFERROR(C15/C6,0)</f>
        <v/>
      </c>
      <c r="D16" s="39">
        <f>IFERROR(D15/D6,0)</f>
        <v/>
      </c>
      <c r="E16" s="39">
        <f>IFERROR(E15/E6,0)</f>
        <v/>
      </c>
      <c r="F16" s="39">
        <f>IFERROR(F15/F6,0)</f>
        <v/>
      </c>
      <c r="G16" s="39">
        <f>IFERROR(G15/G6,0)</f>
        <v/>
      </c>
      <c r="H16" s="39">
        <f>IFERROR(H15/H6,0)</f>
        <v/>
      </c>
      <c r="I16" s="39">
        <f>IFERROR(I15/I6,0)</f>
        <v/>
      </c>
      <c r="J16" s="39">
        <f>IFERROR(J15/J6,0)</f>
        <v/>
      </c>
      <c r="K16" s="39">
        <f>IFERROR(K15/K6,0)</f>
        <v/>
      </c>
      <c r="L16" s="39">
        <f>IFERROR(L15/L6,0)</f>
        <v/>
      </c>
      <c r="M16" s="39">
        <f>IFERROR(M15/M6,0)</f>
        <v/>
      </c>
      <c r="N16" s="39">
        <f>IFERROR(N15/N6,0)</f>
        <v/>
      </c>
      <c r="O16" s="39">
        <f>IFERROR(O15/O6,0)</f>
        <v/>
      </c>
      <c r="P16" s="39">
        <f>IFERROR(P15/P6,0)</f>
        <v/>
      </c>
      <c r="Q16" s="39">
        <f>IFERROR(Q15/Q6,0)</f>
        <v/>
      </c>
      <c r="R16" s="40">
        <f>IFERROR(R15/R6,0)</f>
        <v/>
      </c>
      <c r="S16" s="36" t="inlineStr">
        <is>
          <t>营业利润 ÷ 营业收入</t>
        </is>
      </c>
    </row>
    <row r="17" ht="20" customHeight="1">
      <c r="A17" s="37" t="inlineStr">
        <is>
          <t>净利息费用（收益为负）</t>
        </is>
      </c>
      <c r="B17" s="38">
        <f>'原始数据'!AB7</f>
        <v/>
      </c>
      <c r="C17" s="38">
        <f>'原始数据'!AB8</f>
        <v/>
      </c>
      <c r="D17" s="38">
        <f>'原始数据'!AB9</f>
        <v/>
      </c>
      <c r="E17" s="38">
        <f>'原始数据'!AB10</f>
        <v/>
      </c>
      <c r="F17" s="38">
        <f>'原始数据'!AB11</f>
        <v/>
      </c>
      <c r="G17" s="38">
        <f>'原始数据'!AB12</f>
        <v/>
      </c>
      <c r="H17" s="38">
        <f>'原始数据'!AB13</f>
        <v/>
      </c>
      <c r="I17" s="38">
        <f>'原始数据'!AB14</f>
        <v/>
      </c>
      <c r="J17" s="38">
        <f>'原始数据'!AB15</f>
        <v/>
      </c>
      <c r="K17" s="38">
        <f>'原始数据'!AB16</f>
        <v/>
      </c>
      <c r="L17" s="38">
        <f>'原始数据'!AB17</f>
        <v/>
      </c>
      <c r="M17" s="38">
        <f>'原始数据'!AB18</f>
        <v/>
      </c>
      <c r="N17" s="38">
        <f>'原始数据'!AB19</f>
        <v/>
      </c>
      <c r="O17" s="38">
        <f>'原始数据'!AB20</f>
        <v/>
      </c>
      <c r="P17" s="38">
        <f>'原始数据'!AB21</f>
        <v/>
      </c>
      <c r="Q17" s="38">
        <f>'原始数据'!AB22</f>
        <v/>
      </c>
      <c r="R17" s="35">
        <f>SUM(B17:Q17)</f>
        <v/>
      </c>
      <c r="S17" s="36" t="inlineStr">
        <is>
          <t>原始数据 AB 列</t>
        </is>
      </c>
    </row>
    <row r="18" ht="20" customHeight="1">
      <c r="A18" s="33" t="inlineStr">
        <is>
          <t>税前利润</t>
        </is>
      </c>
      <c r="B18" s="34">
        <f>B15-B17</f>
        <v/>
      </c>
      <c r="C18" s="34">
        <f>C15-C17</f>
        <v/>
      </c>
      <c r="D18" s="34">
        <f>D15-D17</f>
        <v/>
      </c>
      <c r="E18" s="34">
        <f>E15-E17</f>
        <v/>
      </c>
      <c r="F18" s="34">
        <f>F15-F17</f>
        <v/>
      </c>
      <c r="G18" s="34">
        <f>G15-G17</f>
        <v/>
      </c>
      <c r="H18" s="34">
        <f>H15-H17</f>
        <v/>
      </c>
      <c r="I18" s="34">
        <f>I15-I17</f>
        <v/>
      </c>
      <c r="J18" s="34">
        <f>J15-J17</f>
        <v/>
      </c>
      <c r="K18" s="34">
        <f>K15-K17</f>
        <v/>
      </c>
      <c r="L18" s="34">
        <f>L15-L17</f>
        <v/>
      </c>
      <c r="M18" s="34">
        <f>M15-M17</f>
        <v/>
      </c>
      <c r="N18" s="34">
        <f>N15-N17</f>
        <v/>
      </c>
      <c r="O18" s="34">
        <f>O15-O17</f>
        <v/>
      </c>
      <c r="P18" s="34">
        <f>P15-P17</f>
        <v/>
      </c>
      <c r="Q18" s="34">
        <f>Q15-Q17</f>
        <v/>
      </c>
      <c r="R18" s="35">
        <f>SUM(B18:Q18)</f>
        <v/>
      </c>
      <c r="S18" s="36" t="inlineStr">
        <is>
          <t>营业利润 − 净利息费用</t>
        </is>
      </c>
    </row>
    <row r="19" ht="20" customHeight="1">
      <c r="A19" s="37" t="inlineStr">
        <is>
          <t>所得税</t>
        </is>
      </c>
      <c r="B19" s="38">
        <f>'原始数据'!AC7</f>
        <v/>
      </c>
      <c r="C19" s="38">
        <f>'原始数据'!AC8</f>
        <v/>
      </c>
      <c r="D19" s="38">
        <f>'原始数据'!AC9</f>
        <v/>
      </c>
      <c r="E19" s="38">
        <f>'原始数据'!AC10</f>
        <v/>
      </c>
      <c r="F19" s="38">
        <f>'原始数据'!AC11</f>
        <v/>
      </c>
      <c r="G19" s="38">
        <f>'原始数据'!AC12</f>
        <v/>
      </c>
      <c r="H19" s="38">
        <f>'原始数据'!AC13</f>
        <v/>
      </c>
      <c r="I19" s="38">
        <f>'原始数据'!AC14</f>
        <v/>
      </c>
      <c r="J19" s="38">
        <f>'原始数据'!AC15</f>
        <v/>
      </c>
      <c r="K19" s="38">
        <f>'原始数据'!AC16</f>
        <v/>
      </c>
      <c r="L19" s="38">
        <f>'原始数据'!AC17</f>
        <v/>
      </c>
      <c r="M19" s="38">
        <f>'原始数据'!AC18</f>
        <v/>
      </c>
      <c r="N19" s="38">
        <f>'原始数据'!AC19</f>
        <v/>
      </c>
      <c r="O19" s="38">
        <f>'原始数据'!AC20</f>
        <v/>
      </c>
      <c r="P19" s="38">
        <f>'原始数据'!AC21</f>
        <v/>
      </c>
      <c r="Q19" s="38">
        <f>'原始数据'!AC22</f>
        <v/>
      </c>
      <c r="R19" s="35">
        <f>SUM(B19:Q19)</f>
        <v/>
      </c>
      <c r="S19" s="36" t="inlineStr">
        <is>
          <t>原始数据 AC 列（15%，亏损不征）</t>
        </is>
      </c>
    </row>
    <row r="20" ht="20" customHeight="1">
      <c r="A20" s="33" t="inlineStr">
        <is>
          <t>净利润</t>
        </is>
      </c>
      <c r="B20" s="34">
        <f>B18-B19</f>
        <v/>
      </c>
      <c r="C20" s="34">
        <f>C18-C19</f>
        <v/>
      </c>
      <c r="D20" s="34">
        <f>D18-D19</f>
        <v/>
      </c>
      <c r="E20" s="34">
        <f>E18-E19</f>
        <v/>
      </c>
      <c r="F20" s="34">
        <f>F18-F19</f>
        <v/>
      </c>
      <c r="G20" s="34">
        <f>G18-G19</f>
        <v/>
      </c>
      <c r="H20" s="34">
        <f>H18-H19</f>
        <v/>
      </c>
      <c r="I20" s="34">
        <f>I18-I19</f>
        <v/>
      </c>
      <c r="J20" s="34">
        <f>J18-J19</f>
        <v/>
      </c>
      <c r="K20" s="34">
        <f>K18-K19</f>
        <v/>
      </c>
      <c r="L20" s="34">
        <f>L18-L19</f>
        <v/>
      </c>
      <c r="M20" s="34">
        <f>M18-M19</f>
        <v/>
      </c>
      <c r="N20" s="34">
        <f>N18-N19</f>
        <v/>
      </c>
      <c r="O20" s="34">
        <f>O18-O19</f>
        <v/>
      </c>
      <c r="P20" s="34">
        <f>P18-P19</f>
        <v/>
      </c>
      <c r="Q20" s="34">
        <f>Q18-Q19</f>
        <v/>
      </c>
      <c r="R20" s="35">
        <f>SUM(B20:Q20)</f>
        <v/>
      </c>
      <c r="S20" s="36" t="inlineStr">
        <is>
          <t>税前利润 − 所得税</t>
        </is>
      </c>
    </row>
    <row r="21" ht="20" customHeight="1">
      <c r="A21" s="37" t="inlineStr">
        <is>
          <t>净利率</t>
        </is>
      </c>
      <c r="B21" s="39">
        <f>IFERROR(B20/B6,0)</f>
        <v/>
      </c>
      <c r="C21" s="39">
        <f>IFERROR(C20/C6,0)</f>
        <v/>
      </c>
      <c r="D21" s="39">
        <f>IFERROR(D20/D6,0)</f>
        <v/>
      </c>
      <c r="E21" s="39">
        <f>IFERROR(E20/E6,0)</f>
        <v/>
      </c>
      <c r="F21" s="39">
        <f>IFERROR(F20/F6,0)</f>
        <v/>
      </c>
      <c r="G21" s="39">
        <f>IFERROR(G20/G6,0)</f>
        <v/>
      </c>
      <c r="H21" s="39">
        <f>IFERROR(H20/H6,0)</f>
        <v/>
      </c>
      <c r="I21" s="39">
        <f>IFERROR(I20/I6,0)</f>
        <v/>
      </c>
      <c r="J21" s="39">
        <f>IFERROR(J20/J6,0)</f>
        <v/>
      </c>
      <c r="K21" s="39">
        <f>IFERROR(K20/K6,0)</f>
        <v/>
      </c>
      <c r="L21" s="39">
        <f>IFERROR(L20/L6,0)</f>
        <v/>
      </c>
      <c r="M21" s="39">
        <f>IFERROR(M20/M6,0)</f>
        <v/>
      </c>
      <c r="N21" s="39">
        <f>IFERROR(N20/N6,0)</f>
        <v/>
      </c>
      <c r="O21" s="39">
        <f>IFERROR(O20/O6,0)</f>
        <v/>
      </c>
      <c r="P21" s="39">
        <f>IFERROR(P20/P6,0)</f>
        <v/>
      </c>
      <c r="Q21" s="39">
        <f>IFERROR(Q20/Q6,0)</f>
        <v/>
      </c>
      <c r="R21" s="40">
        <f>IFERROR(R20/R6,0)</f>
        <v/>
      </c>
      <c r="S21" s="36" t="inlineStr">
        <is>
          <t>净利润 ÷ 营业收入</t>
        </is>
      </c>
    </row>
    <row r="22" ht="20" customHeight="1">
      <c r="A22" s="37" t="inlineStr">
        <is>
          <t>校验：净利润 − 引擎值</t>
        </is>
      </c>
      <c r="B22" s="38">
        <f>B20-'原始数据'!AD7</f>
        <v/>
      </c>
      <c r="C22" s="38">
        <f>C20-'原始数据'!AD8</f>
        <v/>
      </c>
      <c r="D22" s="38">
        <f>D20-'原始数据'!AD9</f>
        <v/>
      </c>
      <c r="E22" s="38">
        <f>E20-'原始数据'!AD10</f>
        <v/>
      </c>
      <c r="F22" s="38">
        <f>F20-'原始数据'!AD11</f>
        <v/>
      </c>
      <c r="G22" s="38">
        <f>G20-'原始数据'!AD12</f>
        <v/>
      </c>
      <c r="H22" s="38">
        <f>H20-'原始数据'!AD13</f>
        <v/>
      </c>
      <c r="I22" s="38">
        <f>I20-'原始数据'!AD14</f>
        <v/>
      </c>
      <c r="J22" s="38">
        <f>J20-'原始数据'!AD15</f>
        <v/>
      </c>
      <c r="K22" s="38">
        <f>K20-'原始数据'!AD16</f>
        <v/>
      </c>
      <c r="L22" s="38">
        <f>L20-'原始数据'!AD17</f>
        <v/>
      </c>
      <c r="M22" s="38">
        <f>M20-'原始数据'!AD18</f>
        <v/>
      </c>
      <c r="N22" s="38">
        <f>N20-'原始数据'!AD19</f>
        <v/>
      </c>
      <c r="O22" s="38">
        <f>O20-'原始数据'!AD20</f>
        <v/>
      </c>
      <c r="P22" s="38">
        <f>P20-'原始数据'!AD21</f>
        <v/>
      </c>
      <c r="Q22" s="38">
        <f>Q20-'原始数据'!AD22</f>
        <v/>
      </c>
      <c r="R22" s="35">
        <f>SUM(B22:Q22)</f>
        <v/>
      </c>
      <c r="S22" s="36" t="inlineStr">
        <is>
          <t>应为 0；用于验证公式</t>
        </is>
      </c>
    </row>
    <row r="24">
      <c r="A24" s="41" t="inlineStr">
        <is>
          <t>读表提示</t>
        </is>
      </c>
    </row>
    <row r="25">
      <c r="A25" s="18" t="inlineStr">
        <is>
          <t>• 毛利率在 Q2–Q4 为负，是价格跌破完全成本、且存货按市价 95% 计提跌价的结果；跌价不转回，会在复苏期转化为更高毛利。</t>
        </is>
      </c>
    </row>
    <row r="26">
      <c r="A26" s="18" t="inlineStr">
        <is>
          <t>• 研发费用 Q1 为 3.80（基础 0.8 + HBM 3.0），Q2 起回到 0.80；这是 Q1 账面亏损的主因，不是经营恶化。</t>
        </is>
      </c>
    </row>
    <row r="27">
      <c r="A27" s="18" t="inlineStr">
        <is>
          <t>• 营业利润、税前利润、净利润均为公式；修改“原始数据”任一输入，三行自动重算。</t>
        </is>
      </c>
    </row>
  </sheetData>
  <mergeCells count="6">
    <mergeCell ref="A25:S25"/>
    <mergeCell ref="A1:S1"/>
    <mergeCell ref="A27:S27"/>
    <mergeCell ref="A26:S26"/>
    <mergeCell ref="A24:S24"/>
    <mergeCell ref="A2:S2"/>
  </mergeCells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3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2" customWidth="1" min="18" max="18"/>
    <col width="46" customWidth="1" min="19" max="19"/>
  </cols>
  <sheetData>
    <row r="1" ht="34" customHeight="1">
      <c r="A1" s="16" t="inlineStr">
        <is>
          <t>资产负债表（逐季末）</t>
        </is>
      </c>
    </row>
    <row r="2" ht="20" customHeight="1">
      <c r="A2" s="17" t="inlineStr">
        <is>
          <t>单位：十亿美元；比率除外。绿色为公式格，自动引用“原始数据”。</t>
        </is>
      </c>
    </row>
    <row r="5" ht="26" customHeight="1">
      <c r="A5" s="24" t="inlineStr">
        <is>
          <t>项目</t>
        </is>
      </c>
      <c r="B5" s="24" t="inlineStr">
        <is>
          <t>Q1</t>
        </is>
      </c>
      <c r="C5" s="24" t="inlineStr">
        <is>
          <t>Q2</t>
        </is>
      </c>
      <c r="D5" s="24" t="inlineStr">
        <is>
          <t>Q3</t>
        </is>
      </c>
      <c r="E5" s="24" t="inlineStr">
        <is>
          <t>Q4</t>
        </is>
      </c>
      <c r="F5" s="24" t="inlineStr">
        <is>
          <t>Q5</t>
        </is>
      </c>
      <c r="G5" s="24" t="inlineStr">
        <is>
          <t>Q6</t>
        </is>
      </c>
      <c r="H5" s="24" t="inlineStr">
        <is>
          <t>Q7</t>
        </is>
      </c>
      <c r="I5" s="24" t="inlineStr">
        <is>
          <t>Q8</t>
        </is>
      </c>
      <c r="J5" s="24" t="inlineStr">
        <is>
          <t>Q9</t>
        </is>
      </c>
      <c r="K5" s="24" t="inlineStr">
        <is>
          <t>Q10</t>
        </is>
      </c>
      <c r="L5" s="24" t="inlineStr">
        <is>
          <t>Q11</t>
        </is>
      </c>
      <c r="M5" s="24" t="inlineStr">
        <is>
          <t>Q12</t>
        </is>
      </c>
      <c r="N5" s="24" t="inlineStr">
        <is>
          <t>Q13</t>
        </is>
      </c>
      <c r="O5" s="24" t="inlineStr">
        <is>
          <t>Q14</t>
        </is>
      </c>
      <c r="P5" s="24" t="inlineStr">
        <is>
          <t>Q15</t>
        </is>
      </c>
      <c r="Q5" s="24" t="inlineStr">
        <is>
          <t>Q16</t>
        </is>
      </c>
      <c r="R5" s="24" t="inlineStr">
        <is>
          <t>Q16 / 期末</t>
        </is>
      </c>
      <c r="S5" s="24" t="inlineStr">
        <is>
          <t>说明 / 公式</t>
        </is>
      </c>
    </row>
    <row r="6" ht="20" customHeight="1">
      <c r="A6" s="37" t="inlineStr">
        <is>
          <t>货币资金</t>
        </is>
      </c>
      <c r="B6" s="38">
        <f>'原始数据'!AI7</f>
        <v/>
      </c>
      <c r="C6" s="38">
        <f>'原始数据'!AI8</f>
        <v/>
      </c>
      <c r="D6" s="38">
        <f>'原始数据'!AI9</f>
        <v/>
      </c>
      <c r="E6" s="38">
        <f>'原始数据'!AI10</f>
        <v/>
      </c>
      <c r="F6" s="38">
        <f>'原始数据'!AI11</f>
        <v/>
      </c>
      <c r="G6" s="38">
        <f>'原始数据'!AI12</f>
        <v/>
      </c>
      <c r="H6" s="38">
        <f>'原始数据'!AI13</f>
        <v/>
      </c>
      <c r="I6" s="38">
        <f>'原始数据'!AI14</f>
        <v/>
      </c>
      <c r="J6" s="38">
        <f>'原始数据'!AI15</f>
        <v/>
      </c>
      <c r="K6" s="38">
        <f>'原始数据'!AI16</f>
        <v/>
      </c>
      <c r="L6" s="38">
        <f>'原始数据'!AI17</f>
        <v/>
      </c>
      <c r="M6" s="38">
        <f>'原始数据'!AI18</f>
        <v/>
      </c>
      <c r="N6" s="38">
        <f>'原始数据'!AI19</f>
        <v/>
      </c>
      <c r="O6" s="38">
        <f>'原始数据'!AI20</f>
        <v/>
      </c>
      <c r="P6" s="38">
        <f>'原始数据'!AI21</f>
        <v/>
      </c>
      <c r="Q6" s="38">
        <f>'原始数据'!AI22</f>
        <v/>
      </c>
      <c r="R6" s="35">
        <f>Q6</f>
        <v/>
      </c>
      <c r="S6" s="36" t="inlineStr">
        <is>
          <t>原始数据 AI 列</t>
        </is>
      </c>
    </row>
    <row r="7" ht="20" customHeight="1">
      <c r="A7" s="37" t="inlineStr">
        <is>
          <t>存货</t>
        </is>
      </c>
      <c r="B7" s="38">
        <f>'原始数据'!AJ7</f>
        <v/>
      </c>
      <c r="C7" s="38">
        <f>'原始数据'!AJ8</f>
        <v/>
      </c>
      <c r="D7" s="38">
        <f>'原始数据'!AJ9</f>
        <v/>
      </c>
      <c r="E7" s="38">
        <f>'原始数据'!AJ10</f>
        <v/>
      </c>
      <c r="F7" s="38">
        <f>'原始数据'!AJ11</f>
        <v/>
      </c>
      <c r="G7" s="38">
        <f>'原始数据'!AJ12</f>
        <v/>
      </c>
      <c r="H7" s="38">
        <f>'原始数据'!AJ13</f>
        <v/>
      </c>
      <c r="I7" s="38">
        <f>'原始数据'!AJ14</f>
        <v/>
      </c>
      <c r="J7" s="38">
        <f>'原始数据'!AJ15</f>
        <v/>
      </c>
      <c r="K7" s="38">
        <f>'原始数据'!AJ16</f>
        <v/>
      </c>
      <c r="L7" s="38">
        <f>'原始数据'!AJ17</f>
        <v/>
      </c>
      <c r="M7" s="38">
        <f>'原始数据'!AJ18</f>
        <v/>
      </c>
      <c r="N7" s="38">
        <f>'原始数据'!AJ19</f>
        <v/>
      </c>
      <c r="O7" s="38">
        <f>'原始数据'!AJ20</f>
        <v/>
      </c>
      <c r="P7" s="38">
        <f>'原始数据'!AJ21</f>
        <v/>
      </c>
      <c r="Q7" s="38">
        <f>'原始数据'!AJ22</f>
        <v/>
      </c>
      <c r="R7" s="35">
        <f>Q7</f>
        <v/>
      </c>
      <c r="S7" s="36" t="inlineStr">
        <is>
          <t>原始数据 AJ 列（已计提跌价后的净额）</t>
        </is>
      </c>
    </row>
    <row r="8" ht="20" customHeight="1">
      <c r="A8" s="37" t="inlineStr">
        <is>
          <t>流动资产合计</t>
        </is>
      </c>
      <c r="B8" s="38">
        <f>B6+B7</f>
        <v/>
      </c>
      <c r="C8" s="38">
        <f>C6+C7</f>
        <v/>
      </c>
      <c r="D8" s="38">
        <f>D6+D7</f>
        <v/>
      </c>
      <c r="E8" s="38">
        <f>E6+E7</f>
        <v/>
      </c>
      <c r="F8" s="38">
        <f>F6+F7</f>
        <v/>
      </c>
      <c r="G8" s="38">
        <f>G6+G7</f>
        <v/>
      </c>
      <c r="H8" s="38">
        <f>H6+H7</f>
        <v/>
      </c>
      <c r="I8" s="38">
        <f>I6+I7</f>
        <v/>
      </c>
      <c r="J8" s="38">
        <f>J6+J7</f>
        <v/>
      </c>
      <c r="K8" s="38">
        <f>K6+K7</f>
        <v/>
      </c>
      <c r="L8" s="38">
        <f>L6+L7</f>
        <v/>
      </c>
      <c r="M8" s="38">
        <f>M6+M7</f>
        <v/>
      </c>
      <c r="N8" s="38">
        <f>N6+N7</f>
        <v/>
      </c>
      <c r="O8" s="38">
        <f>O6+O7</f>
        <v/>
      </c>
      <c r="P8" s="38">
        <f>P6+P7</f>
        <v/>
      </c>
      <c r="Q8" s="38">
        <f>Q6+Q7</f>
        <v/>
      </c>
      <c r="R8" s="35">
        <f>Q8</f>
        <v/>
      </c>
      <c r="S8" s="36" t="inlineStr">
        <is>
          <t>货币资金 + 存货</t>
        </is>
      </c>
    </row>
    <row r="9" ht="20" customHeight="1">
      <c r="A9" s="37" t="inlineStr">
        <is>
          <t>净固定资产</t>
        </is>
      </c>
      <c r="B9" s="38">
        <f>'原始数据'!AK7</f>
        <v/>
      </c>
      <c r="C9" s="38">
        <f>'原始数据'!AK8</f>
        <v/>
      </c>
      <c r="D9" s="38">
        <f>'原始数据'!AK9</f>
        <v/>
      </c>
      <c r="E9" s="38">
        <f>'原始数据'!AK10</f>
        <v/>
      </c>
      <c r="F9" s="38">
        <f>'原始数据'!AK11</f>
        <v/>
      </c>
      <c r="G9" s="38">
        <f>'原始数据'!AK12</f>
        <v/>
      </c>
      <c r="H9" s="38">
        <f>'原始数据'!AK13</f>
        <v/>
      </c>
      <c r="I9" s="38">
        <f>'原始数据'!AK14</f>
        <v/>
      </c>
      <c r="J9" s="38">
        <f>'原始数据'!AK15</f>
        <v/>
      </c>
      <c r="K9" s="38">
        <f>'原始数据'!AK16</f>
        <v/>
      </c>
      <c r="L9" s="38">
        <f>'原始数据'!AK17</f>
        <v/>
      </c>
      <c r="M9" s="38">
        <f>'原始数据'!AK18</f>
        <v/>
      </c>
      <c r="N9" s="38">
        <f>'原始数据'!AK19</f>
        <v/>
      </c>
      <c r="O9" s="38">
        <f>'原始数据'!AK20</f>
        <v/>
      </c>
      <c r="P9" s="38">
        <f>'原始数据'!AK21</f>
        <v/>
      </c>
      <c r="Q9" s="38">
        <f>'原始数据'!AK22</f>
        <v/>
      </c>
      <c r="R9" s="35">
        <f>Q9</f>
        <v/>
      </c>
      <c r="S9" s="36" t="inlineStr">
        <is>
          <t>原始数据 AK 列（原值 − 累计折旧）</t>
        </is>
      </c>
    </row>
    <row r="10" ht="20" customHeight="1">
      <c r="A10" s="33" t="inlineStr">
        <is>
          <t>总资产</t>
        </is>
      </c>
      <c r="B10" s="34">
        <f>B8+B9</f>
        <v/>
      </c>
      <c r="C10" s="34">
        <f>C8+C9</f>
        <v/>
      </c>
      <c r="D10" s="34">
        <f>D8+D9</f>
        <v/>
      </c>
      <c r="E10" s="34">
        <f>E8+E9</f>
        <v/>
      </c>
      <c r="F10" s="34">
        <f>F8+F9</f>
        <v/>
      </c>
      <c r="G10" s="34">
        <f>G8+G9</f>
        <v/>
      </c>
      <c r="H10" s="34">
        <f>H8+H9</f>
        <v/>
      </c>
      <c r="I10" s="34">
        <f>I8+I9</f>
        <v/>
      </c>
      <c r="J10" s="34">
        <f>J8+J9</f>
        <v/>
      </c>
      <c r="K10" s="34">
        <f>K8+K9</f>
        <v/>
      </c>
      <c r="L10" s="34">
        <f>L8+L9</f>
        <v/>
      </c>
      <c r="M10" s="34">
        <f>M8+M9</f>
        <v/>
      </c>
      <c r="N10" s="34">
        <f>N8+N9</f>
        <v/>
      </c>
      <c r="O10" s="34">
        <f>O8+O9</f>
        <v/>
      </c>
      <c r="P10" s="34">
        <f>P8+P9</f>
        <v/>
      </c>
      <c r="Q10" s="34">
        <f>Q8+Q9</f>
        <v/>
      </c>
      <c r="R10" s="35">
        <f>Q10</f>
        <v/>
      </c>
      <c r="S10" s="36" t="inlineStr">
        <is>
          <t>流动资产合计 + 净固定资产</t>
        </is>
      </c>
    </row>
    <row r="12" ht="20" customHeight="1">
      <c r="A12" s="37" t="inlineStr">
        <is>
          <t>银行借款</t>
        </is>
      </c>
      <c r="B12" s="38">
        <f>'原始数据'!AM7</f>
        <v/>
      </c>
      <c r="C12" s="38">
        <f>'原始数据'!AM8</f>
        <v/>
      </c>
      <c r="D12" s="38">
        <f>'原始数据'!AM9</f>
        <v/>
      </c>
      <c r="E12" s="38">
        <f>'原始数据'!AM10</f>
        <v/>
      </c>
      <c r="F12" s="38">
        <f>'原始数据'!AM11</f>
        <v/>
      </c>
      <c r="G12" s="38">
        <f>'原始数据'!AM12</f>
        <v/>
      </c>
      <c r="H12" s="38">
        <f>'原始数据'!AM13</f>
        <v/>
      </c>
      <c r="I12" s="38">
        <f>'原始数据'!AM14</f>
        <v/>
      </c>
      <c r="J12" s="38">
        <f>'原始数据'!AM15</f>
        <v/>
      </c>
      <c r="K12" s="38">
        <f>'原始数据'!AM16</f>
        <v/>
      </c>
      <c r="L12" s="38">
        <f>'原始数据'!AM17</f>
        <v/>
      </c>
      <c r="M12" s="38">
        <f>'原始数据'!AM18</f>
        <v/>
      </c>
      <c r="N12" s="38">
        <f>'原始数据'!AM19</f>
        <v/>
      </c>
      <c r="O12" s="38">
        <f>'原始数据'!AM20</f>
        <v/>
      </c>
      <c r="P12" s="38">
        <f>'原始数据'!AM21</f>
        <v/>
      </c>
      <c r="Q12" s="38">
        <f>'原始数据'!AM22</f>
        <v/>
      </c>
      <c r="R12" s="35">
        <f>Q12</f>
        <v/>
      </c>
      <c r="S12" s="36" t="inlineStr">
        <is>
          <t>原始数据 AM 列</t>
        </is>
      </c>
    </row>
    <row r="13" ht="20" customHeight="1">
      <c r="A13" s="37" t="inlineStr">
        <is>
          <t>紧急授信</t>
        </is>
      </c>
      <c r="B13" s="38">
        <f>'原始数据'!AN7</f>
        <v/>
      </c>
      <c r="C13" s="38">
        <f>'原始数据'!AN8</f>
        <v/>
      </c>
      <c r="D13" s="38">
        <f>'原始数据'!AN9</f>
        <v/>
      </c>
      <c r="E13" s="38">
        <f>'原始数据'!AN10</f>
        <v/>
      </c>
      <c r="F13" s="38">
        <f>'原始数据'!AN11</f>
        <v/>
      </c>
      <c r="G13" s="38">
        <f>'原始数据'!AN12</f>
        <v/>
      </c>
      <c r="H13" s="38">
        <f>'原始数据'!AN13</f>
        <v/>
      </c>
      <c r="I13" s="38">
        <f>'原始数据'!AN14</f>
        <v/>
      </c>
      <c r="J13" s="38">
        <f>'原始数据'!AN15</f>
        <v/>
      </c>
      <c r="K13" s="38">
        <f>'原始数据'!AN16</f>
        <v/>
      </c>
      <c r="L13" s="38">
        <f>'原始数据'!AN17</f>
        <v/>
      </c>
      <c r="M13" s="38">
        <f>'原始数据'!AN18</f>
        <v/>
      </c>
      <c r="N13" s="38">
        <f>'原始数据'!AN19</f>
        <v/>
      </c>
      <c r="O13" s="38">
        <f>'原始数据'!AN20</f>
        <v/>
      </c>
      <c r="P13" s="38">
        <f>'原始数据'!AN21</f>
        <v/>
      </c>
      <c r="Q13" s="38">
        <f>'原始数据'!AN22</f>
        <v/>
      </c>
      <c r="R13" s="35">
        <f>Q13</f>
        <v/>
      </c>
      <c r="S13" s="36" t="inlineStr">
        <is>
          <t>原始数据 AN 列（本局全程为 0）</t>
        </is>
      </c>
    </row>
    <row r="14" ht="20" customHeight="1">
      <c r="A14" s="37" t="inlineStr">
        <is>
          <t>负债合计</t>
        </is>
      </c>
      <c r="B14" s="38">
        <f>B12+B13</f>
        <v/>
      </c>
      <c r="C14" s="38">
        <f>C12+C13</f>
        <v/>
      </c>
      <c r="D14" s="38">
        <f>D12+D13</f>
        <v/>
      </c>
      <c r="E14" s="38">
        <f>E12+E13</f>
        <v/>
      </c>
      <c r="F14" s="38">
        <f>F12+F13</f>
        <v/>
      </c>
      <c r="G14" s="38">
        <f>G12+G13</f>
        <v/>
      </c>
      <c r="H14" s="38">
        <f>H12+H13</f>
        <v/>
      </c>
      <c r="I14" s="38">
        <f>I12+I13</f>
        <v/>
      </c>
      <c r="J14" s="38">
        <f>J12+J13</f>
        <v/>
      </c>
      <c r="K14" s="38">
        <f>K12+K13</f>
        <v/>
      </c>
      <c r="L14" s="38">
        <f>L12+L13</f>
        <v/>
      </c>
      <c r="M14" s="38">
        <f>M12+M13</f>
        <v/>
      </c>
      <c r="N14" s="38">
        <f>N12+N13</f>
        <v/>
      </c>
      <c r="O14" s="38">
        <f>O12+O13</f>
        <v/>
      </c>
      <c r="P14" s="38">
        <f>P12+P13</f>
        <v/>
      </c>
      <c r="Q14" s="38">
        <f>Q12+Q13</f>
        <v/>
      </c>
      <c r="R14" s="35">
        <f>Q14</f>
        <v/>
      </c>
      <c r="S14" s="36" t="inlineStr">
        <is>
          <t>银行借款 + 紧急授信</t>
        </is>
      </c>
    </row>
    <row r="16" ht="20" customHeight="1">
      <c r="A16" s="33" t="inlineStr">
        <is>
          <t>股东权益</t>
        </is>
      </c>
      <c r="B16" s="34">
        <f>'原始数据'!AO7</f>
        <v/>
      </c>
      <c r="C16" s="34">
        <f>'原始数据'!AO8</f>
        <v/>
      </c>
      <c r="D16" s="34">
        <f>'原始数据'!AO9</f>
        <v/>
      </c>
      <c r="E16" s="34">
        <f>'原始数据'!AO10</f>
        <v/>
      </c>
      <c r="F16" s="34">
        <f>'原始数据'!AO11</f>
        <v/>
      </c>
      <c r="G16" s="34">
        <f>'原始数据'!AO12</f>
        <v/>
      </c>
      <c r="H16" s="34">
        <f>'原始数据'!AO13</f>
        <v/>
      </c>
      <c r="I16" s="34">
        <f>'原始数据'!AO14</f>
        <v/>
      </c>
      <c r="J16" s="34">
        <f>'原始数据'!AO15</f>
        <v/>
      </c>
      <c r="K16" s="34">
        <f>'原始数据'!AO16</f>
        <v/>
      </c>
      <c r="L16" s="34">
        <f>'原始数据'!AO17</f>
        <v/>
      </c>
      <c r="M16" s="34">
        <f>'原始数据'!AO18</f>
        <v/>
      </c>
      <c r="N16" s="34">
        <f>'原始数据'!AO19</f>
        <v/>
      </c>
      <c r="O16" s="34">
        <f>'原始数据'!AO20</f>
        <v/>
      </c>
      <c r="P16" s="34">
        <f>'原始数据'!AO21</f>
        <v/>
      </c>
      <c r="Q16" s="34">
        <f>'原始数据'!AO22</f>
        <v/>
      </c>
      <c r="R16" s="35">
        <f>Q16</f>
        <v/>
      </c>
      <c r="S16" s="36" t="inlineStr">
        <is>
          <t>原始数据 AO 列（总资产 − 负债）</t>
        </is>
      </c>
    </row>
    <row r="17" ht="20" customHeight="1">
      <c r="A17" s="33" t="inlineStr">
        <is>
          <t>负债和股东权益合计</t>
        </is>
      </c>
      <c r="B17" s="34">
        <f>B14+B16</f>
        <v/>
      </c>
      <c r="C17" s="34">
        <f>C14+C16</f>
        <v/>
      </c>
      <c r="D17" s="34">
        <f>D14+D16</f>
        <v/>
      </c>
      <c r="E17" s="34">
        <f>E14+E16</f>
        <v/>
      </c>
      <c r="F17" s="34">
        <f>F14+F16</f>
        <v/>
      </c>
      <c r="G17" s="34">
        <f>G14+G16</f>
        <v/>
      </c>
      <c r="H17" s="34">
        <f>H14+H16</f>
        <v/>
      </c>
      <c r="I17" s="34">
        <f>I14+I16</f>
        <v/>
      </c>
      <c r="J17" s="34">
        <f>J14+J16</f>
        <v/>
      </c>
      <c r="K17" s="34">
        <f>K14+K16</f>
        <v/>
      </c>
      <c r="L17" s="34">
        <f>L14+L16</f>
        <v/>
      </c>
      <c r="M17" s="34">
        <f>M14+M16</f>
        <v/>
      </c>
      <c r="N17" s="34">
        <f>N14+N16</f>
        <v/>
      </c>
      <c r="O17" s="34">
        <f>O14+O16</f>
        <v/>
      </c>
      <c r="P17" s="34">
        <f>P14+P16</f>
        <v/>
      </c>
      <c r="Q17" s="34">
        <f>Q14+Q16</f>
        <v/>
      </c>
      <c r="R17" s="35">
        <f>Q17</f>
        <v/>
      </c>
      <c r="S17" s="36" t="inlineStr">
        <is>
          <t>负债合计 + 股东权益</t>
        </is>
      </c>
    </row>
    <row r="19" ht="20" customHeight="1">
      <c r="A19" s="37" t="inlineStr">
        <is>
          <t>资产平衡检查</t>
        </is>
      </c>
      <c r="B19" s="38">
        <f>B10-B17</f>
        <v/>
      </c>
      <c r="C19" s="38">
        <f>C10-C17</f>
        <v/>
      </c>
      <c r="D19" s="38">
        <f>D10-D17</f>
        <v/>
      </c>
      <c r="E19" s="38">
        <f>E10-E17</f>
        <v/>
      </c>
      <c r="F19" s="38">
        <f>F10-F17</f>
        <v/>
      </c>
      <c r="G19" s="38">
        <f>G10-G17</f>
        <v/>
      </c>
      <c r="H19" s="38">
        <f>H10-H17</f>
        <v/>
      </c>
      <c r="I19" s="38">
        <f>I10-I17</f>
        <v/>
      </c>
      <c r="J19" s="38">
        <f>J10-J17</f>
        <v/>
      </c>
      <c r="K19" s="38">
        <f>K10-K17</f>
        <v/>
      </c>
      <c r="L19" s="38">
        <f>L10-L17</f>
        <v/>
      </c>
      <c r="M19" s="38">
        <f>M10-M17</f>
        <v/>
      </c>
      <c r="N19" s="38">
        <f>N10-N17</f>
        <v/>
      </c>
      <c r="O19" s="38">
        <f>O10-O17</f>
        <v/>
      </c>
      <c r="P19" s="38">
        <f>P10-P17</f>
        <v/>
      </c>
      <c r="Q19" s="38">
        <f>Q10-Q17</f>
        <v/>
      </c>
      <c r="R19" s="35">
        <f>MAX(MAX(B19:Q19),-MIN(B19:Q19))</f>
        <v/>
      </c>
      <c r="S19" s="36" t="inlineStr">
        <is>
          <t>总资产 − 负债和股东权益；应为 0</t>
        </is>
      </c>
    </row>
    <row r="20" ht="20" customHeight="1">
      <c r="A20" s="37" t="inlineStr">
        <is>
          <t>与引擎总资产差异</t>
        </is>
      </c>
      <c r="B20" s="38">
        <f>B10-'原始数据'!AL7</f>
        <v/>
      </c>
      <c r="C20" s="38">
        <f>C10-'原始数据'!AL8</f>
        <v/>
      </c>
      <c r="D20" s="38">
        <f>D10-'原始数据'!AL9</f>
        <v/>
      </c>
      <c r="E20" s="38">
        <f>E10-'原始数据'!AL10</f>
        <v/>
      </c>
      <c r="F20" s="38">
        <f>F10-'原始数据'!AL11</f>
        <v/>
      </c>
      <c r="G20" s="38">
        <f>G10-'原始数据'!AL12</f>
        <v/>
      </c>
      <c r="H20" s="38">
        <f>H10-'原始数据'!AL13</f>
        <v/>
      </c>
      <c r="I20" s="38">
        <f>I10-'原始数据'!AL14</f>
        <v/>
      </c>
      <c r="J20" s="38">
        <f>J10-'原始数据'!AL15</f>
        <v/>
      </c>
      <c r="K20" s="38">
        <f>K10-'原始数据'!AL16</f>
        <v/>
      </c>
      <c r="L20" s="38">
        <f>L10-'原始数据'!AL17</f>
        <v/>
      </c>
      <c r="M20" s="38">
        <f>M10-'原始数据'!AL18</f>
        <v/>
      </c>
      <c r="N20" s="38">
        <f>N10-'原始数据'!AL19</f>
        <v/>
      </c>
      <c r="O20" s="38">
        <f>O10-'原始数据'!AL20</f>
        <v/>
      </c>
      <c r="P20" s="38">
        <f>P10-'原始数据'!AL21</f>
        <v/>
      </c>
      <c r="Q20" s="38">
        <f>Q10-'原始数据'!AL22</f>
        <v/>
      </c>
      <c r="R20" s="35">
        <f>MAX(MAX(B20:Q20),-MIN(B20:Q20))</f>
        <v/>
      </c>
      <c r="S20" s="36" t="inlineStr">
        <is>
          <t>总资产 − 原始数据 AL；应为 0</t>
        </is>
      </c>
    </row>
    <row r="22" ht="20" customHeight="1">
      <c r="A22" s="37" t="inlineStr">
        <is>
          <t>资产负债率</t>
        </is>
      </c>
      <c r="B22" s="39">
        <f>IFERROR(B14/B10,0)</f>
        <v/>
      </c>
      <c r="C22" s="39">
        <f>IFERROR(C14/C10,0)</f>
        <v/>
      </c>
      <c r="D22" s="39">
        <f>IFERROR(D14/D10,0)</f>
        <v/>
      </c>
      <c r="E22" s="39">
        <f>IFERROR(E14/E10,0)</f>
        <v/>
      </c>
      <c r="F22" s="39">
        <f>IFERROR(F14/F10,0)</f>
        <v/>
      </c>
      <c r="G22" s="39">
        <f>IFERROR(G14/G10,0)</f>
        <v/>
      </c>
      <c r="H22" s="39">
        <f>IFERROR(H14/H10,0)</f>
        <v/>
      </c>
      <c r="I22" s="39">
        <f>IFERROR(I14/I10,0)</f>
        <v/>
      </c>
      <c r="J22" s="39">
        <f>IFERROR(J14/J10,0)</f>
        <v/>
      </c>
      <c r="K22" s="39">
        <f>IFERROR(K14/K10,0)</f>
        <v/>
      </c>
      <c r="L22" s="39">
        <f>IFERROR(L14/L10,0)</f>
        <v/>
      </c>
      <c r="M22" s="39">
        <f>IFERROR(M14/M10,0)</f>
        <v/>
      </c>
      <c r="N22" s="39">
        <f>IFERROR(N14/N10,0)</f>
        <v/>
      </c>
      <c r="O22" s="39">
        <f>IFERROR(O14/O10,0)</f>
        <v/>
      </c>
      <c r="P22" s="39">
        <f>IFERROR(P14/P10,0)</f>
        <v/>
      </c>
      <c r="Q22" s="39">
        <f>IFERROR(Q14/Q10,0)</f>
        <v/>
      </c>
      <c r="R22" s="40">
        <f>Q22</f>
        <v/>
      </c>
      <c r="S22" s="36" t="inlineStr">
        <is>
          <t>负债合计 ÷ 总资产</t>
        </is>
      </c>
    </row>
    <row r="23" ht="20" customHeight="1">
      <c r="A23" s="37" t="inlineStr">
        <is>
          <t>净负债</t>
        </is>
      </c>
      <c r="B23" s="38">
        <f>B14-B6</f>
        <v/>
      </c>
      <c r="C23" s="38">
        <f>C14-C6</f>
        <v/>
      </c>
      <c r="D23" s="38">
        <f>D14-D6</f>
        <v/>
      </c>
      <c r="E23" s="38">
        <f>E14-E6</f>
        <v/>
      </c>
      <c r="F23" s="38">
        <f>F14-F6</f>
        <v/>
      </c>
      <c r="G23" s="38">
        <f>G14-G6</f>
        <v/>
      </c>
      <c r="H23" s="38">
        <f>H14-H6</f>
        <v/>
      </c>
      <c r="I23" s="38">
        <f>I14-I6</f>
        <v/>
      </c>
      <c r="J23" s="38">
        <f>J14-J6</f>
        <v/>
      </c>
      <c r="K23" s="38">
        <f>K14-K6</f>
        <v/>
      </c>
      <c r="L23" s="38">
        <f>L14-L6</f>
        <v/>
      </c>
      <c r="M23" s="38">
        <f>M14-M6</f>
        <v/>
      </c>
      <c r="N23" s="38">
        <f>N14-N6</f>
        <v/>
      </c>
      <c r="O23" s="38">
        <f>O14-O6</f>
        <v/>
      </c>
      <c r="P23" s="38">
        <f>P14-P6</f>
        <v/>
      </c>
      <c r="Q23" s="38">
        <f>Q14-Q6</f>
        <v/>
      </c>
      <c r="R23" s="35">
        <f>Q23</f>
        <v/>
      </c>
      <c r="S23" s="36" t="inlineStr">
        <is>
          <t>负债合计 − 货币资金；负数为净现金</t>
        </is>
      </c>
    </row>
    <row r="24" ht="20" customHeight="1">
      <c r="A24" s="37" t="inlineStr">
        <is>
          <t>净负债 / 股东权益</t>
        </is>
      </c>
      <c r="B24" s="39">
        <f>IFERROR(B23/B16,0)</f>
        <v/>
      </c>
      <c r="C24" s="39">
        <f>IFERROR(C23/C16,0)</f>
        <v/>
      </c>
      <c r="D24" s="39">
        <f>IFERROR(D23/D16,0)</f>
        <v/>
      </c>
      <c r="E24" s="39">
        <f>IFERROR(E23/E16,0)</f>
        <v/>
      </c>
      <c r="F24" s="39">
        <f>IFERROR(F23/F16,0)</f>
        <v/>
      </c>
      <c r="G24" s="39">
        <f>IFERROR(G23/G16,0)</f>
        <v/>
      </c>
      <c r="H24" s="39">
        <f>IFERROR(H23/H16,0)</f>
        <v/>
      </c>
      <c r="I24" s="39">
        <f>IFERROR(I23/I16,0)</f>
        <v/>
      </c>
      <c r="J24" s="39">
        <f>IFERROR(J23/J16,0)</f>
        <v/>
      </c>
      <c r="K24" s="39">
        <f>IFERROR(K23/K16,0)</f>
        <v/>
      </c>
      <c r="L24" s="39">
        <f>IFERROR(L23/L16,0)</f>
        <v/>
      </c>
      <c r="M24" s="39">
        <f>IFERROR(M23/M16,0)</f>
        <v/>
      </c>
      <c r="N24" s="39">
        <f>IFERROR(N23/N16,0)</f>
        <v/>
      </c>
      <c r="O24" s="39">
        <f>IFERROR(O23/O16,0)</f>
        <v/>
      </c>
      <c r="P24" s="39">
        <f>IFERROR(P23/P16,0)</f>
        <v/>
      </c>
      <c r="Q24" s="39">
        <f>IFERROR(Q23/Q16,0)</f>
        <v/>
      </c>
      <c r="R24" s="40">
        <f>Q24</f>
        <v/>
      </c>
      <c r="S24" s="36" t="inlineStr">
        <is>
          <t>净负债 ÷ 股东权益</t>
        </is>
      </c>
    </row>
    <row r="25" ht="20" customHeight="1">
      <c r="A25" s="37" t="inlineStr">
        <is>
          <t>流动比率</t>
        </is>
      </c>
      <c r="B25" s="42">
        <f>IF(B14=0,"—",B8/B14)</f>
        <v/>
      </c>
      <c r="C25" s="42">
        <f>IF(C14=0,"—",C8/C14)</f>
        <v/>
      </c>
      <c r="D25" s="42">
        <f>IF(D14=0,"—",D8/D14)</f>
        <v/>
      </c>
      <c r="E25" s="42">
        <f>IF(E14=0,"—",E8/E14)</f>
        <v/>
      </c>
      <c r="F25" s="42">
        <f>IF(F14=0,"—",F8/F14)</f>
        <v/>
      </c>
      <c r="G25" s="42">
        <f>IF(G14=0,"—",G8/G14)</f>
        <v/>
      </c>
      <c r="H25" s="42">
        <f>IF(H14=0,"—",H8/H14)</f>
        <v/>
      </c>
      <c r="I25" s="42">
        <f>IF(I14=0,"—",I8/I14)</f>
        <v/>
      </c>
      <c r="J25" s="42">
        <f>IF(J14=0,"—",J8/J14)</f>
        <v/>
      </c>
      <c r="K25" s="42">
        <f>IF(K14=0,"—",K8/K14)</f>
        <v/>
      </c>
      <c r="L25" s="42">
        <f>IF(L14=0,"—",L8/L14)</f>
        <v/>
      </c>
      <c r="M25" s="42">
        <f>IF(M14=0,"—",M8/M14)</f>
        <v/>
      </c>
      <c r="N25" s="42">
        <f>IF(N14=0,"—",N8/N14)</f>
        <v/>
      </c>
      <c r="O25" s="42">
        <f>IF(O14=0,"—",O8/O14)</f>
        <v/>
      </c>
      <c r="P25" s="42">
        <f>IF(P14=0,"—",P8/P14)</f>
        <v/>
      </c>
      <c r="Q25" s="42">
        <f>IF(Q14=0,"—",Q8/Q14)</f>
        <v/>
      </c>
      <c r="R25" s="43">
        <f>IF(Q14=0,"—",Q8/Q14)</f>
        <v/>
      </c>
      <c r="S25" s="36" t="inlineStr">
        <is>
          <t>流动资产合计 ÷ 负债合计</t>
        </is>
      </c>
    </row>
    <row r="27" ht="20" customHeight="1">
      <c r="A27" s="37" t="inlineStr">
        <is>
          <t>期末存货（千片）</t>
        </is>
      </c>
      <c r="B27" s="44">
        <f>'原始数据'!AP7</f>
        <v/>
      </c>
      <c r="C27" s="44">
        <f>'原始数据'!AP8</f>
        <v/>
      </c>
      <c r="D27" s="44">
        <f>'原始数据'!AP9</f>
        <v/>
      </c>
      <c r="E27" s="44">
        <f>'原始数据'!AP10</f>
        <v/>
      </c>
      <c r="F27" s="44">
        <f>'原始数据'!AP11</f>
        <v/>
      </c>
      <c r="G27" s="44">
        <f>'原始数据'!AP12</f>
        <v/>
      </c>
      <c r="H27" s="44">
        <f>'原始数据'!AP13</f>
        <v/>
      </c>
      <c r="I27" s="44">
        <f>'原始数据'!AP14</f>
        <v/>
      </c>
      <c r="J27" s="44">
        <f>'原始数据'!AP15</f>
        <v/>
      </c>
      <c r="K27" s="44">
        <f>'原始数据'!AP16</f>
        <v/>
      </c>
      <c r="L27" s="44">
        <f>'原始数据'!AP17</f>
        <v/>
      </c>
      <c r="M27" s="44">
        <f>'原始数据'!AP18</f>
        <v/>
      </c>
      <c r="N27" s="44">
        <f>'原始数据'!AP19</f>
        <v/>
      </c>
      <c r="O27" s="44">
        <f>'原始数据'!AP20</f>
        <v/>
      </c>
      <c r="P27" s="44">
        <f>'原始数据'!AP21</f>
        <v/>
      </c>
      <c r="Q27" s="44">
        <f>'原始数据'!AP22</f>
        <v/>
      </c>
      <c r="R27" s="45">
        <f>Q27</f>
        <v/>
      </c>
      <c r="S27" s="36" t="inlineStr">
        <is>
          <t>原始数据 AP 列</t>
        </is>
      </c>
    </row>
    <row r="28" ht="20" customHeight="1">
      <c r="A28" s="37" t="inlineStr">
        <is>
          <t>期末产能（千片/季）</t>
        </is>
      </c>
      <c r="B28" s="44">
        <f>'原始数据'!AQ7</f>
        <v/>
      </c>
      <c r="C28" s="44">
        <f>'原始数据'!AQ8</f>
        <v/>
      </c>
      <c r="D28" s="44">
        <f>'原始数据'!AQ9</f>
        <v/>
      </c>
      <c r="E28" s="44">
        <f>'原始数据'!AQ10</f>
        <v/>
      </c>
      <c r="F28" s="44">
        <f>'原始数据'!AQ11</f>
        <v/>
      </c>
      <c r="G28" s="44">
        <f>'原始数据'!AQ12</f>
        <v/>
      </c>
      <c r="H28" s="44">
        <f>'原始数据'!AQ13</f>
        <v/>
      </c>
      <c r="I28" s="44">
        <f>'原始数据'!AQ14</f>
        <v/>
      </c>
      <c r="J28" s="44">
        <f>'原始数据'!AQ15</f>
        <v/>
      </c>
      <c r="K28" s="44">
        <f>'原始数据'!AQ16</f>
        <v/>
      </c>
      <c r="L28" s="44">
        <f>'原始数据'!AQ17</f>
        <v/>
      </c>
      <c r="M28" s="44">
        <f>'原始数据'!AQ18</f>
        <v/>
      </c>
      <c r="N28" s="44">
        <f>'原始数据'!AQ19</f>
        <v/>
      </c>
      <c r="O28" s="44">
        <f>'原始数据'!AQ20</f>
        <v/>
      </c>
      <c r="P28" s="44">
        <f>'原始数据'!AQ21</f>
        <v/>
      </c>
      <c r="Q28" s="44">
        <f>'原始数据'!AQ22</f>
        <v/>
      </c>
      <c r="R28" s="45">
        <f>Q28</f>
        <v/>
      </c>
      <c r="S28" s="36" t="inlineStr">
        <is>
          <t>原始数据 AQ 列</t>
        </is>
      </c>
    </row>
    <row r="30">
      <c r="A30" s="41" t="inlineStr">
        <is>
          <t>读表提示</t>
        </is>
      </c>
    </row>
    <row r="31">
      <c r="A31" s="18" t="inlineStr">
        <is>
          <t>• 存货在 Q7 达到峰值 6.19（418 千片），随后在 Q8–Q14 的去库存中转化为利润；Q14 起清零。</t>
        </is>
      </c>
    </row>
    <row r="32">
      <c r="A32" s="18" t="inlineStr">
        <is>
          <t>• 负债从 Q1 的 8.0 升到 Q4–Q9 的 16.0，Q13 还清；期末为净现金 180.92，零负债。</t>
        </is>
      </c>
    </row>
    <row r="33">
      <c r="A33" s="18" t="inlineStr">
        <is>
          <t>• “资产平衡检查”“与引擎总资产差异”两行应恒为 0；若不为 0，说明公式或输入被改动。</t>
        </is>
      </c>
    </row>
  </sheetData>
  <mergeCells count="6">
    <mergeCell ref="A33:S33"/>
    <mergeCell ref="A32:S32"/>
    <mergeCell ref="A1:S1"/>
    <mergeCell ref="A31:S31"/>
    <mergeCell ref="A30:S30"/>
    <mergeCell ref="A2:S2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2" customWidth="1" min="18" max="18"/>
    <col width="46" customWidth="1" min="19" max="19"/>
  </cols>
  <sheetData>
    <row r="1" ht="34" customHeight="1">
      <c r="A1" s="16" t="inlineStr">
        <is>
          <t>现金流量表（逐季）</t>
        </is>
      </c>
    </row>
    <row r="2" ht="20" customHeight="1">
      <c r="A2" s="17" t="inlineStr">
        <is>
          <t>单位：十亿美元。经营现金流按“净利润 + 折旧 − 存货变动”重算，并与引擎值逐季核对。</t>
        </is>
      </c>
    </row>
    <row r="5" ht="26" customHeight="1">
      <c r="A5" s="24" t="inlineStr">
        <is>
          <t>项目</t>
        </is>
      </c>
      <c r="B5" s="24" t="inlineStr">
        <is>
          <t>Q1</t>
        </is>
      </c>
      <c r="C5" s="24" t="inlineStr">
        <is>
          <t>Q2</t>
        </is>
      </c>
      <c r="D5" s="24" t="inlineStr">
        <is>
          <t>Q3</t>
        </is>
      </c>
      <c r="E5" s="24" t="inlineStr">
        <is>
          <t>Q4</t>
        </is>
      </c>
      <c r="F5" s="24" t="inlineStr">
        <is>
          <t>Q5</t>
        </is>
      </c>
      <c r="G5" s="24" t="inlineStr">
        <is>
          <t>Q6</t>
        </is>
      </c>
      <c r="H5" s="24" t="inlineStr">
        <is>
          <t>Q7</t>
        </is>
      </c>
      <c r="I5" s="24" t="inlineStr">
        <is>
          <t>Q8</t>
        </is>
      </c>
      <c r="J5" s="24" t="inlineStr">
        <is>
          <t>Q9</t>
        </is>
      </c>
      <c r="K5" s="24" t="inlineStr">
        <is>
          <t>Q10</t>
        </is>
      </c>
      <c r="L5" s="24" t="inlineStr">
        <is>
          <t>Q11</t>
        </is>
      </c>
      <c r="M5" s="24" t="inlineStr">
        <is>
          <t>Q12</t>
        </is>
      </c>
      <c r="N5" s="24" t="inlineStr">
        <is>
          <t>Q13</t>
        </is>
      </c>
      <c r="O5" s="24" t="inlineStr">
        <is>
          <t>Q14</t>
        </is>
      </c>
      <c r="P5" s="24" t="inlineStr">
        <is>
          <t>Q15</t>
        </is>
      </c>
      <c r="Q5" s="24" t="inlineStr">
        <is>
          <t>Q16</t>
        </is>
      </c>
      <c r="R5" s="24" t="inlineStr">
        <is>
          <t>合计</t>
        </is>
      </c>
      <c r="S5" s="24" t="inlineStr">
        <is>
          <t>说明 / 公式</t>
        </is>
      </c>
    </row>
    <row r="6" ht="20" customHeight="1">
      <c r="A6" s="37" t="inlineStr">
        <is>
          <t>净利润</t>
        </is>
      </c>
      <c r="B6" s="38">
        <f>利润表!B20</f>
        <v/>
      </c>
      <c r="C6" s="38">
        <f>利润表!C20</f>
        <v/>
      </c>
      <c r="D6" s="38">
        <f>利润表!D20</f>
        <v/>
      </c>
      <c r="E6" s="38">
        <f>利润表!E20</f>
        <v/>
      </c>
      <c r="F6" s="38">
        <f>利润表!F20</f>
        <v/>
      </c>
      <c r="G6" s="38">
        <f>利润表!G20</f>
        <v/>
      </c>
      <c r="H6" s="38">
        <f>利润表!H20</f>
        <v/>
      </c>
      <c r="I6" s="38">
        <f>利润表!I20</f>
        <v/>
      </c>
      <c r="J6" s="38">
        <f>利润表!J20</f>
        <v/>
      </c>
      <c r="K6" s="38">
        <f>利润表!K20</f>
        <v/>
      </c>
      <c r="L6" s="38">
        <f>利润表!L20</f>
        <v/>
      </c>
      <c r="M6" s="38">
        <f>利润表!M20</f>
        <v/>
      </c>
      <c r="N6" s="38">
        <f>利润表!N20</f>
        <v/>
      </c>
      <c r="O6" s="38">
        <f>利润表!O20</f>
        <v/>
      </c>
      <c r="P6" s="38">
        <f>利润表!P20</f>
        <v/>
      </c>
      <c r="Q6" s="38">
        <f>利润表!Q20</f>
        <v/>
      </c>
      <c r="R6" s="35">
        <f>SUM(B6:Q6)</f>
        <v/>
      </c>
      <c r="S6" s="36" t="inlineStr">
        <is>
          <t>利润表第 20 行</t>
        </is>
      </c>
    </row>
    <row r="7" ht="20" customHeight="1">
      <c r="A7" s="37" t="inlineStr">
        <is>
          <t>加：折旧</t>
        </is>
      </c>
      <c r="B7" s="38">
        <f>'原始数据'!AH7</f>
        <v/>
      </c>
      <c r="C7" s="38">
        <f>'原始数据'!AH8</f>
        <v/>
      </c>
      <c r="D7" s="38">
        <f>'原始数据'!AH9</f>
        <v/>
      </c>
      <c r="E7" s="38">
        <f>'原始数据'!AH10</f>
        <v/>
      </c>
      <c r="F7" s="38">
        <f>'原始数据'!AH11</f>
        <v/>
      </c>
      <c r="G7" s="38">
        <f>'原始数据'!AH12</f>
        <v/>
      </c>
      <c r="H7" s="38">
        <f>'原始数据'!AH13</f>
        <v/>
      </c>
      <c r="I7" s="38">
        <f>'原始数据'!AH14</f>
        <v/>
      </c>
      <c r="J7" s="38">
        <f>'原始数据'!AH15</f>
        <v/>
      </c>
      <c r="K7" s="38">
        <f>'原始数据'!AH16</f>
        <v/>
      </c>
      <c r="L7" s="38">
        <f>'原始数据'!AH17</f>
        <v/>
      </c>
      <c r="M7" s="38">
        <f>'原始数据'!AH18</f>
        <v/>
      </c>
      <c r="N7" s="38">
        <f>'原始数据'!AH19</f>
        <v/>
      </c>
      <c r="O7" s="38">
        <f>'原始数据'!AH20</f>
        <v/>
      </c>
      <c r="P7" s="38">
        <f>'原始数据'!AH21</f>
        <v/>
      </c>
      <c r="Q7" s="38">
        <f>'原始数据'!AH22</f>
        <v/>
      </c>
      <c r="R7" s="35">
        <f>SUM(B7:Q7)</f>
        <v/>
      </c>
      <c r="S7" s="36" t="inlineStr">
        <is>
          <t>原始数据 AH 列（非现金费用）</t>
        </is>
      </c>
    </row>
    <row r="8" ht="20" customHeight="1">
      <c r="A8" s="37" t="inlineStr">
        <is>
          <t>存货变动（期末 − 期初）</t>
        </is>
      </c>
      <c r="B8" s="38">
        <f>-('原始数据'!AJ7-假设与参数!$B$6)</f>
        <v/>
      </c>
      <c r="C8" s="38">
        <f>-('原始数据'!AJ8-'原始数据'!AJ7)</f>
        <v/>
      </c>
      <c r="D8" s="38">
        <f>-('原始数据'!AJ9-'原始数据'!AJ8)</f>
        <v/>
      </c>
      <c r="E8" s="38">
        <f>-('原始数据'!AJ10-'原始数据'!AJ9)</f>
        <v/>
      </c>
      <c r="F8" s="38">
        <f>-('原始数据'!AJ11-'原始数据'!AJ10)</f>
        <v/>
      </c>
      <c r="G8" s="38">
        <f>-('原始数据'!AJ12-'原始数据'!AJ11)</f>
        <v/>
      </c>
      <c r="H8" s="38">
        <f>-('原始数据'!AJ13-'原始数据'!AJ12)</f>
        <v/>
      </c>
      <c r="I8" s="38">
        <f>-('原始数据'!AJ14-'原始数据'!AJ13)</f>
        <v/>
      </c>
      <c r="J8" s="38">
        <f>-('原始数据'!AJ15-'原始数据'!AJ14)</f>
        <v/>
      </c>
      <c r="K8" s="38">
        <f>-('原始数据'!AJ16-'原始数据'!AJ15)</f>
        <v/>
      </c>
      <c r="L8" s="38">
        <f>-('原始数据'!AJ17-'原始数据'!AJ16)</f>
        <v/>
      </c>
      <c r="M8" s="38">
        <f>-('原始数据'!AJ18-'原始数据'!AJ17)</f>
        <v/>
      </c>
      <c r="N8" s="38">
        <f>-('原始数据'!AJ19-'原始数据'!AJ18)</f>
        <v/>
      </c>
      <c r="O8" s="38">
        <f>-('原始数据'!AJ20-'原始数据'!AJ19)</f>
        <v/>
      </c>
      <c r="P8" s="38">
        <f>-('原始数据'!AJ21-'原始数据'!AJ20)</f>
        <v/>
      </c>
      <c r="Q8" s="38">
        <f>-('原始数据'!AJ22-'原始数据'!AJ21)</f>
        <v/>
      </c>
      <c r="R8" s="35">
        <f>SUM(B8:Q8)</f>
        <v/>
      </c>
      <c r="S8" s="36" t="inlineStr">
        <is>
          <t>负数为存货增加、占用现金</t>
        </is>
      </c>
    </row>
    <row r="9" ht="20" customHeight="1">
      <c r="A9" s="33" t="inlineStr">
        <is>
          <t>经营现金流（计算）</t>
        </is>
      </c>
      <c r="B9" s="34">
        <f>B6+B7+B8</f>
        <v/>
      </c>
      <c r="C9" s="34">
        <f>C6+C7+C8</f>
        <v/>
      </c>
      <c r="D9" s="34">
        <f>D6+D7+D8</f>
        <v/>
      </c>
      <c r="E9" s="34">
        <f>E6+E7+E8</f>
        <v/>
      </c>
      <c r="F9" s="34">
        <f>F6+F7+F8</f>
        <v/>
      </c>
      <c r="G9" s="34">
        <f>G6+G7+G8</f>
        <v/>
      </c>
      <c r="H9" s="34">
        <f>H6+H7+H8</f>
        <v/>
      </c>
      <c r="I9" s="34">
        <f>I6+I7+I8</f>
        <v/>
      </c>
      <c r="J9" s="34">
        <f>J6+J7+J8</f>
        <v/>
      </c>
      <c r="K9" s="34">
        <f>K6+K7+K8</f>
        <v/>
      </c>
      <c r="L9" s="34">
        <f>L6+L7+L8</f>
        <v/>
      </c>
      <c r="M9" s="34">
        <f>M6+M7+M8</f>
        <v/>
      </c>
      <c r="N9" s="34">
        <f>N6+N7+N8</f>
        <v/>
      </c>
      <c r="O9" s="34">
        <f>O6+O7+O8</f>
        <v/>
      </c>
      <c r="P9" s="34">
        <f>P6+P7+P8</f>
        <v/>
      </c>
      <c r="Q9" s="34">
        <f>Q6+Q7+Q8</f>
        <v/>
      </c>
      <c r="R9" s="35">
        <f>SUM(B9:Q9)</f>
        <v/>
      </c>
      <c r="S9" s="36" t="inlineStr">
        <is>
          <t>净利润 + 折旧 − 存货增加</t>
        </is>
      </c>
    </row>
    <row r="10" ht="20" customHeight="1">
      <c r="A10" s="46" t="inlineStr">
        <is>
          <t>经营现金流（引擎）</t>
        </is>
      </c>
      <c r="B10" s="38">
        <f>'原始数据'!AE7</f>
        <v/>
      </c>
      <c r="C10" s="38">
        <f>'原始数据'!AE8</f>
        <v/>
      </c>
      <c r="D10" s="38">
        <f>'原始数据'!AE9</f>
        <v/>
      </c>
      <c r="E10" s="38">
        <f>'原始数据'!AE10</f>
        <v/>
      </c>
      <c r="F10" s="38">
        <f>'原始数据'!AE11</f>
        <v/>
      </c>
      <c r="G10" s="38">
        <f>'原始数据'!AE12</f>
        <v/>
      </c>
      <c r="H10" s="38">
        <f>'原始数据'!AE13</f>
        <v/>
      </c>
      <c r="I10" s="38">
        <f>'原始数据'!AE14</f>
        <v/>
      </c>
      <c r="J10" s="38">
        <f>'原始数据'!AE15</f>
        <v/>
      </c>
      <c r="K10" s="38">
        <f>'原始数据'!AE16</f>
        <v/>
      </c>
      <c r="L10" s="38">
        <f>'原始数据'!AE17</f>
        <v/>
      </c>
      <c r="M10" s="38">
        <f>'原始数据'!AE18</f>
        <v/>
      </c>
      <c r="N10" s="38">
        <f>'原始数据'!AE19</f>
        <v/>
      </c>
      <c r="O10" s="38">
        <f>'原始数据'!AE20</f>
        <v/>
      </c>
      <c r="P10" s="38">
        <f>'原始数据'!AE21</f>
        <v/>
      </c>
      <c r="Q10" s="38">
        <f>'原始数据'!AE22</f>
        <v/>
      </c>
      <c r="R10" s="35">
        <f>SUM(B10:Q10)</f>
        <v/>
      </c>
      <c r="S10" s="36" t="inlineStr">
        <is>
          <t>原始数据 AE 列</t>
        </is>
      </c>
    </row>
    <row r="11" ht="20" customHeight="1">
      <c r="A11" s="37" t="inlineStr">
        <is>
          <t>差异</t>
        </is>
      </c>
      <c r="B11" s="38">
        <f>B9-B10</f>
        <v/>
      </c>
      <c r="C11" s="38">
        <f>C9-C10</f>
        <v/>
      </c>
      <c r="D11" s="38">
        <f>D9-D10</f>
        <v/>
      </c>
      <c r="E11" s="38">
        <f>E9-E10</f>
        <v/>
      </c>
      <c r="F11" s="38">
        <f>F9-F10</f>
        <v/>
      </c>
      <c r="G11" s="38">
        <f>G9-G10</f>
        <v/>
      </c>
      <c r="H11" s="38">
        <f>H9-H10</f>
        <v/>
      </c>
      <c r="I11" s="38">
        <f>I9-I10</f>
        <v/>
      </c>
      <c r="J11" s="38">
        <f>J9-J10</f>
        <v/>
      </c>
      <c r="K11" s="38">
        <f>K9-K10</f>
        <v/>
      </c>
      <c r="L11" s="38">
        <f>L9-L10</f>
        <v/>
      </c>
      <c r="M11" s="38">
        <f>M9-M10</f>
        <v/>
      </c>
      <c r="N11" s="38">
        <f>N9-N10</f>
        <v/>
      </c>
      <c r="O11" s="38">
        <f>O9-O10</f>
        <v/>
      </c>
      <c r="P11" s="38">
        <f>P9-P10</f>
        <v/>
      </c>
      <c r="Q11" s="38">
        <f>Q9-Q10</f>
        <v/>
      </c>
      <c r="R11" s="35">
        <f>MAX(MAX(B11:Q11),-MIN(B11:Q11))</f>
        <v/>
      </c>
      <c r="S11" s="36" t="inlineStr">
        <is>
          <t>计算值 − 引擎值；应为 0</t>
        </is>
      </c>
    </row>
    <row r="12" ht="20" customHeight="1">
      <c r="A12" s="37" t="inlineStr">
        <is>
          <t>投资现金流（−资本开支）</t>
        </is>
      </c>
      <c r="B12" s="38">
        <f>'原始数据'!AF7</f>
        <v/>
      </c>
      <c r="C12" s="38">
        <f>'原始数据'!AF8</f>
        <v/>
      </c>
      <c r="D12" s="38">
        <f>'原始数据'!AF9</f>
        <v/>
      </c>
      <c r="E12" s="38">
        <f>'原始数据'!AF10</f>
        <v/>
      </c>
      <c r="F12" s="38">
        <f>'原始数据'!AF11</f>
        <v/>
      </c>
      <c r="G12" s="38">
        <f>'原始数据'!AF12</f>
        <v/>
      </c>
      <c r="H12" s="38">
        <f>'原始数据'!AF13</f>
        <v/>
      </c>
      <c r="I12" s="38">
        <f>'原始数据'!AF14</f>
        <v/>
      </c>
      <c r="J12" s="38">
        <f>'原始数据'!AF15</f>
        <v/>
      </c>
      <c r="K12" s="38">
        <f>'原始数据'!AF16</f>
        <v/>
      </c>
      <c r="L12" s="38">
        <f>'原始数据'!AF17</f>
        <v/>
      </c>
      <c r="M12" s="38">
        <f>'原始数据'!AF18</f>
        <v/>
      </c>
      <c r="N12" s="38">
        <f>'原始数据'!AF19</f>
        <v/>
      </c>
      <c r="O12" s="38">
        <f>'原始数据'!AF20</f>
        <v/>
      </c>
      <c r="P12" s="38">
        <f>'原始数据'!AF21</f>
        <v/>
      </c>
      <c r="Q12" s="38">
        <f>'原始数据'!AF22</f>
        <v/>
      </c>
      <c r="R12" s="35">
        <f>SUM(B12:Q12)</f>
        <v/>
      </c>
      <c r="S12" s="36" t="inlineStr">
        <is>
          <t>原始数据 AF 列</t>
        </is>
      </c>
    </row>
    <row r="13" ht="20" customHeight="1">
      <c r="A13" s="37" t="inlineStr">
        <is>
          <t>筹资现金流（净借款）</t>
        </is>
      </c>
      <c r="B13" s="38">
        <f>'原始数据'!AG7</f>
        <v/>
      </c>
      <c r="C13" s="38">
        <f>'原始数据'!AG8</f>
        <v/>
      </c>
      <c r="D13" s="38">
        <f>'原始数据'!AG9</f>
        <v/>
      </c>
      <c r="E13" s="38">
        <f>'原始数据'!AG10</f>
        <v/>
      </c>
      <c r="F13" s="38">
        <f>'原始数据'!AG11</f>
        <v/>
      </c>
      <c r="G13" s="38">
        <f>'原始数据'!AG12</f>
        <v/>
      </c>
      <c r="H13" s="38">
        <f>'原始数据'!AG13</f>
        <v/>
      </c>
      <c r="I13" s="38">
        <f>'原始数据'!AG14</f>
        <v/>
      </c>
      <c r="J13" s="38">
        <f>'原始数据'!AG15</f>
        <v/>
      </c>
      <c r="K13" s="38">
        <f>'原始数据'!AG16</f>
        <v/>
      </c>
      <c r="L13" s="38">
        <f>'原始数据'!AG17</f>
        <v/>
      </c>
      <c r="M13" s="38">
        <f>'原始数据'!AG18</f>
        <v/>
      </c>
      <c r="N13" s="38">
        <f>'原始数据'!AG19</f>
        <v/>
      </c>
      <c r="O13" s="38">
        <f>'原始数据'!AG20</f>
        <v/>
      </c>
      <c r="P13" s="38">
        <f>'原始数据'!AG21</f>
        <v/>
      </c>
      <c r="Q13" s="38">
        <f>'原始数据'!AG22</f>
        <v/>
      </c>
      <c r="R13" s="35">
        <f>SUM(B13:Q13)</f>
        <v/>
      </c>
      <c r="S13" s="36" t="inlineStr">
        <is>
          <t>原始数据 AG 列</t>
        </is>
      </c>
    </row>
    <row r="14" ht="20" customHeight="1">
      <c r="A14" s="37" t="inlineStr">
        <is>
          <t>现金净变动</t>
        </is>
      </c>
      <c r="B14" s="38">
        <f>B10+B12+B13</f>
        <v/>
      </c>
      <c r="C14" s="38">
        <f>C10+C12+C13</f>
        <v/>
      </c>
      <c r="D14" s="38">
        <f>D10+D12+D13</f>
        <v/>
      </c>
      <c r="E14" s="38">
        <f>E10+E12+E13</f>
        <v/>
      </c>
      <c r="F14" s="38">
        <f>F10+F12+F13</f>
        <v/>
      </c>
      <c r="G14" s="38">
        <f>G10+G12+G13</f>
        <v/>
      </c>
      <c r="H14" s="38">
        <f>H10+H12+H13</f>
        <v/>
      </c>
      <c r="I14" s="38">
        <f>I10+I12+I13</f>
        <v/>
      </c>
      <c r="J14" s="38">
        <f>J10+J12+J13</f>
        <v/>
      </c>
      <c r="K14" s="38">
        <f>K10+K12+K13</f>
        <v/>
      </c>
      <c r="L14" s="38">
        <f>L10+L12+L13</f>
        <v/>
      </c>
      <c r="M14" s="38">
        <f>M10+M12+M13</f>
        <v/>
      </c>
      <c r="N14" s="38">
        <f>N10+N12+N13</f>
        <v/>
      </c>
      <c r="O14" s="38">
        <f>O10+O12+O13</f>
        <v/>
      </c>
      <c r="P14" s="38">
        <f>P10+P12+P13</f>
        <v/>
      </c>
      <c r="Q14" s="38">
        <f>Q10+Q12+Q13</f>
        <v/>
      </c>
      <c r="R14" s="35">
        <f>SUM(B14:Q14)</f>
        <v/>
      </c>
      <c r="S14" s="36" t="inlineStr">
        <is>
          <t>经营 + 投资 + 筹资</t>
        </is>
      </c>
    </row>
    <row r="15" ht="20" customHeight="1">
      <c r="A15" s="37" t="inlineStr">
        <is>
          <t>期初现金</t>
        </is>
      </c>
      <c r="B15" s="38">
        <f>假设与参数!$B$5</f>
        <v/>
      </c>
      <c r="C15" s="38">
        <f>B16</f>
        <v/>
      </c>
      <c r="D15" s="38">
        <f>C16</f>
        <v/>
      </c>
      <c r="E15" s="38">
        <f>D16</f>
        <v/>
      </c>
      <c r="F15" s="38">
        <f>E16</f>
        <v/>
      </c>
      <c r="G15" s="38">
        <f>F16</f>
        <v/>
      </c>
      <c r="H15" s="38">
        <f>G16</f>
        <v/>
      </c>
      <c r="I15" s="38">
        <f>H16</f>
        <v/>
      </c>
      <c r="J15" s="38">
        <f>I16</f>
        <v/>
      </c>
      <c r="K15" s="38">
        <f>J16</f>
        <v/>
      </c>
      <c r="L15" s="38">
        <f>K16</f>
        <v/>
      </c>
      <c r="M15" s="38">
        <f>L16</f>
        <v/>
      </c>
      <c r="N15" s="38">
        <f>M16</f>
        <v/>
      </c>
      <c r="O15" s="38">
        <f>N16</f>
        <v/>
      </c>
      <c r="P15" s="38">
        <f>O16</f>
        <v/>
      </c>
      <c r="Q15" s="38">
        <f>P16</f>
        <v/>
      </c>
      <c r="R15" s="35">
        <f>B15</f>
        <v/>
      </c>
      <c r="S15" s="36" t="inlineStr">
        <is>
          <t>Q1 取假设页期初值；其后取上季期末</t>
        </is>
      </c>
    </row>
    <row r="16" ht="20" customHeight="1">
      <c r="A16" s="33" t="inlineStr">
        <is>
          <t>期末现金（计算）</t>
        </is>
      </c>
      <c r="B16" s="34">
        <f>B15+B14</f>
        <v/>
      </c>
      <c r="C16" s="34">
        <f>C15+C14</f>
        <v/>
      </c>
      <c r="D16" s="34">
        <f>D15+D14</f>
        <v/>
      </c>
      <c r="E16" s="34">
        <f>E15+E14</f>
        <v/>
      </c>
      <c r="F16" s="34">
        <f>F15+F14</f>
        <v/>
      </c>
      <c r="G16" s="34">
        <f>G15+G14</f>
        <v/>
      </c>
      <c r="H16" s="34">
        <f>H15+H14</f>
        <v/>
      </c>
      <c r="I16" s="34">
        <f>I15+I14</f>
        <v/>
      </c>
      <c r="J16" s="34">
        <f>J15+J14</f>
        <v/>
      </c>
      <c r="K16" s="34">
        <f>K15+K14</f>
        <v/>
      </c>
      <c r="L16" s="34">
        <f>L15+L14</f>
        <v/>
      </c>
      <c r="M16" s="34">
        <f>M15+M14</f>
        <v/>
      </c>
      <c r="N16" s="34">
        <f>N15+N14</f>
        <v/>
      </c>
      <c r="O16" s="34">
        <f>O15+O14</f>
        <v/>
      </c>
      <c r="P16" s="34">
        <f>P15+P14</f>
        <v/>
      </c>
      <c r="Q16" s="34">
        <f>Q15+Q14</f>
        <v/>
      </c>
      <c r="R16" s="35">
        <f>Q16</f>
        <v/>
      </c>
      <c r="S16" s="36" t="inlineStr">
        <is>
          <t>期初现金 + 现金净变动</t>
        </is>
      </c>
    </row>
    <row r="17" ht="20" customHeight="1">
      <c r="A17" s="37" t="inlineStr">
        <is>
          <t>期末现金（引擎）</t>
        </is>
      </c>
      <c r="B17" s="38">
        <f>'原始数据'!AI7</f>
        <v/>
      </c>
      <c r="C17" s="38">
        <f>'原始数据'!AI8</f>
        <v/>
      </c>
      <c r="D17" s="38">
        <f>'原始数据'!AI9</f>
        <v/>
      </c>
      <c r="E17" s="38">
        <f>'原始数据'!AI10</f>
        <v/>
      </c>
      <c r="F17" s="38">
        <f>'原始数据'!AI11</f>
        <v/>
      </c>
      <c r="G17" s="38">
        <f>'原始数据'!AI12</f>
        <v/>
      </c>
      <c r="H17" s="38">
        <f>'原始数据'!AI13</f>
        <v/>
      </c>
      <c r="I17" s="38">
        <f>'原始数据'!AI14</f>
        <v/>
      </c>
      <c r="J17" s="38">
        <f>'原始数据'!AI15</f>
        <v/>
      </c>
      <c r="K17" s="38">
        <f>'原始数据'!AI16</f>
        <v/>
      </c>
      <c r="L17" s="38">
        <f>'原始数据'!AI17</f>
        <v/>
      </c>
      <c r="M17" s="38">
        <f>'原始数据'!AI18</f>
        <v/>
      </c>
      <c r="N17" s="38">
        <f>'原始数据'!AI19</f>
        <v/>
      </c>
      <c r="O17" s="38">
        <f>'原始数据'!AI20</f>
        <v/>
      </c>
      <c r="P17" s="38">
        <f>'原始数据'!AI21</f>
        <v/>
      </c>
      <c r="Q17" s="38">
        <f>'原始数据'!AI22</f>
        <v/>
      </c>
      <c r="R17" s="35">
        <f>Q17</f>
        <v/>
      </c>
      <c r="S17" s="36" t="inlineStr">
        <is>
          <t>原始数据 AI 列</t>
        </is>
      </c>
    </row>
    <row r="18" ht="20" customHeight="1">
      <c r="A18" s="37" t="inlineStr">
        <is>
          <t>差异</t>
        </is>
      </c>
      <c r="B18" s="38">
        <f>B16-B17</f>
        <v/>
      </c>
      <c r="C18" s="38">
        <f>C16-C17</f>
        <v/>
      </c>
      <c r="D18" s="38">
        <f>D16-D17</f>
        <v/>
      </c>
      <c r="E18" s="38">
        <f>E16-E17</f>
        <v/>
      </c>
      <c r="F18" s="38">
        <f>F16-F17</f>
        <v/>
      </c>
      <c r="G18" s="38">
        <f>G16-G17</f>
        <v/>
      </c>
      <c r="H18" s="38">
        <f>H16-H17</f>
        <v/>
      </c>
      <c r="I18" s="38">
        <f>I16-I17</f>
        <v/>
      </c>
      <c r="J18" s="38">
        <f>J16-J17</f>
        <v/>
      </c>
      <c r="K18" s="38">
        <f>K16-K17</f>
        <v/>
      </c>
      <c r="L18" s="38">
        <f>L16-L17</f>
        <v/>
      </c>
      <c r="M18" s="38">
        <f>M16-M17</f>
        <v/>
      </c>
      <c r="N18" s="38">
        <f>N16-N17</f>
        <v/>
      </c>
      <c r="O18" s="38">
        <f>O16-O17</f>
        <v/>
      </c>
      <c r="P18" s="38">
        <f>P16-P17</f>
        <v/>
      </c>
      <c r="Q18" s="38">
        <f>Q16-Q17</f>
        <v/>
      </c>
      <c r="R18" s="35">
        <f>MAX(MAX(B18:Q18),-MIN(B18:Q18))</f>
        <v/>
      </c>
      <c r="S18" s="36" t="inlineStr">
        <is>
          <t>计算值 − 引擎值；应为 0</t>
        </is>
      </c>
    </row>
    <row r="19" ht="20" customHeight="1">
      <c r="A19" s="33" t="inlineStr">
        <is>
          <t>自由现金流</t>
        </is>
      </c>
      <c r="B19" s="34">
        <f>B10-'原始数据'!H7</f>
        <v/>
      </c>
      <c r="C19" s="34">
        <f>C10-'原始数据'!H8</f>
        <v/>
      </c>
      <c r="D19" s="34">
        <f>D10-'原始数据'!H9</f>
        <v/>
      </c>
      <c r="E19" s="34">
        <f>E10-'原始数据'!H10</f>
        <v/>
      </c>
      <c r="F19" s="34">
        <f>F10-'原始数据'!H11</f>
        <v/>
      </c>
      <c r="G19" s="34">
        <f>G10-'原始数据'!H12</f>
        <v/>
      </c>
      <c r="H19" s="34">
        <f>H10-'原始数据'!H13</f>
        <v/>
      </c>
      <c r="I19" s="34">
        <f>I10-'原始数据'!H14</f>
        <v/>
      </c>
      <c r="J19" s="34">
        <f>J10-'原始数据'!H15</f>
        <v/>
      </c>
      <c r="K19" s="34">
        <f>K10-'原始数据'!H16</f>
        <v/>
      </c>
      <c r="L19" s="34">
        <f>L10-'原始数据'!H17</f>
        <v/>
      </c>
      <c r="M19" s="34">
        <f>M10-'原始数据'!H18</f>
        <v/>
      </c>
      <c r="N19" s="34">
        <f>N10-'原始数据'!H19</f>
        <v/>
      </c>
      <c r="O19" s="34">
        <f>O10-'原始数据'!H20</f>
        <v/>
      </c>
      <c r="P19" s="34">
        <f>P10-'原始数据'!H21</f>
        <v/>
      </c>
      <c r="Q19" s="34">
        <f>Q10-'原始数据'!H22</f>
        <v/>
      </c>
      <c r="R19" s="35">
        <f>SUM(B19:Q19)</f>
        <v/>
      </c>
      <c r="S19" s="36" t="inlineStr">
        <is>
          <t>经营现金流 − 资本开支</t>
        </is>
      </c>
    </row>
    <row r="20" ht="20" customHeight="1">
      <c r="A20" s="37" t="inlineStr">
        <is>
          <t>累计自由现金流</t>
        </is>
      </c>
      <c r="B20" s="38">
        <f>B19</f>
        <v/>
      </c>
      <c r="C20" s="38">
        <f>B20+C19</f>
        <v/>
      </c>
      <c r="D20" s="38">
        <f>C20+D19</f>
        <v/>
      </c>
      <c r="E20" s="38">
        <f>D20+E19</f>
        <v/>
      </c>
      <c r="F20" s="38">
        <f>E20+F19</f>
        <v/>
      </c>
      <c r="G20" s="38">
        <f>F20+G19</f>
        <v/>
      </c>
      <c r="H20" s="38">
        <f>G20+H19</f>
        <v/>
      </c>
      <c r="I20" s="38">
        <f>H20+I19</f>
        <v/>
      </c>
      <c r="J20" s="38">
        <f>I20+J19</f>
        <v/>
      </c>
      <c r="K20" s="38">
        <f>J20+K19</f>
        <v/>
      </c>
      <c r="L20" s="38">
        <f>K20+L19</f>
        <v/>
      </c>
      <c r="M20" s="38">
        <f>L20+M19</f>
        <v/>
      </c>
      <c r="N20" s="38">
        <f>M20+N19</f>
        <v/>
      </c>
      <c r="O20" s="38">
        <f>N20+O19</f>
        <v/>
      </c>
      <c r="P20" s="38">
        <f>O20+P19</f>
        <v/>
      </c>
      <c r="Q20" s="38">
        <f>P20+Q19</f>
        <v/>
      </c>
      <c r="R20" s="35">
        <f>Q20</f>
        <v/>
      </c>
      <c r="S20" s="36" t="inlineStr">
        <is>
          <t>逐季累加</t>
        </is>
      </c>
    </row>
    <row r="22">
      <c r="A22" s="41" t="inlineStr">
        <is>
          <t>读表提示</t>
        </is>
      </c>
    </row>
    <row r="23">
      <c r="A23" s="18" t="inlineStr">
        <is>
          <t>• 本局经营现金流 16 季累计 217.42，资本开支累计 40.50，自由现金流累计 176.92。</t>
        </is>
      </c>
    </row>
    <row r="24">
      <c r="A24" s="18" t="inlineStr">
        <is>
          <t>• 存货变动是经营现金流与净利润差异的主因：Q2–Q7 累库（现金流出），Q8–Q14 去库（现金流入）。</t>
        </is>
      </c>
    </row>
    <row r="25">
      <c r="A25" s="18" t="inlineStr">
        <is>
          <t>• 期末现金由“期初 + 经营 + 投资 + 筹资”独立重算，与引擎值逐季核对，差异应为 0。</t>
        </is>
      </c>
    </row>
  </sheetData>
  <mergeCells count="6">
    <mergeCell ref="A25:S25"/>
    <mergeCell ref="A23:S23"/>
    <mergeCell ref="A1:S1"/>
    <mergeCell ref="A22:S22"/>
    <mergeCell ref="A24:S24"/>
    <mergeCell ref="A2:S2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8" customWidth="1" min="4" max="4"/>
    <col width="62" customWidth="1" min="5" max="5"/>
  </cols>
  <sheetData>
    <row r="1" ht="34" customHeight="1">
      <c r="A1" s="16" t="inlineStr">
        <is>
          <t>假设与参数</t>
        </is>
      </c>
    </row>
    <row r="2" ht="20" customHeight="1">
      <c r="A2" s="17" t="inlineStr">
        <is>
          <t>黄色格为可修改的假设输入；蓝色格为引擎披露的期初状态；绿色格为公式。修改后所有报表、比率与敏感性自动联动。</t>
        </is>
      </c>
    </row>
    <row r="4" ht="28" customHeight="1">
      <c r="A4" s="24" t="inlineStr">
        <is>
          <t>参数</t>
        </is>
      </c>
      <c r="B4" s="24" t="inlineStr">
        <is>
          <t>数值</t>
        </is>
      </c>
      <c r="C4" s="24" t="inlineStr">
        <is>
          <t>单位</t>
        </is>
      </c>
      <c r="D4" s="24" t="inlineStr">
        <is>
          <t>类型</t>
        </is>
      </c>
      <c r="E4" s="24" t="inlineStr">
        <is>
          <t>依据 / 说明</t>
        </is>
      </c>
    </row>
    <row r="5" ht="20" customHeight="1">
      <c r="A5" s="47" t="inlineStr">
        <is>
          <t>期初现金</t>
        </is>
      </c>
      <c r="B5" s="48" t="n">
        <v>10</v>
      </c>
      <c r="C5" s="49" t="inlineStr">
        <is>
          <t>十亿美元</t>
        </is>
      </c>
      <c r="D5" s="49" t="inlineStr">
        <is>
          <t>披露</t>
        </is>
      </c>
      <c r="E5" s="36" t="inlineStr">
        <is>
          <t>第 0 季末 state：cash</t>
        </is>
      </c>
    </row>
    <row r="6" ht="20" customHeight="1">
      <c r="A6" s="47" t="inlineStr">
        <is>
          <t>期初存货</t>
        </is>
      </c>
      <c r="B6" s="48" t="n">
        <v>0.96</v>
      </c>
      <c r="C6" s="49" t="inlineStr">
        <is>
          <t>十亿美元</t>
        </is>
      </c>
      <c r="D6" s="49" t="inlineStr">
        <is>
          <t>披露</t>
        </is>
      </c>
      <c r="E6" s="36" t="inlineStr">
        <is>
          <t>第 0 季末 state：inventory（60 千片）</t>
        </is>
      </c>
    </row>
    <row r="7" ht="20" customHeight="1">
      <c r="A7" s="47" t="inlineStr">
        <is>
          <t>期初净固定资产</t>
        </is>
      </c>
      <c r="B7" s="48" t="n">
        <v>30</v>
      </c>
      <c r="C7" s="49" t="inlineStr">
        <is>
          <t>十亿美元</t>
        </is>
      </c>
      <c r="D7" s="49" t="inlineStr">
        <is>
          <t>披露</t>
        </is>
      </c>
      <c r="E7" s="36" t="inlineStr">
        <is>
          <t>第 0 季末 state：ppe_net</t>
        </is>
      </c>
    </row>
    <row r="8" ht="20" customHeight="1">
      <c r="A8" s="47" t="inlineStr">
        <is>
          <t>期初借款</t>
        </is>
      </c>
      <c r="B8" s="48" t="n">
        <v>6</v>
      </c>
      <c r="C8" s="49" t="inlineStr">
        <is>
          <t>十亿美元</t>
        </is>
      </c>
      <c r="D8" s="49" t="inlineStr">
        <is>
          <t>披露</t>
        </is>
      </c>
      <c r="E8" s="36" t="inlineStr">
        <is>
          <t>第 0 季末 state：debt</t>
        </is>
      </c>
    </row>
    <row r="9" ht="20" customHeight="1">
      <c r="A9" s="47" t="inlineStr">
        <is>
          <t>期初股东权益</t>
        </is>
      </c>
      <c r="B9" s="48" t="n">
        <v>34.96</v>
      </c>
      <c r="C9" s="49" t="inlineStr">
        <is>
          <t>十亿美元</t>
        </is>
      </c>
      <c r="D9" s="49" t="inlineStr">
        <is>
          <t>披露</t>
        </is>
      </c>
      <c r="E9" s="36" t="inlineStr">
        <is>
          <t>第 0 季末 state：equity</t>
        </is>
      </c>
    </row>
    <row r="10" ht="20" customHeight="1">
      <c r="A10" s="47" t="inlineStr">
        <is>
          <t>期初总资产</t>
        </is>
      </c>
      <c r="B10" s="48" t="n">
        <v>40.96</v>
      </c>
      <c r="C10" s="49" t="inlineStr">
        <is>
          <t>十亿美元</t>
        </is>
      </c>
      <c r="D10" s="49" t="inlineStr">
        <is>
          <t>披露</t>
        </is>
      </c>
      <c r="E10" s="36" t="inlineStr">
        <is>
          <t>第 0 季末 state：total_assets</t>
        </is>
      </c>
    </row>
    <row r="11" ht="20" customHeight="1">
      <c r="A11" s="47" t="inlineStr">
        <is>
          <t>期初产能</t>
        </is>
      </c>
      <c r="B11" s="50" t="n">
        <v>300</v>
      </c>
      <c r="C11" s="49" t="inlineStr">
        <is>
          <t>千片/季</t>
        </is>
      </c>
      <c r="D11" s="49" t="inlineStr">
        <is>
          <t>披露</t>
        </is>
      </c>
      <c r="E11" s="36" t="inlineStr">
        <is>
          <t>第 0 季末 state：capacity_kwafers</t>
        </is>
      </c>
    </row>
    <row r="12" ht="20" customHeight="1">
      <c r="A12" s="51" t="inlineStr">
        <is>
          <t>普通内存基准价</t>
        </is>
      </c>
      <c r="B12" s="52" t="n">
        <v>24</v>
      </c>
      <c r="C12" s="49" t="inlineStr">
        <is>
          <t>百万美元/千片</t>
        </is>
      </c>
      <c r="D12" s="49" t="inlineStr">
        <is>
          <t>假设</t>
        </is>
      </c>
      <c r="E12" s="36" t="inlineStr">
        <is>
          <t>反推：Q1 收入 4.608 ÷ 240 千片 ÷ 0.80 = 24.0</t>
        </is>
      </c>
    </row>
    <row r="13" ht="20" customHeight="1">
      <c r="A13" s="51" t="inlineStr">
        <is>
          <t>可变成本</t>
        </is>
      </c>
      <c r="B13" s="52" t="n">
        <v>5</v>
      </c>
      <c r="C13" s="49" t="inlineStr">
        <is>
          <t>百万美元/千片</t>
        </is>
      </c>
      <c r="D13" s="49" t="inlineStr">
        <is>
          <t>假设</t>
        </is>
      </c>
      <c r="E13" s="36" t="inlineStr">
        <is>
          <t>反推：单位成本 = 5 + (折旧+1.0)×1000÷产量</t>
        </is>
      </c>
    </row>
    <row r="14" ht="20" customHeight="1">
      <c r="A14" s="51" t="inlineStr">
        <is>
          <t>季度固定制造费用</t>
        </is>
      </c>
      <c r="B14" s="53" t="n">
        <v>1</v>
      </c>
      <c r="C14" s="49" t="inlineStr">
        <is>
          <t>十亿美元</t>
        </is>
      </c>
      <c r="D14" s="49" t="inlineStr">
        <is>
          <t>假设</t>
        </is>
      </c>
      <c r="E14" s="36" t="inlineStr">
        <is>
          <t>反推：与折旧一起构成固定成本；不随产量变化</t>
        </is>
      </c>
    </row>
    <row r="15" ht="20" customHeight="1">
      <c r="A15" s="51" t="inlineStr">
        <is>
          <t>折旧年限</t>
        </is>
      </c>
      <c r="B15" s="54" t="n">
        <v>20</v>
      </c>
      <c r="C15" s="49" t="inlineStr">
        <is>
          <t>季度</t>
        </is>
      </c>
      <c r="D15" s="49" t="inlineStr">
        <is>
          <t>假设</t>
        </is>
      </c>
      <c r="E15" s="36" t="inlineStr">
        <is>
          <t>规则：资本开支按 20 个季度直线折旧</t>
        </is>
      </c>
    </row>
    <row r="16" ht="20" customHeight="1">
      <c r="A16" s="51" t="inlineStr">
        <is>
          <t>维持性资本开支</t>
        </is>
      </c>
      <c r="B16" s="53" t="n">
        <v>1.5</v>
      </c>
      <c r="C16" s="49" t="inlineStr">
        <is>
          <t>十亿美元/季</t>
        </is>
      </c>
      <c r="D16" s="49" t="inlineStr">
        <is>
          <t>假设</t>
        </is>
      </c>
      <c r="E16" s="36" t="inlineStr">
        <is>
          <t>规则：每季先要 15 亿美元维持现有产能</t>
        </is>
      </c>
    </row>
    <row r="17" ht="20" customHeight="1">
      <c r="A17" s="51" t="inlineStr">
        <is>
          <t>所得税率</t>
        </is>
      </c>
      <c r="B17" s="55" t="n">
        <v>0.15</v>
      </c>
      <c r="C17" s="49" t="inlineStr">
        <is>
          <t>%</t>
        </is>
      </c>
      <c r="D17" s="49" t="inlineStr">
        <is>
          <t>假设</t>
        </is>
      </c>
      <c r="E17" s="36" t="inlineStr">
        <is>
          <t>规则：15%，只对盈利征</t>
        </is>
      </c>
    </row>
    <row r="18" ht="20" customHeight="1">
      <c r="A18" s="51" t="inlineStr">
        <is>
          <t>借款季利率</t>
        </is>
      </c>
      <c r="B18" s="56" t="n">
        <v>0.015</v>
      </c>
      <c r="C18" s="49" t="inlineStr">
        <is>
          <t>%</t>
        </is>
      </c>
      <c r="D18" s="49" t="inlineStr">
        <is>
          <t>假设</t>
        </is>
      </c>
      <c r="E18" s="36" t="inlineStr">
        <is>
          <t>规则：季利率 1.5%，按季初借款计息</t>
        </is>
      </c>
    </row>
    <row r="19" ht="20" customHeight="1">
      <c r="A19" s="51" t="inlineStr">
        <is>
          <t>存款季利率</t>
        </is>
      </c>
      <c r="B19" s="56" t="n">
        <v>0.008</v>
      </c>
      <c r="C19" s="49" t="inlineStr">
        <is>
          <t>%</t>
        </is>
      </c>
      <c r="D19" s="49" t="inlineStr">
        <is>
          <t>假设</t>
        </is>
      </c>
      <c r="E19" s="36" t="inlineStr">
        <is>
          <t>反推：季初现金 × 0.8% 的利息收入</t>
        </is>
      </c>
    </row>
    <row r="20" ht="20" customHeight="1">
      <c r="A20" s="51" t="inlineStr">
        <is>
          <t>存货跌价基准</t>
        </is>
      </c>
      <c r="B20" s="55" t="n">
        <v>0.95</v>
      </c>
      <c r="C20" s="49" t="inlineStr">
        <is>
          <t>%</t>
        </is>
      </c>
      <c r="D20" s="49" t="inlineStr">
        <is>
          <t>假设</t>
        </is>
      </c>
      <c r="E20" s="36" t="inlineStr">
        <is>
          <t>规则：市价扣 5% 销售费用后低于成本才计提</t>
        </is>
      </c>
    </row>
    <row r="21" ht="20" customHeight="1">
      <c r="A21" s="51" t="inlineStr">
        <is>
          <t>年化季度数</t>
        </is>
      </c>
      <c r="B21" s="54" t="n">
        <v>4</v>
      </c>
      <c r="C21" s="49" t="inlineStr">
        <is>
          <t>季度/年</t>
        </is>
      </c>
      <c r="D21" s="49" t="inlineStr">
        <is>
          <t>假设</t>
        </is>
      </c>
      <c r="E21" s="36" t="inlineStr">
        <is>
          <t>用于把单季 ROE/ROA 年化</t>
        </is>
      </c>
    </row>
    <row r="22" ht="20" customHeight="1">
      <c r="A22" s="51" t="inlineStr">
        <is>
          <t>存货周转天数口径</t>
        </is>
      </c>
      <c r="B22" s="54" t="n">
        <v>90</v>
      </c>
      <c r="C22" s="49" t="inlineStr">
        <is>
          <t>天/季</t>
        </is>
      </c>
      <c r="D22" s="49" t="inlineStr">
        <is>
          <t>假设</t>
        </is>
      </c>
      <c r="E22" s="36" t="inlineStr">
        <is>
          <t>按 90 天/季折算，与季度报表口径一致</t>
        </is>
      </c>
    </row>
    <row r="23" ht="20" customHeight="1">
      <c r="A23" s="47" t="inlineStr">
        <is>
          <t>HBM 研发总额</t>
        </is>
      </c>
      <c r="B23" s="48" t="n">
        <v>3</v>
      </c>
      <c r="C23" s="49" t="inlineStr">
        <is>
          <t>十亿美元</t>
        </is>
      </c>
      <c r="D23" s="49" t="inlineStr">
        <is>
          <t>披露</t>
        </is>
      </c>
      <c r="E23" s="36" t="inlineStr">
        <is>
          <t>规则与 state：rnd_needed = 3.0</t>
        </is>
      </c>
    </row>
    <row r="24" ht="20" customHeight="1">
      <c r="A24" s="47" t="inlineStr">
        <is>
          <t>HBM 单季研发上限</t>
        </is>
      </c>
      <c r="B24" s="48" t="n">
        <v>3</v>
      </c>
      <c r="C24" s="49" t="inlineStr">
        <is>
          <t>十亿美元</t>
        </is>
      </c>
      <c r="D24" s="49" t="inlineStr">
        <is>
          <t>披露</t>
        </is>
      </c>
      <c r="E24" s="36" t="inlineStr">
        <is>
          <t>规则：hbm_rnd 0–3.0</t>
        </is>
      </c>
    </row>
    <row r="25" ht="20" customHeight="1">
      <c r="A25" s="47" t="inlineStr">
        <is>
          <t>产能扩张单价</t>
        </is>
      </c>
      <c r="B25" s="48" t="n">
        <v>0.12</v>
      </c>
      <c r="C25" s="49" t="inlineStr">
        <is>
          <t>十亿美元/千片</t>
        </is>
      </c>
      <c r="D25" s="49" t="inlineStr">
        <is>
          <t>披露</t>
        </is>
      </c>
      <c r="E25" s="36" t="inlineStr">
        <is>
          <t>规则：每 1.2 亿美元增加 1 千片/季</t>
        </is>
      </c>
    </row>
    <row r="26" ht="20" customHeight="1">
      <c r="A26" s="47" t="inlineStr">
        <is>
          <t>扩产时滞</t>
        </is>
      </c>
      <c r="B26" s="57" t="n">
        <v>4</v>
      </c>
      <c r="C26" s="49" t="inlineStr">
        <is>
          <t>季度</t>
        </is>
      </c>
      <c r="D26" s="49" t="inlineStr">
        <is>
          <t>披露</t>
        </is>
      </c>
      <c r="E26" s="36" t="inlineStr">
        <is>
          <t>规则：超出维持性投入的部分 4 个季度后形成产能</t>
        </is>
      </c>
    </row>
    <row r="27" ht="20" customHeight="1">
      <c r="A27" s="47" t="inlineStr">
        <is>
          <t>HBM 份额上限</t>
        </is>
      </c>
      <c r="B27" s="58" t="n">
        <v>0.6</v>
      </c>
      <c r="C27" s="49" t="inlineStr">
        <is>
          <t>%</t>
        </is>
      </c>
      <c r="D27" s="49" t="inlineStr">
        <is>
          <t>披露</t>
        </is>
      </c>
      <c r="E27" s="36" t="inlineStr">
        <is>
          <t>规则：hbm_share 0–0.6</t>
        </is>
      </c>
    </row>
    <row r="28" ht="20" customHeight="1">
      <c r="A28" s="47" t="inlineStr">
        <is>
          <t>债务上限比例</t>
        </is>
      </c>
      <c r="B28" s="58" t="n">
        <v>0.6</v>
      </c>
      <c r="C28" s="49" t="inlineStr">
        <is>
          <t>%</t>
        </is>
      </c>
      <c r="D28" s="49" t="inlineStr">
        <is>
          <t>披露</t>
        </is>
      </c>
      <c r="E28" s="36" t="inlineStr">
        <is>
          <t>规则：约股东权益的 60%</t>
        </is>
      </c>
    </row>
    <row r="29" ht="20" customHeight="1">
      <c r="A29" s="47" t="inlineStr">
        <is>
          <t>最低债务上限</t>
        </is>
      </c>
      <c r="B29" s="48" t="n">
        <v>8</v>
      </c>
      <c r="C29" s="49" t="inlineStr">
        <is>
          <t>十亿美元</t>
        </is>
      </c>
      <c r="D29" s="49" t="inlineStr">
        <is>
          <t>披露</t>
        </is>
      </c>
      <c r="E29" s="36" t="inlineStr">
        <is>
          <t>规则：债务上限不低于 80 亿美元</t>
        </is>
      </c>
    </row>
    <row r="30" ht="20" customHeight="1">
      <c r="A30" s="47" t="inlineStr">
        <is>
          <t>紧急授信触发线</t>
        </is>
      </c>
      <c r="B30" s="48" t="n">
        <v>0.5</v>
      </c>
      <c r="C30" s="49" t="inlineStr">
        <is>
          <t>十亿美元</t>
        </is>
      </c>
      <c r="D30" s="49" t="inlineStr">
        <is>
          <t>披露</t>
        </is>
      </c>
      <c r="E30" s="36" t="inlineStr">
        <is>
          <t>规则：现金低于 5 亿美元时自动动用</t>
        </is>
      </c>
    </row>
    <row r="31" ht="20" customHeight="1">
      <c r="A31" s="47" t="inlineStr">
        <is>
          <t>紧急授信季利率</t>
        </is>
      </c>
      <c r="B31" s="58" t="n">
        <v>0.03</v>
      </c>
      <c r="C31" s="49" t="inlineStr">
        <is>
          <t>%</t>
        </is>
      </c>
      <c r="D31" s="49" t="inlineStr">
        <is>
          <t>披露</t>
        </is>
      </c>
      <c r="E31" s="36" t="inlineStr">
        <is>
          <t>规则：季利率 3%</t>
        </is>
      </c>
    </row>
    <row r="34">
      <c r="A34" s="41" t="inlineStr">
        <is>
          <t>这些参数是怎么来的</t>
        </is>
      </c>
    </row>
    <row r="35">
      <c r="A35" s="18" t="inlineStr">
        <is>
          <t>• “披露”来自游戏规则 /rules 与初始 state；“假设”是从 16 季三张表反推出来的模型参数，不是引擎披露的事实。</t>
        </is>
      </c>
    </row>
    <row r="36">
      <c r="A36" s="18" t="inlineStr">
        <is>
          <t>• 反推校验：用上述参数重算的收入、单位成本、利息、所得税、资产负债表和现金流量表，与引擎值的最大误差均在 0.0005 以内。</t>
        </is>
      </c>
    </row>
    <row r="37">
      <c r="A37" s="18" t="inlineStr">
        <is>
          <t>• 颜色：黄色 = 假设输入；蓝色 = 引擎披露的期初数据；绿色 = 公式。改黄色格，分析页的敏感性与报表会自动重算。</t>
        </is>
      </c>
    </row>
    <row r="38">
      <c r="A38" s="18" t="inlineStr">
        <is>
          <t>• 免责：本工作簿是经营模拟复盘，不构成投资建议。</t>
        </is>
      </c>
    </row>
  </sheetData>
  <mergeCells count="7">
    <mergeCell ref="A34:E34"/>
    <mergeCell ref="A35:E35"/>
    <mergeCell ref="A38:E38"/>
    <mergeCell ref="A2:E2"/>
    <mergeCell ref="A1:E1"/>
    <mergeCell ref="A37:E37"/>
    <mergeCell ref="A36:E36"/>
  </mergeCells>
  <printOptions horizontalCentered="1"/>
  <pageMargins left="0.75" right="0.75" top="1" bottom="1" header="0.5" footer="0.5"/>
  <pageSetup orientation="landscape" paperSize="8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O66"/>
  <sheetViews>
    <sheetView showGridLines="0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2" customWidth="1" min="1" max="1"/>
    <col width="11.2" customWidth="1" min="2" max="2"/>
    <col width="11.2" customWidth="1" min="3" max="3"/>
    <col width="11.2" customWidth="1" min="4" max="4"/>
    <col width="11.2" customWidth="1" min="5" max="5"/>
    <col width="11.2" customWidth="1" min="6" max="6"/>
    <col width="11.2" customWidth="1" min="7" max="7"/>
    <col width="11.2" customWidth="1" min="8" max="8"/>
    <col width="11.2" customWidth="1" min="9" max="9"/>
    <col width="11.2" customWidth="1" min="10" max="10"/>
    <col width="11.2" customWidth="1" min="11" max="11"/>
    <col width="11.2" customWidth="1" min="12" max="12"/>
    <col width="11.2" customWidth="1" min="13" max="13"/>
    <col width="11.2" customWidth="1" min="14" max="14"/>
    <col width="11.2" customWidth="1" min="15" max="15"/>
    <col width="11.2" customWidth="1" min="16" max="16"/>
    <col width="11.2" customWidth="1" min="17" max="17"/>
    <col width="13" customWidth="1" min="18" max="18"/>
    <col width="36" customWidth="1" min="19" max="19"/>
  </cols>
  <sheetData>
    <row r="1" ht="34" customHeight="1">
      <c r="A1" s="16" t="inlineStr">
        <is>
          <t>经营分析：16 季比率、现金流与敏感性</t>
        </is>
      </c>
    </row>
    <row r="2" ht="20" customHeight="1">
      <c r="A2" s="17" t="inlineStr">
        <is>
          <t>所有数值均为公式，引用三张表与“假设与参数”。单位：十亿美元；比率为百分比。</t>
        </is>
      </c>
    </row>
    <row r="3" ht="17" customHeight="1">
      <c r="A3" s="17" t="inlineStr">
        <is>
          <t>累计营业收入</t>
        </is>
      </c>
      <c r="C3" s="17" t="inlineStr">
        <is>
          <t>累计净利润</t>
        </is>
      </c>
      <c r="E3" s="17" t="inlineStr">
        <is>
          <t>期末股东权益</t>
        </is>
      </c>
      <c r="G3" s="17" t="inlineStr">
        <is>
          <t>权益倍数</t>
        </is>
      </c>
      <c r="I3" s="17" t="inlineStr">
        <is>
          <t>累计经营现金流</t>
        </is>
      </c>
      <c r="K3" s="17" t="inlineStr">
        <is>
          <t>累计资本开支</t>
        </is>
      </c>
    </row>
    <row r="4" ht="28" customHeight="1">
      <c r="A4" s="59">
        <f>利润表!R6</f>
        <v/>
      </c>
      <c r="C4" s="59">
        <f>利润表!R20</f>
        <v/>
      </c>
      <c r="E4" s="59">
        <f>资产负债表!Q16</f>
        <v/>
      </c>
      <c r="G4" s="60">
        <f>E4/假设与参数!B9</f>
        <v/>
      </c>
      <c r="I4" s="59">
        <f>现金流量表!R10</f>
        <v/>
      </c>
      <c r="K4" s="59">
        <f>SUM(原始数据!H7:H22)</f>
        <v/>
      </c>
    </row>
    <row r="5" ht="15" customHeight="1">
      <c r="A5" s="18" t="inlineStr">
        <is>
          <t>十亿美元</t>
        </is>
      </c>
      <c r="C5" s="18" t="inlineStr">
        <is>
          <t>十亿美元</t>
        </is>
      </c>
      <c r="E5" s="18" t="inlineStr">
        <is>
          <t>十亿美元</t>
        </is>
      </c>
      <c r="G5" s="18" t="inlineStr">
        <is>
          <t>倍</t>
        </is>
      </c>
      <c r="I5" s="18" t="inlineStr">
        <is>
          <t>十亿美元</t>
        </is>
      </c>
      <c r="K5" s="18" t="inlineStr">
        <is>
          <t>十亿美元</t>
        </is>
      </c>
    </row>
    <row r="7" ht="17" customHeight="1">
      <c r="A7" s="17" t="inlineStr">
        <is>
          <t>累计自由现金流</t>
        </is>
      </c>
      <c r="C7" s="17" t="inlineStr">
        <is>
          <t>HBM 收入占比</t>
        </is>
      </c>
      <c r="E7" s="17" t="inlineStr">
        <is>
          <t>峰值存货</t>
        </is>
      </c>
      <c r="G7" s="17" t="inlineStr">
        <is>
          <t>峰值有息负债</t>
        </is>
      </c>
      <c r="I7" s="17" t="inlineStr">
        <is>
          <t>最低现金</t>
        </is>
      </c>
      <c r="K7" s="17" t="inlineStr">
        <is>
          <t>期末净负债</t>
        </is>
      </c>
    </row>
    <row r="8" ht="28" customHeight="1">
      <c r="A8" s="59">
        <f>现金流量表!R20</f>
        <v/>
      </c>
      <c r="C8" s="61">
        <f>利润表!R8/利润表!R6</f>
        <v/>
      </c>
      <c r="E8" s="59">
        <f>MAX(资产负债表!B7:Q7)</f>
        <v/>
      </c>
      <c r="G8" s="59">
        <f>MAX(资产负债表!B14:Q14)</f>
        <v/>
      </c>
      <c r="I8" s="59">
        <f>MIN(资产负债表!B6:Q6)</f>
        <v/>
      </c>
      <c r="K8" s="59">
        <f>资产负债表!Q23</f>
        <v/>
      </c>
    </row>
    <row r="9" ht="15" customHeight="1">
      <c r="A9" s="18" t="inlineStr">
        <is>
          <t>十亿美元</t>
        </is>
      </c>
      <c r="C9" s="18" t="inlineStr">
        <is>
          <t>%</t>
        </is>
      </c>
      <c r="E9" s="18" t="inlineStr">
        <is>
          <t>十亿美元</t>
        </is>
      </c>
      <c r="G9" s="18" t="inlineStr">
        <is>
          <t>十亿美元</t>
        </is>
      </c>
      <c r="I9" s="18" t="inlineStr">
        <is>
          <t>十亿美元</t>
        </is>
      </c>
      <c r="K9" s="18" t="inlineStr">
        <is>
          <t>十亿美元（负=净现金）</t>
        </is>
      </c>
    </row>
    <row r="12" ht="26" customHeight="1">
      <c r="A12" s="24" t="inlineStr">
        <is>
          <t>指标</t>
        </is>
      </c>
      <c r="B12" s="24" t="inlineStr">
        <is>
          <t>Q1</t>
        </is>
      </c>
      <c r="C12" s="24" t="inlineStr">
        <is>
          <t>Q2</t>
        </is>
      </c>
      <c r="D12" s="24" t="inlineStr">
        <is>
          <t>Q3</t>
        </is>
      </c>
      <c r="E12" s="24" t="inlineStr">
        <is>
          <t>Q4</t>
        </is>
      </c>
      <c r="F12" s="24" t="inlineStr">
        <is>
          <t>Q5</t>
        </is>
      </c>
      <c r="G12" s="24" t="inlineStr">
        <is>
          <t>Q6</t>
        </is>
      </c>
      <c r="H12" s="24" t="inlineStr">
        <is>
          <t>Q7</t>
        </is>
      </c>
      <c r="I12" s="24" t="inlineStr">
        <is>
          <t>Q8</t>
        </is>
      </c>
      <c r="J12" s="24" t="inlineStr">
        <is>
          <t>Q9</t>
        </is>
      </c>
      <c r="K12" s="24" t="inlineStr">
        <is>
          <t>Q10</t>
        </is>
      </c>
      <c r="L12" s="24" t="inlineStr">
        <is>
          <t>Q11</t>
        </is>
      </c>
      <c r="M12" s="24" t="inlineStr">
        <is>
          <t>Q12</t>
        </is>
      </c>
      <c r="N12" s="24" t="inlineStr">
        <is>
          <t>Q13</t>
        </is>
      </c>
      <c r="O12" s="24" t="inlineStr">
        <is>
          <t>Q14</t>
        </is>
      </c>
      <c r="P12" s="24" t="inlineStr">
        <is>
          <t>Q15</t>
        </is>
      </c>
      <c r="Q12" s="24" t="inlineStr">
        <is>
          <t>Q16</t>
        </is>
      </c>
      <c r="R12" s="24" t="inlineStr">
        <is>
          <t>合计/平均</t>
        </is>
      </c>
      <c r="S12" s="24" t="inlineStr">
        <is>
          <t>口径</t>
        </is>
      </c>
    </row>
    <row r="13" ht="19" customHeight="1">
      <c r="A13" s="37" t="inlineStr">
        <is>
          <t>营业收入</t>
        </is>
      </c>
      <c r="B13" s="38">
        <f>利润表!B6</f>
        <v/>
      </c>
      <c r="C13" s="38">
        <f>利润表!C6</f>
        <v/>
      </c>
      <c r="D13" s="38">
        <f>利润表!D6</f>
        <v/>
      </c>
      <c r="E13" s="38">
        <f>利润表!E6</f>
        <v/>
      </c>
      <c r="F13" s="38">
        <f>利润表!F6</f>
        <v/>
      </c>
      <c r="G13" s="38">
        <f>利润表!G6</f>
        <v/>
      </c>
      <c r="H13" s="38">
        <f>利润表!H6</f>
        <v/>
      </c>
      <c r="I13" s="38">
        <f>利润表!I6</f>
        <v/>
      </c>
      <c r="J13" s="38">
        <f>利润表!J6</f>
        <v/>
      </c>
      <c r="K13" s="38">
        <f>利润表!K6</f>
        <v/>
      </c>
      <c r="L13" s="38">
        <f>利润表!L6</f>
        <v/>
      </c>
      <c r="M13" s="38">
        <f>利润表!M6</f>
        <v/>
      </c>
      <c r="N13" s="38">
        <f>利润表!N6</f>
        <v/>
      </c>
      <c r="O13" s="38">
        <f>利润表!O6</f>
        <v/>
      </c>
      <c r="P13" s="38">
        <f>利润表!P6</f>
        <v/>
      </c>
      <c r="Q13" s="38">
        <f>利润表!Q6</f>
        <v/>
      </c>
      <c r="R13" s="35">
        <f>SUM(B13:Q13)</f>
        <v/>
      </c>
      <c r="S13" s="36" t="inlineStr">
        <is>
          <t>利润表</t>
        </is>
      </c>
    </row>
    <row r="14" ht="19" customHeight="1">
      <c r="A14" s="37" t="inlineStr">
        <is>
          <t>毛利</t>
        </is>
      </c>
      <c r="B14" s="38">
        <f>利润表!B11</f>
        <v/>
      </c>
      <c r="C14" s="38">
        <f>利润表!C11</f>
        <v/>
      </c>
      <c r="D14" s="38">
        <f>利润表!D11</f>
        <v/>
      </c>
      <c r="E14" s="38">
        <f>利润表!E11</f>
        <v/>
      </c>
      <c r="F14" s="38">
        <f>利润表!F11</f>
        <v/>
      </c>
      <c r="G14" s="38">
        <f>利润表!G11</f>
        <v/>
      </c>
      <c r="H14" s="38">
        <f>利润表!H11</f>
        <v/>
      </c>
      <c r="I14" s="38">
        <f>利润表!I11</f>
        <v/>
      </c>
      <c r="J14" s="38">
        <f>利润表!J11</f>
        <v/>
      </c>
      <c r="K14" s="38">
        <f>利润表!K11</f>
        <v/>
      </c>
      <c r="L14" s="38">
        <f>利润表!L11</f>
        <v/>
      </c>
      <c r="M14" s="38">
        <f>利润表!M11</f>
        <v/>
      </c>
      <c r="N14" s="38">
        <f>利润表!N11</f>
        <v/>
      </c>
      <c r="O14" s="38">
        <f>利润表!O11</f>
        <v/>
      </c>
      <c r="P14" s="38">
        <f>利润表!P11</f>
        <v/>
      </c>
      <c r="Q14" s="38">
        <f>利润表!Q11</f>
        <v/>
      </c>
      <c r="R14" s="35">
        <f>SUM(B14:Q14)</f>
        <v/>
      </c>
      <c r="S14" s="36" t="inlineStr">
        <is>
          <t>利润表</t>
        </is>
      </c>
    </row>
    <row r="15" ht="19" customHeight="1">
      <c r="A15" s="33" t="inlineStr">
        <is>
          <t>毛利率</t>
        </is>
      </c>
      <c r="B15" s="62">
        <f>IFERROR(B14/B13,0)</f>
        <v/>
      </c>
      <c r="C15" s="62">
        <f>IFERROR(C14/C13,0)</f>
        <v/>
      </c>
      <c r="D15" s="62">
        <f>IFERROR(D14/D13,0)</f>
        <v/>
      </c>
      <c r="E15" s="62">
        <f>IFERROR(E14/E13,0)</f>
        <v/>
      </c>
      <c r="F15" s="62">
        <f>IFERROR(F14/F13,0)</f>
        <v/>
      </c>
      <c r="G15" s="62">
        <f>IFERROR(G14/G13,0)</f>
        <v/>
      </c>
      <c r="H15" s="62">
        <f>IFERROR(H14/H13,0)</f>
        <v/>
      </c>
      <c r="I15" s="62">
        <f>IFERROR(I14/I13,0)</f>
        <v/>
      </c>
      <c r="J15" s="62">
        <f>IFERROR(J14/J13,0)</f>
        <v/>
      </c>
      <c r="K15" s="62">
        <f>IFERROR(K14/K13,0)</f>
        <v/>
      </c>
      <c r="L15" s="62">
        <f>IFERROR(L14/L13,0)</f>
        <v/>
      </c>
      <c r="M15" s="62">
        <f>IFERROR(M14/M13,0)</f>
        <v/>
      </c>
      <c r="N15" s="62">
        <f>IFERROR(N14/N13,0)</f>
        <v/>
      </c>
      <c r="O15" s="62">
        <f>IFERROR(O14/O13,0)</f>
        <v/>
      </c>
      <c r="P15" s="62">
        <f>IFERROR(P14/P13,0)</f>
        <v/>
      </c>
      <c r="Q15" s="62">
        <f>IFERROR(Q14/Q13,0)</f>
        <v/>
      </c>
      <c r="R15" s="40">
        <f>IFERROR(R14/R13,0)</f>
        <v/>
      </c>
      <c r="S15" s="36" t="inlineStr">
        <is>
          <t>毛利 ÷ 营业收入</t>
        </is>
      </c>
    </row>
    <row r="16" ht="19" customHeight="1">
      <c r="A16" s="37" t="inlineStr">
        <is>
          <t>净利润</t>
        </is>
      </c>
      <c r="B16" s="38">
        <f>利润表!B20</f>
        <v/>
      </c>
      <c r="C16" s="38">
        <f>利润表!C20</f>
        <v/>
      </c>
      <c r="D16" s="38">
        <f>利润表!D20</f>
        <v/>
      </c>
      <c r="E16" s="38">
        <f>利润表!E20</f>
        <v/>
      </c>
      <c r="F16" s="38">
        <f>利润表!F20</f>
        <v/>
      </c>
      <c r="G16" s="38">
        <f>利润表!G20</f>
        <v/>
      </c>
      <c r="H16" s="38">
        <f>利润表!H20</f>
        <v/>
      </c>
      <c r="I16" s="38">
        <f>利润表!I20</f>
        <v/>
      </c>
      <c r="J16" s="38">
        <f>利润表!J20</f>
        <v/>
      </c>
      <c r="K16" s="38">
        <f>利润表!K20</f>
        <v/>
      </c>
      <c r="L16" s="38">
        <f>利润表!L20</f>
        <v/>
      </c>
      <c r="M16" s="38">
        <f>利润表!M20</f>
        <v/>
      </c>
      <c r="N16" s="38">
        <f>利润表!N20</f>
        <v/>
      </c>
      <c r="O16" s="38">
        <f>利润表!O20</f>
        <v/>
      </c>
      <c r="P16" s="38">
        <f>利润表!P20</f>
        <v/>
      </c>
      <c r="Q16" s="38">
        <f>利润表!Q20</f>
        <v/>
      </c>
      <c r="R16" s="35">
        <f>SUM(B16:Q16)</f>
        <v/>
      </c>
      <c r="S16" s="36" t="inlineStr">
        <is>
          <t>利润表</t>
        </is>
      </c>
    </row>
    <row r="17" ht="19" customHeight="1">
      <c r="A17" s="33" t="inlineStr">
        <is>
          <t>净利率</t>
        </is>
      </c>
      <c r="B17" s="62">
        <f>IFERROR(B16/B13,0)</f>
        <v/>
      </c>
      <c r="C17" s="62">
        <f>IFERROR(C16/C13,0)</f>
        <v/>
      </c>
      <c r="D17" s="62">
        <f>IFERROR(D16/D13,0)</f>
        <v/>
      </c>
      <c r="E17" s="62">
        <f>IFERROR(E16/E13,0)</f>
        <v/>
      </c>
      <c r="F17" s="62">
        <f>IFERROR(F16/F13,0)</f>
        <v/>
      </c>
      <c r="G17" s="62">
        <f>IFERROR(G16/G13,0)</f>
        <v/>
      </c>
      <c r="H17" s="62">
        <f>IFERROR(H16/H13,0)</f>
        <v/>
      </c>
      <c r="I17" s="62">
        <f>IFERROR(I16/I13,0)</f>
        <v/>
      </c>
      <c r="J17" s="62">
        <f>IFERROR(J16/J13,0)</f>
        <v/>
      </c>
      <c r="K17" s="62">
        <f>IFERROR(K16/K13,0)</f>
        <v/>
      </c>
      <c r="L17" s="62">
        <f>IFERROR(L16/L13,0)</f>
        <v/>
      </c>
      <c r="M17" s="62">
        <f>IFERROR(M16/M13,0)</f>
        <v/>
      </c>
      <c r="N17" s="62">
        <f>IFERROR(N16/N13,0)</f>
        <v/>
      </c>
      <c r="O17" s="62">
        <f>IFERROR(O16/O13,0)</f>
        <v/>
      </c>
      <c r="P17" s="62">
        <f>IFERROR(P16/P13,0)</f>
        <v/>
      </c>
      <c r="Q17" s="62">
        <f>IFERROR(Q16/Q13,0)</f>
        <v/>
      </c>
      <c r="R17" s="40">
        <f>IFERROR(R16/R13,0)</f>
        <v/>
      </c>
      <c r="S17" s="36" t="inlineStr">
        <is>
          <t>净利润 ÷ 营业收入</t>
        </is>
      </c>
    </row>
    <row r="18" ht="19" customHeight="1">
      <c r="A18" s="37" t="inlineStr">
        <is>
          <t>经营现金流</t>
        </is>
      </c>
      <c r="B18" s="38">
        <f>现金流量表!B10</f>
        <v/>
      </c>
      <c r="C18" s="38">
        <f>现金流量表!C10</f>
        <v/>
      </c>
      <c r="D18" s="38">
        <f>现金流量表!D10</f>
        <v/>
      </c>
      <c r="E18" s="38">
        <f>现金流量表!E10</f>
        <v/>
      </c>
      <c r="F18" s="38">
        <f>现金流量表!F10</f>
        <v/>
      </c>
      <c r="G18" s="38">
        <f>现金流量表!G10</f>
        <v/>
      </c>
      <c r="H18" s="38">
        <f>现金流量表!H10</f>
        <v/>
      </c>
      <c r="I18" s="38">
        <f>现金流量表!I10</f>
        <v/>
      </c>
      <c r="J18" s="38">
        <f>现金流量表!J10</f>
        <v/>
      </c>
      <c r="K18" s="38">
        <f>现金流量表!K10</f>
        <v/>
      </c>
      <c r="L18" s="38">
        <f>现金流量表!L10</f>
        <v/>
      </c>
      <c r="M18" s="38">
        <f>现金流量表!M10</f>
        <v/>
      </c>
      <c r="N18" s="38">
        <f>现金流量表!N10</f>
        <v/>
      </c>
      <c r="O18" s="38">
        <f>现金流量表!O10</f>
        <v/>
      </c>
      <c r="P18" s="38">
        <f>现金流量表!P10</f>
        <v/>
      </c>
      <c r="Q18" s="38">
        <f>现金流量表!Q10</f>
        <v/>
      </c>
      <c r="R18" s="35">
        <f>SUM(B18:Q18)</f>
        <v/>
      </c>
      <c r="S18" s="36" t="inlineStr">
        <is>
          <t>现金流量表（引擎值）</t>
        </is>
      </c>
    </row>
    <row r="19" ht="19" customHeight="1">
      <c r="A19" s="37" t="inlineStr">
        <is>
          <t>资本开支</t>
        </is>
      </c>
      <c r="B19" s="38">
        <f>'原始数据'!H7</f>
        <v/>
      </c>
      <c r="C19" s="38">
        <f>'原始数据'!H8</f>
        <v/>
      </c>
      <c r="D19" s="38">
        <f>'原始数据'!H9</f>
        <v/>
      </c>
      <c r="E19" s="38">
        <f>'原始数据'!H10</f>
        <v/>
      </c>
      <c r="F19" s="38">
        <f>'原始数据'!H11</f>
        <v/>
      </c>
      <c r="G19" s="38">
        <f>'原始数据'!H12</f>
        <v/>
      </c>
      <c r="H19" s="38">
        <f>'原始数据'!H13</f>
        <v/>
      </c>
      <c r="I19" s="38">
        <f>'原始数据'!H14</f>
        <v/>
      </c>
      <c r="J19" s="38">
        <f>'原始数据'!H15</f>
        <v/>
      </c>
      <c r="K19" s="38">
        <f>'原始数据'!H16</f>
        <v/>
      </c>
      <c r="L19" s="38">
        <f>'原始数据'!H17</f>
        <v/>
      </c>
      <c r="M19" s="38">
        <f>'原始数据'!H18</f>
        <v/>
      </c>
      <c r="N19" s="38">
        <f>'原始数据'!H19</f>
        <v/>
      </c>
      <c r="O19" s="38">
        <f>'原始数据'!H20</f>
        <v/>
      </c>
      <c r="P19" s="38">
        <f>'原始数据'!H21</f>
        <v/>
      </c>
      <c r="Q19" s="38">
        <f>'原始数据'!H22</f>
        <v/>
      </c>
      <c r="R19" s="35">
        <f>SUM(B19:Q19)</f>
        <v/>
      </c>
      <c r="S19" s="36" t="inlineStr">
        <is>
          <t>原始数据 H 列</t>
        </is>
      </c>
    </row>
    <row r="20" ht="19" customHeight="1">
      <c r="A20" s="37" t="inlineStr">
        <is>
          <t>自由现金流</t>
        </is>
      </c>
      <c r="B20" s="38">
        <f>B18-B19</f>
        <v/>
      </c>
      <c r="C20" s="38">
        <f>C18-C19</f>
        <v/>
      </c>
      <c r="D20" s="38">
        <f>D18-D19</f>
        <v/>
      </c>
      <c r="E20" s="38">
        <f>E18-E19</f>
        <v/>
      </c>
      <c r="F20" s="38">
        <f>F18-F19</f>
        <v/>
      </c>
      <c r="G20" s="38">
        <f>G18-G19</f>
        <v/>
      </c>
      <c r="H20" s="38">
        <f>H18-H19</f>
        <v/>
      </c>
      <c r="I20" s="38">
        <f>I18-I19</f>
        <v/>
      </c>
      <c r="J20" s="38">
        <f>J18-J19</f>
        <v/>
      </c>
      <c r="K20" s="38">
        <f>K18-K19</f>
        <v/>
      </c>
      <c r="L20" s="38">
        <f>L18-L19</f>
        <v/>
      </c>
      <c r="M20" s="38">
        <f>M18-M19</f>
        <v/>
      </c>
      <c r="N20" s="38">
        <f>N18-N19</f>
        <v/>
      </c>
      <c r="O20" s="38">
        <f>O18-O19</f>
        <v/>
      </c>
      <c r="P20" s="38">
        <f>P18-P19</f>
        <v/>
      </c>
      <c r="Q20" s="38">
        <f>Q18-Q19</f>
        <v/>
      </c>
      <c r="R20" s="35">
        <f>SUM(B20:Q20)</f>
        <v/>
      </c>
      <c r="S20" s="36" t="inlineStr">
        <is>
          <t>经营现金流 − 资本开支</t>
        </is>
      </c>
    </row>
    <row r="21" ht="19" customHeight="1">
      <c r="A21" s="37" t="inlineStr">
        <is>
          <t>期末现金</t>
        </is>
      </c>
      <c r="B21" s="38">
        <f>资产负债表!B6</f>
        <v/>
      </c>
      <c r="C21" s="38">
        <f>资产负债表!C6</f>
        <v/>
      </c>
      <c r="D21" s="38">
        <f>资产负债表!D6</f>
        <v/>
      </c>
      <c r="E21" s="38">
        <f>资产负债表!E6</f>
        <v/>
      </c>
      <c r="F21" s="38">
        <f>资产负债表!F6</f>
        <v/>
      </c>
      <c r="G21" s="38">
        <f>资产负债表!G6</f>
        <v/>
      </c>
      <c r="H21" s="38">
        <f>资产负债表!H6</f>
        <v/>
      </c>
      <c r="I21" s="38">
        <f>资产负债表!I6</f>
        <v/>
      </c>
      <c r="J21" s="38">
        <f>资产负债表!J6</f>
        <v/>
      </c>
      <c r="K21" s="38">
        <f>资产负债表!K6</f>
        <v/>
      </c>
      <c r="L21" s="38">
        <f>资产负债表!L6</f>
        <v/>
      </c>
      <c r="M21" s="38">
        <f>资产负债表!M6</f>
        <v/>
      </c>
      <c r="N21" s="38">
        <f>资产负债表!N6</f>
        <v/>
      </c>
      <c r="O21" s="38">
        <f>资产负债表!O6</f>
        <v/>
      </c>
      <c r="P21" s="38">
        <f>资产负债表!P6</f>
        <v/>
      </c>
      <c r="Q21" s="38">
        <f>资产负债表!Q6</f>
        <v/>
      </c>
      <c r="R21" s="35">
        <f>Q21</f>
        <v/>
      </c>
      <c r="S21" s="36" t="inlineStr">
        <is>
          <t>资产负债表</t>
        </is>
      </c>
    </row>
    <row r="22" ht="19" customHeight="1">
      <c r="A22" s="37" t="inlineStr">
        <is>
          <t>有息负债</t>
        </is>
      </c>
      <c r="B22" s="38">
        <f>资产负债表!B14</f>
        <v/>
      </c>
      <c r="C22" s="38">
        <f>资产负债表!C14</f>
        <v/>
      </c>
      <c r="D22" s="38">
        <f>资产负债表!D14</f>
        <v/>
      </c>
      <c r="E22" s="38">
        <f>资产负债表!E14</f>
        <v/>
      </c>
      <c r="F22" s="38">
        <f>资产负债表!F14</f>
        <v/>
      </c>
      <c r="G22" s="38">
        <f>资产负债表!G14</f>
        <v/>
      </c>
      <c r="H22" s="38">
        <f>资产负债表!H14</f>
        <v/>
      </c>
      <c r="I22" s="38">
        <f>资产负债表!I14</f>
        <v/>
      </c>
      <c r="J22" s="38">
        <f>资产负债表!J14</f>
        <v/>
      </c>
      <c r="K22" s="38">
        <f>资产负债表!K14</f>
        <v/>
      </c>
      <c r="L22" s="38">
        <f>资产负债表!L14</f>
        <v/>
      </c>
      <c r="M22" s="38">
        <f>资产负债表!M14</f>
        <v/>
      </c>
      <c r="N22" s="38">
        <f>资产负债表!N14</f>
        <v/>
      </c>
      <c r="O22" s="38">
        <f>资产负债表!O14</f>
        <v/>
      </c>
      <c r="P22" s="38">
        <f>资产负债表!P14</f>
        <v/>
      </c>
      <c r="Q22" s="38">
        <f>资产负债表!Q14</f>
        <v/>
      </c>
      <c r="R22" s="35">
        <f>Q22</f>
        <v/>
      </c>
      <c r="S22" s="36" t="inlineStr">
        <is>
          <t>资产负债表（借款 + 紧急授信）</t>
        </is>
      </c>
    </row>
    <row r="23" ht="19" customHeight="1">
      <c r="A23" s="37" t="inlineStr">
        <is>
          <t>净负债</t>
        </is>
      </c>
      <c r="B23" s="38">
        <f>B22-B21</f>
        <v/>
      </c>
      <c r="C23" s="38">
        <f>C22-C21</f>
        <v/>
      </c>
      <c r="D23" s="38">
        <f>D22-D21</f>
        <v/>
      </c>
      <c r="E23" s="38">
        <f>E22-E21</f>
        <v/>
      </c>
      <c r="F23" s="38">
        <f>F22-F21</f>
        <v/>
      </c>
      <c r="G23" s="38">
        <f>G22-G21</f>
        <v/>
      </c>
      <c r="H23" s="38">
        <f>H22-H21</f>
        <v/>
      </c>
      <c r="I23" s="38">
        <f>I22-I21</f>
        <v/>
      </c>
      <c r="J23" s="38">
        <f>J22-J21</f>
        <v/>
      </c>
      <c r="K23" s="38">
        <f>K22-K21</f>
        <v/>
      </c>
      <c r="L23" s="38">
        <f>L22-L21</f>
        <v/>
      </c>
      <c r="M23" s="38">
        <f>M22-M21</f>
        <v/>
      </c>
      <c r="N23" s="38">
        <f>N22-N21</f>
        <v/>
      </c>
      <c r="O23" s="38">
        <f>O22-O21</f>
        <v/>
      </c>
      <c r="P23" s="38">
        <f>P22-P21</f>
        <v/>
      </c>
      <c r="Q23" s="38">
        <f>Q22-Q21</f>
        <v/>
      </c>
      <c r="R23" s="35">
        <f>Q23</f>
        <v/>
      </c>
      <c r="S23" s="36" t="inlineStr">
        <is>
          <t>有息负债 − 现金</t>
        </is>
      </c>
    </row>
    <row r="24" ht="19" customHeight="1">
      <c r="A24" s="37" t="inlineStr">
        <is>
          <t>股东权益</t>
        </is>
      </c>
      <c r="B24" s="38">
        <f>资产负债表!B16</f>
        <v/>
      </c>
      <c r="C24" s="38">
        <f>资产负债表!C16</f>
        <v/>
      </c>
      <c r="D24" s="38">
        <f>资产负债表!D16</f>
        <v/>
      </c>
      <c r="E24" s="38">
        <f>资产负债表!E16</f>
        <v/>
      </c>
      <c r="F24" s="38">
        <f>资产负债表!F16</f>
        <v/>
      </c>
      <c r="G24" s="38">
        <f>资产负债表!G16</f>
        <v/>
      </c>
      <c r="H24" s="38">
        <f>资产负债表!H16</f>
        <v/>
      </c>
      <c r="I24" s="38">
        <f>资产负债表!I16</f>
        <v/>
      </c>
      <c r="J24" s="38">
        <f>资产负债表!J16</f>
        <v/>
      </c>
      <c r="K24" s="38">
        <f>资产负债表!K16</f>
        <v/>
      </c>
      <c r="L24" s="38">
        <f>资产负债表!L16</f>
        <v/>
      </c>
      <c r="M24" s="38">
        <f>资产负债表!M16</f>
        <v/>
      </c>
      <c r="N24" s="38">
        <f>资产负债表!N16</f>
        <v/>
      </c>
      <c r="O24" s="38">
        <f>资产负债表!O16</f>
        <v/>
      </c>
      <c r="P24" s="38">
        <f>资产负债表!P16</f>
        <v/>
      </c>
      <c r="Q24" s="38">
        <f>资产负债表!Q16</f>
        <v/>
      </c>
      <c r="R24" s="35">
        <f>Q24</f>
        <v/>
      </c>
      <c r="S24" s="36" t="inlineStr">
        <is>
          <t>资产负债表</t>
        </is>
      </c>
    </row>
    <row r="25" ht="19" customHeight="1">
      <c r="A25" s="37" t="inlineStr">
        <is>
          <t>平均股东权益</t>
        </is>
      </c>
      <c r="B25" s="38">
        <f>(假设与参数!$B$9+B24)/2</f>
        <v/>
      </c>
      <c r="C25" s="38">
        <f>(B24+C24)/2</f>
        <v/>
      </c>
      <c r="D25" s="38">
        <f>(C24+D24)/2</f>
        <v/>
      </c>
      <c r="E25" s="38">
        <f>(D24+E24)/2</f>
        <v/>
      </c>
      <c r="F25" s="38">
        <f>(E24+F24)/2</f>
        <v/>
      </c>
      <c r="G25" s="38">
        <f>(F24+G24)/2</f>
        <v/>
      </c>
      <c r="H25" s="38">
        <f>(G24+H24)/2</f>
        <v/>
      </c>
      <c r="I25" s="38">
        <f>(H24+I24)/2</f>
        <v/>
      </c>
      <c r="J25" s="38">
        <f>(I24+J24)/2</f>
        <v/>
      </c>
      <c r="K25" s="38">
        <f>(J24+K24)/2</f>
        <v/>
      </c>
      <c r="L25" s="38">
        <f>(K24+L24)/2</f>
        <v/>
      </c>
      <c r="M25" s="38">
        <f>(L24+M24)/2</f>
        <v/>
      </c>
      <c r="N25" s="38">
        <f>(M24+N24)/2</f>
        <v/>
      </c>
      <c r="O25" s="38">
        <f>(N24+O24)/2</f>
        <v/>
      </c>
      <c r="P25" s="38">
        <f>(O24+P24)/2</f>
        <v/>
      </c>
      <c r="Q25" s="38">
        <f>(P24+Q24)/2</f>
        <v/>
      </c>
      <c r="R25" s="35">
        <f>AVERAGE(B25:Q25)</f>
        <v/>
      </c>
      <c r="S25" s="36" t="inlineStr">
        <is>
          <t>期初、期末平均</t>
        </is>
      </c>
    </row>
    <row r="26" ht="19" customHeight="1">
      <c r="A26" s="33" t="inlineStr">
        <is>
          <t>单季 ROE</t>
        </is>
      </c>
      <c r="B26" s="62">
        <f>IFERROR(B16/B25,0)</f>
        <v/>
      </c>
      <c r="C26" s="62">
        <f>IFERROR(C16/C25,0)</f>
        <v/>
      </c>
      <c r="D26" s="62">
        <f>IFERROR(D16/D25,0)</f>
        <v/>
      </c>
      <c r="E26" s="62">
        <f>IFERROR(E16/E25,0)</f>
        <v/>
      </c>
      <c r="F26" s="62">
        <f>IFERROR(F16/F25,0)</f>
        <v/>
      </c>
      <c r="G26" s="62">
        <f>IFERROR(G16/G25,0)</f>
        <v/>
      </c>
      <c r="H26" s="62">
        <f>IFERROR(H16/H25,0)</f>
        <v/>
      </c>
      <c r="I26" s="62">
        <f>IFERROR(I16/I25,0)</f>
        <v/>
      </c>
      <c r="J26" s="62">
        <f>IFERROR(J16/J25,0)</f>
        <v/>
      </c>
      <c r="K26" s="62">
        <f>IFERROR(K16/K25,0)</f>
        <v/>
      </c>
      <c r="L26" s="62">
        <f>IFERROR(L16/L25,0)</f>
        <v/>
      </c>
      <c r="M26" s="62">
        <f>IFERROR(M16/M25,0)</f>
        <v/>
      </c>
      <c r="N26" s="62">
        <f>IFERROR(N16/N25,0)</f>
        <v/>
      </c>
      <c r="O26" s="62">
        <f>IFERROR(O16/O25,0)</f>
        <v/>
      </c>
      <c r="P26" s="62">
        <f>IFERROR(P16/P25,0)</f>
        <v/>
      </c>
      <c r="Q26" s="62">
        <f>IFERROR(Q16/Q25,0)</f>
        <v/>
      </c>
      <c r="R26" s="40">
        <f>AVERAGE(B26:Q26)</f>
        <v/>
      </c>
      <c r="S26" s="36" t="inlineStr">
        <is>
          <t>净利润 ÷ 平均股东权益</t>
        </is>
      </c>
    </row>
    <row r="27" ht="19" customHeight="1">
      <c r="A27" s="37" t="inlineStr">
        <is>
          <t>年化 ROE</t>
        </is>
      </c>
      <c r="B27" s="39">
        <f>B26*假设与参数!$B$21</f>
        <v/>
      </c>
      <c r="C27" s="39">
        <f>C26*假设与参数!$B$21</f>
        <v/>
      </c>
      <c r="D27" s="39">
        <f>D26*假设与参数!$B$21</f>
        <v/>
      </c>
      <c r="E27" s="39">
        <f>E26*假设与参数!$B$21</f>
        <v/>
      </c>
      <c r="F27" s="39">
        <f>F26*假设与参数!$B$21</f>
        <v/>
      </c>
      <c r="G27" s="39">
        <f>G26*假设与参数!$B$21</f>
        <v/>
      </c>
      <c r="H27" s="39">
        <f>H26*假设与参数!$B$21</f>
        <v/>
      </c>
      <c r="I27" s="39">
        <f>I26*假设与参数!$B$21</f>
        <v/>
      </c>
      <c r="J27" s="39">
        <f>J26*假设与参数!$B$21</f>
        <v/>
      </c>
      <c r="K27" s="39">
        <f>K26*假设与参数!$B$21</f>
        <v/>
      </c>
      <c r="L27" s="39">
        <f>L26*假设与参数!$B$21</f>
        <v/>
      </c>
      <c r="M27" s="39">
        <f>M26*假设与参数!$B$21</f>
        <v/>
      </c>
      <c r="N27" s="39">
        <f>N26*假设与参数!$B$21</f>
        <v/>
      </c>
      <c r="O27" s="39">
        <f>O26*假设与参数!$B$21</f>
        <v/>
      </c>
      <c r="P27" s="39">
        <f>P26*假设与参数!$B$21</f>
        <v/>
      </c>
      <c r="Q27" s="39">
        <f>Q26*假设与参数!$B$21</f>
        <v/>
      </c>
      <c r="R27" s="40">
        <f>R26*假设与参数!B21</f>
        <v/>
      </c>
      <c r="S27" s="36" t="inlineStr">
        <is>
          <t>单季 ROE × 4</t>
        </is>
      </c>
    </row>
    <row r="28" ht="19" customHeight="1">
      <c r="A28" s="37" t="inlineStr">
        <is>
          <t>平均总资产</t>
        </is>
      </c>
      <c r="B28" s="38">
        <f>(假设与参数!$B$10+资产负债表!B10)/2</f>
        <v/>
      </c>
      <c r="C28" s="38">
        <f>(资产负债表!B10+资产负债表!C10)/2</f>
        <v/>
      </c>
      <c r="D28" s="38">
        <f>(资产负债表!C10+资产负债表!D10)/2</f>
        <v/>
      </c>
      <c r="E28" s="38">
        <f>(资产负债表!D10+资产负债表!E10)/2</f>
        <v/>
      </c>
      <c r="F28" s="38">
        <f>(资产负债表!E10+资产负债表!F10)/2</f>
        <v/>
      </c>
      <c r="G28" s="38">
        <f>(资产负债表!F10+资产负债表!G10)/2</f>
        <v/>
      </c>
      <c r="H28" s="38">
        <f>(资产负债表!G10+资产负债表!H10)/2</f>
        <v/>
      </c>
      <c r="I28" s="38">
        <f>(资产负债表!H10+资产负债表!I10)/2</f>
        <v/>
      </c>
      <c r="J28" s="38">
        <f>(资产负债表!I10+资产负债表!J10)/2</f>
        <v/>
      </c>
      <c r="K28" s="38">
        <f>(资产负债表!J10+资产负债表!K10)/2</f>
        <v/>
      </c>
      <c r="L28" s="38">
        <f>(资产负债表!K10+资产负债表!L10)/2</f>
        <v/>
      </c>
      <c r="M28" s="38">
        <f>(资产负债表!L10+资产负债表!M10)/2</f>
        <v/>
      </c>
      <c r="N28" s="38">
        <f>(资产负债表!M10+资产负债表!N10)/2</f>
        <v/>
      </c>
      <c r="O28" s="38">
        <f>(资产负债表!N10+资产负债表!O10)/2</f>
        <v/>
      </c>
      <c r="P28" s="38">
        <f>(资产负债表!O10+资产负债表!P10)/2</f>
        <v/>
      </c>
      <c r="Q28" s="38">
        <f>(资产负债表!P10+资产负债表!Q10)/2</f>
        <v/>
      </c>
      <c r="R28" s="35">
        <f>AVERAGE(B28:Q28)</f>
        <v/>
      </c>
      <c r="S28" s="36" t="inlineStr">
        <is>
          <t>期初、期末平均</t>
        </is>
      </c>
    </row>
    <row r="29" ht="19" customHeight="1">
      <c r="A29" s="37" t="inlineStr">
        <is>
          <t>年化 ROA</t>
        </is>
      </c>
      <c r="B29" s="39">
        <f>IFERROR(B16/B28*假设与参数!$B$21,0)</f>
        <v/>
      </c>
      <c r="C29" s="39">
        <f>IFERROR(C16/C28*假设与参数!$B$21,0)</f>
        <v/>
      </c>
      <c r="D29" s="39">
        <f>IFERROR(D16/D28*假设与参数!$B$21,0)</f>
        <v/>
      </c>
      <c r="E29" s="39">
        <f>IFERROR(E16/E28*假设与参数!$B$21,0)</f>
        <v/>
      </c>
      <c r="F29" s="39">
        <f>IFERROR(F16/F28*假设与参数!$B$21,0)</f>
        <v/>
      </c>
      <c r="G29" s="39">
        <f>IFERROR(G16/G28*假设与参数!$B$21,0)</f>
        <v/>
      </c>
      <c r="H29" s="39">
        <f>IFERROR(H16/H28*假设与参数!$B$21,0)</f>
        <v/>
      </c>
      <c r="I29" s="39">
        <f>IFERROR(I16/I28*假设与参数!$B$21,0)</f>
        <v/>
      </c>
      <c r="J29" s="39">
        <f>IFERROR(J16/J28*假设与参数!$B$21,0)</f>
        <v/>
      </c>
      <c r="K29" s="39">
        <f>IFERROR(K16/K28*假设与参数!$B$21,0)</f>
        <v/>
      </c>
      <c r="L29" s="39">
        <f>IFERROR(L16/L28*假设与参数!$B$21,0)</f>
        <v/>
      </c>
      <c r="M29" s="39">
        <f>IFERROR(M16/M28*假设与参数!$B$21,0)</f>
        <v/>
      </c>
      <c r="N29" s="39">
        <f>IFERROR(N16/N28*假设与参数!$B$21,0)</f>
        <v/>
      </c>
      <c r="O29" s="39">
        <f>IFERROR(O16/O28*假设与参数!$B$21,0)</f>
        <v/>
      </c>
      <c r="P29" s="39">
        <f>IFERROR(P16/P28*假设与参数!$B$21,0)</f>
        <v/>
      </c>
      <c r="Q29" s="39">
        <f>IFERROR(Q16/Q28*假设与参数!$B$21,0)</f>
        <v/>
      </c>
      <c r="R29" s="40">
        <f>AVERAGE(B29:Q29)</f>
        <v/>
      </c>
      <c r="S29" s="36" t="inlineStr">
        <is>
          <t>净利润 ÷ 平均总资产 × 4</t>
        </is>
      </c>
    </row>
    <row r="30" ht="19" customHeight="1">
      <c r="A30" s="37" t="inlineStr">
        <is>
          <t>存货（期末）</t>
        </is>
      </c>
      <c r="B30" s="38">
        <f>资产负债表!B7</f>
        <v/>
      </c>
      <c r="C30" s="38">
        <f>资产负债表!C7</f>
        <v/>
      </c>
      <c r="D30" s="38">
        <f>资产负债表!D7</f>
        <v/>
      </c>
      <c r="E30" s="38">
        <f>资产负债表!E7</f>
        <v/>
      </c>
      <c r="F30" s="38">
        <f>资产负债表!F7</f>
        <v/>
      </c>
      <c r="G30" s="38">
        <f>资产负债表!G7</f>
        <v/>
      </c>
      <c r="H30" s="38">
        <f>资产负债表!H7</f>
        <v/>
      </c>
      <c r="I30" s="38">
        <f>资产负债表!I7</f>
        <v/>
      </c>
      <c r="J30" s="38">
        <f>资产负债表!J7</f>
        <v/>
      </c>
      <c r="K30" s="38">
        <f>资产负债表!K7</f>
        <v/>
      </c>
      <c r="L30" s="38">
        <f>资产负债表!L7</f>
        <v/>
      </c>
      <c r="M30" s="38">
        <f>资产负债表!M7</f>
        <v/>
      </c>
      <c r="N30" s="38">
        <f>资产负债表!N7</f>
        <v/>
      </c>
      <c r="O30" s="38">
        <f>资产负债表!O7</f>
        <v/>
      </c>
      <c r="P30" s="38">
        <f>资产负债表!P7</f>
        <v/>
      </c>
      <c r="Q30" s="38">
        <f>资产负债表!Q7</f>
        <v/>
      </c>
      <c r="R30" s="35">
        <f>Q30</f>
        <v/>
      </c>
      <c r="S30" s="36" t="inlineStr">
        <is>
          <t>资产负债表</t>
        </is>
      </c>
    </row>
    <row r="31" ht="19" customHeight="1">
      <c r="A31" s="37" t="inlineStr">
        <is>
          <t>平均存货</t>
        </is>
      </c>
      <c r="B31" s="38">
        <f>(假设与参数!$B$6+B30)/2</f>
        <v/>
      </c>
      <c r="C31" s="38">
        <f>(B30+C30)/2</f>
        <v/>
      </c>
      <c r="D31" s="38">
        <f>(C30+D30)/2</f>
        <v/>
      </c>
      <c r="E31" s="38">
        <f>(D30+E30)/2</f>
        <v/>
      </c>
      <c r="F31" s="38">
        <f>(E30+F30)/2</f>
        <v/>
      </c>
      <c r="G31" s="38">
        <f>(F30+G30)/2</f>
        <v/>
      </c>
      <c r="H31" s="38">
        <f>(G30+H30)/2</f>
        <v/>
      </c>
      <c r="I31" s="38">
        <f>(H30+I30)/2</f>
        <v/>
      </c>
      <c r="J31" s="38">
        <f>(I30+J30)/2</f>
        <v/>
      </c>
      <c r="K31" s="38">
        <f>(J30+K30)/2</f>
        <v/>
      </c>
      <c r="L31" s="38">
        <f>(K30+L30)/2</f>
        <v/>
      </c>
      <c r="M31" s="38">
        <f>(L30+M30)/2</f>
        <v/>
      </c>
      <c r="N31" s="38">
        <f>(M30+N30)/2</f>
        <v/>
      </c>
      <c r="O31" s="38">
        <f>(N30+O30)/2</f>
        <v/>
      </c>
      <c r="P31" s="38">
        <f>(O30+P30)/2</f>
        <v/>
      </c>
      <c r="Q31" s="38">
        <f>(P30+Q30)/2</f>
        <v/>
      </c>
      <c r="R31" s="35">
        <f>AVERAGE(B31:Q31)</f>
        <v/>
      </c>
      <c r="S31" s="36" t="inlineStr">
        <is>
          <t>期初、期末平均</t>
        </is>
      </c>
    </row>
    <row r="32" ht="19" customHeight="1">
      <c r="A32" s="37" t="inlineStr">
        <is>
          <t>营业成本</t>
        </is>
      </c>
      <c r="B32" s="38">
        <f>利润表!B9</f>
        <v/>
      </c>
      <c r="C32" s="38">
        <f>利润表!C9</f>
        <v/>
      </c>
      <c r="D32" s="38">
        <f>利润表!D9</f>
        <v/>
      </c>
      <c r="E32" s="38">
        <f>利润表!E9</f>
        <v/>
      </c>
      <c r="F32" s="38">
        <f>利润表!F9</f>
        <v/>
      </c>
      <c r="G32" s="38">
        <f>利润表!G9</f>
        <v/>
      </c>
      <c r="H32" s="38">
        <f>利润表!H9</f>
        <v/>
      </c>
      <c r="I32" s="38">
        <f>利润表!I9</f>
        <v/>
      </c>
      <c r="J32" s="38">
        <f>利润表!J9</f>
        <v/>
      </c>
      <c r="K32" s="38">
        <f>利润表!K9</f>
        <v/>
      </c>
      <c r="L32" s="38">
        <f>利润表!L9</f>
        <v/>
      </c>
      <c r="M32" s="38">
        <f>利润表!M9</f>
        <v/>
      </c>
      <c r="N32" s="38">
        <f>利润表!N9</f>
        <v/>
      </c>
      <c r="O32" s="38">
        <f>利润表!O9</f>
        <v/>
      </c>
      <c r="P32" s="38">
        <f>利润表!P9</f>
        <v/>
      </c>
      <c r="Q32" s="38">
        <f>利润表!Q9</f>
        <v/>
      </c>
      <c r="R32" s="35">
        <f>SUM(B32:Q32)</f>
        <v/>
      </c>
      <c r="S32" s="36" t="inlineStr">
        <is>
          <t>利润表</t>
        </is>
      </c>
    </row>
    <row r="33" ht="19" customHeight="1">
      <c r="A33" s="33" t="inlineStr">
        <is>
          <t>存货周转天数</t>
        </is>
      </c>
      <c r="B33" s="63">
        <f>IFERROR(B31/B32*假设与参数!$B$22,0)</f>
        <v/>
      </c>
      <c r="C33" s="63">
        <f>IFERROR(C31/C32*假设与参数!$B$22,0)</f>
        <v/>
      </c>
      <c r="D33" s="63">
        <f>IFERROR(D31/D32*假设与参数!$B$22,0)</f>
        <v/>
      </c>
      <c r="E33" s="63">
        <f>IFERROR(E31/E32*假设与参数!$B$22,0)</f>
        <v/>
      </c>
      <c r="F33" s="63">
        <f>IFERROR(F31/F32*假设与参数!$B$22,0)</f>
        <v/>
      </c>
      <c r="G33" s="63">
        <f>IFERROR(G31/G32*假设与参数!$B$22,0)</f>
        <v/>
      </c>
      <c r="H33" s="63">
        <f>IFERROR(H31/H32*假设与参数!$B$22,0)</f>
        <v/>
      </c>
      <c r="I33" s="63">
        <f>IFERROR(I31/I32*假设与参数!$B$22,0)</f>
        <v/>
      </c>
      <c r="J33" s="63">
        <f>IFERROR(J31/J32*假设与参数!$B$22,0)</f>
        <v/>
      </c>
      <c r="K33" s="63">
        <f>IFERROR(K31/K32*假设与参数!$B$22,0)</f>
        <v/>
      </c>
      <c r="L33" s="63">
        <f>IFERROR(L31/L32*假设与参数!$B$22,0)</f>
        <v/>
      </c>
      <c r="M33" s="63">
        <f>IFERROR(M31/M32*假设与参数!$B$22,0)</f>
        <v/>
      </c>
      <c r="N33" s="63">
        <f>IFERROR(N31/N32*假设与参数!$B$22,0)</f>
        <v/>
      </c>
      <c r="O33" s="63">
        <f>IFERROR(O31/O32*假设与参数!$B$22,0)</f>
        <v/>
      </c>
      <c r="P33" s="63">
        <f>IFERROR(P31/P32*假设与参数!$B$22,0)</f>
        <v/>
      </c>
      <c r="Q33" s="63">
        <f>IFERROR(Q31/Q32*假设与参数!$B$22,0)</f>
        <v/>
      </c>
      <c r="R33" s="64">
        <f>AVERAGEIF(B33:Q33,"&gt;0")</f>
        <v/>
      </c>
      <c r="S33" s="36" t="inlineStr">
        <is>
          <t>平均存货 ÷ 营业成本 × 90</t>
        </is>
      </c>
    </row>
    <row r="34" ht="19" customHeight="1">
      <c r="A34" s="37" t="inlineStr">
        <is>
          <t>存货周转率</t>
        </is>
      </c>
      <c r="B34" s="42">
        <f>IFERROR(B32/B31,0)</f>
        <v/>
      </c>
      <c r="C34" s="42">
        <f>IFERROR(C32/C31,0)</f>
        <v/>
      </c>
      <c r="D34" s="42">
        <f>IFERROR(D32/D31,0)</f>
        <v/>
      </c>
      <c r="E34" s="42">
        <f>IFERROR(E32/E31,0)</f>
        <v/>
      </c>
      <c r="F34" s="42">
        <f>IFERROR(F32/F31,0)</f>
        <v/>
      </c>
      <c r="G34" s="42">
        <f>IFERROR(G32/G31,0)</f>
        <v/>
      </c>
      <c r="H34" s="42">
        <f>IFERROR(H32/H31,0)</f>
        <v/>
      </c>
      <c r="I34" s="42">
        <f>IFERROR(I32/I31,0)</f>
        <v/>
      </c>
      <c r="J34" s="42">
        <f>IFERROR(J32/J31,0)</f>
        <v/>
      </c>
      <c r="K34" s="42">
        <f>IFERROR(K32/K31,0)</f>
        <v/>
      </c>
      <c r="L34" s="42">
        <f>IFERROR(L32/L31,0)</f>
        <v/>
      </c>
      <c r="M34" s="42">
        <f>IFERROR(M32/M31,0)</f>
        <v/>
      </c>
      <c r="N34" s="42">
        <f>IFERROR(N32/N31,0)</f>
        <v/>
      </c>
      <c r="O34" s="42">
        <f>IFERROR(O32/O31,0)</f>
        <v/>
      </c>
      <c r="P34" s="42">
        <f>IFERROR(P32/P31,0)</f>
        <v/>
      </c>
      <c r="Q34" s="42">
        <f>IFERROR(Q32/Q31,0)</f>
        <v/>
      </c>
      <c r="R34" s="43">
        <f>AVERAGEIF(B34:Q34,"&gt;0")</f>
        <v/>
      </c>
      <c r="S34" s="36" t="inlineStr">
        <is>
          <t>营业成本 ÷ 平均存货</t>
        </is>
      </c>
    </row>
    <row r="35" ht="19" customHeight="1">
      <c r="A35" s="37" t="inlineStr">
        <is>
          <t>资产负债率</t>
        </is>
      </c>
      <c r="B35" s="39">
        <f>IFERROR(B22/资产负债表!B10,0)</f>
        <v/>
      </c>
      <c r="C35" s="39">
        <f>IFERROR(C22/资产负债表!C10,0)</f>
        <v/>
      </c>
      <c r="D35" s="39">
        <f>IFERROR(D22/资产负债表!D10,0)</f>
        <v/>
      </c>
      <c r="E35" s="39">
        <f>IFERROR(E22/资产负债表!E10,0)</f>
        <v/>
      </c>
      <c r="F35" s="39">
        <f>IFERROR(F22/资产负债表!F10,0)</f>
        <v/>
      </c>
      <c r="G35" s="39">
        <f>IFERROR(G22/资产负债表!G10,0)</f>
        <v/>
      </c>
      <c r="H35" s="39">
        <f>IFERROR(H22/资产负债表!H10,0)</f>
        <v/>
      </c>
      <c r="I35" s="39">
        <f>IFERROR(I22/资产负债表!I10,0)</f>
        <v/>
      </c>
      <c r="J35" s="39">
        <f>IFERROR(J22/资产负债表!J10,0)</f>
        <v/>
      </c>
      <c r="K35" s="39">
        <f>IFERROR(K22/资产负债表!K10,0)</f>
        <v/>
      </c>
      <c r="L35" s="39">
        <f>IFERROR(L22/资产负债表!L10,0)</f>
        <v/>
      </c>
      <c r="M35" s="39">
        <f>IFERROR(M22/资产负债表!M10,0)</f>
        <v/>
      </c>
      <c r="N35" s="39">
        <f>IFERROR(N22/资产负债表!N10,0)</f>
        <v/>
      </c>
      <c r="O35" s="39">
        <f>IFERROR(O22/资产负债表!O10,0)</f>
        <v/>
      </c>
      <c r="P35" s="39">
        <f>IFERROR(P22/资产负债表!P10,0)</f>
        <v/>
      </c>
      <c r="Q35" s="39">
        <f>IFERROR(Q22/资产负债表!Q10,0)</f>
        <v/>
      </c>
      <c r="R35" s="40">
        <f>IFERROR(AVERAGE(B22:Q22)/AVERAGE(资产负债表!B10:Q10),0)</f>
        <v/>
      </c>
      <c r="S35" s="36" t="inlineStr">
        <is>
          <t>有息负债 ÷ 总资产</t>
        </is>
      </c>
    </row>
    <row r="36" ht="19" customHeight="1">
      <c r="A36" s="37" t="inlineStr">
        <is>
          <t>净负债 / 股东权益</t>
        </is>
      </c>
      <c r="B36" s="39">
        <f>IFERROR(B23/B24,0)</f>
        <v/>
      </c>
      <c r="C36" s="39">
        <f>IFERROR(C23/C24,0)</f>
        <v/>
      </c>
      <c r="D36" s="39">
        <f>IFERROR(D23/D24,0)</f>
        <v/>
      </c>
      <c r="E36" s="39">
        <f>IFERROR(E23/E24,0)</f>
        <v/>
      </c>
      <c r="F36" s="39">
        <f>IFERROR(F23/F24,0)</f>
        <v/>
      </c>
      <c r="G36" s="39">
        <f>IFERROR(G23/G24,0)</f>
        <v/>
      </c>
      <c r="H36" s="39">
        <f>IFERROR(H23/H24,0)</f>
        <v/>
      </c>
      <c r="I36" s="39">
        <f>IFERROR(I23/I24,0)</f>
        <v/>
      </c>
      <c r="J36" s="39">
        <f>IFERROR(J23/J24,0)</f>
        <v/>
      </c>
      <c r="K36" s="39">
        <f>IFERROR(K23/K24,0)</f>
        <v/>
      </c>
      <c r="L36" s="39">
        <f>IFERROR(L23/L24,0)</f>
        <v/>
      </c>
      <c r="M36" s="39">
        <f>IFERROR(M23/M24,0)</f>
        <v/>
      </c>
      <c r="N36" s="39">
        <f>IFERROR(N23/N24,0)</f>
        <v/>
      </c>
      <c r="O36" s="39">
        <f>IFERROR(O23/O24,0)</f>
        <v/>
      </c>
      <c r="P36" s="39">
        <f>IFERROR(P23/P24,0)</f>
        <v/>
      </c>
      <c r="Q36" s="39">
        <f>IFERROR(Q23/Q24,0)</f>
        <v/>
      </c>
      <c r="R36" s="40">
        <f>IFERROR(Q23/Q24,0)</f>
        <v/>
      </c>
      <c r="S36" s="36" t="inlineStr">
        <is>
          <t>净负债 ÷ 股东权益</t>
        </is>
      </c>
    </row>
    <row r="37" ht="19" customHeight="1">
      <c r="A37" s="37" t="inlineStr">
        <is>
          <t>产能利用率</t>
        </is>
      </c>
      <c r="B37" s="39">
        <f>IFERROR('原始数据'!L7/'原始数据'!Q7,0)</f>
        <v/>
      </c>
      <c r="C37" s="39">
        <f>IFERROR('原始数据'!L8/'原始数据'!Q8,0)</f>
        <v/>
      </c>
      <c r="D37" s="39">
        <f>IFERROR('原始数据'!L9/'原始数据'!Q9,0)</f>
        <v/>
      </c>
      <c r="E37" s="39">
        <f>IFERROR('原始数据'!L10/'原始数据'!Q10,0)</f>
        <v/>
      </c>
      <c r="F37" s="39">
        <f>IFERROR('原始数据'!L11/'原始数据'!Q11,0)</f>
        <v/>
      </c>
      <c r="G37" s="39">
        <f>IFERROR('原始数据'!L12/'原始数据'!Q12,0)</f>
        <v/>
      </c>
      <c r="H37" s="39">
        <f>IFERROR('原始数据'!L13/'原始数据'!Q13,0)</f>
        <v/>
      </c>
      <c r="I37" s="39">
        <f>IFERROR('原始数据'!L14/'原始数据'!Q14,0)</f>
        <v/>
      </c>
      <c r="J37" s="39">
        <f>IFERROR('原始数据'!L15/'原始数据'!Q15,0)</f>
        <v/>
      </c>
      <c r="K37" s="39">
        <f>IFERROR('原始数据'!L16/'原始数据'!Q16,0)</f>
        <v/>
      </c>
      <c r="L37" s="39">
        <f>IFERROR('原始数据'!L17/'原始数据'!Q17,0)</f>
        <v/>
      </c>
      <c r="M37" s="39">
        <f>IFERROR('原始数据'!L18/'原始数据'!Q18,0)</f>
        <v/>
      </c>
      <c r="N37" s="39">
        <f>IFERROR('原始数据'!L19/'原始数据'!Q19,0)</f>
        <v/>
      </c>
      <c r="O37" s="39">
        <f>IFERROR('原始数据'!L20/'原始数据'!Q20,0)</f>
        <v/>
      </c>
      <c r="P37" s="39">
        <f>IFERROR('原始数据'!L21/'原始数据'!Q21,0)</f>
        <v/>
      </c>
      <c r="Q37" s="39">
        <f>IFERROR('原始数据'!L22/'原始数据'!Q22,0)</f>
        <v/>
      </c>
      <c r="R37" s="40">
        <f>AVERAGE(B37:Q37)</f>
        <v/>
      </c>
      <c r="S37" s="36" t="inlineStr">
        <is>
          <t>产量 ÷ 产能</t>
        </is>
      </c>
    </row>
    <row r="38" ht="19" customHeight="1">
      <c r="A38" s="37" t="inlineStr">
        <is>
          <t>HBM 产量占比</t>
        </is>
      </c>
      <c r="B38" s="39">
        <f>IFERROR('原始数据'!M7/'原始数据'!L7,0)</f>
        <v/>
      </c>
      <c r="C38" s="39">
        <f>IFERROR('原始数据'!M8/'原始数据'!L8,0)</f>
        <v/>
      </c>
      <c r="D38" s="39">
        <f>IFERROR('原始数据'!M9/'原始数据'!L9,0)</f>
        <v/>
      </c>
      <c r="E38" s="39">
        <f>IFERROR('原始数据'!M10/'原始数据'!L10,0)</f>
        <v/>
      </c>
      <c r="F38" s="39">
        <f>IFERROR('原始数据'!M11/'原始数据'!L11,0)</f>
        <v/>
      </c>
      <c r="G38" s="39">
        <f>IFERROR('原始数据'!M12/'原始数据'!L12,0)</f>
        <v/>
      </c>
      <c r="H38" s="39">
        <f>IFERROR('原始数据'!M13/'原始数据'!L13,0)</f>
        <v/>
      </c>
      <c r="I38" s="39">
        <f>IFERROR('原始数据'!M14/'原始数据'!L14,0)</f>
        <v/>
      </c>
      <c r="J38" s="39">
        <f>IFERROR('原始数据'!M15/'原始数据'!L15,0)</f>
        <v/>
      </c>
      <c r="K38" s="39">
        <f>IFERROR('原始数据'!M16/'原始数据'!L16,0)</f>
        <v/>
      </c>
      <c r="L38" s="39">
        <f>IFERROR('原始数据'!M17/'原始数据'!L17,0)</f>
        <v/>
      </c>
      <c r="M38" s="39">
        <f>IFERROR('原始数据'!M18/'原始数据'!L18,0)</f>
        <v/>
      </c>
      <c r="N38" s="39">
        <f>IFERROR('原始数据'!M19/'原始数据'!L19,0)</f>
        <v/>
      </c>
      <c r="O38" s="39">
        <f>IFERROR('原始数据'!M20/'原始数据'!L20,0)</f>
        <v/>
      </c>
      <c r="P38" s="39">
        <f>IFERROR('原始数据'!M21/'原始数据'!L21,0)</f>
        <v/>
      </c>
      <c r="Q38" s="39">
        <f>IFERROR('原始数据'!M22/'原始数据'!L22,0)</f>
        <v/>
      </c>
      <c r="R38" s="40">
        <f>AVERAGE(B38:Q38)</f>
        <v/>
      </c>
      <c r="S38" s="36" t="inlineStr">
        <is>
          <t>HBM 产量 ÷ 总产量</t>
        </is>
      </c>
    </row>
    <row r="39" ht="19" customHeight="1">
      <c r="A39" s="37" t="inlineStr">
        <is>
          <t>HBM 收入占比</t>
        </is>
      </c>
      <c r="B39" s="39">
        <f>IFERROR(利润表!B8/利润表!B6,0)</f>
        <v/>
      </c>
      <c r="C39" s="39">
        <f>IFERROR(利润表!C8/利润表!C6,0)</f>
        <v/>
      </c>
      <c r="D39" s="39">
        <f>IFERROR(利润表!D8/利润表!D6,0)</f>
        <v/>
      </c>
      <c r="E39" s="39">
        <f>IFERROR(利润表!E8/利润表!E6,0)</f>
        <v/>
      </c>
      <c r="F39" s="39">
        <f>IFERROR(利润表!F8/利润表!F6,0)</f>
        <v/>
      </c>
      <c r="G39" s="39">
        <f>IFERROR(利润表!G8/利润表!G6,0)</f>
        <v/>
      </c>
      <c r="H39" s="39">
        <f>IFERROR(利润表!H8/利润表!H6,0)</f>
        <v/>
      </c>
      <c r="I39" s="39">
        <f>IFERROR(利润表!I8/利润表!I6,0)</f>
        <v/>
      </c>
      <c r="J39" s="39">
        <f>IFERROR(利润表!J8/利润表!J6,0)</f>
        <v/>
      </c>
      <c r="K39" s="39">
        <f>IFERROR(利润表!K8/利润表!K6,0)</f>
        <v/>
      </c>
      <c r="L39" s="39">
        <f>IFERROR(利润表!L8/利润表!L6,0)</f>
        <v/>
      </c>
      <c r="M39" s="39">
        <f>IFERROR(利润表!M8/利润表!M6,0)</f>
        <v/>
      </c>
      <c r="N39" s="39">
        <f>IFERROR(利润表!N8/利润表!N6,0)</f>
        <v/>
      </c>
      <c r="O39" s="39">
        <f>IFERROR(利润表!O8/利润表!O6,0)</f>
        <v/>
      </c>
      <c r="P39" s="39">
        <f>IFERROR(利润表!P8/利润表!P6,0)</f>
        <v/>
      </c>
      <c r="Q39" s="39">
        <f>IFERROR(利润表!Q8/利润表!Q6,0)</f>
        <v/>
      </c>
      <c r="R39" s="40">
        <f>AVERAGE(B39:Q39)</f>
        <v/>
      </c>
      <c r="S39" s="36" t="inlineStr">
        <is>
          <t>HBM 收入 ÷ 营业收入</t>
        </is>
      </c>
    </row>
    <row r="40" ht="19" customHeight="1">
      <c r="A40" s="37" t="inlineStr">
        <is>
          <t>收入环比增速</t>
        </is>
      </c>
      <c r="B40" s="39" t="n"/>
      <c r="C40" s="39">
        <f>IFERROR(C13/B13-1,0)</f>
        <v/>
      </c>
      <c r="D40" s="39">
        <f>IFERROR(D13/C13-1,0)</f>
        <v/>
      </c>
      <c r="E40" s="39">
        <f>IFERROR(E13/D13-1,0)</f>
        <v/>
      </c>
      <c r="F40" s="39">
        <f>IFERROR(F13/E13-1,0)</f>
        <v/>
      </c>
      <c r="G40" s="39">
        <f>IFERROR(G13/F13-1,0)</f>
        <v/>
      </c>
      <c r="H40" s="39">
        <f>IFERROR(H13/G13-1,0)</f>
        <v/>
      </c>
      <c r="I40" s="39">
        <f>IFERROR(I13/H13-1,0)</f>
        <v/>
      </c>
      <c r="J40" s="39">
        <f>IFERROR(J13/I13-1,0)</f>
        <v/>
      </c>
      <c r="K40" s="39">
        <f>IFERROR(K13/J13-1,0)</f>
        <v/>
      </c>
      <c r="L40" s="39">
        <f>IFERROR(L13/K13-1,0)</f>
        <v/>
      </c>
      <c r="M40" s="39">
        <f>IFERROR(M13/L13-1,0)</f>
        <v/>
      </c>
      <c r="N40" s="39">
        <f>IFERROR(N13/M13-1,0)</f>
        <v/>
      </c>
      <c r="O40" s="39">
        <f>IFERROR(O13/N13-1,0)</f>
        <v/>
      </c>
      <c r="P40" s="39">
        <f>IFERROR(P13/O13-1,0)</f>
        <v/>
      </c>
      <c r="Q40" s="39">
        <f>IFERROR(Q13/P13-1,0)</f>
        <v/>
      </c>
      <c r="R40" s="40">
        <f>AVERAGE(B40:Q40)</f>
        <v/>
      </c>
      <c r="S40" s="36" t="inlineStr">
        <is>
          <t>本季 ÷ 上季 − 1</t>
        </is>
      </c>
    </row>
    <row r="41" ht="19" customHeight="1">
      <c r="A41" s="37" t="inlineStr">
        <is>
          <t>EBITDA</t>
        </is>
      </c>
      <c r="B41" s="38">
        <f>利润表!B15+现金流量表!B7</f>
        <v/>
      </c>
      <c r="C41" s="38">
        <f>利润表!C15+现金流量表!C7</f>
        <v/>
      </c>
      <c r="D41" s="38">
        <f>利润表!D15+现金流量表!D7</f>
        <v/>
      </c>
      <c r="E41" s="38">
        <f>利润表!E15+现金流量表!E7</f>
        <v/>
      </c>
      <c r="F41" s="38">
        <f>利润表!F15+现金流量表!F7</f>
        <v/>
      </c>
      <c r="G41" s="38">
        <f>利润表!G15+现金流量表!G7</f>
        <v/>
      </c>
      <c r="H41" s="38">
        <f>利润表!H15+现金流量表!H7</f>
        <v/>
      </c>
      <c r="I41" s="38">
        <f>利润表!I15+现金流量表!I7</f>
        <v/>
      </c>
      <c r="J41" s="38">
        <f>利润表!J15+现金流量表!J7</f>
        <v/>
      </c>
      <c r="K41" s="38">
        <f>利润表!K15+现金流量表!K7</f>
        <v/>
      </c>
      <c r="L41" s="38">
        <f>利润表!L15+现金流量表!L7</f>
        <v/>
      </c>
      <c r="M41" s="38">
        <f>利润表!M15+现金流量表!M7</f>
        <v/>
      </c>
      <c r="N41" s="38">
        <f>利润表!N15+现金流量表!N7</f>
        <v/>
      </c>
      <c r="O41" s="38">
        <f>利润表!O15+现金流量表!O7</f>
        <v/>
      </c>
      <c r="P41" s="38">
        <f>利润表!P15+现金流量表!P7</f>
        <v/>
      </c>
      <c r="Q41" s="38">
        <f>利润表!Q15+现金流量表!Q7</f>
        <v/>
      </c>
      <c r="R41" s="35">
        <f>SUM(B41:Q41)</f>
        <v/>
      </c>
      <c r="S41" s="36" t="inlineStr">
        <is>
          <t>营业利润 + 折旧</t>
        </is>
      </c>
    </row>
    <row r="42" ht="19" customHeight="1">
      <c r="A42" s="37" t="inlineStr">
        <is>
          <t>EBITDA 利润率</t>
        </is>
      </c>
      <c r="B42" s="39">
        <f>IFERROR(B41/B13,0)</f>
        <v/>
      </c>
      <c r="C42" s="39">
        <f>IFERROR(C41/C13,0)</f>
        <v/>
      </c>
      <c r="D42" s="39">
        <f>IFERROR(D41/D13,0)</f>
        <v/>
      </c>
      <c r="E42" s="39">
        <f>IFERROR(E41/E13,0)</f>
        <v/>
      </c>
      <c r="F42" s="39">
        <f>IFERROR(F41/F13,0)</f>
        <v/>
      </c>
      <c r="G42" s="39">
        <f>IFERROR(G41/G13,0)</f>
        <v/>
      </c>
      <c r="H42" s="39">
        <f>IFERROR(H41/H13,0)</f>
        <v/>
      </c>
      <c r="I42" s="39">
        <f>IFERROR(I41/I13,0)</f>
        <v/>
      </c>
      <c r="J42" s="39">
        <f>IFERROR(J41/J13,0)</f>
        <v/>
      </c>
      <c r="K42" s="39">
        <f>IFERROR(K41/K13,0)</f>
        <v/>
      </c>
      <c r="L42" s="39">
        <f>IFERROR(L41/L13,0)</f>
        <v/>
      </c>
      <c r="M42" s="39">
        <f>IFERROR(M41/M13,0)</f>
        <v/>
      </c>
      <c r="N42" s="39">
        <f>IFERROR(N41/N13,0)</f>
        <v/>
      </c>
      <c r="O42" s="39">
        <f>IFERROR(O41/O13,0)</f>
        <v/>
      </c>
      <c r="P42" s="39">
        <f>IFERROR(P41/P13,0)</f>
        <v/>
      </c>
      <c r="Q42" s="39">
        <f>IFERROR(Q41/Q13,0)</f>
        <v/>
      </c>
      <c r="R42" s="40">
        <f>IFERROR(R41/R13,0)</f>
        <v/>
      </c>
      <c r="S42" s="36" t="inlineStr">
        <is>
          <t>EBITDA ÷ 营业收入</t>
        </is>
      </c>
    </row>
    <row r="43" ht="19" customHeight="1">
      <c r="A43" s="33" t="inlineStr">
        <is>
          <t>累计净利润</t>
        </is>
      </c>
      <c r="B43" s="34">
        <f>B16</f>
        <v/>
      </c>
      <c r="C43" s="34">
        <f>B43+C16</f>
        <v/>
      </c>
      <c r="D43" s="34">
        <f>C43+D16</f>
        <v/>
      </c>
      <c r="E43" s="34">
        <f>D43+E16</f>
        <v/>
      </c>
      <c r="F43" s="34">
        <f>E43+F16</f>
        <v/>
      </c>
      <c r="G43" s="34">
        <f>F43+G16</f>
        <v/>
      </c>
      <c r="H43" s="34">
        <f>G43+H16</f>
        <v/>
      </c>
      <c r="I43" s="34">
        <f>H43+I16</f>
        <v/>
      </c>
      <c r="J43" s="34">
        <f>I43+J16</f>
        <v/>
      </c>
      <c r="K43" s="34">
        <f>J43+K16</f>
        <v/>
      </c>
      <c r="L43" s="34">
        <f>K43+L16</f>
        <v/>
      </c>
      <c r="M43" s="34">
        <f>L43+M16</f>
        <v/>
      </c>
      <c r="N43" s="34">
        <f>M43+N16</f>
        <v/>
      </c>
      <c r="O43" s="34">
        <f>N43+O16</f>
        <v/>
      </c>
      <c r="P43" s="34">
        <f>O43+P16</f>
        <v/>
      </c>
      <c r="Q43" s="34">
        <f>P43+Q16</f>
        <v/>
      </c>
      <c r="R43" s="35">
        <f>Q43</f>
        <v/>
      </c>
      <c r="S43" s="36" t="inlineStr">
        <is>
          <t>逐季累加</t>
        </is>
      </c>
    </row>
    <row r="46">
      <c r="A46" s="41" t="inlineStr">
        <is>
          <t>模型校验：用反推参数重算引擎数字（应全部接近 0）</t>
        </is>
      </c>
    </row>
    <row r="47" ht="30" customHeight="1">
      <c r="X47" s="24" t="inlineStr">
        <is>
          <t>项目</t>
        </is>
      </c>
      <c r="Y47" s="24" t="inlineStr">
        <is>
          <t>Q1</t>
        </is>
      </c>
      <c r="Z47" s="24" t="inlineStr">
        <is>
          <t>Q2</t>
        </is>
      </c>
      <c r="AA47" s="24" t="inlineStr">
        <is>
          <t>Q3</t>
        </is>
      </c>
      <c r="AB47" s="24" t="inlineStr">
        <is>
          <t>Q4</t>
        </is>
      </c>
      <c r="AC47" s="24" t="inlineStr">
        <is>
          <t>Q5</t>
        </is>
      </c>
      <c r="AD47" s="24" t="inlineStr">
        <is>
          <t>Q6</t>
        </is>
      </c>
      <c r="AE47" s="24" t="inlineStr">
        <is>
          <t>Q7</t>
        </is>
      </c>
      <c r="AF47" s="24" t="inlineStr">
        <is>
          <t>Q8</t>
        </is>
      </c>
      <c r="AG47" s="24" t="inlineStr">
        <is>
          <t>Q9</t>
        </is>
      </c>
      <c r="AH47" s="24" t="inlineStr">
        <is>
          <t>Q10</t>
        </is>
      </c>
      <c r="AI47" s="24" t="inlineStr">
        <is>
          <t>Q11</t>
        </is>
      </c>
      <c r="AJ47" s="24" t="inlineStr">
        <is>
          <t>Q12</t>
        </is>
      </c>
      <c r="AK47" s="24" t="inlineStr">
        <is>
          <t>Q13</t>
        </is>
      </c>
      <c r="AL47" s="24" t="inlineStr">
        <is>
          <t>Q14</t>
        </is>
      </c>
      <c r="AM47" s="24" t="inlineStr">
        <is>
          <t>Q15</t>
        </is>
      </c>
      <c r="AN47" s="24" t="inlineStr">
        <is>
          <t>Q16</t>
        </is>
      </c>
      <c r="AO47" s="24" t="inlineStr">
        <is>
          <t>最大绝对误差</t>
        </is>
      </c>
    </row>
    <row r="48" ht="19" customHeight="1">
      <c r="A48" s="51" t="inlineStr">
        <is>
          <t>重算营业收入</t>
        </is>
      </c>
      <c r="B48" s="38">
        <f>('原始数据'!N7*假设与参数!$B$12*'原始数据'!B7+'原始数据'!O7*假设与参数!$B$12*'原始数据'!C7)/1000</f>
        <v/>
      </c>
      <c r="C48" s="38">
        <f>('原始数据'!N8*假设与参数!$B$12*'原始数据'!B8+'原始数据'!O8*假设与参数!$B$12*'原始数据'!C8)/1000</f>
        <v/>
      </c>
      <c r="D48" s="38">
        <f>('原始数据'!N9*假设与参数!$B$12*'原始数据'!B9+'原始数据'!O9*假设与参数!$B$12*'原始数据'!C9)/1000</f>
        <v/>
      </c>
      <c r="E48" s="38">
        <f>('原始数据'!N10*假设与参数!$B$12*'原始数据'!B10+'原始数据'!O10*假设与参数!$B$12*'原始数据'!C10)/1000</f>
        <v/>
      </c>
      <c r="F48" s="38">
        <f>('原始数据'!N11*假设与参数!$B$12*'原始数据'!B11+'原始数据'!O11*假设与参数!$B$12*'原始数据'!C11)/1000</f>
        <v/>
      </c>
      <c r="G48" s="38">
        <f>('原始数据'!N12*假设与参数!$B$12*'原始数据'!B12+'原始数据'!O12*假设与参数!$B$12*'原始数据'!C12)/1000</f>
        <v/>
      </c>
      <c r="H48" s="38">
        <f>('原始数据'!N13*假设与参数!$B$12*'原始数据'!B13+'原始数据'!O13*假设与参数!$B$12*'原始数据'!C13)/1000</f>
        <v/>
      </c>
      <c r="I48" s="38">
        <f>('原始数据'!N14*假设与参数!$B$12*'原始数据'!B14+'原始数据'!O14*假设与参数!$B$12*'原始数据'!C14)/1000</f>
        <v/>
      </c>
      <c r="J48" s="38">
        <f>('原始数据'!N15*假设与参数!$B$12*'原始数据'!B15+'原始数据'!O15*假设与参数!$B$12*'原始数据'!C15)/1000</f>
        <v/>
      </c>
      <c r="K48" s="38">
        <f>('原始数据'!N16*假设与参数!$B$12*'原始数据'!B16+'原始数据'!O16*假设与参数!$B$12*'原始数据'!C16)/1000</f>
        <v/>
      </c>
      <c r="L48" s="38">
        <f>('原始数据'!N17*假设与参数!$B$12*'原始数据'!B17+'原始数据'!O17*假设与参数!$B$12*'原始数据'!C17)/1000</f>
        <v/>
      </c>
      <c r="M48" s="38">
        <f>('原始数据'!N18*假设与参数!$B$12*'原始数据'!B18+'原始数据'!O18*假设与参数!$B$12*'原始数据'!C18)/1000</f>
        <v/>
      </c>
      <c r="N48" s="38">
        <f>('原始数据'!N19*假设与参数!$B$12*'原始数据'!B19+'原始数据'!O19*假设与参数!$B$12*'原始数据'!C19)/1000</f>
        <v/>
      </c>
      <c r="O48" s="38">
        <f>('原始数据'!N20*假设与参数!$B$12*'原始数据'!B20+'原始数据'!O20*假设与参数!$B$12*'原始数据'!C20)/1000</f>
        <v/>
      </c>
      <c r="P48" s="38">
        <f>('原始数据'!N21*假设与参数!$B$12*'原始数据'!B21+'原始数据'!O21*假设与参数!$B$12*'原始数据'!C21)/1000</f>
        <v/>
      </c>
      <c r="Q48" s="38">
        <f>('原始数据'!N22*假设与参数!$B$12*'原始数据'!B22+'原始数据'!O22*假设与参数!$B$12*'原始数据'!C22)/1000</f>
        <v/>
      </c>
      <c r="R48" s="65" t="n"/>
    </row>
    <row r="49" ht="19" customHeight="1">
      <c r="A49" s="51" t="inlineStr">
        <is>
          <t>实际营业收入</t>
        </is>
      </c>
      <c r="B49" s="38">
        <f>利润表!B6</f>
        <v/>
      </c>
      <c r="C49" s="38">
        <f>利润表!C6</f>
        <v/>
      </c>
      <c r="D49" s="38">
        <f>利润表!D6</f>
        <v/>
      </c>
      <c r="E49" s="38">
        <f>利润表!E6</f>
        <v/>
      </c>
      <c r="F49" s="38">
        <f>利润表!F6</f>
        <v/>
      </c>
      <c r="G49" s="38">
        <f>利润表!G6</f>
        <v/>
      </c>
      <c r="H49" s="38">
        <f>利润表!H6</f>
        <v/>
      </c>
      <c r="I49" s="38">
        <f>利润表!I6</f>
        <v/>
      </c>
      <c r="J49" s="38">
        <f>利润表!J6</f>
        <v/>
      </c>
      <c r="K49" s="38">
        <f>利润表!K6</f>
        <v/>
      </c>
      <c r="L49" s="38">
        <f>利润表!L6</f>
        <v/>
      </c>
      <c r="M49" s="38">
        <f>利润表!M6</f>
        <v/>
      </c>
      <c r="N49" s="38">
        <f>利润表!N6</f>
        <v/>
      </c>
      <c r="O49" s="38">
        <f>利润表!O6</f>
        <v/>
      </c>
      <c r="P49" s="38">
        <f>利润表!P6</f>
        <v/>
      </c>
      <c r="Q49" s="38">
        <f>利润表!Q6</f>
        <v/>
      </c>
      <c r="R49" s="65" t="n"/>
    </row>
    <row r="50" ht="19" customHeight="1">
      <c r="A50" s="51" t="inlineStr">
        <is>
          <t>差异（重算 − 实际）</t>
        </is>
      </c>
      <c r="B50" s="38">
        <f>B48-B49</f>
        <v/>
      </c>
      <c r="C50" s="38">
        <f>C48-C49</f>
        <v/>
      </c>
      <c r="D50" s="38">
        <f>D48-D49</f>
        <v/>
      </c>
      <c r="E50" s="38">
        <f>E48-E49</f>
        <v/>
      </c>
      <c r="F50" s="38">
        <f>F48-F49</f>
        <v/>
      </c>
      <c r="G50" s="38">
        <f>G48-G49</f>
        <v/>
      </c>
      <c r="H50" s="38">
        <f>H48-H49</f>
        <v/>
      </c>
      <c r="I50" s="38">
        <f>I48-I49</f>
        <v/>
      </c>
      <c r="J50" s="38">
        <f>J48-J49</f>
        <v/>
      </c>
      <c r="K50" s="38">
        <f>K48-K49</f>
        <v/>
      </c>
      <c r="L50" s="38">
        <f>L48-L49</f>
        <v/>
      </c>
      <c r="M50" s="38">
        <f>M48-M49</f>
        <v/>
      </c>
      <c r="N50" s="38">
        <f>N48-N49</f>
        <v/>
      </c>
      <c r="O50" s="38">
        <f>O48-O49</f>
        <v/>
      </c>
      <c r="P50" s="38">
        <f>P48-P49</f>
        <v/>
      </c>
      <c r="Q50" s="38">
        <f>Q48-Q49</f>
        <v/>
      </c>
      <c r="R50" s="65">
        <f>MAX(MAX(B50:Q50),-MIN(B50:Q50))</f>
        <v/>
      </c>
    </row>
    <row r="51" ht="19" customHeight="1">
      <c r="A51" s="51" t="inlineStr">
        <is>
          <t>重算单位成本</t>
        </is>
      </c>
      <c r="B51" s="44">
        <f>假设与参数!$B$13+('现金流量表'!B7+假设与参数!$B$14)*1000/'原始数据'!L7</f>
        <v/>
      </c>
      <c r="C51" s="44">
        <f>假设与参数!$B$13+('现金流量表'!C7+假设与参数!$B$14)*1000/'原始数据'!L8</f>
        <v/>
      </c>
      <c r="D51" s="44">
        <f>假设与参数!$B$13+('现金流量表'!D7+假设与参数!$B$14)*1000/'原始数据'!L9</f>
        <v/>
      </c>
      <c r="E51" s="44">
        <f>假设与参数!$B$13+('现金流量表'!E7+假设与参数!$B$14)*1000/'原始数据'!L10</f>
        <v/>
      </c>
      <c r="F51" s="44">
        <f>假设与参数!$B$13+('现金流量表'!F7+假设与参数!$B$14)*1000/'原始数据'!L11</f>
        <v/>
      </c>
      <c r="G51" s="44">
        <f>假设与参数!$B$13+('现金流量表'!G7+假设与参数!$B$14)*1000/'原始数据'!L12</f>
        <v/>
      </c>
      <c r="H51" s="44">
        <f>假设与参数!$B$13+('现金流量表'!H7+假设与参数!$B$14)*1000/'原始数据'!L13</f>
        <v/>
      </c>
      <c r="I51" s="44">
        <f>假设与参数!$B$13+('现金流量表'!I7+假设与参数!$B$14)*1000/'原始数据'!L14</f>
        <v/>
      </c>
      <c r="J51" s="44">
        <f>假设与参数!$B$13+('现金流量表'!J7+假设与参数!$B$14)*1000/'原始数据'!L15</f>
        <v/>
      </c>
      <c r="K51" s="44">
        <f>假设与参数!$B$13+('现金流量表'!K7+假设与参数!$B$14)*1000/'原始数据'!L16</f>
        <v/>
      </c>
      <c r="L51" s="44">
        <f>假设与参数!$B$13+('现金流量表'!L7+假设与参数!$B$14)*1000/'原始数据'!L17</f>
        <v/>
      </c>
      <c r="M51" s="44">
        <f>假设与参数!$B$13+('现金流量表'!M7+假设与参数!$B$14)*1000/'原始数据'!L18</f>
        <v/>
      </c>
      <c r="N51" s="44">
        <f>假设与参数!$B$13+('现金流量表'!N7+假设与参数!$B$14)*1000/'原始数据'!L19</f>
        <v/>
      </c>
      <c r="O51" s="44">
        <f>假设与参数!$B$13+('现金流量表'!O7+假设与参数!$B$14)*1000/'原始数据'!L20</f>
        <v/>
      </c>
      <c r="P51" s="44">
        <f>假设与参数!$B$13+('现金流量表'!P7+假设与参数!$B$14)*1000/'原始数据'!L21</f>
        <v/>
      </c>
      <c r="Q51" s="44">
        <f>假设与参数!$B$13+('现金流量表'!Q7+假设与参数!$B$14)*1000/'原始数据'!L22</f>
        <v/>
      </c>
      <c r="R51" s="65" t="n"/>
    </row>
    <row r="52" ht="19" customHeight="1">
      <c r="A52" s="51" t="inlineStr">
        <is>
          <t>实际单位成本</t>
        </is>
      </c>
      <c r="B52" s="44">
        <f>'原始数据'!P7</f>
        <v/>
      </c>
      <c r="C52" s="44">
        <f>'原始数据'!P8</f>
        <v/>
      </c>
      <c r="D52" s="44">
        <f>'原始数据'!P9</f>
        <v/>
      </c>
      <c r="E52" s="44">
        <f>'原始数据'!P10</f>
        <v/>
      </c>
      <c r="F52" s="44">
        <f>'原始数据'!P11</f>
        <v/>
      </c>
      <c r="G52" s="44">
        <f>'原始数据'!P12</f>
        <v/>
      </c>
      <c r="H52" s="44">
        <f>'原始数据'!P13</f>
        <v/>
      </c>
      <c r="I52" s="44">
        <f>'原始数据'!P14</f>
        <v/>
      </c>
      <c r="J52" s="44">
        <f>'原始数据'!P15</f>
        <v/>
      </c>
      <c r="K52" s="44">
        <f>'原始数据'!P16</f>
        <v/>
      </c>
      <c r="L52" s="44">
        <f>'原始数据'!P17</f>
        <v/>
      </c>
      <c r="M52" s="44">
        <f>'原始数据'!P18</f>
        <v/>
      </c>
      <c r="N52" s="44">
        <f>'原始数据'!P19</f>
        <v/>
      </c>
      <c r="O52" s="44">
        <f>'原始数据'!P20</f>
        <v/>
      </c>
      <c r="P52" s="44">
        <f>'原始数据'!P21</f>
        <v/>
      </c>
      <c r="Q52" s="44">
        <f>'原始数据'!P22</f>
        <v/>
      </c>
      <c r="R52" s="65" t="n"/>
    </row>
    <row r="53" ht="19" customHeight="1">
      <c r="A53" s="51" t="inlineStr">
        <is>
          <t>差异（重算 − 实际）</t>
        </is>
      </c>
      <c r="B53" s="44">
        <f>B51-B52</f>
        <v/>
      </c>
      <c r="C53" s="44">
        <f>C51-C52</f>
        <v/>
      </c>
      <c r="D53" s="44">
        <f>D51-D52</f>
        <v/>
      </c>
      <c r="E53" s="44">
        <f>E51-E52</f>
        <v/>
      </c>
      <c r="F53" s="44">
        <f>F51-F52</f>
        <v/>
      </c>
      <c r="G53" s="44">
        <f>G51-G52</f>
        <v/>
      </c>
      <c r="H53" s="44">
        <f>H51-H52</f>
        <v/>
      </c>
      <c r="I53" s="44">
        <f>I51-I52</f>
        <v/>
      </c>
      <c r="J53" s="44">
        <f>J51-J52</f>
        <v/>
      </c>
      <c r="K53" s="44">
        <f>K51-K52</f>
        <v/>
      </c>
      <c r="L53" s="44">
        <f>L51-L52</f>
        <v/>
      </c>
      <c r="M53" s="44">
        <f>M51-M52</f>
        <v/>
      </c>
      <c r="N53" s="44">
        <f>N51-N52</f>
        <v/>
      </c>
      <c r="O53" s="44">
        <f>O51-O52</f>
        <v/>
      </c>
      <c r="P53" s="44">
        <f>P51-P52</f>
        <v/>
      </c>
      <c r="Q53" s="44">
        <f>Q51-Q52</f>
        <v/>
      </c>
      <c r="R53" s="65">
        <f>MAX(MAX(B53:Q53),-MIN(B53:Q53))</f>
        <v/>
      </c>
    </row>
    <row r="54" ht="19" customHeight="1">
      <c r="A54" s="51" t="inlineStr">
        <is>
          <t>重算净利息</t>
        </is>
      </c>
      <c r="B54" s="38">
        <f>假设与参数!B8*假设与参数!B18-假设与参数!B5*假设与参数!B19</f>
        <v/>
      </c>
      <c r="C54" s="38">
        <f>资产负债表!B12*假设与参数!$B$18-资产负债表!B6*假设与参数!$B$19</f>
        <v/>
      </c>
      <c r="D54" s="38">
        <f>资产负债表!C12*假设与参数!$B$18-资产负债表!C6*假设与参数!$B$19</f>
        <v/>
      </c>
      <c r="E54" s="38">
        <f>资产负债表!D12*假设与参数!$B$18-资产负债表!D6*假设与参数!$B$19</f>
        <v/>
      </c>
      <c r="F54" s="38">
        <f>资产负债表!E12*假设与参数!$B$18-资产负债表!E6*假设与参数!$B$19</f>
        <v/>
      </c>
      <c r="G54" s="38">
        <f>资产负债表!F12*假设与参数!$B$18-资产负债表!F6*假设与参数!$B$19</f>
        <v/>
      </c>
      <c r="H54" s="38">
        <f>资产负债表!G12*假设与参数!$B$18-资产负债表!G6*假设与参数!$B$19</f>
        <v/>
      </c>
      <c r="I54" s="38">
        <f>资产负债表!H12*假设与参数!$B$18-资产负债表!H6*假设与参数!$B$19</f>
        <v/>
      </c>
      <c r="J54" s="38">
        <f>资产负债表!I12*假设与参数!$B$18-资产负债表!I6*假设与参数!$B$19</f>
        <v/>
      </c>
      <c r="K54" s="38">
        <f>资产负债表!J12*假设与参数!$B$18-资产负债表!J6*假设与参数!$B$19</f>
        <v/>
      </c>
      <c r="L54" s="38">
        <f>资产负债表!K12*假设与参数!$B$18-资产负债表!K6*假设与参数!$B$19</f>
        <v/>
      </c>
      <c r="M54" s="38">
        <f>资产负债表!L12*假设与参数!$B$18-资产负债表!L6*假设与参数!$B$19</f>
        <v/>
      </c>
      <c r="N54" s="38">
        <f>资产负债表!M12*假设与参数!$B$18-资产负债表!M6*假设与参数!$B$19</f>
        <v/>
      </c>
      <c r="O54" s="38">
        <f>资产负债表!N12*假设与参数!$B$18-资产负债表!N6*假设与参数!$B$19</f>
        <v/>
      </c>
      <c r="P54" s="38">
        <f>资产负债表!O12*假设与参数!$B$18-资产负债表!O6*假设与参数!$B$19</f>
        <v/>
      </c>
      <c r="Q54" s="38">
        <f>资产负债表!P12*假设与参数!$B$18-资产负债表!P6*假设与参数!$B$19</f>
        <v/>
      </c>
      <c r="R54" s="65" t="n"/>
    </row>
    <row r="55" ht="19" customHeight="1">
      <c r="A55" s="51" t="inlineStr">
        <is>
          <t>实际净利息</t>
        </is>
      </c>
      <c r="B55" s="38">
        <f>利润表!B17</f>
        <v/>
      </c>
      <c r="C55" s="38">
        <f>利润表!C17</f>
        <v/>
      </c>
      <c r="D55" s="38">
        <f>利润表!D17</f>
        <v/>
      </c>
      <c r="E55" s="38">
        <f>利润表!E17</f>
        <v/>
      </c>
      <c r="F55" s="38">
        <f>利润表!F17</f>
        <v/>
      </c>
      <c r="G55" s="38">
        <f>利润表!G17</f>
        <v/>
      </c>
      <c r="H55" s="38">
        <f>利润表!H17</f>
        <v/>
      </c>
      <c r="I55" s="38">
        <f>利润表!I17</f>
        <v/>
      </c>
      <c r="J55" s="38">
        <f>利润表!J17</f>
        <v/>
      </c>
      <c r="K55" s="38">
        <f>利润表!K17</f>
        <v/>
      </c>
      <c r="L55" s="38">
        <f>利润表!L17</f>
        <v/>
      </c>
      <c r="M55" s="38">
        <f>利润表!M17</f>
        <v/>
      </c>
      <c r="N55" s="38">
        <f>利润表!N17</f>
        <v/>
      </c>
      <c r="O55" s="38">
        <f>利润表!O17</f>
        <v/>
      </c>
      <c r="P55" s="38">
        <f>利润表!P17</f>
        <v/>
      </c>
      <c r="Q55" s="38">
        <f>利润表!Q17</f>
        <v/>
      </c>
      <c r="R55" s="65" t="n"/>
    </row>
    <row r="56" ht="19" customHeight="1">
      <c r="A56" s="51" t="inlineStr">
        <is>
          <t>差异（重算 − 实际）</t>
        </is>
      </c>
      <c r="B56" s="38">
        <f>B54-B55</f>
        <v/>
      </c>
      <c r="C56" s="38">
        <f>C54-C55</f>
        <v/>
      </c>
      <c r="D56" s="38">
        <f>D54-D55</f>
        <v/>
      </c>
      <c r="E56" s="38">
        <f>E54-E55</f>
        <v/>
      </c>
      <c r="F56" s="38">
        <f>F54-F55</f>
        <v/>
      </c>
      <c r="G56" s="38">
        <f>G54-G55</f>
        <v/>
      </c>
      <c r="H56" s="38">
        <f>H54-H55</f>
        <v/>
      </c>
      <c r="I56" s="38">
        <f>I54-I55</f>
        <v/>
      </c>
      <c r="J56" s="38">
        <f>J54-J55</f>
        <v/>
      </c>
      <c r="K56" s="38">
        <f>K54-K55</f>
        <v/>
      </c>
      <c r="L56" s="38">
        <f>L54-L55</f>
        <v/>
      </c>
      <c r="M56" s="38">
        <f>M54-M55</f>
        <v/>
      </c>
      <c r="N56" s="38">
        <f>N54-N55</f>
        <v/>
      </c>
      <c r="O56" s="38">
        <f>O54-O55</f>
        <v/>
      </c>
      <c r="P56" s="38">
        <f>P54-P55</f>
        <v/>
      </c>
      <c r="Q56" s="38">
        <f>Q54-Q55</f>
        <v/>
      </c>
      <c r="R56" s="65">
        <f>MAX(MAX(B56:Q56),-MIN(B56:Q56))</f>
        <v/>
      </c>
    </row>
    <row r="59">
      <c r="A59" s="41" t="inlineStr">
        <is>
          <t>敏感性分析：改一个假设，看结果怎么变</t>
        </is>
      </c>
    </row>
    <row r="60" ht="30" customHeight="1">
      <c r="AD60" s="24" t="inlineStr">
        <is>
          <t>情景</t>
        </is>
      </c>
      <c r="AE60" s="24" t="inlineStr">
        <is>
          <t>变动幅度</t>
        </is>
      </c>
      <c r="AF60" s="24" t="inlineStr">
        <is>
          <t>对累计收入影响</t>
        </is>
      </c>
      <c r="AG60" s="24" t="inlineStr">
        <is>
          <t>对累计税前利润影响</t>
        </is>
      </c>
      <c r="AH60" s="24" t="inlineStr">
        <is>
          <t>说明</t>
        </is>
      </c>
    </row>
    <row r="61" ht="20" customHeight="1">
      <c r="A61" s="51" t="inlineStr">
        <is>
          <t>普通内存均价 −10%</t>
        </is>
      </c>
      <c r="B61" s="55" t="n">
        <v>-0.1</v>
      </c>
      <c r="C61" s="38">
        <f>B61*利润表!R7</f>
        <v/>
      </c>
      <c r="D61" s="38">
        <f>B61*利润表!R7</f>
        <v/>
      </c>
      <c r="E61" s="36" t="inlineStr">
        <is>
          <t>假设销量不变，成本不变</t>
        </is>
      </c>
    </row>
    <row r="62" ht="20" customHeight="1">
      <c r="A62" s="51" t="inlineStr">
        <is>
          <t>普通内存均价 +10%</t>
        </is>
      </c>
      <c r="B62" s="55" t="n">
        <v>0.1</v>
      </c>
      <c r="C62" s="38">
        <f>B62*利润表!R7</f>
        <v/>
      </c>
      <c r="D62" s="38">
        <f>B62*利润表!R7</f>
        <v/>
      </c>
      <c r="E62" s="36" t="inlineStr">
        <is>
          <t>同上，方向相反</t>
        </is>
      </c>
    </row>
    <row r="63" ht="20" customHeight="1">
      <c r="A63" s="51" t="inlineStr">
        <is>
          <t>HBM 均价 −10%</t>
        </is>
      </c>
      <c r="B63" s="55" t="n">
        <v>-0.1</v>
      </c>
      <c r="C63" s="38">
        <f>B63*利润表!R8</f>
        <v/>
      </c>
      <c r="D63" s="38">
        <f>B63*利润表!R8</f>
        <v/>
      </c>
      <c r="E63" s="36" t="inlineStr">
        <is>
          <t>假设 HBM 销量不变</t>
        </is>
      </c>
    </row>
    <row r="64" ht="20" customHeight="1">
      <c r="A64" s="51" t="inlineStr">
        <is>
          <t>借款利率 +100bp</t>
        </is>
      </c>
      <c r="B64" s="55" t="n">
        <v>0.01</v>
      </c>
      <c r="C64" s="38">
        <f>0</f>
        <v/>
      </c>
      <c r="D64" s="38">
        <f>-B64*AVERAGE(资产负债表!B14:Q14)*16</f>
        <v/>
      </c>
      <c r="E64" s="36" t="inlineStr">
        <is>
          <t>按 16 季平均有息负债近似</t>
        </is>
      </c>
    </row>
    <row r="65" ht="20" customHeight="1">
      <c r="A65" s="51" t="inlineStr">
        <is>
          <t>存货跌价率 +5pp</t>
        </is>
      </c>
      <c r="B65" s="55" t="n">
        <v>0.05</v>
      </c>
      <c r="C65" s="38">
        <f>0</f>
        <v/>
      </c>
      <c r="D65" s="38">
        <f>-B65*MAX(资产负债表!B7:Q7)</f>
        <v/>
      </c>
      <c r="E65" s="36" t="inlineStr">
        <is>
          <t>按峰值存货一次性计提近似</t>
        </is>
      </c>
    </row>
    <row r="66">
      <c r="A66" s="18" t="inlineStr">
        <is>
          <t>注：敏感性是单变量、静态近似，未考虑销量、产能、税盾和价格路径的二次反应；用于判断方向与量级，不作为预测。</t>
        </is>
      </c>
    </row>
  </sheetData>
  <mergeCells count="41">
    <mergeCell ref="A9:B9"/>
    <mergeCell ref="C5:D5"/>
    <mergeCell ref="K9:L9"/>
    <mergeCell ref="E5:F5"/>
    <mergeCell ref="K5:L5"/>
    <mergeCell ref="G8:H8"/>
    <mergeCell ref="E8:F8"/>
    <mergeCell ref="C4:D4"/>
    <mergeCell ref="E4:F4"/>
    <mergeCell ref="A7:B7"/>
    <mergeCell ref="G7:H7"/>
    <mergeCell ref="I7:J7"/>
    <mergeCell ref="C9:D9"/>
    <mergeCell ref="A59:S59"/>
    <mergeCell ref="E9:F9"/>
    <mergeCell ref="A3:B3"/>
    <mergeCell ref="G3:H3"/>
    <mergeCell ref="I3:J3"/>
    <mergeCell ref="K8:L8"/>
    <mergeCell ref="A1:S1"/>
    <mergeCell ref="A5:B5"/>
    <mergeCell ref="G5:H5"/>
    <mergeCell ref="I5:J5"/>
    <mergeCell ref="I8:J8"/>
    <mergeCell ref="A8:B8"/>
    <mergeCell ref="C8:D8"/>
    <mergeCell ref="A4:B4"/>
    <mergeCell ref="G4:H4"/>
    <mergeCell ref="K7:L7"/>
    <mergeCell ref="I4:J4"/>
    <mergeCell ref="C7:D7"/>
    <mergeCell ref="A46:S46"/>
    <mergeCell ref="E7:F7"/>
    <mergeCell ref="A66:S66"/>
    <mergeCell ref="I9:J9"/>
    <mergeCell ref="K4:L4"/>
    <mergeCell ref="G9:H9"/>
    <mergeCell ref="C3:D3"/>
    <mergeCell ref="A2:S2"/>
    <mergeCell ref="E3:F3"/>
    <mergeCell ref="K3:L3"/>
  </mergeCells>
  <printOptions horizontalCentered="1"/>
  <pageMargins left="0.75" right="0.75" top="1" bottom="1" header="0.5" footer="0.5"/>
  <pageSetup orientation="landscape" paperSize="8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R2"/>
  <sheetViews>
    <sheetView showGridLines="0" workbookViewId="0">
      <selection activeCell="A1" sqref="A1"/>
    </sheetView>
  </sheetViews>
  <sheetFormatPr baseColWidth="8" defaultRowHeight="15"/>
  <cols>
    <col width="10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</cols>
  <sheetData>
    <row r="1" ht="32" customHeight="1">
      <c r="A1" s="16" t="inlineStr">
        <is>
          <t>图表：16 季关键曲线</t>
        </is>
      </c>
    </row>
    <row r="2" ht="20" customHeight="1">
      <c r="A2" s="17" t="inlineStr">
        <is>
          <t>数据源：利润表、资产负债表、现金流量表与“分析”页；单位为十亿美元或百分比。</t>
        </is>
      </c>
    </row>
  </sheetData>
  <mergeCells count="2">
    <mergeCell ref="A2:R2"/>
    <mergeCell ref="A1:R1"/>
  </mergeCells>
  <printOptions horizontalCentered="1"/>
  <pageMargins left="0.75" right="0.75" top="1" bottom="1" header="0.5" footer="0.5"/>
  <pageSetup orientation="landscape" paperSize="8" fitToHeight="1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55" customWidth="1" min="3" max="3"/>
  </cols>
  <sheetData>
    <row r="1" ht="34" customHeight="1">
      <c r="A1" s="16" t="inlineStr">
        <is>
          <t>数据源与追溯</t>
        </is>
      </c>
    </row>
    <row r="2" ht="20" customHeight="1">
      <c r="A2" s="17" t="inlineStr">
        <is>
          <t>每个财务科目对应的引擎字段；所有原始值归档在 工作/export.json。</t>
        </is>
      </c>
    </row>
    <row r="4" ht="30" customHeight="1">
      <c r="A4" s="24" t="inlineStr">
        <is>
          <t>科目</t>
        </is>
      </c>
      <c r="B4" s="24" t="inlineStr">
        <is>
          <t>引擎字段路径</t>
        </is>
      </c>
      <c r="C4" s="24" t="inlineStr">
        <is>
          <t>说明</t>
        </is>
      </c>
    </row>
    <row r="5" ht="20" customHeight="1">
      <c r="A5" s="37" t="inlineStr">
        <is>
          <t>营业收入</t>
        </is>
      </c>
      <c r="B5" s="66" t="inlineStr">
        <is>
          <t>history[q].income_statement.revenue</t>
        </is>
      </c>
      <c r="C5" s="66" t="inlineStr">
        <is>
          <t>普通内存 + HBM 收入合计</t>
        </is>
      </c>
    </row>
    <row r="6" ht="20" customHeight="1">
      <c r="A6" s="67" t="inlineStr">
        <is>
          <t>普通内存收入</t>
        </is>
      </c>
      <c r="B6" s="68" t="inlineStr">
        <is>
          <t>history[q].income_statement.revenue_std</t>
        </is>
      </c>
      <c r="C6" s="68" t="inlineStr">
        <is>
          <t>＝ 销量 × 24.0 × 价格指数</t>
        </is>
      </c>
    </row>
    <row r="7" ht="20" customHeight="1">
      <c r="A7" s="37" t="inlineStr">
        <is>
          <t>HBM 收入</t>
        </is>
      </c>
      <c r="B7" s="66" t="inlineStr">
        <is>
          <t>history[q].income_statement.revenue_hbm</t>
        </is>
      </c>
      <c r="C7" s="66" t="inlineStr">
        <is>
          <t>＝ HBM 销量 × 24.0 × HBM 价格指数</t>
        </is>
      </c>
    </row>
    <row r="8" ht="20" customHeight="1">
      <c r="A8" s="67" t="inlineStr">
        <is>
          <t>营业成本</t>
        </is>
      </c>
      <c r="B8" s="68" t="inlineStr">
        <is>
          <t>history[q].income_statement.cogs</t>
        </is>
      </c>
      <c r="C8" s="68" t="inlineStr">
        <is>
          <t>含存货跌价；加权平均成本</t>
        </is>
      </c>
    </row>
    <row r="9" ht="20" customHeight="1">
      <c r="A9" s="37" t="inlineStr">
        <is>
          <t>存货跌价</t>
        </is>
      </c>
      <c r="B9" s="66" t="inlineStr">
        <is>
          <t>history[q].income_statement.inventory_writedown</t>
        </is>
      </c>
      <c r="C9" s="66" t="inlineStr">
        <is>
          <t>市价 × 95% 低于账面成本时计提</t>
        </is>
      </c>
    </row>
    <row r="10" ht="20" customHeight="1">
      <c r="A10" s="67" t="inlineStr">
        <is>
          <t>研发费用</t>
        </is>
      </c>
      <c r="B10" s="68" t="inlineStr">
        <is>
          <t>history[q].income_statement.rnd</t>
        </is>
      </c>
      <c r="C10" s="68" t="inlineStr">
        <is>
          <t>基础 0.8 + 当季 HBM 额外研发</t>
        </is>
      </c>
    </row>
    <row r="11" ht="20" customHeight="1">
      <c r="A11" s="37" t="inlineStr">
        <is>
          <t>销售管理费用</t>
        </is>
      </c>
      <c r="B11" s="66" t="inlineStr">
        <is>
          <t>history[q].income_statement.sga</t>
        </is>
      </c>
      <c r="C11" s="66" t="inlineStr">
        <is>
          <t>固定 0.25/季</t>
        </is>
      </c>
    </row>
    <row r="12" ht="20" customHeight="1">
      <c r="A12" s="67" t="inlineStr">
        <is>
          <t>净利息</t>
        </is>
      </c>
      <c r="B12" s="68" t="inlineStr">
        <is>
          <t>history[q].income_statement.net_interest</t>
        </is>
      </c>
      <c r="C12" s="68" t="inlineStr">
        <is>
          <t>期初借款 × 1.5% − 期初现金 × 0.8%</t>
        </is>
      </c>
    </row>
    <row r="13" ht="20" customHeight="1">
      <c r="A13" s="37" t="inlineStr">
        <is>
          <t>所得税</t>
        </is>
      </c>
      <c r="B13" s="66" t="inlineStr">
        <is>
          <t>history[q].income_statement.tax</t>
        </is>
      </c>
      <c r="C13" s="66" t="inlineStr">
        <is>
          <t>税前利润 × 15%，亏损不征</t>
        </is>
      </c>
    </row>
    <row r="14" ht="20" customHeight="1">
      <c r="A14" s="67" t="inlineStr">
        <is>
          <t>净利润</t>
        </is>
      </c>
      <c r="B14" s="68" t="inlineStr">
        <is>
          <t>history[q].income_statement.net_income</t>
        </is>
      </c>
      <c r="C14" s="68" t="inlineStr">
        <is>
          <t>税前利润 − 所得税</t>
        </is>
      </c>
    </row>
    <row r="15" ht="20" customHeight="1">
      <c r="A15" s="37" t="inlineStr">
        <is>
          <t>经营现金流</t>
        </is>
      </c>
      <c r="B15" s="66" t="inlineStr">
        <is>
          <t>history[q].cash_flow.operating</t>
        </is>
      </c>
      <c r="C15" s="66" t="inlineStr">
        <is>
          <t>净利润 + 折旧 − 存货增加</t>
        </is>
      </c>
    </row>
    <row r="16" ht="20" customHeight="1">
      <c r="A16" s="67" t="inlineStr">
        <is>
          <t>投资现金流</t>
        </is>
      </c>
      <c r="B16" s="68" t="inlineStr">
        <is>
          <t>history[q].cash_flow.investing</t>
        </is>
      </c>
      <c r="C16" s="68" t="inlineStr">
        <is>
          <t>＝ −资本开支</t>
        </is>
      </c>
    </row>
    <row r="17" ht="20" customHeight="1">
      <c r="A17" s="37" t="inlineStr">
        <is>
          <t>筹资现金流</t>
        </is>
      </c>
      <c r="B17" s="66" t="inlineStr">
        <is>
          <t>history[q].cash_flow.financing</t>
        </is>
      </c>
      <c r="C17" s="66" t="inlineStr">
        <is>
          <t>＝ 净借款</t>
        </is>
      </c>
    </row>
    <row r="18" ht="20" customHeight="1">
      <c r="A18" s="67" t="inlineStr">
        <is>
          <t>折旧</t>
        </is>
      </c>
      <c r="B18" s="68" t="inlineStr">
        <is>
          <t>history[q].cash_flow.depreciation</t>
        </is>
      </c>
      <c r="C18" s="68" t="inlineStr">
        <is>
          <t>资本开支按 20 季直线</t>
        </is>
      </c>
    </row>
    <row r="19" ht="20" customHeight="1">
      <c r="A19" s="37" t="inlineStr">
        <is>
          <t>期末现金</t>
        </is>
      </c>
      <c r="B19" s="66" t="inlineStr">
        <is>
          <t>history[q].balance_sheet.cash</t>
        </is>
      </c>
      <c r="C19" s="66" t="inlineStr">
        <is>
          <t>期初 + 经营 + 投资 + 筹资</t>
        </is>
      </c>
    </row>
    <row r="20" ht="20" customHeight="1">
      <c r="A20" s="67" t="inlineStr">
        <is>
          <t>期末存货</t>
        </is>
      </c>
      <c r="B20" s="68" t="inlineStr">
        <is>
          <t>history[q].balance_sheet.inventory</t>
        </is>
      </c>
      <c r="C20" s="68" t="inlineStr">
        <is>
          <t>期末千片 × 单位成本，或跌价后净额</t>
        </is>
      </c>
    </row>
    <row r="21" ht="20" customHeight="1">
      <c r="A21" s="37" t="inlineStr">
        <is>
          <t>净固定资产</t>
        </is>
      </c>
      <c r="B21" s="66" t="inlineStr">
        <is>
          <t>history[q].balance_sheet.ppe_net</t>
        </is>
      </c>
      <c r="C21" s="66" t="inlineStr">
        <is>
          <t>原值 − 累计折旧</t>
        </is>
      </c>
    </row>
    <row r="22" ht="20" customHeight="1">
      <c r="A22" s="67" t="inlineStr">
        <is>
          <t>总资产</t>
        </is>
      </c>
      <c r="B22" s="68" t="inlineStr">
        <is>
          <t>history[q].balance_sheet.total_assets</t>
        </is>
      </c>
      <c r="C22" s="68" t="inlineStr">
        <is>
          <t>现金 + 存货 + 净固定资产</t>
        </is>
      </c>
    </row>
    <row r="23" ht="20" customHeight="1">
      <c r="A23" s="37" t="inlineStr">
        <is>
          <t>借款 / 紧急授信</t>
        </is>
      </c>
      <c r="B23" s="66" t="inlineStr">
        <is>
          <t>history[q].balance_sheet.debt / emergency_debt</t>
        </is>
      </c>
      <c r="C23" s="66" t="inlineStr">
        <is>
          <t>本局紧急授信全程为 0</t>
        </is>
      </c>
    </row>
    <row r="24" ht="20" customHeight="1">
      <c r="A24" s="67" t="inlineStr">
        <is>
          <t>股东权益</t>
        </is>
      </c>
      <c r="B24" s="68" t="inlineStr">
        <is>
          <t>history[q].balance_sheet.equity</t>
        </is>
      </c>
      <c r="C24" s="68" t="inlineStr">
        <is>
          <t>总资产 − 负债</t>
        </is>
      </c>
    </row>
    <row r="25" ht="20" customHeight="1">
      <c r="A25" s="37" t="inlineStr">
        <is>
          <t>产量 / HBM 产量</t>
        </is>
      </c>
      <c r="B25" s="66" t="inlineStr">
        <is>
          <t>history[q].operations.produced_kwafers / hbm_kwafers</t>
        </is>
      </c>
      <c r="C25" s="66" t="inlineStr">
        <is>
          <t>开工率 × 产能；HBM 按份额</t>
        </is>
      </c>
    </row>
    <row r="26" ht="20" customHeight="1">
      <c r="A26" s="67" t="inlineStr">
        <is>
          <t>单位成本</t>
        </is>
      </c>
      <c r="B26" s="68" t="inlineStr">
        <is>
          <t>history[q].operations.unit_cost_musd</t>
        </is>
      </c>
      <c r="C26" s="68" t="inlineStr">
        <is>
          <t>5.0 + (折旧 + 1.0) × 1000 ÷ 产量</t>
        </is>
      </c>
    </row>
    <row r="27" ht="20" customHeight="1">
      <c r="A27" s="37" t="inlineStr">
        <is>
          <t>普通/HBM 销量</t>
        </is>
      </c>
      <c r="B27" s="66" t="inlineStr">
        <is>
          <t>history[q].operations.std_sold_kwafers / hbm_sold_kwafers</t>
        </is>
      </c>
      <c r="C27" s="66" t="inlineStr">
        <is>
          <t>受市场需求约束</t>
        </is>
      </c>
    </row>
    <row r="28" ht="20" customHeight="1">
      <c r="A28" s="67" t="inlineStr">
        <is>
          <t>价格指数</t>
        </is>
      </c>
      <c r="B28" s="68" t="inlineStr">
        <is>
          <t>history[q].market.price_index</t>
        </is>
      </c>
      <c r="C28" s="68" t="inlineStr">
        <is>
          <t>普通内存 = 24.0 × 指数</t>
        </is>
      </c>
    </row>
    <row r="29" ht="20" customHeight="1">
      <c r="A29" s="37" t="inlineStr">
        <is>
          <t>HBM 价格指数</t>
        </is>
      </c>
      <c r="B29" s="66" t="inlineStr">
        <is>
          <t>history[q].market.hbm_price_index</t>
        </is>
      </c>
      <c r="C29" s="66" t="inlineStr">
        <is>
          <t>HBM = 24.0 × 指数</t>
        </is>
      </c>
    </row>
    <row r="30" ht="20" customHeight="1">
      <c r="A30" s="67" t="inlineStr">
        <is>
          <t>市场需求</t>
        </is>
      </c>
      <c r="B30" s="68" t="inlineStr">
        <is>
          <t>history[q].market.demand_kwafers / hbm_demand_kwafers</t>
        </is>
      </c>
      <c r="C30" s="68" t="inlineStr">
        <is>
          <t>普通内存与 HBM 分开</t>
        </is>
      </c>
    </row>
    <row r="31" ht="20" customHeight="1">
      <c r="A31" s="37" t="inlineStr">
        <is>
          <t>决策变量</t>
        </is>
      </c>
      <c r="B31" s="66" t="inlineStr">
        <is>
          <t>history[q].decision.*</t>
        </is>
      </c>
      <c r="C31" s="66" t="inlineStr">
        <is>
          <t>开工率、可售比例、capex、HBM 研发/份额、借款</t>
        </is>
      </c>
    </row>
    <row r="32" ht="20" customHeight="1">
      <c r="A32" s="67" t="inlineStr">
        <is>
          <t>初始状态</t>
        </is>
      </c>
      <c r="B32" s="68" t="inlineStr">
        <is>
          <t>工作/state_q0.json</t>
        </is>
      </c>
      <c r="C32" s="68" t="inlineStr">
        <is>
          <t>第 0 季末现金、存货、PPE、负债、权益</t>
        </is>
      </c>
    </row>
    <row r="33" ht="20" customHeight="1">
      <c r="A33" s="37" t="inlineStr">
        <is>
          <t>最终结果</t>
        </is>
      </c>
      <c r="B33" s="66" t="inlineStr">
        <is>
          <t>工作/export.json → final / cumulative_net_income</t>
        </is>
      </c>
      <c r="C33" s="66" t="inlineStr">
        <is>
          <t>期末权益 208.7749；累计净利 173.8149</t>
        </is>
      </c>
    </row>
    <row r="36">
      <c r="A36" s="41" t="inlineStr">
        <is>
          <t>校验结果（16 季最大绝对误差）</t>
        </is>
      </c>
    </row>
    <row r="37" ht="30" customHeight="1">
      <c r="A37" s="24" t="inlineStr">
        <is>
          <t>校验项</t>
        </is>
      </c>
      <c r="B37" s="24" t="inlineStr">
        <is>
          <t>最大误差</t>
        </is>
      </c>
      <c r="C37" s="24" t="inlineStr">
        <is>
          <t>结论</t>
        </is>
      </c>
    </row>
    <row r="38" ht="20" customHeight="1">
      <c r="A38" s="51" t="inlineStr">
        <is>
          <t>营业收入 = 销量 × 24 × 价格指数</t>
        </is>
      </c>
      <c r="B38" s="51" t="inlineStr">
        <is>
          <t>0.0004 十亿美元</t>
        </is>
      </c>
      <c r="C38" s="51" t="inlineStr">
        <is>
          <t>四舍五入范围内一致</t>
        </is>
      </c>
    </row>
    <row r="39" ht="20" customHeight="1">
      <c r="A39" s="51" t="inlineStr">
        <is>
          <t>单位成本 = 5 + (折旧+1)×1000÷产量</t>
        </is>
      </c>
      <c r="B39" s="51" t="inlineStr">
        <is>
          <t>0.0005 百万美元/千片</t>
        </is>
      </c>
      <c r="C39" s="51" t="inlineStr">
        <is>
          <t>一致</t>
        </is>
      </c>
    </row>
    <row r="40" ht="20" customHeight="1">
      <c r="A40" s="51" t="inlineStr">
        <is>
          <t>净利息 = 期初借款×1.5% − 期初现金×0.8%</t>
        </is>
      </c>
      <c r="B40" s="51" t="inlineStr">
        <is>
          <t>0.00005 十亿美元</t>
        </is>
      </c>
      <c r="C40" s="51" t="inlineStr">
        <is>
          <t>一致</t>
        </is>
      </c>
    </row>
    <row r="41" ht="20" customHeight="1">
      <c r="A41" s="51" t="inlineStr">
        <is>
          <t>所得税 = max(0,税前)×15%</t>
        </is>
      </c>
      <c r="B41" s="51" t="inlineStr">
        <is>
          <t>0.00005 十亿美元</t>
        </is>
      </c>
      <c r="C41" s="51" t="inlineStr">
        <is>
          <t>一致</t>
        </is>
      </c>
    </row>
    <row r="42" ht="20" customHeight="1">
      <c r="A42" s="51" t="inlineStr">
        <is>
          <t>资产 = 负债 + 权益</t>
        </is>
      </c>
      <c r="B42" s="51" t="inlineStr">
        <is>
          <t>0.0001 十亿美元</t>
        </is>
      </c>
      <c r="C42" s="51" t="inlineStr">
        <is>
          <t>一致</t>
        </is>
      </c>
    </row>
    <row r="43" ht="20" customHeight="1">
      <c r="A43" s="51" t="inlineStr">
        <is>
          <t>期末现金 = 期初 + 经营 + 投资 + 筹资</t>
        </is>
      </c>
      <c r="B43" s="51" t="inlineStr">
        <is>
          <t>0.0001 十亿美元</t>
        </is>
      </c>
      <c r="C43" s="51" t="inlineStr">
        <is>
          <t>一致</t>
        </is>
      </c>
    </row>
    <row r="44" ht="20" customHeight="1">
      <c r="A44" s="51" t="inlineStr">
        <is>
          <t>存货跌价 = max(0, 成本 − 市价×95%)</t>
        </is>
      </c>
      <c r="B44" s="51" t="inlineStr">
        <is>
          <t>逐季一致</t>
        </is>
      </c>
      <c r="C44" s="51" t="inlineStr">
        <is>
          <t>一致</t>
        </is>
      </c>
    </row>
  </sheetData>
  <mergeCells count="3">
    <mergeCell ref="A1:D1"/>
    <mergeCell ref="A36:C36"/>
    <mergeCell ref="A2:D2"/>
  </mergeCells>
  <printOptions horizontalCentered="1"/>
  <pageMargins left="0.75" right="0.75" top="1" bottom="1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MemoryFab 经营复盘</dc:creator>
  <dc:title xmlns:dc="http://purl.org/dc/elements/1.1/">MemoryFab 16 季三张表</dc:title>
  <dcterms:created xmlns:dcterms="http://purl.org/dc/terms/" xmlns:xsi="http://www.w3.org/2001/XMLSchema-instance" xsi:type="dcterms:W3CDTF">2026-10-22T20:38:44Z</dcterms:created>
  <dcterms:modified xmlns:dcterms="http://purl.org/dc/terms/" xmlns:xsi="http://www.w3.org/2001/XMLSchema-instance" xsi:type="dcterms:W3CDTF">2026-10-22T20:38:44Z</dcterms:modified>
</cp:coreProperties>
</file>