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说明" sheetId="1" r:id="rId1"/>
    <sheet name="假设与参数" sheetId="2" r:id="rId2"/>
    <sheet name="分部利润" sheetId="3" r:id="rId3"/>
    <sheet name="业务明细" sheetId="4" r:id="rId4"/>
    <sheet name="浮存金与现金" sheetId="5" r:id="rId5"/>
    <sheet name="股票组合" sheetId="6" r:id="rId6"/>
    <sheet name="回购与每股账面" sheetId="7" r:id="rId7"/>
    <sheet name="现金流节选" sheetId="8" r:id="rId8"/>
    <sheet name="变化" sheetId="9" r:id="rId9"/>
    <sheet name="网页数字对照" sheetId="10" r:id="rId10"/>
    <sheet name="出处索引" sheetId="11" r:id="rId11"/>
    <sheet name="核对" sheetId="12" r:id="rId12"/>
  </sheets>
  <definedNames>
    <definedName name="A_h2">'假设与参数'!$B$7</definedName>
    <definedName name="A_rate">'假设与参数'!$B$8</definedName>
    <definedName name="A_tax">'假设与参数'!$B$9</definedName>
    <definedName name="P_conv">'假设与参数'!$B$6</definedName>
    <definedName name="P_mincash">'假设与参数'!$B$10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5 / 附注 p.K-102
原文锚点：into 1,500 shares of Class B common stock</t>
        </r>
      </text>
    </comment>
    <comment ref="B7" authorId="0">
      <text>
        <r>
          <rPr>
            <sz val="9"/>
            <color indexed="81"/>
            <rFont val="Microsoft YaHei"/>
            <family val="2"/>
          </rPr>
          <t>假设：本表中可修改，修改后 Excel 全部相关公式自动更新。</t>
        </r>
      </text>
    </comment>
    <comment ref="B8" authorId="0">
      <text>
        <r>
          <rPr>
            <sz val="9"/>
            <color indexed="81"/>
            <rFont val="Microsoft YaHei"/>
            <family val="2"/>
          </rPr>
          <t>假设：本表中可修改，修改后 Excel 全部相关公式自动更新。</t>
        </r>
      </text>
    </comment>
    <comment ref="B9" authorId="0">
      <text>
        <r>
          <rPr>
            <sz val="9"/>
            <color indexed="81"/>
            <rFont val="Microsoft YaHei"/>
            <family val="2"/>
          </rPr>
          <t>假设：本表中可修改，修改后 Excel 全部相关公式自动更新。</t>
        </r>
      </text>
    </comment>
    <comment ref="B1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5 / 附注 p.K-33
原文锚点：holdings to less than $30 billion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位置：管理层讨论与分析（MD&amp;A）·Results of Operations 税后利润分解表 PDF 第59页（页脚 K-35）
原文锚点：Insurance – underwriting</t>
        </r>
      </text>
    </comment>
    <comment ref="C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位置：管理层讨论与分析（MD&amp;A）·Results of Operations 税后利润分解表 PDF 第59页（页脚 K-35）
原文锚点：Insurance – underwriting</t>
        </r>
      </text>
    </comment>
    <comment ref="D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原文锚点：Insurance – underwriting |</t>
        </r>
      </text>
    </comment>
    <comment ref="E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原文锚点：Insurance – underwriting |</t>
        </r>
      </text>
    </comment>
    <comment ref="F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原文锚点：Insurance – underwriting |</t>
        </r>
      </text>
    </comment>
    <comment ref="G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MD&amp;A·Results of Operations（First Six Months） p.33
原文锚点：Insurance – underwriting |</t>
        </r>
      </text>
    </comment>
    <comment ref="H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MD&amp;A·Results of Operations（First Six Months） p.33
原文锚点：Insurance – underwriting |</t>
        </r>
      </text>
    </comment>
    <comment ref="B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位置：管理层讨论与分析（MD&amp;A）·Results of Operations 税后利润分解表 PDF 第59页（页脚 K-35）
原文锚点：Insurance – investment income</t>
        </r>
      </text>
    </comment>
    <comment ref="C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位置：管理层讨论与分析（MD&amp;A）·Results of Operations 税后利润分解表 PDF 第59页（页脚 K-35）
原文锚点：Insurance – investment income</t>
        </r>
      </text>
    </comment>
    <comment ref="D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原文锚点：Insurance – investment income |</t>
        </r>
      </text>
    </comment>
    <comment ref="E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原文锚点：Insurance – investment income |</t>
        </r>
      </text>
    </comment>
    <comment ref="F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原文锚点：Insurance – investment income |</t>
        </r>
      </text>
    </comment>
    <comment ref="G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MD&amp;A·Results of Operations（First Six Months） p.33
原文锚点：Insurance – investment income |</t>
        </r>
      </text>
    </comment>
    <comment ref="H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MD&amp;A·Results of Operations（First Six Months） p.33
原文锚点：Insurance – investment income |</t>
        </r>
      </text>
    </comment>
    <comment ref="B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位置：管理层讨论与分析（MD&amp;A）·Results of Operations 税后利润分解表 PDF 第59页（页脚 K-35）
原文锚点：BNSF</t>
        </r>
      </text>
    </comment>
    <comment ref="C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位置：管理层讨论与分析（MD&amp;A）·Results of Operations 税后利润分解表 PDF 第59页（页脚 K-35）
原文锚点：BNSF</t>
        </r>
      </text>
    </comment>
    <comment ref="D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原文锚点：BNSF |</t>
        </r>
      </text>
    </comment>
    <comment ref="E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原文锚点：BNSF |</t>
        </r>
      </text>
    </comment>
    <comment ref="F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原文锚点：BNSF |</t>
        </r>
      </text>
    </comment>
    <comment ref="G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MD&amp;A·Results of Operations（First Six Months） p.33
原文锚点：BNSF |</t>
        </r>
      </text>
    </comment>
    <comment ref="H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MD&amp;A·Results of Operations（First Six Months） p.33
原文锚点：BNSF |</t>
        </r>
      </text>
    </comment>
    <comment ref="B9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位置：管理层讨论与分析（MD&amp;A）·Results of Operations 税后利润分解表 PDF 第59页（页脚 K-35）
原文锚点：Berkshire Hathaway Energy (“BHE”)</t>
        </r>
      </text>
    </comment>
    <comment ref="C9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位置：管理层讨论与分析（MD&amp;A）·Results of Operations 税后利润分解表 PDF 第59页（页脚 K-35）
原文锚点：Berkshire Hathaway Energy (“BHE”)</t>
        </r>
      </text>
    </comment>
    <comment ref="D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原文锚点：Berkshire Hathaway Energy (“BHE”) |</t>
        </r>
      </text>
    </comment>
    <comment ref="E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原文锚点：Berkshire Hathaway Energy (“BHE”) |</t>
        </r>
      </text>
    </comment>
    <comment ref="F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原文锚点：Berkshire Hathaway Energy (“BHE”) |</t>
        </r>
      </text>
    </comment>
    <comment ref="G9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MD&amp;A·Results of Operations（First Six Months） p.33
原文锚点：Berkshire Hathaway Energy (“BHE”) |</t>
        </r>
      </text>
    </comment>
    <comment ref="H9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MD&amp;A·Results of Operations（First Six Months） p.33
原文锚点：Berkshire Hathaway Energy (“BHE”) |</t>
        </r>
      </text>
    </comment>
    <comment ref="B10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位置：管理层讨论与分析（MD&amp;A）·Results of Operations 税后利润分解表 PDF 第59页（页脚 K-35）
原文锚点：Manufacturing, service and retailing</t>
        </r>
      </text>
    </comment>
    <comment ref="C10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位置：管理层讨论与分析（MD&amp;A）·Results of Operations 税后利润分解表 PDF 第59页（页脚 K-35）
原文锚点：Manufacturing, service and retailing</t>
        </r>
      </text>
    </comment>
    <comment ref="D1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原文锚点：Manufacturing, service and retailing |</t>
        </r>
      </text>
    </comment>
    <comment ref="E1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原文锚点：Manufacturing, service and retailing |</t>
        </r>
      </text>
    </comment>
    <comment ref="F1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MD&amp;A·Results of Operations 税后利润分解表 p.K-34
原文锚点：Manufacturing, service and retailing |</t>
        </r>
      </text>
    </comment>
    <comment ref="G10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MD&amp;A·Results of Operations（First Six Months） p.33
原文锚点：Manufacturing, service and retailing |</t>
        </r>
      </text>
    </comment>
    <comment ref="H10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MD&amp;A·Results of Operations（First Six Months） p.33
原文锚点：Manufacturing, service and retailing |</t>
        </r>
      </text>
    </comment>
    <comment ref="D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MD&amp;A·税后利润分解表·Other p.K-34
原文锚点：Other |</t>
        </r>
      </text>
    </comment>
    <comment ref="E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MD&amp;A·税后利润分解表·Other p.K-34
原文锚点：Other |</t>
        </r>
      </text>
    </comment>
    <comment ref="F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MD&amp;A·税后利润分解表·Other p.K-34
原文锚点：Other |</t>
        </r>
      </text>
    </comment>
    <comment ref="G11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MD&amp;A·税后利润分解表·Other p.33
原文锚点：Other |</t>
        </r>
      </text>
    </comment>
    <comment ref="H11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MD&amp;A·税后利润分解表·Other p.33
原文锚点：Other |</t>
        </r>
      </text>
    </comment>
    <comment ref="B13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 税后利润分解表·投资及衍生品收益 PDF 第59页（页脚 K-35）
原文锚点：Investment and derivative contract gains (losses)</t>
        </r>
      </text>
    </comment>
    <comment ref="C13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 税后利润分解表·投资及衍生品收益 PDF 第59页（页脚 K-35）
原文锚点：Investment and derivative contract gains (losses)</t>
        </r>
      </text>
    </comment>
    <comment ref="D13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MD&amp;A·税后利润分解表·Investment gains (losses) p.K-34
原文锚点：Investment gains (losses) | 30,737</t>
        </r>
      </text>
    </comment>
    <comment ref="E13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MD&amp;A·税后利润分解表·Investment gains (losses) p.K-34
原文锚点：Investment gains (losses) | 30,737</t>
        </r>
      </text>
    </comment>
    <comment ref="F13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MD&amp;A·税后利润分解表·Investment gains (losses) p.K-34
原文锚点：Investment gains (losses) | 30,737</t>
        </r>
      </text>
    </comment>
    <comment ref="G13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MD&amp;A·税后利润分解表·Investment gains (losses) p.33
原文锚点：Investment gains (losses) | 12,684</t>
        </r>
      </text>
    </comment>
    <comment ref="H13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MD&amp;A·税后利润分解表·Investment gains (losses) p.33
原文锚点：Investment gains (losses) | 12,684</t>
        </r>
      </text>
    </comment>
    <comment ref="F1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MD&amp;A·卡夫亨氏与西方石油权益法投资减值 p.K-34
原文锚点：Other-than-temporary impairment of investments in Kraft Heinz and Occidental</t>
        </r>
      </text>
    </comment>
    <comment ref="G14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MD&amp;A·卡夫亨氏权益法投资减值 p.33
原文锚点：Other-than-temporary impairment of investment in Kraft Heinz</t>
        </r>
      </text>
    </comment>
    <comment ref="B1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 税后利润分解表·合计 PDF 第59页（页脚 K-35）
原文锚点：Net earnings (loss) attributable to Berkshire Hathaway shareholders $</t>
        </r>
      </text>
    </comment>
    <comment ref="C1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 税后利润分解表·合计 PDF 第59页（页脚 K-35）
原文锚点：Net earnings (loss) attributable to Berkshire Hathaway shareholders $</t>
        </r>
      </text>
    </comment>
    <comment ref="D1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MD&amp;A·税后利润分解表·合计 p.K-34
原文锚点：Net earnings attributable to Berkshire shareholders | $66,968</t>
        </r>
      </text>
    </comment>
    <comment ref="E1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MD&amp;A·税后利润分解表·合计 p.K-34
原文锚点：Net earnings attributable to Berkshire shareholders | $66,968</t>
        </r>
      </text>
    </comment>
    <comment ref="F1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MD&amp;A·税后利润分解表·合计 p.K-34
原文锚点：Net earnings attributable to Berkshire shareholders | $66,968</t>
        </r>
      </text>
    </comment>
    <comment ref="G1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MD&amp;A·税后利润分解表·合计 p.4
原文锚点：Net earnings attributable to Berkshire shareholders | $25,667</t>
        </r>
      </text>
    </comment>
    <comment ref="H1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MD&amp;A·税后利润分解表·合计 p.4
原文锚点：Net earnings attributable to Berkshire shareholders | $25,667</t>
        </r>
      </text>
    </comment>
    <comment ref="C18" authorId="0">
      <text>
        <r>
          <rPr>
            <sz val="9"/>
            <color indexed="81"/>
            <rFont val="Microsoft YaHei"/>
            <family val="2"/>
          </rPr>
          <t>出处 L2023：2023 年致股东信（巴菲特）
文件/网页：材料/股东信/2023ltr.pdf
位置：2023 年致股东信·The Scorecard in 2023 表 PDF 第10页（页脚 11）
原文锚点：Operating earnings . . .</t>
        </r>
      </text>
    </comment>
    <comment ref="D18" authorId="0">
      <text>
        <r>
          <rPr>
            <sz val="9"/>
            <color indexed="81"/>
            <rFont val="Microsoft YaHei"/>
            <family val="2"/>
          </rPr>
          <t>出处 L2024：2024 年致股东信（巴菲特）
文件/网页：材料/股东信/2024ltr.pdf
位置：2024 年致股东信·2023–24 年经营利润分解表 PDF 第5页（页脚 5）
原文锚点：Operating earnings . . .</t>
        </r>
      </text>
    </comment>
    <comment ref="E18" authorId="0">
      <text>
        <r>
          <rPr>
            <sz val="9"/>
            <color indexed="81"/>
            <rFont val="Microsoft YaHei"/>
            <family val="2"/>
          </rPr>
          <t>出处 L2024：2024 年致股东信（巴菲特）
文件/网页：材料/股东信/2024ltr.pdf
位置：2024 年致股东信·2023–24 年经营利润分解表 PDF 第5页（页脚 5）
原文锚点：Operating earnings . . .</t>
        </r>
      </text>
    </comment>
    <comment ref="G18" authorId="0">
      <text>
        <r>
          <rPr>
            <sz val="9"/>
            <color indexed="81"/>
            <rFont val="Microsoft YaHei"/>
            <family val="2"/>
          </rPr>
          <t>出处 S03：伯克希尔 2026 年二季度业绩公告（8-K 附件 99.1，2026-08-08）
文件/网页：材料/Berkshire_2026Q2业绩公告__d159922dex991.htm
位置：业绩公告·经营利润分析表（First Six Months）
原文锚点：Operating earnings |</t>
        </r>
      </text>
    </comment>
    <comment ref="H18" authorId="0">
      <text>
        <r>
          <rPr>
            <sz val="9"/>
            <color indexed="81"/>
            <rFont val="Microsoft YaHei"/>
            <family val="2"/>
          </rPr>
          <t>出处 S03：伯克希尔 2026 年二季度业绩公告（8-K 附件 99.1，2026-08-08）
文件/网页：材料/Berkshire_2026Q2业绩公告__d159922dex991.htm
位置：业绩公告·经营利润分析表（First Six Months）
原文锚点：Operating earnings |</t>
        </r>
      </text>
    </comment>
    <comment ref="B19" authorId="0">
      <text>
        <r>
          <rPr>
            <sz val="9"/>
            <color indexed="81"/>
            <rFont val="Microsoft YaHei"/>
            <family val="2"/>
          </rPr>
          <t>出处 L2023：2023 年致股东信（巴菲特）
文件/网页：材料/股东信/2023ltr.pdf
位置：2023 年致股东信正文 PDF 第3页（页脚 4）
原文锚点：$27.6 billion for 2021</t>
        </r>
      </text>
    </comment>
    <comment ref="F19" authorId="0">
      <text>
        <r>
          <rPr>
            <sz val="9"/>
            <color indexed="81"/>
            <rFont val="Microsoft YaHei"/>
            <family val="2"/>
          </rPr>
          <t>出处 L2025：2025 年致股东信（阿贝尔，首封 CEO 信）
文件/网页：材料/股东信/2025ltr.pdf
位置：2025 年致股东信·Berkshire’s Performance PDF 第8页（页脚 8）
原文锚点：Berkshire delivered operating earnings of $44.5 billion</t>
        </r>
      </text>
    </comment>
    <comment ref="B23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 税后利润分解表·Non-controlled businesses（权益法） PDF 第59页（页脚 K-35）
原文锚点：Non-controlled businesses*</t>
        </r>
      </text>
    </comment>
    <comment ref="C23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 税后利润分解表·Non-controlled businesses（权益法） PDF 第59页（页脚 K-35）
原文锚点：Non-controlled businesses*</t>
        </r>
      </text>
    </comment>
    <comment ref="B24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 税后利润分解表·Other PDF 第59页（页脚 K-35）
原文锚点：Other (175)</t>
        </r>
      </text>
    </comment>
    <comment ref="C24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 税后利润分解表·Other PDF 第59页（页脚 K-35）
原文锚点：Other (175)</t>
        </r>
      </text>
    </comment>
    <comment ref="D2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原文锚点：Investment income | $3,566</t>
        </r>
      </text>
    </comment>
    <comment ref="E2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原文锚点：Investment income | $3,566</t>
        </r>
      </text>
    </comment>
    <comment ref="F2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原文锚点：Investment income | $3,566</t>
        </r>
      </text>
    </comment>
    <comment ref="G2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位置：MD&amp;A·Other 税后分解表 p.47
原文锚点：Investment income | $957</t>
        </r>
      </text>
    </comment>
    <comment ref="H2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位置：MD&amp;A·Other 税后分解表 p.47
原文锚点：Investment income | $957</t>
        </r>
      </text>
    </comment>
    <comment ref="D2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原文锚点：Foreign currency exchange rate gains (losses) on Berkshire and BHFC non-U.S. Dollar senior notes | (642)</t>
        </r>
      </text>
    </comment>
    <comment ref="E2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原文锚点：Foreign currency exchange rate gains (losses) on Berkshire and BHFC non-U.S. Dollar senior notes | (642)</t>
        </r>
      </text>
    </comment>
    <comment ref="F2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原文锚点：Foreign currency exchange rate gains (losses) on Berkshire and BHFC non-U.S. Dollar senior notes | (642)</t>
        </r>
      </text>
    </comment>
    <comment ref="G29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位置：MD&amp;A·Other 税后分解表 p.47
原文锚点：Foreign currency exchange rate gains (losses) on Berkshire and BHFC non-U.S. Dollar senior notes | 326</t>
        </r>
      </text>
    </comment>
    <comment ref="H29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位置：MD&amp;A·Other 税后分解表 p.47
原文锚点：Foreign currency exchange rate gains (losses) on Berkshire and BHFC non-U.S. Dollar senior notes | 326</t>
        </r>
      </text>
    </comment>
    <comment ref="D3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原文锚点：Goodwill impairment losses | (1,555)</t>
        </r>
      </text>
    </comment>
    <comment ref="E3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原文锚点：Goodwill impairment losses | (1,555)</t>
        </r>
      </text>
    </comment>
    <comment ref="F3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原文锚点：Goodwill impairment losses | (1,555)</t>
        </r>
      </text>
    </comment>
    <comment ref="D3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原文锚点：Equity method earnings | 900</t>
        </r>
      </text>
    </comment>
    <comment ref="E3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原文锚点：Equity method earnings | 900</t>
        </r>
      </text>
    </comment>
    <comment ref="F3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原文锚点：Equity method earnings | 900</t>
        </r>
      </text>
    </comment>
    <comment ref="G31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位置：MD&amp;A·Other 税后分解表 p.47
原文锚点：Equity method earnings | 211</t>
        </r>
      </text>
    </comment>
    <comment ref="H31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位置：MD&amp;A·Other 税后分解表 p.47
原文锚点：Equity method earnings | 211</t>
        </r>
      </text>
    </comment>
    <comment ref="D32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原文锚点：Acquisition accounting expenses | (528)</t>
        </r>
      </text>
    </comment>
    <comment ref="E32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原文锚点：Acquisition accounting expenses | (528)</t>
        </r>
      </text>
    </comment>
    <comment ref="F32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原文锚点：Acquisition accounting expenses | (528)</t>
        </r>
      </text>
    </comment>
    <comment ref="G32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位置：MD&amp;A·Other 税后分解表 p.47
原文锚点：Acquisition accounting expenses | (113)</t>
        </r>
      </text>
    </comment>
    <comment ref="H32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位置：MD&amp;A·Other 税后分解表 p.47
原文锚点：Acquisition accounting expenses | (113)</t>
        </r>
      </text>
    </comment>
    <comment ref="D33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原文锚点：Other earnings (losses) | (128)</t>
        </r>
      </text>
    </comment>
    <comment ref="E33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原文锚点：Other earnings (losses) | (128)</t>
        </r>
      </text>
    </comment>
    <comment ref="F33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位置：MD&amp;A·Other 税后分解表 p.K-54
原文锚点：Other earnings (losses) | (128)</t>
        </r>
      </text>
    </comment>
    <comment ref="G33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位置：MD&amp;A·Other 税后分解表 p.47
原文锚点：Other earnings (losses) | (107)</t>
        </r>
      </text>
    </comment>
    <comment ref="H33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位置：MD&amp;A·Other 税后分解表 p.47
原文锚点：Other earnings (losses) | (107)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位置：MD&amp;A·Insurance—Underwriting 汇总表 PDF 第61页（页脚 K-37）
原文锚点：GEICO $ 3,635</t>
        </r>
      </text>
    </comment>
    <comment ref="C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位置：MD&amp;A·Insurance—Underwriting 汇总表 PDF 第61页（页脚 K-37）
原文锚点：GEICO $ 3,635</t>
        </r>
      </text>
    </comment>
    <comment ref="D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位置：MD&amp;A·Insurance—Underwriting 汇总表 p.K-35
原文锚点：GEICO | $6,824</t>
        </r>
      </text>
    </comment>
    <comment ref="E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位置：MD&amp;A·Insurance—Underwriting 汇总表 p.K-35
原文锚点：GEICO | $6,824</t>
        </r>
      </text>
    </comment>
    <comment ref="F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位置：MD&amp;A·Insurance—Underwriting 汇总表 p.K-35
原文锚点：GEICO | $6,824</t>
        </r>
      </text>
    </comment>
    <comment ref="G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位置：MD&amp;A·Insurance—Underwriting 汇总表 p.34
原文锚点：GEICO | $994</t>
        </r>
      </text>
    </comment>
    <comment ref="H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位置：MD&amp;A·Insurance—Underwriting 汇总表 p.34
原文锚点：GEICO | $994</t>
        </r>
      </text>
    </comment>
    <comment ref="B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位置：MD&amp;A·Insurance—Underwriting 汇总表 PDF 第61页（页脚 K-37）
原文锚点：Berkshire Hathaway Primary Group 1,374</t>
        </r>
      </text>
    </comment>
    <comment ref="C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位置：MD&amp;A·Insurance—Underwriting 汇总表 PDF 第61页（页脚 K-37）
原文锚点：Berkshire Hathaway Primary Group 1,374</t>
        </r>
      </text>
    </comment>
    <comment ref="D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位置：MD&amp;A·Insurance—Underwriting 汇总表 p.K-35
原文锚点：BH Primary | 785</t>
        </r>
      </text>
    </comment>
    <comment ref="E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位置：MD&amp;A·Insurance—Underwriting 汇总表 p.K-35
原文锚点：BH Primary | 785</t>
        </r>
      </text>
    </comment>
    <comment ref="F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位置：MD&amp;A·Insurance—Underwriting 汇总表 p.K-35
原文锚点：BH Primary | 785</t>
        </r>
      </text>
    </comment>
    <comment ref="G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位置：MD&amp;A·Insurance—Underwriting 汇总表 p.34
原文锚点：BH Primary | 273</t>
        </r>
      </text>
    </comment>
    <comment ref="H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位置：MD&amp;A·Insurance—Underwriting 汇总表 p.34
原文锚点：BH Primary | 273</t>
        </r>
      </text>
    </comment>
    <comment ref="B9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位置：MD&amp;A·Insurance—Underwriting 汇总表 PDF 第61页（页脚 K-37）
原文锚点：Berkshire Hathaway Reinsurance Group 1,904</t>
        </r>
      </text>
    </comment>
    <comment ref="C9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位置：MD&amp;A·Insurance—Underwriting 汇总表 PDF 第61页（页脚 K-37）
原文锚点：Berkshire Hathaway Reinsurance Group 1,904</t>
        </r>
      </text>
    </comment>
    <comment ref="D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位置：MD&amp;A·Insurance—Underwriting 汇总表 p.K-35
原文锚点：BHRG | 1,851</t>
        </r>
      </text>
    </comment>
    <comment ref="E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位置：MD&amp;A·Insurance—Underwriting 汇总表 p.K-35
原文锚点：BHRG | 1,851</t>
        </r>
      </text>
    </comment>
    <comment ref="F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位置：MD&amp;A·Insurance—Underwriting 汇总表 p.K-35
原文锚点：BHRG | 1,851</t>
        </r>
      </text>
    </comment>
    <comment ref="G9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位置：MD&amp;A·Insurance—Underwriting 汇总表 p.34
原文锚点：BHRG | 913</t>
        </r>
      </text>
    </comment>
    <comment ref="H9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位置：MD&amp;A·Insurance—Underwriting 汇总表 p.34
原文锚点：BHRG | 913</t>
        </r>
      </text>
    </comment>
    <comment ref="B11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位置：MD&amp;A·Insurance—Underwriting 汇总表 PDF 第61页（页脚 K-37）
原文锚点：Pre-tax underwriting earnings (loss) 6,913</t>
        </r>
      </text>
    </comment>
    <comment ref="C11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位置：MD&amp;A·Insurance—Underwriting 汇总表 PDF 第61页（页脚 K-37）
原文锚点：Pre-tax underwriting earnings (loss) 6,913</t>
        </r>
      </text>
    </comment>
    <comment ref="D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位置：MD&amp;A·Insurance—Underwriting 汇总表 p.K-35
原文锚点：Pre-tax underwriting earnings | 9,460</t>
        </r>
      </text>
    </comment>
    <comment ref="E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位置：MD&amp;A·Insurance—Underwriting 汇总表 p.K-35
原文锚点：Pre-tax underwriting earnings | 9,460</t>
        </r>
      </text>
    </comment>
    <comment ref="F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位置：MD&amp;A·Insurance—Underwriting 汇总表 p.K-35
原文锚点：Pre-tax underwriting earnings | 9,460</t>
        </r>
      </text>
    </comment>
    <comment ref="G11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位置：MD&amp;A·Insurance—Underwriting 汇总表 p.34
原文锚点：Pre-tax underwriting earnings | 2,180</t>
        </r>
      </text>
    </comment>
    <comment ref="H11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位置：MD&amp;A·Insurance—Underwriting 汇总表 p.34
原文锚点：Pre-tax underwriting earnings | 2,180</t>
        </r>
      </text>
    </comment>
    <comment ref="B1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位置：MD&amp;A·GEICO 承保结果表 PDF 第61页（页脚 K-37）
原文锚点：Premiums earned $ 39,264</t>
        </r>
      </text>
    </comment>
    <comment ref="C1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位置：MD&amp;A·GEICO 承保结果表 PDF 第61页（页脚 K-37）
原文锚点：Premiums earned $ 39,264</t>
        </r>
      </text>
    </comment>
    <comment ref="D1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位置：MD&amp;A·GEICO 承保结果表 p.K-36
原文锚点：Premiums earned | $44,481</t>
        </r>
      </text>
    </comment>
    <comment ref="E1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位置：MD&amp;A·GEICO 承保结果表 p.K-36
原文锚点：Premiums earned | $44,481</t>
        </r>
      </text>
    </comment>
    <comment ref="F1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位置：MD&amp;A·GEICO 承保结果表 p.K-36
原文锚点：Premiums earned | $44,481</t>
        </r>
      </text>
    </comment>
    <comment ref="G1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位置：MD&amp;A·GEICO 承保结果表 p.34
原文锚点：Premiums earned | $11,291</t>
        </r>
      </text>
    </comment>
    <comment ref="H1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位置：MD&amp;A·GEICO 承保结果表 p.34
原文锚点：Premiums earned | $11,291</t>
        </r>
      </text>
    </comment>
    <comment ref="B1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位置：MD&amp;A·GEICO 承保结果表 PDF 第61页（页脚 K-37）
原文锚点：Losses and loss adjustment expenses 31,814</t>
        </r>
      </text>
    </comment>
    <comment ref="C1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位置：MD&amp;A·GEICO 承保结果表 PDF 第61页（页脚 K-37）
原文锚点：Losses and loss adjustment expenses 31,814</t>
        </r>
      </text>
    </comment>
    <comment ref="D1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位置：MD&amp;A·GEICO 承保结果表 p.K-36
原文锚点：Losses and LAE | 32,144</t>
        </r>
      </text>
    </comment>
    <comment ref="E1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位置：MD&amp;A·GEICO 承保结果表 p.K-36
原文锚点：Losses and LAE | 32,144</t>
        </r>
      </text>
    </comment>
    <comment ref="F1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位置：MD&amp;A·GEICO 承保结果表 p.K-36
原文锚点：Losses and LAE | 32,144</t>
        </r>
      </text>
    </comment>
    <comment ref="G1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位置：MD&amp;A·GEICO 承保结果表 p.34
原文锚点：Losses and LAE | 8,644</t>
        </r>
      </text>
    </comment>
    <comment ref="H1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位置：MD&amp;A·GEICO 承保结果表 p.34
原文锚点：Losses and LAE | 8,644</t>
        </r>
      </text>
    </comment>
    <comment ref="B1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位置：MD&amp;A·GEICO 承保结果表 PDF 第61页（页脚 K-37）
原文锚点：Underwriting expenses 3,815</t>
        </r>
      </text>
    </comment>
    <comment ref="C1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位置：MD&amp;A·GEICO 承保结果表 PDF 第61页（页脚 K-37）
原文锚点：Underwriting expenses 3,815</t>
        </r>
      </text>
    </comment>
    <comment ref="D1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位置：MD&amp;A·GEICO 承保结果表 p.K-36
原文锚点：Underwriting expenses | 5,513</t>
        </r>
      </text>
    </comment>
    <comment ref="E1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位置：MD&amp;A·GEICO 承保结果表 p.K-36
原文锚点：Underwriting expenses | 5,513</t>
        </r>
      </text>
    </comment>
    <comment ref="F1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位置：MD&amp;A·GEICO 承保结果表 p.K-36
原文锚点：Underwriting expenses | 5,513</t>
        </r>
      </text>
    </comment>
    <comment ref="G1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位置：MD&amp;A·GEICO 承保结果表 p.34
原文锚点：Underwriting expenses | 1,653</t>
        </r>
      </text>
    </comment>
    <comment ref="H1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位置：MD&amp;A·GEICO 承保结果表 p.34
原文锚点：Underwriting expenses | 1,653</t>
        </r>
      </text>
    </comment>
    <comment ref="B25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位置：MD&amp;A·BNSF 利润表/货运量表 PDF 第67页（页脚 K-43）
原文锚点：Railroad operating revenues $ 23,474</t>
        </r>
      </text>
    </comment>
    <comment ref="C25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位置：MD&amp;A·BNSF 利润表/货运量表 PDF 第67页（页脚 K-43）
原文锚点：Railroad operating revenues $ 23,474</t>
        </r>
      </text>
    </comment>
    <comment ref="D2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位置：MD&amp;A·BNSF 利润表/货运量表 p.K-41
原文锚点：Railroad operating revenues | $23,350</t>
        </r>
      </text>
    </comment>
    <comment ref="E2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位置：MD&amp;A·BNSF 利润表/货运量表 p.K-41
原文锚点：Railroad operating revenues | $23,350</t>
        </r>
      </text>
    </comment>
    <comment ref="F2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位置：MD&amp;A·BNSF 利润表/货运量表 p.K-41
原文锚点：Railroad operating revenues | $23,350</t>
        </r>
      </text>
    </comment>
    <comment ref="G25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位置：MD&amp;A·BNSF 利润表/货运量表 p.39
原文锚点：Railroad operating revenues | $6,562</t>
        </r>
      </text>
    </comment>
    <comment ref="H25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位置：MD&amp;A·BNSF 利润表/货运量表 p.39
原文锚点：Railroad operating revenues | $6,562</t>
        </r>
      </text>
    </comment>
    <comment ref="B2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位置：MD&amp;A·BNSF 利润表/货运量表 PDF 第67页（页脚 K-43）
原文锚点：Total 16,059</t>
        </r>
      </text>
    </comment>
    <comment ref="C2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位置：MD&amp;A·BNSF 利润表/货运量表 PDF 第67页（页脚 K-43）
原文锚点：Total 16,059</t>
        </r>
      </text>
    </comment>
    <comment ref="D2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位置：MD&amp;A·BNSF 利润表/货运量表 p.K-41
原文锚点：Railroad operating expenses | 15,295</t>
        </r>
      </text>
    </comment>
    <comment ref="E2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位置：MD&amp;A·BNSF 利润表/货运量表 p.K-41
原文锚点：Railroad operating expenses | 15,295</t>
        </r>
      </text>
    </comment>
    <comment ref="F2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位置：MD&amp;A·BNSF 利润表/货运量表 p.K-41
原文锚点：Railroad operating expenses | 15,295</t>
        </r>
      </text>
    </comment>
    <comment ref="G2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位置：MD&amp;A·BNSF 利润表/货运量表 p.39
原文锚点：Railroad operating expenses | 4,292</t>
        </r>
      </text>
    </comment>
    <comment ref="H2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位置：MD&amp;A·BNSF 利润表/货运量表 p.39
原文锚点：Railroad operating expenses | 4,292</t>
        </r>
      </text>
    </comment>
    <comment ref="B2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位置：MD&amp;A·BNSF 利润表/货运量表 PDF 第67页（页脚 K-43）
原文锚点：9,003 9,549 10,135</t>
        </r>
      </text>
    </comment>
    <comment ref="C2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位置：MD&amp;A·BNSF 利润表/货运量表 PDF 第67页（页脚 K-43）
原文锚点：9,003 9,549 10,135</t>
        </r>
      </text>
    </comment>
    <comment ref="D2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位置：MD&amp;A·BNSF 利润表/货运量表 p.K-42
原文锚点：9,622 | 9,589 | 9,003</t>
        </r>
      </text>
    </comment>
    <comment ref="E2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位置：MD&amp;A·BNSF 利润表/货运量表 p.K-42
原文锚点：9,622 | 9,589 | 9,003</t>
        </r>
      </text>
    </comment>
    <comment ref="F2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位置：MD&amp;A·BNSF 利润表/货运量表 p.K-42
原文锚点：9,622 | 9,589 | 9,003</t>
        </r>
      </text>
    </comment>
    <comment ref="G2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位置：MD&amp;A·BNSF 利润表/货运量表 p.39
原文锚点：2,479 | 2,327 | 4,887 | 4,684</t>
        </r>
      </text>
    </comment>
    <comment ref="H2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位置：MD&amp;A·BNSF 利润表/货运量表 p.39
原文锚点：2,479 | 2,327 | 4,887 | 4,684</t>
        </r>
      </text>
    </comment>
    <comment ref="D3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原文锚点：U.S. utilities | $2,097</t>
        </r>
      </text>
    </comment>
    <comment ref="E3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原文锚点：U.S. utilities | $2,097</t>
        </r>
      </text>
    </comment>
    <comment ref="F3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原文锚点：U.S. utilities | $2,097</t>
        </r>
      </text>
    </comment>
    <comment ref="G34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位置：MD&amp;A·BHE 分业务税后利润表 p.41
原文锚点：U.S. utilities | $597</t>
        </r>
      </text>
    </comment>
    <comment ref="H34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位置：MD&amp;A·BHE 分业务税后利润表 p.41
原文锚点：U.S. utilities | $597</t>
        </r>
      </text>
    </comment>
    <comment ref="D3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原文锚点：Natural gas pipelines | 1,151</t>
        </r>
      </text>
    </comment>
    <comment ref="E3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原文锚点：Natural gas pipelines | 1,151</t>
        </r>
      </text>
    </comment>
    <comment ref="F3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原文锚点：Natural gas pipelines | 1,151</t>
        </r>
      </text>
    </comment>
    <comment ref="G35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位置：MD&amp;A·BHE 分业务税后利润表 p.41
原文锚点：Natural gas pipelines | 242</t>
        </r>
      </text>
    </comment>
    <comment ref="H35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位置：MD&amp;A·BHE 分业务税后利润表 p.41
原文锚点：Natural gas pipelines | 242</t>
        </r>
      </text>
    </comment>
    <comment ref="D3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原文锚点：Other energy businesses | 1,175</t>
        </r>
      </text>
    </comment>
    <comment ref="E3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原文锚点：Other energy businesses | 1,175</t>
        </r>
      </text>
    </comment>
    <comment ref="F3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原文锚点：Other energy businesses | 1,175</t>
        </r>
      </text>
    </comment>
    <comment ref="G3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位置：MD&amp;A·BHE 分业务税后利润表 p.41
原文锚点：Other energy businesses | 291</t>
        </r>
      </text>
    </comment>
    <comment ref="H3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位置：MD&amp;A·BHE 分业务税后利润表 p.41
原文锚点：Other energy businesses | 291</t>
        </r>
      </text>
    </comment>
    <comment ref="D3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原文锚点：Real estate brokerage | 24</t>
        </r>
      </text>
    </comment>
    <comment ref="E3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原文锚点：Real estate brokerage | 24</t>
        </r>
      </text>
    </comment>
    <comment ref="F3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原文锚点：Real estate brokerage | 24</t>
        </r>
      </text>
    </comment>
    <comment ref="G3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位置：MD&amp;A·BHE 分业务税后利润表 p.41
原文锚点：Real estate brokerage | 20</t>
        </r>
      </text>
    </comment>
    <comment ref="H3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位置：MD&amp;A·BHE 分业务税后利润表 p.41
原文锚点：Real estate brokerage | 20</t>
        </r>
      </text>
    </comment>
    <comment ref="D3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原文锚点：Corporate interest and other | (465)</t>
        </r>
      </text>
    </comment>
    <comment ref="E3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原文锚点：Corporate interest and other | (465)</t>
        </r>
      </text>
    </comment>
    <comment ref="F3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 分业务税后利润表 p.K-44
原文锚点：Corporate interest and other | (465)</t>
        </r>
      </text>
    </comment>
    <comment ref="G3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位置：MD&amp;A·BHE 分业务税后利润表 p.41
原文锚点：Corporate interest and other | (259)</t>
        </r>
      </text>
    </comment>
    <comment ref="H3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位置：MD&amp;A·BHE 分业务税后利润表 p.41
原文锚点：Corporate interest and other | (259)</t>
        </r>
      </text>
    </comment>
    <comment ref="D4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位置：MD&amp;A·BHE（U.S. utilities 段落） p.K-45
原文锚点：Pre-tax loss accruals, net of expected insurance recoveries, for the Wildfires were $346 million in 2024 and $</t>
        </r>
      </text>
    </comment>
    <comment ref="E4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位置：MD&amp;A·BHE（U.S. utilities 段落） p.K-45
原文锚点：Pre-tax Wildfire loss accruals at PacifiCorp were $100 million in 2025 and $346 million in 2024</t>
        </r>
      </text>
    </comment>
    <comment ref="F4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位置：MD&amp;A·BHE（U.S. utilities 段落） p.K-45
原文锚点：Pre-tax Wildfire loss accruals at PacifiCorp were $100 million in 2025 and $346 million in 2024</t>
        </r>
      </text>
    </comment>
    <comment ref="D4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位置：MD&amp;A·Manufacturing, Service and Retailing 汇总表 p.K-46
原文锚点：Manufacturing | $12,571</t>
        </r>
      </text>
    </comment>
    <comment ref="E4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位置：MD&amp;A·Manufacturing, Service and Retailing 汇总表 p.K-46
原文锚点：Manufacturing | $12,571</t>
        </r>
      </text>
    </comment>
    <comment ref="F4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位置：MD&amp;A·Manufacturing, Service and Retailing 汇总表 p.K-46
原文锚点：Manufacturing | $12,571</t>
        </r>
      </text>
    </comment>
    <comment ref="G44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位置：MD&amp;A·Manufacturing, Service and Retailing 汇总表 p.42
原文锚点：Manufacturing | $4,117</t>
        </r>
      </text>
    </comment>
    <comment ref="H44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位置：MD&amp;A·Manufacturing, Service and Retailing 汇总表 p.42
原文锚点：Manufacturing | $4,117</t>
        </r>
      </text>
    </comment>
    <comment ref="D4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位置：MD&amp;A·Manufacturing, Service and Retailing 汇总表 p.K-46
原文锚点：Service and retailing | 4,905</t>
        </r>
      </text>
    </comment>
    <comment ref="E4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位置：MD&amp;A·Manufacturing, Service and Retailing 汇总表 p.K-46
原文锚点：Service and retailing | 4,905</t>
        </r>
      </text>
    </comment>
    <comment ref="F4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位置：MD&amp;A·Manufacturing, Service and Retailing 汇总表 p.K-46
原文锚点：Service and retailing | 4,905</t>
        </r>
      </text>
    </comment>
    <comment ref="G45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位置：MD&amp;A·Manufacturing, Service and Retailing 汇总表 p.42
原文锚点：Service and retailing | 1,729</t>
        </r>
      </text>
    </comment>
    <comment ref="H45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位置：MD&amp;A·Manufacturing, Service and Retailing 汇总表 p.42
原文锚点：Service and retailing | 1,729</t>
        </r>
      </text>
    </comment>
    <comment ref="D4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位置：MD&amp;A·Manufacturing, Service and Retailing 汇总表 p.K-46
原文锚点：$214,330 | $215,903 | $219,747</t>
        </r>
      </text>
    </comment>
    <comment ref="E4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位置：MD&amp;A·Manufacturing, Service and Retailing 汇总表 p.K-46
原文锚点：$214,330 | $215,903 | $219,747</t>
        </r>
      </text>
    </comment>
    <comment ref="F4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位置：MD&amp;A·Manufacturing, Service and Retailing 汇总表 p.K-46
原文锚点：$214,330 | $215,903 | $219,747</t>
        </r>
      </text>
    </comment>
    <comment ref="G4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位置：MD&amp;A·Manufacturing, Service and Retailing 汇总表 p.42
原文锚点：$61,502 | $53,367 | $116,344 | $104,875</t>
        </r>
      </text>
    </comment>
    <comment ref="H4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位置：MD&amp;A·Manufacturing, Service and Retailing 汇总表 p.42
原文锚点：$61,502 | $53,367 | $116,344 | $104,875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B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1 业务描述·Investments of insurance businesses p.K-6
原文锚点：float has increased from approximately $138 billion at the end of 2020</t>
        </r>
      </text>
    </comment>
    <comment ref="C6" authorId="0">
      <text>
        <r>
          <rPr>
            <sz val="9"/>
            <color indexed="81"/>
            <rFont val="Microsoft YaHei"/>
            <family val="2"/>
          </rPr>
          <t xml:space="preserve">出处 W01：伯克希尔 2023 年年度报告（含 10-K；2021–2022 年数字已按 LDTI 追溯调整）
文件/网页：https://www.berkshirehathaway.com/2023ar/2023ar.pdf
访问日期：2026-10-22
位置：MD&amp;A·Insurance—Investment Income PDF 第66页（页脚 K-42）
原文锚点：Float was approximately $169 billion at December 31, 2023, $164 billion at December 31, 2022 and $147 billion </t>
        </r>
      </text>
    </comment>
    <comment ref="D6" authorId="0">
      <text>
        <r>
          <rPr>
            <sz val="9"/>
            <color indexed="81"/>
            <rFont val="Microsoft YaHei"/>
            <family val="2"/>
          </rPr>
          <t xml:space="preserve">出处 W01：伯克希尔 2023 年年度报告（含 10-K；2021–2022 年数字已按 LDTI 追溯调整）
文件/网页：https://www.berkshirehathaway.com/2023ar/2023ar.pdf
访问日期：2026-10-22
位置：MD&amp;A·Insurance—Investment Income PDF 第66页（页脚 K-42）
原文锚点：Float was approximately $169 billion at December 31, 2023, $164 billion at December 31, 2022 and $147 billion </t>
        </r>
      </text>
    </comment>
    <comment ref="E6" authorId="0">
      <text>
        <r>
          <rPr>
            <sz val="9"/>
            <color indexed="81"/>
            <rFont val="Microsoft YaHei"/>
            <family val="2"/>
          </rPr>
          <t xml:space="preserve">出处 S01：伯克希尔 2025 年年报（Form 10-K，截至 2025-12-31）
文件/网页：材料/Berkshire_2025年报__brka-20251231.htm
位置：Item 7 MD&amp;A·Insurance—Investment Income p.K-41
原文锚点：Float was approximately $176 billion at December 31, 2025, $171 billion at December 31, 2024 and $169 billion </t>
        </r>
      </text>
    </comment>
    <comment ref="F6" authorId="0">
      <text>
        <r>
          <rPr>
            <sz val="9"/>
            <color indexed="81"/>
            <rFont val="Microsoft YaHei"/>
            <family val="2"/>
          </rPr>
          <t xml:space="preserve">出处 S01：伯克希尔 2025 年年报（Form 10-K，截至 2025-12-31）
文件/网页：材料/Berkshire_2025年报__brka-20251231.htm
位置：Item 7 MD&amp;A·Insurance—Investment Income p.K-41
原文锚点：Float was approximately $176 billion at December 31, 2025, $171 billion at December 31, 2024 and $169 billion </t>
        </r>
      </text>
    </comment>
    <comment ref="G6" authorId="0">
      <text>
        <r>
          <rPr>
            <sz val="9"/>
            <color indexed="81"/>
            <rFont val="Microsoft YaHei"/>
            <family val="2"/>
          </rPr>
          <t xml:space="preserve">出处 S01：伯克希尔 2025 年年报（Form 10-K，截至 2025-12-31）
文件/网页：材料/Berkshire_2025年报__brka-20251231.htm
位置：Item 7 MD&amp;A·Insurance—Investment Income p.K-41
原文锚点：Float was approximately $176 billion at December 31, 2025, $171 billion at December 31, 2024 and $169 billion </t>
        </r>
      </text>
    </comment>
    <comment ref="H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MD&amp;A·Insurance—Investment Income p.38
原文锚点：Float was approximately $177.5 billion at June 30, 2026</t>
        </r>
      </text>
    </comment>
    <comment ref="C7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位置：合并资产负债表 PDF 第86页（页脚 K-70）
原文锚点：Cash and cash equivalents* $ 32,260 $ 85,319</t>
        </r>
      </text>
    </comment>
    <comment ref="D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第94页（页脚 K-70）
原文锚点：Cash and cash equivalents* $ 33,672 $ 32,260</t>
        </r>
      </text>
    </comment>
    <comment ref="E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第94页（页脚 K-70）
原文锚点：Cash and cash equivalents* $ 33,672 $ 32,260</t>
        </r>
      </text>
    </comment>
    <comment ref="F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p.K-66
原文锚点：Cash and cash equivalents* | $47,719 | $44,333</t>
        </r>
      </text>
    </comment>
    <comment ref="G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p.K-66
原文锚点：Cash and cash equivalents* | $47,719 | $44,333</t>
        </r>
      </text>
    </comment>
    <comment ref="H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位置：合并资产负债表 p.2
原文锚点：Cash and cash equivalents* | $35,096 | $47,719</t>
        </r>
      </text>
    </comment>
    <comment ref="C8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位置：合并资产负债表 PDF 第86页（页脚 K-70）
原文锚点：Short-term investments in U.S. Treasury Bills 92,774 58,535</t>
        </r>
      </text>
    </comment>
    <comment ref="D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第94页（页脚 K-70）
原文锚点：Short-term investments in U.S. Treasury Bills 129,619 92,774</t>
        </r>
      </text>
    </comment>
    <comment ref="E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第94页（页脚 K-70）
原文锚点：Short-term investments in U.S. Treasury Bills 129,619 92,774</t>
        </r>
      </text>
    </comment>
    <comment ref="F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p.K-66
原文锚点：Short-term investments in U.S. Treasury Bills** | 321,434 | 286,472</t>
        </r>
      </text>
    </comment>
    <comment ref="G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p.K-66
原文锚点：Short-term investments in U.S. Treasury Bills** | 321,434 | 286,472</t>
        </r>
      </text>
    </comment>
    <comment ref="H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位置：合并资产负债表 p.2
原文锚点：Short-term investments in U.S. Treasury Bills** | 324,905 | 321,434</t>
        </r>
      </text>
    </comment>
    <comment ref="C9" authorId="0">
      <text>
        <r>
          <rPr>
            <sz val="9"/>
            <color indexed="81"/>
            <rFont val="Microsoft YaHei"/>
            <family val="2"/>
          </rPr>
          <t>假设：该年资产负债表未单列此项，按 0 处理。可修改。</t>
        </r>
      </text>
    </comment>
    <comment ref="D9" authorId="0">
      <text>
        <r>
          <rPr>
            <sz val="9"/>
            <color indexed="81"/>
            <rFont val="Microsoft YaHei"/>
            <family val="2"/>
          </rPr>
          <t>假设：该年资产负债表未单列此项，按 0 处理。可修改。</t>
        </r>
      </text>
    </comment>
    <comment ref="E9" authorId="0">
      <text>
        <r>
          <rPr>
            <sz val="9"/>
            <color indexed="81"/>
            <rFont val="Microsoft YaHei"/>
            <family val="2"/>
          </rPr>
          <t>假设：该年资产负债表未单列此项，按 0 处理。可修改。</t>
        </r>
      </text>
    </comment>
    <comment ref="F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p.K-67
原文锚点：Payable for purchase of U.S. Treasury Bills | 167 | 12,769</t>
        </r>
      </text>
    </comment>
    <comment ref="G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p.K-67
原文锚点：Payable for purchase of U.S. Treasury Bills | 167 | 12,769</t>
        </r>
      </text>
    </comment>
    <comment ref="H9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位置：合并资产负债表 p.3
原文锚点：Payable for purchases of U.S. Treasury Bills | 771 | 167</t>
        </r>
      </text>
    </comment>
    <comment ref="C10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位置：合并资产负债表 PDF 第86页（页脚 K-70）
原文锚点：Cash and cash equivalents* 3,551 2,865</t>
        </r>
      </text>
    </comment>
    <comment ref="D10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第94页（页脚 K-70）
原文锚点：Cash and cash equivalents* 4,350 3,551</t>
        </r>
      </text>
    </comment>
    <comment ref="E10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第94页（页脚 K-70）
原文锚点：Cash and cash equivalents* 4,350 3,551</t>
        </r>
      </text>
    </comment>
    <comment ref="F1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p.K-66
原文锚点：Cash and cash equivalents* | 4,158 | 3,396</t>
        </r>
      </text>
    </comment>
    <comment ref="G1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p.K-66
原文锚点：Cash and cash equivalents* | 4,158 | 3,396</t>
        </r>
      </text>
    </comment>
    <comment ref="H10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位置：合并资产负债表 p.2
原文锚点：Cash and cash equivalents* | 5,513 | 4,158</t>
        </r>
      </text>
    </comment>
    <comment ref="G13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位置：Item 7 MD&amp;A·Financial Condition（十亿美元） p.K-55
原文锚点：Treasury Bills (net of payables for unsettled purchases) of $369.0 billion</t>
        </r>
      </text>
    </comment>
    <comment ref="H13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位置：Item 2 MD&amp;A·Financial Condition（十亿美元） p.48
原文锚点：Treasury Bills (net of payables for unsettled purchases) of $359.2 billion</t>
        </r>
      </text>
    </comment>
    <comment ref="C15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位置：合并资产负债表 PDF 第86页（页脚 K-70）
原文锚点：$ 948,452 $ 958,784</t>
        </r>
      </text>
    </comment>
    <comment ref="D15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第94页（页脚 K-70）
原文锚点：$ 1,069,978 $ 948,465</t>
        </r>
      </text>
    </comment>
    <comment ref="E15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第94页（页脚 K-70）
原文锚点：$ 1,069,978 $ 948,465</t>
        </r>
      </text>
    </comment>
    <comment ref="F1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p.K-66
原文锚点：Total assets | $1,222,176 | $1,153,881</t>
        </r>
      </text>
    </comment>
    <comment ref="G1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p.K-66
原文锚点：Total assets | $1,222,176 | $1,153,881</t>
        </r>
      </text>
    </comment>
    <comment ref="H15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位置：合并资产负债表 p.2
原文锚点：Total assets | $1,263,071 | $1,222,176</t>
        </r>
      </text>
    </comment>
    <comment ref="C16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位置：合并资产负债表 PDF 第86页（页脚 K-70）
原文锚点：Investments in equity securities 308,793 350,719</t>
        </r>
      </text>
    </comment>
    <comment ref="D1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第94页（页脚 K-70）
原文锚点：Investments in equity securities 353,842 308,793</t>
        </r>
      </text>
    </comment>
    <comment ref="E1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第94页（页脚 K-70）
原文锚点：Investments in equity securities 353,842 308,793</t>
        </r>
      </text>
    </comment>
    <comment ref="F1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p.K-66
原文锚点：Investments in equity securities | 297,778 | 271,588</t>
        </r>
      </text>
    </comment>
    <comment ref="G1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p.K-66
原文锚点：Investments in equity securities | 297,778 | 271,588</t>
        </r>
      </text>
    </comment>
    <comment ref="H1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位置：合并资产负债表 p.2
原文锚点：Investments in equity securities | 323,779 | 297,778</t>
        </r>
      </text>
    </comment>
    <comment ref="C17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位置：合并资产负债表 PDF 第86页（页脚 K-70）
原文锚点：Equity method investments 28,050 16,045</t>
        </r>
      </text>
    </comment>
    <comment ref="D1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第94页（页脚 K-70）
原文锚点：Equity method investments 29,066 28,050</t>
        </r>
      </text>
    </comment>
    <comment ref="E1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第94页（页脚 K-70）
原文锚点：Equity method investments 29,066 28,050</t>
        </r>
      </text>
    </comment>
    <comment ref="F1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p.K-66
原文锚点：Equity method investments | 19,978 | 31,134</t>
        </r>
      </text>
    </comment>
    <comment ref="G1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p.K-66
原文锚点：Equity method investments | 19,978 | 31,134</t>
        </r>
      </text>
    </comment>
    <comment ref="H1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位置：合并资产负债表 p.2
原文锚点：Equity method investments | 19,948 | 19,978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B7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位置：合并财报附注（4）Investments in equity securities 按行业汇总表 PDF 第100页（页脚 K-84）
原文锚点：Banks, insurance and finance $ 26,822</t>
        </r>
      </text>
    </comment>
    <comment ref="C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位置：合并财报附注（4）Investments in equity securities 按行业汇总表 PDF 第109页（页脚 K-85）
原文锚点：Banks, insurance and finance $ 25,893</t>
        </r>
      </text>
    </comment>
    <comment ref="D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位置：合并财报附注（4）Investments in equity securities 按行业汇总表 PDF 第109页（页脚 K-85）
原文锚点：Banks, insurance and finance $ 27,136</t>
        </r>
      </text>
    </comment>
    <comment ref="E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位置：合并财报附注（4）Investments in equity securities 按行业汇总表 p.K-79
原文锚点：Banks, insurance and finance | $15,707</t>
        </r>
      </text>
    </comment>
    <comment ref="F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位置：合并财报附注（4）Investments in equity securities 按行业汇总表 p.K-79
原文锚点：Banks, insurance and finance | $15,454</t>
        </r>
      </text>
    </comment>
    <comment ref="G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位置：合并财报附注 Note 4 Investments in equity securities 按行业汇总表 p.9
原文锚点：Banks, insurance and finance | $15,729</t>
        </r>
      </text>
    </comment>
    <comment ref="B8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位置：合并财报附注（4）Investments in equity securities 按行业汇总表 PDF 第100页（页脚 K-84）
原文锚点：Banks, insurance and finance $ 26,822</t>
        </r>
      </text>
    </comment>
    <comment ref="C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位置：合并财报附注（4）Investments in equity securities 按行业汇总表 PDF 第109页（页脚 K-85）
原文锚点：Banks, insurance and finance $ 25,893</t>
        </r>
      </text>
    </comment>
    <comment ref="D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位置：合并财报附注（4）Investments in equity securities 按行业汇总表 PDF 第109页（页脚 K-85）
原文锚点：Banks, insurance and finance $ 27,136</t>
        </r>
      </text>
    </comment>
    <comment ref="E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位置：合并财报附注（4）Investments in equity securities 按行业汇总表 p.K-79
原文锚点：Banks, insurance and finance | $15,707</t>
        </r>
      </text>
    </comment>
    <comment ref="F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位置：合并财报附注（4）Investments in equity securities 按行业汇总表 p.K-79
原文锚点：Banks, insurance and finance | $15,454</t>
        </r>
      </text>
    </comment>
    <comment ref="G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位置：合并财报附注 Note 4 Investments in equity securities 按行业汇总表 p.9
原文锚点：Banks, insurance and finance | $15,729</t>
        </r>
      </text>
    </comment>
    <comment ref="B10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位置：合并财报附注（4）Investments in equity securities 按行业汇总表 PDF 第100页（页脚 K-84）
原文锚点：Consumer products 36,076</t>
        </r>
      </text>
    </comment>
    <comment ref="C10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位置：合并财报附注（4）Investments in equity securities 按行业汇总表 PDF 第109页（页脚 K-85）
原文锚点：Consumer products 40,508</t>
        </r>
      </text>
    </comment>
    <comment ref="D10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位置：合并财报附注（4）Investments in equity securities 按行业汇总表 PDF 第109页（页脚 K-85）
原文锚点：Consumer products 34,248</t>
        </r>
      </text>
    </comment>
    <comment ref="E1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位置：合并财报附注（4）Investments in equity securities 按行业汇总表 p.K-79
原文锚点：Consumer products | 12,658</t>
        </r>
      </text>
    </comment>
    <comment ref="F1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位置：合并财报附注（4）Investments in equity securities 按行业汇总表 p.K-79
原文锚点：Consumer products | 11,899</t>
        </r>
      </text>
    </comment>
    <comment ref="G10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位置：合并财报附注 Note 4 Investments in equity securities 按行业汇总表 p.9
原文锚点：Consumer products | 8,650</t>
        </r>
      </text>
    </comment>
    <comment ref="B11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位置：合并财报附注（4）Investments in equity securities 按行业汇总表 PDF 第100页（页脚 K-84）
原文锚点：Consumer products 36,076</t>
        </r>
      </text>
    </comment>
    <comment ref="C11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位置：合并财报附注（4）Investments in equity securities 按行业汇总表 PDF 第109页（页脚 K-85）
原文锚点：Consumer products 40,508</t>
        </r>
      </text>
    </comment>
    <comment ref="D11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位置：合并财报附注（4）Investments in equity securities 按行业汇总表 PDF 第109页（页脚 K-85）
原文锚点：Consumer products 34,248</t>
        </r>
      </text>
    </comment>
    <comment ref="E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位置：合并财报附注（4）Investments in equity securities 按行业汇总表 p.K-79
原文锚点：Consumer products | 12,658</t>
        </r>
      </text>
    </comment>
    <comment ref="F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位置：合并财报附注（4）Investments in equity securities 按行业汇总表 p.K-79
原文锚点：Consumer products | 11,899</t>
        </r>
      </text>
    </comment>
    <comment ref="G11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位置：合并财报附注 Note 4 Investments in equity securities 按行业汇总表 p.9
原文锚点：Consumer products | 8,650</t>
        </r>
      </text>
    </comment>
    <comment ref="B13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位置：合并财报附注（4）Investments in equity securities 按行业汇总表 PDF 第100页（页脚 K-84）
原文锚点：Commercial, industrial and other 41,707</t>
        </r>
      </text>
    </comment>
    <comment ref="C13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位置：合并财报附注（4）Investments in equity securities 按行业汇总表 PDF 第109页（页脚 K-85）
原文锚点：Commercial, industrial and other 65,209</t>
        </r>
      </text>
    </comment>
    <comment ref="D13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位置：合并财报附注（4）Investments in equity securities 按行业汇总表 PDF 第109页（页脚 K-85）
原文锚点：Commercial, industrial and other 48,032</t>
        </r>
      </text>
    </comment>
    <comment ref="E13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位置：合并财报附注（4）Investments in equity securities 按行业汇总表 p.K-79
原文锚点：Commercial, industrial and other | 47,141</t>
        </r>
      </text>
    </comment>
    <comment ref="F13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位置：合并财报附注（4）Investments in equity securities 按行业汇总表 p.K-79
原文锚点：Commercial, industrial and other | 58,036</t>
        </r>
      </text>
    </comment>
    <comment ref="G13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位置：合并财报附注 Note 4 Investments in equity securities 按行业汇总表 p.9
原文锚点：Commercial, industrial and other | 82,142</t>
        </r>
      </text>
    </comment>
    <comment ref="B14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位置：合并财报附注（4）Investments in equity securities 按行业汇总表 PDF 第100页（页脚 K-84）
原文锚点：Commercial, industrial and other 41,707</t>
        </r>
      </text>
    </comment>
    <comment ref="C14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位置：合并财报附注（4）Investments in equity securities 按行业汇总表 PDF 第109页（页脚 K-85）
原文锚点：Commercial, industrial and other 65,209</t>
        </r>
      </text>
    </comment>
    <comment ref="D14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位置：合并财报附注（4）Investments in equity securities 按行业汇总表 PDF 第109页（页脚 K-85）
原文锚点：Commercial, industrial and other 48,032</t>
        </r>
      </text>
    </comment>
    <comment ref="E1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位置：合并财报附注（4）Investments in equity securities 按行业汇总表 p.K-79
原文锚点：Commercial, industrial and other | 47,141</t>
        </r>
      </text>
    </comment>
    <comment ref="F1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位置：合并财报附注（4）Investments in equity securities 按行业汇总表 p.K-79
原文锚点：Commercial, industrial and other | 58,036</t>
        </r>
      </text>
    </comment>
    <comment ref="G14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位置：合并财报附注 Note 4 Investments in equity securities 按行业汇总表 p.9
原文锚点：Commercial, industrial and other | 82,142</t>
        </r>
      </text>
    </comment>
    <comment ref="B29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位置：附注（4）脚注：前四大（美国运通、苹果、美国银行、可口可乐） PDF 第100页（页脚 K-84）
原文锚点：Approximately 73% of the aggregate fair value was concentrated in four companies</t>
        </r>
      </text>
    </comment>
    <comment ref="C29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位置：附注（4）脚注：前五大（美国运通、苹果、美国银行、可口可乐、雪佛龙） PDF 第109页（页脚 K-85）
原文锚点：* Approximately 75% of the aggregate fair value was concentrated in five companies</t>
        </r>
      </text>
    </comment>
    <comment ref="D29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位置：附注（4）脚注：前五大（美国运通、苹果、美国银行、可口可乐、雪佛龙） PDF 第109页（页脚 K-85）
原文锚点：* Approximately 79% of the aggregate fair value was concentrated in five companies</t>
        </r>
      </text>
    </comment>
    <comment ref="E2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位置：附注（4）：前五大（美国运通、苹果、美国银行、可口可乐、雪佛龙） p.K-80
原文锚点：The fair value of our five largest holdings at December 31, 2025 and 2024 represented 65% and 71%</t>
        </r>
      </text>
    </comment>
    <comment ref="F2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位置：附注（4）：前五大（美国运通、苹果、美国银行、可口可乐、雪佛龙） p.K-80
原文锚点：The fair value of our five largest holdings at December 31, 2025 and 2024 represented 65% and 71%</t>
        </r>
      </text>
    </comment>
    <comment ref="G29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位置：Note 4：前五大（Alphabet、美国运通、苹果、美国银行、可口可乐） p.9
原文锚点：The fair value of our five largest holdings at June 30, 2026 and December 31, 2025 represented 66% and 65%</t>
        </r>
      </text>
    </comment>
    <comment ref="B35" authorId="0">
      <text>
        <r>
          <rPr>
            <sz val="9"/>
            <color indexed="81"/>
            <rFont val="Microsoft YaHei"/>
            <family val="2"/>
          </rPr>
          <t>出处 L2021：2021 年致股东信（巴菲特）
文件/网页：材料/股东信/2021ltr.pdf
位置：致股东信持仓表 PDF 第6页（页脚 7）
原文锚点：907,559,761 Apple Inc.</t>
        </r>
      </text>
    </comment>
    <comment ref="C35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位置：附注（4）脚注（十亿美元，四舍五入） PDF 第109页（页脚 K-85）
原文锚点：billion; Apple Inc. – $119.0 billion; Bank of America Corporation – $34.2 billion; The Coca-Cola Company – $25</t>
        </r>
      </text>
    </comment>
    <comment ref="D35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位置：附注（4）脚注（十亿美元，四舍五入） PDF 第109页（页脚 K-85）
原文锚点：billion; Apple Inc. – $174.3 billion; Bank of America Corporation – $34.8 billion; The Coca-Cola Company – $23</t>
        </r>
      </text>
    </comment>
    <comment ref="F35" authorId="0">
      <text>
        <r>
          <rPr>
            <sz val="9"/>
            <color indexed="81"/>
            <rFont val="Microsoft YaHei"/>
            <family val="2"/>
          </rPr>
          <t>出处 L2025：2025 年致股东信（阿贝尔，首封 CEO 信）
文件/网页：材料/股东信/2025ltr.pdf
位置：致股东信持仓表 PDF 第15页（页脚 15）
原文锚点：Apple Inc. 1.6%</t>
        </r>
      </text>
    </comment>
    <comment ref="B36" authorId="0">
      <text>
        <r>
          <rPr>
            <sz val="9"/>
            <color indexed="81"/>
            <rFont val="Microsoft YaHei"/>
            <family val="2"/>
          </rPr>
          <t>出处 L2021：2021 年致股东信（巴菲特）
文件/网页：材料/股东信/2021ltr.pdf
位置：致股东信持仓表 PDF 第6页（页脚 7）
原文锚点：151,610,700 American Express Company</t>
        </r>
      </text>
    </comment>
    <comment ref="C3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位置：附注（4）脚注（十亿美元，四舍五入） PDF 第109页（页脚 K-85）
原文锚点：* Approximately 75% of the aggregate fair value was concentrated in five companies (American Express Company –</t>
        </r>
      </text>
    </comment>
    <comment ref="D3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位置：附注（4）脚注（十亿美元，四舍五入） PDF 第109页（页脚 K-85）
原文锚点：* Approximately 79% of the aggregate fair value was concentrated in five companies (American Express Company –</t>
        </r>
      </text>
    </comment>
    <comment ref="F36" authorId="0">
      <text>
        <r>
          <rPr>
            <sz val="9"/>
            <color indexed="81"/>
            <rFont val="Microsoft YaHei"/>
            <family val="2"/>
          </rPr>
          <t>出处 L2025：2025 年致股东信（阿贝尔，首封 CEO 信）
文件/网页：材料/股东信/2025ltr.pdf
位置：致股东信持仓表 PDF 第15页（页脚 15）
原文锚点：American Express Company 22.1%</t>
        </r>
      </text>
    </comment>
    <comment ref="B37" authorId="0">
      <text>
        <r>
          <rPr>
            <sz val="9"/>
            <color indexed="81"/>
            <rFont val="Microsoft YaHei"/>
            <family val="2"/>
          </rPr>
          <t>出处 L2021：2021 年致股东信（巴菲特）
文件/网页：材料/股东信/2021ltr.pdf
位置：致股东信持仓表 PDF 第6页（页脚 7）
原文锚点：1,032,852,006 Bank of America Corp.</t>
        </r>
      </text>
    </comment>
    <comment ref="C3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位置：附注（4）脚注（十亿美元，四舍五入） PDF 第109页（页脚 K-85）
原文锚点：billion; Apple Inc. – $119.0 billion; Bank of America Corporation – $34.2 billion; The Coca-Cola Company – $25</t>
        </r>
      </text>
    </comment>
    <comment ref="D3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位置：附注（4）脚注（十亿美元，四舍五入） PDF 第109页（页脚 K-85）
原文锚点：billion; Apple Inc. – $174.3 billion; Bank of America Corporation – $34.8 billion; The Coca-Cola Company – $23</t>
        </r>
      </text>
    </comment>
    <comment ref="B38" authorId="0">
      <text>
        <r>
          <rPr>
            <sz val="9"/>
            <color indexed="81"/>
            <rFont val="Microsoft YaHei"/>
            <family val="2"/>
          </rPr>
          <t>出处 L2021：2021 年致股东信（巴菲特）
文件/网页：材料/股东信/2021ltr.pdf
位置：致股东信持仓表 PDF 第6页（页脚 7）
原文锚点：400,000,000 The Coca-Cola Company</t>
        </r>
      </text>
    </comment>
    <comment ref="C3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位置：附注（4）脚注（十亿美元，四舍五入） PDF 第109页（页脚 K-85）
原文锚点：billion; Apple Inc. – $119.0 billion; Bank of America Corporation – $34.2 billion; The Coca-Cola Company – $25</t>
        </r>
      </text>
    </comment>
    <comment ref="D3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位置：附注（4）脚注（十亿美元，四舍五入） PDF 第109页（页脚 K-85）
原文锚点：billion; Apple Inc. – $174.3 billion; Bank of America Corporation – $34.8 billion; The Coca-Cola Company – $23</t>
        </r>
      </text>
    </comment>
    <comment ref="F38" authorId="0">
      <text>
        <r>
          <rPr>
            <sz val="9"/>
            <color indexed="81"/>
            <rFont val="Microsoft YaHei"/>
            <family val="2"/>
          </rPr>
          <t>出处 L2025：2025 年致股东信（阿贝尔，首封 CEO 信）
文件/网页：材料/股东信/2025ltr.pdf
位置：致股东信持仓表 PDF 第15页（页脚 15）
原文锚点：The Coca-Cola Company 9.3%</t>
        </r>
      </text>
    </comment>
    <comment ref="B39" authorId="0">
      <text>
        <r>
          <rPr>
            <sz val="9"/>
            <color indexed="81"/>
            <rFont val="Microsoft YaHei"/>
            <family val="2"/>
          </rPr>
          <t>出处 L2021：2021 年致股东信（巴菲特）
文件/网页：材料/股东信/2021ltr.pdf
位置：致股东信持仓表 PDF 第6页（页脚 7）
原文锚点：38,245,036 Chevron Corporation</t>
        </r>
      </text>
    </comment>
    <comment ref="C39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位置：附注（4）脚注（十亿美元，四舍五入） PDF 第109页（页脚 K-85）
原文锚点：and Chevron Corporation – $30.0 billion)</t>
        </r>
      </text>
    </comment>
    <comment ref="D39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位置：附注（4）脚注（十亿美元，四舍五入） PDF 第109页（页脚 K-85）
原文锚点：and Chevron Corporation – $18.8 billion)</t>
        </r>
      </text>
    </comment>
    <comment ref="B40" authorId="0">
      <text>
        <r>
          <rPr>
            <sz val="9"/>
            <color indexed="81"/>
            <rFont val="Microsoft YaHei"/>
            <family val="2"/>
          </rPr>
          <t>出处 L2021：2021 年致股东信（巴菲特）
文件/网页：材料/股东信/2021ltr.pdf
位置：致股东信持仓表 PDF 第6页（页脚 7）
原文锚点：24,669,778 Moody’s Corporation</t>
        </r>
      </text>
    </comment>
    <comment ref="F40" authorId="0">
      <text>
        <r>
          <rPr>
            <sz val="9"/>
            <color indexed="81"/>
            <rFont val="Microsoft YaHei"/>
            <family val="2"/>
          </rPr>
          <t>出处 L2025：2025 年致股东信（阿贝尔，首封 CEO 信）
文件/网页：材料/股东信/2025ltr.pdf
位置：致股东信持仓表 PDF 第15页（页脚 15）
原文锚点：Moody’s Corporation 13.9%</t>
        </r>
      </text>
    </comment>
    <comment ref="E41" authorId="0">
      <text>
        <r>
          <rPr>
            <sz val="9"/>
            <color indexed="81"/>
            <rFont val="Microsoft YaHei"/>
            <family val="2"/>
          </rPr>
          <t>出处 L2024：2024 年致股东信（巴菲特）
文件/网页：材料/股东信/2024ltr.pdf
位置：致股东信持仓表 PDF 第11页（页脚 11）
原文锚点：of our holdings totaled $23.5 billion</t>
        </r>
      </text>
    </comment>
    <comment ref="F41" authorId="0">
      <text>
        <r>
          <rPr>
            <sz val="9"/>
            <color indexed="81"/>
            <rFont val="Microsoft YaHei"/>
            <family val="2"/>
          </rPr>
          <t>出处 L2025：2025 年致股东信（阿贝尔，首封 CEO 信）
文件/网页：材料/股东信/2025ltr.pdf
位置：致股东信持仓表 PDF 第16页（页脚 16）
原文锚点：Total $ 15,382 $ 35,368</t>
        </r>
      </text>
    </comment>
    <comment ref="B47" authorId="0">
      <text>
        <r>
          <rPr>
            <sz val="9"/>
            <color indexed="81"/>
            <rFont val="Microsoft YaHei"/>
            <family val="2"/>
          </rPr>
          <t>出处 L2025：2025 年致股东信（阿贝尔，首封 CEO 信）
文件/网页：材料/股东信/2025ltr.pdf
位置：2025 年致股东信持仓表·2025 Dividends PDF 第15页（页脚 15）
原文锚点：The Coca-Cola Company 9.3%</t>
        </r>
      </text>
    </comment>
    <comment ref="C47" authorId="0">
      <text>
        <r>
          <rPr>
            <sz val="9"/>
            <color indexed="81"/>
            <rFont val="Microsoft YaHei"/>
            <family val="2"/>
          </rPr>
          <t>出处 L2025：2025 年致股东信（阿贝尔，首封 CEO 信）
文件/网页：材料/股东信/2025ltr.pdf
位置：2025 年致股东信持仓表·Cost Basis PDF 第15页（页脚 15）
原文锚点：The Coca-Cola Company 9.3%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B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位置：权益变动表·合计（含少数股东权益） PDF 第97页（页脚 K-73）
原文锚点：Balance at December 31, 2021 35,600</t>
        </r>
      </text>
    </comment>
    <comment ref="B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位置：权益变动表·少数股东权益 PDF 第97页（页脚 K-73）
原文锚点：Balance at December 31, 2021 35,600</t>
        </r>
      </text>
    </comment>
    <comment ref="C9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第95页（页脚 K-71）
原文锚点：Berkshire Hathaway shareholders’ equity 561,273 473,424</t>
        </r>
      </text>
    </comment>
    <comment ref="D9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位置：合并资产负债表 PDF 第95页（页脚 K-71）
原文锚点：Berkshire Hathaway shareholders’ equity 561,273 473,424</t>
        </r>
      </text>
    </comment>
    <comment ref="E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p.K-67
原文锚点：Berkshire shareholders’ equity | 717,419 | 649,368</t>
        </r>
      </text>
    </comment>
    <comment ref="F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位置：合并资产负债表 p.K-67
原文锚点：Berkshire shareholders’ equity | 717,419 | 649,368</t>
        </r>
      </text>
    </comment>
    <comment ref="G9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位置：合并资产负债表 p.3
原文锚点：Berkshire shareholders’ equity | 747,910 | 717,419</t>
        </r>
      </text>
    </comment>
    <comment ref="B10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位置：合并资产负债表（2022 年年报） PDF 第87页（页脚 K-71）
原文锚点：Berkshire Hathaway shareholders’ equity 472,360 506,199</t>
        </r>
      </text>
    </comment>
    <comment ref="C10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位置：合并资产负债表（2022 年年报） PDF 第87页（页脚 K-71）
原文锚点：Berkshire Hathaway shareholders’ equity 472,360 506,199</t>
        </r>
      </text>
    </comment>
    <comment ref="B11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 Common stock 股数变动表 PDF 第131页（页脚 K-107）
原文锚点：Balance at December 31, 2021 665,901</t>
        </r>
      </text>
    </comment>
    <comment ref="C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p.K-102
原文锚点：Balance at December 31, 2022 | 651,450 | (59,886) | 591,564</t>
        </r>
      </text>
    </comment>
    <comment ref="D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p.K-102
原文锚点：Balance at December 31, 2023 | 639,328</t>
        </r>
      </text>
    </comment>
    <comment ref="E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p.K-102
原文锚点：Balance at December 31, 2024 | 623,902</t>
        </r>
      </text>
    </comment>
    <comment ref="F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p.K-102
原文锚点：Balance at December 31, 2025 | 592,175</t>
        </r>
      </text>
    </comment>
    <comment ref="G11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位置：附注 Common stock 股数变动表 p.21
原文锚点：Balance at June 30, 2026 | 577,952</t>
        </r>
      </text>
    </comment>
    <comment ref="B12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 Common stock 股数变动表 PDF 第131页（页脚 K-107）
原文锚点：Balance at December 31, 2021 665,901</t>
        </r>
      </text>
    </comment>
    <comment ref="C12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p.K-102
原文锚点：Balance at December 31, 2022 | 651,450 | (59,886) | 591,564</t>
        </r>
      </text>
    </comment>
    <comment ref="D12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p.K-102
原文锚点：Balance at December 31, 2023 | 639,328</t>
        </r>
      </text>
    </comment>
    <comment ref="E12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p.K-102
原文锚点：Balance at December 31, 2024 | 623,902</t>
        </r>
      </text>
    </comment>
    <comment ref="F12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p.K-102
原文锚点：Balance at December 31, 2025 | 592,175</t>
        </r>
      </text>
    </comment>
    <comment ref="G12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位置：附注 Common stock 股数变动表 p.21
原文锚点：Balance at June 30, 2026 | 577,952</t>
        </r>
      </text>
    </comment>
    <comment ref="B14" authorId="0">
      <text>
        <r>
          <rPr>
            <sz val="9"/>
            <color indexed="81"/>
            <rFont val="Microsoft YaHei"/>
            <family val="2"/>
          </rPr>
          <t>出处 W02：伯克希尔 2022 年年度报告（含 10-K；LDTI 追溯调整前口径）
文件/网页：https://www.berkshirehathaway.com/2022ar/2022ar.pdf
访问日期：2026-10-22
位置：附注 Common stock / 业绩公告 PDF 第121页（页脚 K-105）
原文锚点：as of December 31, 2022 and 1,477,429 shares outstanding as of December 31, 2021</t>
        </r>
      </text>
    </comment>
    <comment ref="C14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 Common stock / 业绩公告 PDF 第131页（页脚 K-107）
原文锚点：On an equivalent Class A common stock basis, there were 1,441,483</t>
        </r>
      </text>
    </comment>
    <comment ref="D14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 Common stock / 业绩公告 PDF 第131页（页脚 K-107）
原文锚点：On an equivalent Class A common stock basis, there were 1,441,483</t>
        </r>
      </text>
    </comment>
    <comment ref="E1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/ 业绩公告 p.K-102
原文锚点：On an equivalent Class A common stock basis, there were 1,438,223 shares outstanding</t>
        </r>
      </text>
    </comment>
    <comment ref="F1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/ 业绩公告 p.K-102
原文锚点：On an equivalent Class A common stock basis, there were 1,438,223 shares outstanding</t>
        </r>
      </text>
    </comment>
    <comment ref="G14" authorId="0">
      <text>
        <r>
          <rPr>
            <sz val="9"/>
            <color indexed="81"/>
            <rFont val="Microsoft YaHei"/>
            <family val="2"/>
          </rPr>
          <t>出处 S03：伯克希尔 2026 年二季度业绩公告（8-K 附件 99.1，2026-08-08）
文件/网页：材料/Berkshire_2026Q2业绩公告__d159922dex991.htm
位置：附注 Common stock / 业绩公告
原文锚点：there were 1,431,693 Class A equivalent shares outstanding</t>
        </r>
      </text>
    </comment>
    <comment ref="H22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位置：合并股东权益变动表·2026 Q1 Acquisitions of common stock p.6
原文锚点：Acquisitions of common stock | — | — | — | (235)</t>
        </r>
      </text>
    </comment>
    <comment ref="H23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位置：合并股东权益变动表·2026 Q2 Acquisitions of common stock p.6
原文锚点：Acquisitions of common stock | — | — | — | (4,527)</t>
        </r>
      </text>
    </comment>
    <comment ref="B24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位置：合并股东权益变动表 / Financial Condition PDF 第97页（页脚 K-73）
原文锚点：Acquisition of common stock — — — (26,942)</t>
        </r>
      </text>
    </comment>
    <comment ref="C24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位置：合并股东权益变动表 / Financial Condition PDF 第97页（页脚 K-73）
原文锚点：Acquisition of common stock — — — (8,031)</t>
        </r>
      </text>
    </comment>
    <comment ref="D2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位置：合并股东权益变动表 / Financial Condition p.K-69
原文锚点：Acquisitions of common stock | — | — | — | (8,976)</t>
        </r>
      </text>
    </comment>
    <comment ref="E2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位置：合并股东权益变动表 / Financial Condition p.K-69
原文锚点：Acquisitions of common stock | — | — | — | (2,918)</t>
        </r>
      </text>
    </comment>
    <comment ref="F24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位置：合并股东权益变动表 / Financial Condition p.K-55
原文锚点：There were no share repurchases in 2025</t>
        </r>
      </text>
    </comment>
    <comment ref="G24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位置：合并股东权益变动表 / Financial Condition p.6
原文锚点：Balance at June 30, 2025 | $35,632</t>
        </r>
      </text>
    </comment>
    <comment ref="B25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位置：合并现金流量表 PDF 第98页（页脚 K-74）
原文锚点：Acquisitions of treasury stock (9,171) (7,854) (27,061)</t>
        </r>
      </text>
    </comment>
    <comment ref="C25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位置：合并现金流量表 PDF 第98页（页脚 K-74）
原文锚点：Acquisitions of treasury stock (9,171) (7,854) (27,061)</t>
        </r>
      </text>
    </comment>
    <comment ref="D2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原文锚点：Acquisitions of treasury stock | — | (2,918) | (9,171)</t>
        </r>
      </text>
    </comment>
    <comment ref="E2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原文锚点：Acquisitions of treasury stock | — | (2,918) | (9,171)</t>
        </r>
      </text>
    </comment>
    <comment ref="F25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原文锚点：Acquisitions of treasury stock | — | (2,918) | (9,171)</t>
        </r>
      </text>
    </comment>
    <comment ref="G25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位置：合并现金流量表 p.7
原文锚点：Acquisitions of treasury stock | (4,444) | —</t>
        </r>
      </text>
    </comment>
    <comment ref="H25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位置：合并现金流量表 p.7
原文锚点：Acquisitions of treasury stock | (4,444) | —</t>
        </r>
      </text>
    </comment>
    <comment ref="B2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 Common stock 股数变动表 Treasury stock acquired PDF 第131页（页脚 K-107）
原文锚点：Treasury stock acquired — (14,196)</t>
        </r>
      </text>
    </comment>
    <comment ref="C26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 Common stock 股数变动表 Treasury stock acquired PDF 第131页（页脚 K-107）
原文锚点：Treasury stock acquired — (11,098)</t>
        </r>
      </text>
    </comment>
    <comment ref="D2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Treasury stock acquired p.K-102
原文锚点：Treasury stock acquired | — | (11,667)</t>
        </r>
      </text>
    </comment>
    <comment ref="E2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Treasury stock acquired p.K-102
原文锚点：Treasury stock acquired | — | (4,787)</t>
        </r>
      </text>
    </comment>
    <comment ref="F26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Treasury stock acquired p.K-102
原文锚点：Balance at December 31, 2025 | 592,175 | (76,340)</t>
        </r>
      </text>
    </comment>
    <comment ref="G2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位置：附注 Common stock 股数变动表 Treasury stock acquired p.6
原文锚点：Balance at June 30, 2025 | $35,632</t>
        </r>
      </text>
    </comment>
    <comment ref="H26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位置：附注 Common stock 股数变动表 Treasury stock acquired p.21
原文锚点：Treasury stock acquired | — | (511)</t>
        </r>
      </text>
    </comment>
    <comment ref="B2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 Common stock 股数变动表 Treasury stock acquired PDF 第131页（页脚 K-107）
原文锚点：Treasury stock acquired — (14,196)</t>
        </r>
      </text>
    </comment>
    <comment ref="C2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位置：附注 Common stock 股数变动表 Treasury stock acquired PDF 第131页（页脚 K-107）
原文锚点：Treasury stock acquired — (11,098)</t>
        </r>
      </text>
    </comment>
    <comment ref="D2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Treasury stock acquired p.K-102
原文锚点：Treasury stock acquired | — | (11,667)</t>
        </r>
      </text>
    </comment>
    <comment ref="E2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Treasury stock acquired p.K-102
原文锚点：Treasury stock acquired | — | (4,787) | (4,787) | — | — | —</t>
        </r>
      </text>
    </comment>
    <comment ref="F2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位置：附注 Common stock 股数变动表 Treasury stock acquired p.K-102
原文锚点：Balance at December 31, 2025 | 592,175 | (76,340)</t>
        </r>
      </text>
    </comment>
    <comment ref="G2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位置：附注 Common stock 股数变动表 Treasury stock acquired p.6
原文锚点：Balance at June 30, 2025 | $35,632</t>
        </r>
      </text>
    </comment>
    <comment ref="H2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位置：附注 Common stock 股数变动表 Treasury stock acquired p.21
原文锚点：Treasury stock acquired | — | (511)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B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位置：合并现金流量表 PDF 第98页（页脚 K-74）
原文锚点：Net cash flows from operating activities 49,196 37,350 39,427</t>
        </r>
      </text>
    </comment>
    <comment ref="C7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位置：合并现金流量表 PDF 第98页（页脚 K-74）
原文锚点：Net cash flows from operating activities 49,196 37,350 39,427</t>
        </r>
      </text>
    </comment>
    <comment ref="D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原文锚点：Net cash flows from operating activities | 45,969 | 30,592 | 49,196</t>
        </r>
      </text>
    </comment>
    <comment ref="E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原文锚点：Net cash flows from operating activities | 45,969 | 30,592 | 49,196</t>
        </r>
      </text>
    </comment>
    <comment ref="F7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原文锚点：Net cash flows from operating activities | 45,969 | 30,592 | 49,196</t>
        </r>
      </text>
    </comment>
    <comment ref="G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位置：合并现金流量表 p.7
原文锚点：Net cash flows from operating activities | 21,653 | 20,988</t>
        </r>
      </text>
    </comment>
    <comment ref="H7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位置：合并现金流量表 p.7
原文锚点：Net cash flows from operating activities | 21,653 | 20,988</t>
        </r>
      </text>
    </comment>
    <comment ref="B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位置：合并现金流量表 PDF 第98页（页脚 K-74）
原文锚点：Purchases of equity securities (16,462) (67,930) (8,448)</t>
        </r>
      </text>
    </comment>
    <comment ref="C8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位置：合并现金流量表 PDF 第98页（页脚 K-74）
原文锚点：Purchases of equity securities (16,462) (67,930) (8,448)</t>
        </r>
      </text>
    </comment>
    <comment ref="D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原文锚点：Purchases of equity securities | (16,923) | (9,237) | (16,462)</t>
        </r>
      </text>
    </comment>
    <comment ref="E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原文锚点：Purchases of equity securities | (16,923) | (9,237) | (16,462)</t>
        </r>
      </text>
    </comment>
    <comment ref="F8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原文锚点：Purchases of equity securities | (16,923) | (9,237) | (16,462)</t>
        </r>
      </text>
    </comment>
    <comment ref="G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位置：合并现金流量表 p.7
原文锚点：Purchases of equity securities | (39,405) | (7,092)</t>
        </r>
      </text>
    </comment>
    <comment ref="H8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位置：合并现金流量表 p.7
原文锚点：Purchases of equity securities | (39,405) | (7,092)</t>
        </r>
      </text>
    </comment>
    <comment ref="B9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位置：合并现金流量表 PDF 第98页（页脚 K-74）
原文锚点：Sales of equity securities 40,631 33,664 15,849</t>
        </r>
      </text>
    </comment>
    <comment ref="C9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位置：合并现金流量表 PDF 第98页（页脚 K-74）
原文锚点：Sales of equity securities 40,631 33,664 15,849</t>
        </r>
      </text>
    </comment>
    <comment ref="D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原文锚点：Sales of equity securities | 30,686 | 143,359 | 40,631</t>
        </r>
      </text>
    </comment>
    <comment ref="E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原文锚点：Sales of equity securities | 30,686 | 143,359 | 40,631</t>
        </r>
      </text>
    </comment>
    <comment ref="F9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原文锚点：Sales of equity securities | 30,686 | 143,359 | 40,631</t>
        </r>
      </text>
    </comment>
    <comment ref="G9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位置：合并现金流量表 p.7
原文锚点：Sales of equity securities | 27,780 | 11,592</t>
        </r>
      </text>
    </comment>
    <comment ref="H9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位置：合并现金流量表 p.7
原文锚点：Sales of equity securities | 27,780 | 11,592</t>
        </r>
      </text>
    </comment>
    <comment ref="B10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位置：合并现金流量表 PDF 第98页（页脚 K-74）
原文锚点：Acquisitions of businesses, net of cash acquired (8,604) (10,594) (456)</t>
        </r>
      </text>
    </comment>
    <comment ref="C10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位置：合并现金流量表 PDF 第98页（页脚 K-74）
原文锚点：Acquisitions of businesses, net of cash acquired (8,604) (10,594) (456)</t>
        </r>
      </text>
    </comment>
    <comment ref="D1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原文锚点：Acquisitions of businesses, net of cash acquired | (1,074) | (396) | (8,604)</t>
        </r>
      </text>
    </comment>
    <comment ref="E1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原文锚点：Acquisitions of businesses, net of cash acquired | (1,074) | (396) | (8,604)</t>
        </r>
      </text>
    </comment>
    <comment ref="F10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原文锚点：Acquisitions of businesses, net of cash acquired | (1,074) | (396) | (8,604)</t>
        </r>
      </text>
    </comment>
    <comment ref="G10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位置：合并现金流量表 p.7
原文锚点：Acquisitions of businesses, net of cash acquired | (9,704) | (101)</t>
        </r>
      </text>
    </comment>
    <comment ref="H10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位置：合并现金流量表 p.7
原文锚点：Acquisitions of businesses, net of cash acquired | (9,704) | (101)</t>
        </r>
      </text>
    </comment>
    <comment ref="B11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位置：合并现金流量表 PDF 第98页（页脚 K-74）
原文锚点：Purchases of property, plant and equipment and equipment held for lease (19,409) (15,464) (13,276)</t>
        </r>
      </text>
    </comment>
    <comment ref="C11" authorId="0">
      <text>
        <r>
          <rPr>
            <sz val="9"/>
            <color indexed="81"/>
            <rFont val="Microsoft YaHei"/>
            <family val="2"/>
          </rPr>
          <t>出处 W01：伯克希尔 2023 年年度报告（含 10-K；2021–2022 年数字已按 LDTI 追溯调整）
文件/网页：https://www.berkshirehathaway.com/2023ar/2023ar.pdf
访问日期：2026-10-22
位置：合并现金流量表 PDF 第98页（页脚 K-74）
原文锚点：Purchases of property, plant and equipment and equipment held for lease (19,409) (15,464) (13,276)</t>
        </r>
      </text>
    </comment>
    <comment ref="D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原文锚点：Purchases of property, plant and equipment and equipment held for lease | (20,927) | (18,976) | (19,409)</t>
        </r>
      </text>
    </comment>
    <comment ref="E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原文锚点：Purchases of property, plant and equipment and equipment held for lease | (20,927) | (18,976) | (19,409)</t>
        </r>
      </text>
    </comment>
    <comment ref="F11" authorId="0">
      <text>
        <r>
          <rPr>
            <sz val="9"/>
            <color indexed="81"/>
            <rFont val="Microsoft YaHei"/>
            <family val="2"/>
          </rPr>
          <t>出处 S01：伯克希尔 2025 年年报（Form 10-K，截至 2025-12-31）
文件/网页：材料/Berkshire_2025年报__brka-20251231.htm
位置：合并现金流量表 p.K-70
原文锚点：Purchases of property, plant and equipment and equipment held for lease | (20,927) | (18,976) | (19,409)</t>
        </r>
      </text>
    </comment>
    <comment ref="G11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位置：合并现金流量表 p.7
原文锚点：Purchases of property, plant and equipment and equipment held for lease | (10,631) | (9,139)</t>
        </r>
      </text>
    </comment>
    <comment ref="H11" authorId="0">
      <text>
        <r>
          <rPr>
            <sz val="9"/>
            <color indexed="81"/>
            <rFont val="Microsoft YaHei"/>
            <family val="2"/>
          </rPr>
          <t>出处 S02：伯克希尔 2026 年二季度报告（Form 10-Q，截至 2026-06-30）
文件/网页：材料/Berkshire_2026Q2季报__brka-20260630.htm
位置：合并现金流量表 p.7
原文锚点：Purchases of property, plant and equipment and equipment held for lease | (10,631) | (9,139)</t>
        </r>
      </text>
    </comment>
  </commentList>
</comments>
</file>

<file path=xl/sharedStrings.xml><?xml version="1.0" encoding="utf-8"?>
<sst xmlns="http://schemas.openxmlformats.org/spreadsheetml/2006/main" count="992" uniqueCount="535">
  <si>
    <t>假设与参数（改这里，相关结果自动联动）</t>
  </si>
  <si>
    <t>黄色 = 假设（可改）；蓝色 = 披露的参数（事实，通常不改）。所有引用均通过名称（如 P_conv、A_rate）进入公式。</t>
  </si>
  <si>
    <t>图例：</t>
  </si>
  <si>
    <t>披露数据</t>
  </si>
  <si>
    <t>假设输入</t>
  </si>
  <si>
    <t>公式</t>
  </si>
  <si>
    <t>受假设影响</t>
  </si>
  <si>
    <t>核对</t>
  </si>
  <si>
    <t>名称</t>
  </si>
  <si>
    <t>数值</t>
  </si>
  <si>
    <t>类型</t>
  </si>
  <si>
    <t>说明 / 出处</t>
  </si>
  <si>
    <t>1 股 A 类股可转换的 B 类股数量</t>
  </si>
  <si>
    <t>参数</t>
  </si>
  <si>
    <t>披露事实：每股 A 类股可转换为 1,500 股 B 类股（10-K 附注 22 Common stock）</t>
  </si>
  <si>
    <t>2026 下半年经营利润 = 上半年 × 系数</t>
  </si>
  <si>
    <t>假设</t>
  </si>
  <si>
    <t>仅用于“2026 全年化（示意）”列；1.0 表示假设下半年与上半年持平。不是预测。</t>
  </si>
  <si>
    <t>短期利率变动（百分点，负数=下降）</t>
  </si>
  <si>
    <t>用于估算现金及国债利息收入对利率的敏感度；示意性情景，不是预测。</t>
  </si>
  <si>
    <t>利息收入适用税率</t>
  </si>
  <si>
    <t>按美国联邦法定公司税率 21% 简化估算，未考虑州税等因素。</t>
  </si>
  <si>
    <t>公司承诺的最低现金及国债持有量（百万美元）</t>
  </si>
  <si>
    <t>披露事实：回购不得使现金、现金等价物及国债低于 300 亿美元（10-K Item 5）</t>
  </si>
  <si>
    <t>其他口径说明与假设（文字）</t>
  </si>
  <si>
    <t>1. 2021–2023 年末资产负债表未单列“待付国债购买款”，按 0 处理（假设）。</t>
  </si>
  <si>
    <t>2. 2021 年末伯克希尔股东权益采用 2023 年年报中按 LDTI（长期保险合同会计准则 ASU 2018-12）追溯调整后的数字；原始披露为 5,061.99 亿美元，另列对照。</t>
  </si>
  <si>
    <t>3. 浮存金为公司以“约 X 十亿美元”披露的约数；浮存金成本 = −税前承保利润 ÷ 平均浮存金（期初期末平均，方法假设）。</t>
  </si>
  <si>
    <t>4. 回购均价 ÷ 期末每股账面价值，仅为近似的“回购市净率”，用期末每股账面价值代替回购当时的数值（近似假设）。</t>
  </si>
  <si>
    <t>5. “前五大持仓合计金额” = 披露的占比（四舍五入到整数百分比）× 股票投资公允价值，属于推算的近似值。</t>
  </si>
  <si>
    <t>6. 2026 全年化列 = 上半年 × (1 + 系数)，系数为假设，仅作示意，不构成预测。</t>
  </si>
  <si>
    <t>各业务板块税后利润（归属伯克希尔股东，百万美元）</t>
  </si>
  <si>
    <t>口径：2025 年年报（10-K）MD&amp;A 的税后利润分解。2021–2022 年取自 2023 年年报（已按 LDTI 追溯调整），其“其他”由两行合并；Pilot 自 2023 年起并表，计入制造服务零售。</t>
  </si>
  <si>
    <t>项目</t>
  </si>
  <si>
    <t>2021 年</t>
  </si>
  <si>
    <t>2022 年</t>
  </si>
  <si>
    <t>2023 年</t>
  </si>
  <si>
    <t>2024 年</t>
  </si>
  <si>
    <t>2025 年</t>
  </si>
  <si>
    <t>2025 上半年</t>
  </si>
  <si>
    <t>2026 上半年</t>
  </si>
  <si>
    <t>2026 全年化（示意·受假设影响）</t>
  </si>
  <si>
    <t>出处（文件代码 + 页码；单元格批注有完整出处）</t>
  </si>
  <si>
    <t>保险承保（Insurance–underwriting）</t>
  </si>
  <si>
    <t>2021–2022：W01 PDF 第59页（页脚 K-35）；2023–2025：S01 p.K-34；2025H1–2026H1：S02 p.33</t>
  </si>
  <si>
    <t>保险投资收益（Insurance–investment income）</t>
  </si>
  <si>
    <t>铁路 BNSF</t>
  </si>
  <si>
    <t>能源 BHE（伯克希尔哈撒韦能源）</t>
  </si>
  <si>
    <t>制造、服务与零售（MSR，2023 起含 Pilot）</t>
  </si>
  <si>
    <t>其他（含权益法投资收益、公司层面投资收益、汇兑等）</t>
  </si>
  <si>
    <t>2021–2022：= 下方附表两行之和（公式）；2023–2025：S01 p.K-34；2025H1–2026H1：S02 p.33</t>
  </si>
  <si>
    <t>经营利润（Operating earnings）= 以上合计</t>
  </si>
  <si>
    <t>公式：六个板块加总</t>
  </si>
  <si>
    <t>投资收益（亏损）（含未实现，波动大）</t>
  </si>
  <si>
    <t>权益法投资非暂时性减值（卡夫亨氏、西方石油）</t>
  </si>
  <si>
    <t>2021–2024：无此项；2025：S01 p.K-34；2025H1：S02 p.33；2026H1：无此项</t>
  </si>
  <si>
    <t>归属伯克希尔股东净利润 = 经营利润 + 投资收益 + 减值</t>
  </si>
  <si>
    <t>核对：公司披露的净利润</t>
  </si>
  <si>
    <t>2021–2022：W01 PDF 第59页（页脚 K-35）；2023–2025：S01 p.K-34；2025H1–2026H1：S02 p.4</t>
  </si>
  <si>
    <t>核对差异（应为 0）</t>
  </si>
  <si>
    <t>核对：公司披露的经营利润（股东信/业绩公告）</t>
  </si>
  <si>
    <t>见下行</t>
  </si>
  <si>
    <t>2022：L2023 PDF 第10页（页脚 11）；2023–2024：L2024 PDF 第5页（页脚 5）；2025H1–2026H1：S03</t>
  </si>
  <si>
    <t>核对：股东信文字披露的经营利润（十亿美元，约数）</t>
  </si>
  <si>
    <t>2021：L2023 PDF 第3页（页脚 4）；2025：L2025 PDF 第8页（页脚 8）</t>
  </si>
  <si>
    <t>核对差异（应为 0；约数按十亿美元一位小数比较）</t>
  </si>
  <si>
    <t>附表 A：2021–2022 年“其他”的构成（2023 年年报口径）</t>
  </si>
  <si>
    <t>出处</t>
  </si>
  <si>
    <t>非控股企业（权益法，如卡夫亨氏、西方石油、Pilot〔2022 年前〕）</t>
  </si>
  <si>
    <t>2021–2022：W01 PDF 第59页（页脚 K-35）</t>
  </si>
  <si>
    <t>其他（公司层面投资收益、汇兑、收购会计费用等）</t>
  </si>
  <si>
    <t>附表 B：2023 年起“其他”的构成（2025 年报 p.K-54 / 2026Q2 10-Q p.47）</t>
  </si>
  <si>
    <t>公司层面投资收益（主要为母公司持有的短期国债利息）</t>
  </si>
  <si>
    <t>2023–2025：S01 p.K-54；2025H1–2026H1：S02 p.47</t>
  </si>
  <si>
    <t>非美元债务汇兑损益</t>
  </si>
  <si>
    <t>商誉减值</t>
  </si>
  <si>
    <t>2023–2025：S01 p.K-54；2025H1–2026H1：无此项</t>
  </si>
  <si>
    <t>权益法投资收益（卡夫亨氏、西方石油、Berkadia 等；不含减值）</t>
  </si>
  <si>
    <t>收购会计费用（无形资产摊销等）</t>
  </si>
  <si>
    <t>其余（公司管理费用、利息等）</t>
  </si>
  <si>
    <t>合计（公式）</t>
  </si>
  <si>
    <t>核对：与上表“其他”之差（应为 0）</t>
  </si>
  <si>
    <t>附表 C：投资收益合计（保险投资收益 + 公司层面投资收益，2023 起）</t>
  </si>
  <si>
    <t>说明</t>
  </si>
  <si>
    <t>保险投资收益 + 公司层面投资收益（公式）</t>
  </si>
  <si>
    <t>2024 年底保险子公司向母公司大额分配资本，部分利息收入从“保险投资收益”转入“其他”（10-K p.K-34、K-40），合并看更能反映全部投资收益变化。</t>
  </si>
  <si>
    <t>保险、铁路、能源、制造服务零售：经营明细（百万美元）</t>
  </si>
  <si>
    <t>保险承保与 BNSF 为税前口径；BHE 明细为“归属 BHE 的税后利润”；比率均为公式。</t>
  </si>
  <si>
    <t>保险：税前承保利润（Pre-tax underwriting earnings）</t>
  </si>
  <si>
    <t>GEICO 税前承保利润</t>
  </si>
  <si>
    <t>2021–2022：W01 PDF 第61页（页脚 K-37）；2023–2025：S01 p.K-35；2025H1–2026H1：S02 p.34</t>
  </si>
  <si>
    <t>BH Primary 税前承保利润</t>
  </si>
  <si>
    <t>BHRG 再保险集团 税前承保利润</t>
  </si>
  <si>
    <t>税前承保利润合计（公式）</t>
  </si>
  <si>
    <t>核对：公司披露的税前承保利润合计</t>
  </si>
  <si>
    <t>GEICO：保费与成本率</t>
  </si>
  <si>
    <t>GEICO 已赚保费</t>
  </si>
  <si>
    <t>2021–2022：W01 PDF 第61页（页脚 K-37）；2023–2025：S01 p.K-36；2025H1–2026H1：S02 p.34</t>
  </si>
  <si>
    <t>GEICO 赔付及理赔费用（Losses and LAE）</t>
  </si>
  <si>
    <t>GEICO 承保费用</t>
  </si>
  <si>
    <t>赔付率 = 赔付及理赔费用 ÷ 已赚保费</t>
  </si>
  <si>
    <t>费用率 = 承保费用 ÷ 已赚保费</t>
  </si>
  <si>
    <t>综合成本率 = 赔付率 + 费用率（&lt;100% 即承保盈利）</t>
  </si>
  <si>
    <t>BNSF 铁路：收入、费用与运营比率</t>
  </si>
  <si>
    <t>铁路营业收入</t>
  </si>
  <si>
    <t>2021–2022：W01 PDF 第67页（页脚 K-43）；2023–2025：S01 p.K-41；2025H1–2026H1：S02 p.39</t>
  </si>
  <si>
    <t>铁路营业费用</t>
  </si>
  <si>
    <t>货运量（千车/箱）</t>
  </si>
  <si>
    <t>2021–2022：W01 PDF 第67页（页脚 K-43）；2023–2025：S01 p.K-42；2025H1–2026H1：S02 p.39</t>
  </si>
  <si>
    <t>铁路营业利润 = 收入 − 费用</t>
  </si>
  <si>
    <t>运营比率（Operating ratio）= 费用 ÷ 收入（越低越好）</t>
  </si>
  <si>
    <t>营业利润率 = 1 − 运营比率</t>
  </si>
  <si>
    <t>BHE 能源：归属 BHE 的税后利润构成（2023 年起）</t>
  </si>
  <si>
    <t>美国公用事业（PacifiCorp、MidAmerican、NV Energy）</t>
  </si>
  <si>
    <t>未录入</t>
  </si>
  <si>
    <t>2023–2025：S01 p.K-44；2025H1–2026H1：S02 p.41</t>
  </si>
  <si>
    <t>天然气管道</t>
  </si>
  <si>
    <t>其他能源业务（Northern Powergrid、可再生能源等）</t>
  </si>
  <si>
    <t>房地产经纪</t>
  </si>
  <si>
    <t>BHE 公司层面利息及其他</t>
  </si>
  <si>
    <t>归属 BHE 的税后利润合计（公式）</t>
  </si>
  <si>
    <t>PacifiCorp 山火损失计提（税前）</t>
  </si>
  <si>
    <t>2023–2025：S01 p.K-45；2023 年为扣除预期保险赔付后的计提</t>
  </si>
  <si>
    <t>制造、服务与零售：税前利润与收入（2023 年起）</t>
  </si>
  <si>
    <t>制造业 税前利润</t>
  </si>
  <si>
    <t>2023–2025：S01 p.K-46；2025H1–2026H1：S02 p.42</t>
  </si>
  <si>
    <t>服务与零售（含 McLane、Pilot）税前利润</t>
  </si>
  <si>
    <t>MSR 营业收入</t>
  </si>
  <si>
    <t>税前利润率 =（制造 + 服务零售税前利润）÷ 收入</t>
  </si>
  <si>
    <t>保险浮存金、现金与短期国债（期末余额，百万美元）</t>
  </si>
  <si>
    <t>“现金及国债（保险及其他，净额）”与公司 MD&amp;A 的口径一致：现金及等价物 + 短期国债 − 待付国债款；合并口径再加铁路/公用事业/能源板块现金。</t>
  </si>
  <si>
    <t>2020末</t>
  </si>
  <si>
    <t>2021末</t>
  </si>
  <si>
    <t>2022末</t>
  </si>
  <si>
    <t>2023末</t>
  </si>
  <si>
    <t>2024末</t>
  </si>
  <si>
    <t>2025末</t>
  </si>
  <si>
    <t>2026-06-30</t>
  </si>
  <si>
    <t>保险浮存金（约数）</t>
  </si>
  <si>
    <t>2020末：S01 p.K-6；2021末–2022末：W01 PDF 第66页（页脚 K-42）；2023末–2025末：S01 p.K-41；2026-06-30：S02 p.38；原文为“约 X 十亿美元”</t>
  </si>
  <si>
    <t>保险及其他：现金及现金等价物</t>
  </si>
  <si>
    <t>—</t>
  </si>
  <si>
    <t>2021末：W02 PDF 第86页（页脚 K-70）；2022末–2023末：W01 PDF 第94页（页脚 K-70）；2024末–2025末：S01 p.K-66；2026-06-30：S02 p.2</t>
  </si>
  <si>
    <t>保险及其他：短期美国国债（Short-term investments in U.S. Treasury Bills）</t>
  </si>
  <si>
    <t>减：待付国债购买款（Payable for purchase of U.S. Treasury Bills）</t>
  </si>
  <si>
    <t>2021末–2023末：假设；2024末–2025末：S01 p.K-67；2026-06-30：S02 p.3</t>
  </si>
  <si>
    <t>铁路、公用事业与能源：现金及现金等价物</t>
  </si>
  <si>
    <t>现金及短期国债（保险及其他，净额）= 现金 + 国债 − 待付款</t>
  </si>
  <si>
    <t>公式；2021–2023 年受“待付款=0”假设影响（橙色）</t>
  </si>
  <si>
    <t>现金及短期国债（合并口径）= 上行 + 铁路/公用事业/能源现金</t>
  </si>
  <si>
    <t>核对：MD&amp;A 披露的“保险及其他现金及国债（净额）”（十亿美元）</t>
  </si>
  <si>
    <t>2025末：S01 p.K-55；2026-06-30：S02 p.48</t>
  </si>
  <si>
    <t>核对差异（十亿美元，一位小数，应为 0）</t>
  </si>
  <si>
    <t>总资产</t>
  </si>
  <si>
    <t>2021末：W02 PDF 第86页（页脚 K-70）；2022末–2023末：W01 PDF 第94页（页脚 K-70）；2024末–2025末：S01 p.K-66；2026-06-30：S02 p.2；2021 年末为 LDTI 追溯调整前口径</t>
  </si>
  <si>
    <t>股票投资（资产负债表 Investments in equity securities，公允价值）</t>
  </si>
  <si>
    <t>权益法投资（卡夫亨氏、西方石油、Berkadia 等，账面值）</t>
  </si>
  <si>
    <t>比率与浮存金成本（公式）</t>
  </si>
  <si>
    <t>现金及国债（合并）÷ 总资产</t>
  </si>
  <si>
    <t/>
  </si>
  <si>
    <t>浮存金 ÷ 现金及国债（保险及其他，净额）</t>
  </si>
  <si>
    <t>现金及国债（合并）− 最低持有承诺 300 亿美元（百万美元）</t>
  </si>
  <si>
    <t>P_mincash 为披露参数（见“假设与参数”）</t>
  </si>
  <si>
    <t>平均浮存金 =（期初 + 期末）÷ 2</t>
  </si>
  <si>
    <t>2026-06-30 列为 2025 年末与 2026 年 6 月末平均</t>
  </si>
  <si>
    <t>当期税前承保利润（链接“业务明细”）</t>
  </si>
  <si>
    <t>2026-06-30 列为 2026 上半年（未年化）</t>
  </si>
  <si>
    <t>浮存金成本 = −税前承保利润 ÷ 平均浮存金（负数 = 浮存金“倒贴钱”给伯克希尔）</t>
  </si>
  <si>
    <t>2026-06-30 列为上半年数，未年化</t>
  </si>
  <si>
    <t>股票投资组合（按披露的行业与主要持仓，公允价值，百万美元）</t>
  </si>
  <si>
    <t>口径：年报附注“Investments in equity securities”按被投资企业主要行业划分；不含按权益法核算的卡夫亨氏、西方石油普通股。</t>
  </si>
  <si>
    <t>A. 按行业：成本与公允价值</t>
  </si>
  <si>
    <t>银行、保险与金融：成本</t>
  </si>
  <si>
    <t>2021末：W02 PDF 第100页（页脚 K-84）；2022末–2023末：W01 PDF 第109页（页脚 K-85）；2024末–2025末：S01 p.K-79；2026-06-30：S02 p.9</t>
  </si>
  <si>
    <t>银行、保险与金融：公允价值</t>
  </si>
  <si>
    <t>银行、保险与金融：未实现收益 = 公允价值 − 成本</t>
  </si>
  <si>
    <t>消费品：成本</t>
  </si>
  <si>
    <t>消费品：公允价值</t>
  </si>
  <si>
    <t>消费品：未实现收益 = 公允价值 − 成本</t>
  </si>
  <si>
    <t>商业、工业及其他：成本</t>
  </si>
  <si>
    <t>商业、工业及其他：公允价值</t>
  </si>
  <si>
    <t>商业、工业及其他：未实现收益 = 公允价值 − 成本</t>
  </si>
  <si>
    <t>合计：成本（公式）</t>
  </si>
  <si>
    <t>合计：公允价值（公式）</t>
  </si>
  <si>
    <t>核对：与资产负债表“股票投资”之差（应为 0）</t>
  </si>
  <si>
    <t>未实现收益合计 ÷ 公允价值</t>
  </si>
  <si>
    <t>B. 行业占比（公允价值口径，公式）</t>
  </si>
  <si>
    <t>银行、保险与金融</t>
  </si>
  <si>
    <t>消费品</t>
  </si>
  <si>
    <t>商业、工业及其他</t>
  </si>
  <si>
    <t>C. 集中度：前五大持仓</t>
  </si>
  <si>
    <t>前五大持仓占股票投资公允价值比例（2021 年为前四大）</t>
  </si>
  <si>
    <t>2021末：W02 PDF 第100页（页脚 K-84）；2022末–2023末：W01 PDF 第109页（页脚 K-85）；2024末–2025末：S01 p.K-80；2026-06-30：S02 p.9</t>
  </si>
  <si>
    <t>前五大合计金额（近似 = 占比 × 公允价值，公式）</t>
  </si>
  <si>
    <t>占比为四舍五入后的整数百分比，金额为近似值（见“假设与参数”口径说明 5）</t>
  </si>
  <si>
    <t>前五大名单</t>
  </si>
  <si>
    <t>美国运通、苹果、美国银行、可口可乐（前四）</t>
  </si>
  <si>
    <t>美国运通、苹果、美国银行、可口可乐、雪佛龙</t>
  </si>
  <si>
    <t>Alphabet、美国运通、苹果、美国银行、可口可乐</t>
  </si>
  <si>
    <t>D. 主要持仓公允价值（仅录入逐家披露的数）</t>
  </si>
  <si>
    <t>苹果 Apple</t>
  </si>
  <si>
    <t>未披露</t>
  </si>
  <si>
    <t>2021末：L2021 PDF 第6页（页脚 7）；2022末–2023末：W01 PDF 第109页（页脚 K-85）；2025末：L2025 PDF 第15页（页脚 15）</t>
  </si>
  <si>
    <t>美国运通 American Express</t>
  </si>
  <si>
    <t>美国银行 Bank of America</t>
  </si>
  <si>
    <t>2021末：L2021 PDF 第6页（页脚 7）；2022末–2023末：W01 PDF 第109页（页脚 K-85）</t>
  </si>
  <si>
    <t>可口可乐 Coca-Cola</t>
  </si>
  <si>
    <t>雪佛龙 Chevron</t>
  </si>
  <si>
    <t>穆迪 Moody's</t>
  </si>
  <si>
    <t>2021末：L2021 PDF 第6页（页脚 7）；2025末：L2025 PDF 第15页（页脚 15）</t>
  </si>
  <si>
    <t>日本五大商社合计</t>
  </si>
  <si>
    <t>2024末：L2024 PDF 第11页（页脚 11）；2025末：L2025 PDF 第16页（页脚 16）</t>
  </si>
  <si>
    <t>注：2022–2023 年数字取自年报附注脚注，原文以十亿美元列示（已四舍五入）；2024 年末逐家公允价值未在所用材料中披露，留空。 2025 年末苹果、美国运通、可口可乐、穆迪与日本五大商社合计约 1,940 亿美元，约占 2,978 亿美元组合的近三分之二（2025 年致股东信 p.16）。</t>
  </si>
  <si>
    <t>苹果占组合比例（公式）</t>
  </si>
  <si>
    <t>E. 可口可乐：1988 年买入的持仓，2025 年的股息回报（游戏第 4 题引用）</t>
  </si>
  <si>
    <t>2025 年股息</t>
  </si>
  <si>
    <t>原始成本</t>
  </si>
  <si>
    <t>股息 ÷ 成本</t>
  </si>
  <si>
    <t>可口可乐（百万美元；出处 L2025 2025 年致股东信持仓表）</t>
  </si>
  <si>
    <t>L2025 PDF 第15页（页脚 15）</t>
  </si>
  <si>
    <t>股东权益、股数、每股账面价值与回购</t>
  </si>
  <si>
    <t>每股账面价值 = 伯克希尔股东权益 ÷ A 类等值股数；A 类等值股 = A 类股 + B 类股 ÷ 1,500（P_conv）。</t>
  </si>
  <si>
    <t>A. 股东权益与每股账面价值（期末）</t>
  </si>
  <si>
    <t>2021 年末：权益合计（含少数股东，LDTI 调整后）</t>
  </si>
  <si>
    <t>W01 PDF 第97页（页脚 K-73）（合并股东权益变动表 Balance at December 31, 2021 · Total）</t>
  </si>
  <si>
    <t>2021 年末：少数股东权益</t>
  </si>
  <si>
    <t>W01 PDF 第97页（页脚 K-73）（同上 · Non-controlling interests）</t>
  </si>
  <si>
    <t>伯克希尔股东权益（百万美元）</t>
  </si>
  <si>
    <t>2021 年末 = 上两行相减（公式）；2022末–2023末：W01 PDF 第95页（页脚 K-71）；2024末–2025末：S01 p.K-67；2026-06-30：S02 p.3</t>
  </si>
  <si>
    <t>对照：LDTI 追溯调整前的原始披露</t>
  </si>
  <si>
    <t>2021末–2022末：W02 PDF 第87页（页脚 K-71）</t>
  </si>
  <si>
    <t>A 类股流通股数（股）</t>
  </si>
  <si>
    <t>2021末：W01 PDF 第131页（页脚 K-107）；2022末–2025末：S01 p.K-102；2026-06-30：S02 p.21</t>
  </si>
  <si>
    <t>B 类股流通股数（股）</t>
  </si>
  <si>
    <t>A 类等值股数 = A 类 + B 类 ÷ P_conv（公式）</t>
  </si>
  <si>
    <t>公式；P_conv 见“假设与参数”</t>
  </si>
  <si>
    <t>核对：公司披露的 A 类等值股数</t>
  </si>
  <si>
    <t>2021末：W02 PDF 第121页（页脚 K-105）；2022末–2023末：W01 PDF 第131页（页脚 K-107）；2024末–2025末：S01 p.K-102；2026-06-30：S03</t>
  </si>
  <si>
    <t>核对差异（四舍五入到整股，应为 0）</t>
  </si>
  <si>
    <t>每股账面价值（每 A 类等值股，美元）</t>
  </si>
  <si>
    <t>公式（权益单位为百万美元，故 ×1,000,000）</t>
  </si>
  <si>
    <t>每股账面价值（每 B 类股，美元）= 上行 ÷ P_conv</t>
  </si>
  <si>
    <t>每股账面价值变化（较上期末）</t>
  </si>
  <si>
    <t>2026-06-30 列为较 2025 年末（半年，未年化）</t>
  </si>
  <si>
    <t>B. 回购（当期金额，百万美元）</t>
  </si>
  <si>
    <t>其中：2026 年一季度回购（权益变动表）</t>
  </si>
  <si>
    <t>S02 p.6</t>
  </si>
  <si>
    <t>其中：2026 年二季度回购（权益变动表）</t>
  </si>
  <si>
    <t>回购金额（权益变动表“Acquisition(s) of common stock”）</t>
  </si>
  <si>
    <t>2021–2022：W01 PDF 第97页（页脚 K-73）；2023–2024：S01 p.K-69；2025：S01 p.K-55；2025H1：S02 p.6；2026 上半年 = 一季度 + 二季度（公式），与业绩公告“约 48 亿美元”一致</t>
  </si>
  <si>
    <t>回购付现（现金流量表“Acquisitions of treasury stock”）</t>
  </si>
  <si>
    <t>2021–2022：W01 PDF 第98页（页脚 K-74）；2023–2025：S01 p.K-70；2025H1–2026H1：S02 p.7；与上行差异来自期末未结算交易</t>
  </si>
  <si>
    <t>回购 A 类股（股）</t>
  </si>
  <si>
    <t>2021–2022：W01 PDF 第131页（页脚 K-107）；2023–2025：S01 p.K-102；2025H1：S02 p.6；2026H1：S02 p.21</t>
  </si>
  <si>
    <t>回购 B 类股（股）</t>
  </si>
  <si>
    <t>回购的 A 类等值股数（公式）</t>
  </si>
  <si>
    <t>回购均价（每 A 类等值股，美元）= 回购金额 ÷ 回购股数</t>
  </si>
  <si>
    <t>回购均价 ÷ 期末每股账面价值（近似“回购市净率”，受近似假设影响）</t>
  </si>
  <si>
    <t>用期末每股账面价值代替回购当时的数值（近似）；2026Q2 10-Q p.51 披露 5–6 月 A 类回购均价约 71.6–73.4 万美元</t>
  </si>
  <si>
    <t>回购金额 ÷ 当期经营利润</t>
  </si>
  <si>
    <t>现金流量表节选：钱从哪里来、花到哪里去（百万美元）</t>
  </si>
  <si>
    <t>流出项以正数列示；“净买入股票” = 购买 − 出售（负数表示净卖出）。</t>
  </si>
  <si>
    <t>合并现金流量表（节选）</t>
  </si>
  <si>
    <t>经营活动现金流量净额</t>
  </si>
  <si>
    <t>2021–2022：W01 PDF 第98页（页脚 K-74）；2023–2025：S01 p.K-70；2025H1–2026H1：S02 p.7</t>
  </si>
  <si>
    <t>购买股票（Purchases of equity securities）</t>
  </si>
  <si>
    <t>出售股票（Sales of equity securities）</t>
  </si>
  <si>
    <t>收购业务（扣除取得的现金）</t>
  </si>
  <si>
    <t>资本开支（物业厂房设备及租赁设备）</t>
  </si>
  <si>
    <t>净买入股票 = 购买 − 出售（公式）</t>
  </si>
  <si>
    <t>回购付现（链接“回购与每股账面”）</t>
  </si>
  <si>
    <t>经营现金流 − 资本开支（公式，粗略的“自由现金流”口径）</t>
  </si>
  <si>
    <t>变化分析：同比、占比与结构（全部为公式，联动前面各表）</t>
  </si>
  <si>
    <t>同比 = 本期 ÷ 上期 − 1；上期为负或为零时显示“n/m”（不具可比意义）。半年度与上年同期比较；余额项目 2026-06-30 与 2025 年末比较。</t>
  </si>
  <si>
    <t>A. 一眼看懂（文字随数据自动更新）</t>
  </si>
  <si>
    <t>B. 分部税后利润：同比变化</t>
  </si>
  <si>
    <t>板块</t>
  </si>
  <si>
    <t>2022 vs 2021</t>
  </si>
  <si>
    <t>2023 vs 2022</t>
  </si>
  <si>
    <t>2024 vs 2023</t>
  </si>
  <si>
    <t>2025 vs 2024</t>
  </si>
  <si>
    <t>2026H1 vs 2025H1</t>
  </si>
  <si>
    <t>2021→2025 年复合增速</t>
  </si>
  <si>
    <t>2025 vs 2021 增减（百万美元）</t>
  </si>
  <si>
    <t>保险承保</t>
  </si>
  <si>
    <t>保险投资收益</t>
  </si>
  <si>
    <t>能源 BHE</t>
  </si>
  <si>
    <t>制造、服务与零售</t>
  </si>
  <si>
    <t>其他</t>
  </si>
  <si>
    <t>经营利润合计</t>
  </si>
  <si>
    <t>归属股东净利润</t>
  </si>
  <si>
    <t>C. 经营利润构成：各板块占比</t>
  </si>
  <si>
    <t>合计（应为 100%）</t>
  </si>
  <si>
    <t>D. 图表数据：分部税后利润（百万美元，链接“分部利润”表）</t>
  </si>
  <si>
    <t>D2. 图表数据：主要板块同比（不含波动极大的“其他”）</t>
  </si>
  <si>
    <t>E. 资产负债关键项目：期末余额与变化</t>
  </si>
  <si>
    <t>2022 同比</t>
  </si>
  <si>
    <t>2023 同比</t>
  </si>
  <si>
    <t>2024 同比</t>
  </si>
  <si>
    <t>2025 同比</t>
  </si>
  <si>
    <t>2026-06 较年初</t>
  </si>
  <si>
    <t>2021→2025 复合</t>
  </si>
  <si>
    <t>保险浮存金</t>
  </si>
  <si>
    <t>现金及国债（保险及其他，净额）</t>
  </si>
  <si>
    <t>现金及国债（合并）</t>
  </si>
  <si>
    <t>股票投资公允价值</t>
  </si>
  <si>
    <t>伯克希尔股东权益</t>
  </si>
  <si>
    <t>A 类等值股数</t>
  </si>
  <si>
    <t>每股账面价值（A 类，美元）</t>
  </si>
  <si>
    <t>F. 结构与比率</t>
  </si>
  <si>
    <t>浮存金 ÷ 现金及国债（保险及其他）</t>
  </si>
  <si>
    <t>组合占比：银行、保险与金融</t>
  </si>
  <si>
    <t>组合占比：消费品</t>
  </si>
  <si>
    <t>组合占比：商业、工业及其他</t>
  </si>
  <si>
    <t>前五大持仓集中度</t>
  </si>
  <si>
    <t>组合未实现收益占比</t>
  </si>
  <si>
    <t>股票投资 ÷ 伯克希尔股东权益</t>
  </si>
  <si>
    <t>G. 回购与经营利润</t>
  </si>
  <si>
    <t>回购金额（百万美元）</t>
  </si>
  <si>
    <t>回购 ÷ 经营利润</t>
  </si>
  <si>
    <t>回购均价 ÷ 期末每股账面价值</t>
  </si>
  <si>
    <t>H. 受假设影响的示意计算（改“假设与参数”即联动）</t>
  </si>
  <si>
    <t>2026 全年化经营利润（示意，= 上半年 × (1 + A_h2)）</t>
  </si>
  <si>
    <t>较 2025 全年</t>
  </si>
  <si>
    <t>现金及国债（保险及其他，净额，2026-06-30）</t>
  </si>
  <si>
    <t>利率变动 A_rate（百分点）/ 税率 A_tax</t>
  </si>
  <si>
    <t>→ 年化税后利息收入变化（百万美元）≈ 余额 × 利率变动 × (1 − 税率)</t>
  </si>
  <si>
    <t>占 2025 经营利润</t>
  </si>
  <si>
    <t>I. 图表（数据来自本页上方各节，随数据和假设自动更新）</t>
  </si>
  <si>
    <t>↓ 图表在本页第 84 行起（7 张）</t>
  </si>
  <si>
    <t>网页（交付/web）与备忘录中使用的数字：与本表格逐项对照</t>
  </si>
  <si>
    <t>网页数值（蓝色）由同一数据源生成；“账本数值”为链接到本工作簿相应单元格的公式；差异应为 0。历史决定中的数字来自致股东信原文，列出处备查。</t>
  </si>
  <si>
    <t>网页位置</t>
  </si>
  <si>
    <t>内容</t>
  </si>
  <si>
    <t>网页数值</t>
  </si>
  <si>
    <t>账本数值（公式）</t>
  </si>
  <si>
    <t>差异</t>
  </si>
  <si>
    <t>出处 / 说明</t>
  </si>
  <si>
    <t>第 3 题·揭晓</t>
  </si>
  <si>
    <t>2025 年末保险浮存金（百万美元）</t>
  </si>
  <si>
    <t>S01 2025 年报 MD&amp;A p.K-41</t>
  </si>
  <si>
    <t>再保险集团（BHRG）2025 年税前承保利润（百万美元）</t>
  </si>
  <si>
    <t>S01 2025 年报 MD&amp;A p.K-35</t>
  </si>
  <si>
    <t>第 4 题·揭晓</t>
  </si>
  <si>
    <t>可口可乐持仓 2025 年股息（百万美元）</t>
  </si>
  <si>
    <t>L2025 2025 年致股东信 PDF 第15页</t>
  </si>
  <si>
    <t>可口可乐持仓原始成本（百万美元）</t>
  </si>
  <si>
    <t>公式：股票组合!D 列</t>
  </si>
  <si>
    <t>第 6 题·揭晓</t>
  </si>
  <si>
    <t>GEICO 2025 年已赚保费（百万美元）</t>
  </si>
  <si>
    <t>S01 2025 年报 MD&amp;A p.K-36</t>
  </si>
  <si>
    <t>GEICO 2025 年税前承保利润（百万美元）</t>
  </si>
  <si>
    <t>第 9 题·揭晓</t>
  </si>
  <si>
    <t>BNSF 2025 年税后利润（百万美元）</t>
  </si>
  <si>
    <t>S01 2025 年报 MD&amp;A p.K-34</t>
  </si>
  <si>
    <t>BNSF 2026 上半年税后利润（百万美元）</t>
  </si>
  <si>
    <t>S02 2026Q2 10-Q p.33</t>
  </si>
  <si>
    <t>第 10 题·揭晓</t>
  </si>
  <si>
    <t>2026 上半年回购金额（百万美元）</t>
  </si>
  <si>
    <t>S02 权益变动表 p.6（Q1+Q2，公式）</t>
  </si>
  <si>
    <t>结算页·今天的账本</t>
  </si>
  <si>
    <t>2026 上半年经营利润（百万美元）</t>
  </si>
  <si>
    <t>公式：分部利润表加总；与业绩公告 24,329 一致</t>
  </si>
  <si>
    <t>2025 上半年经营利润（百万美元）</t>
  </si>
  <si>
    <t>公式：分部利润表加总；与业绩公告 20,801 一致</t>
  </si>
  <si>
    <t>2026-06-30 保险浮存金（百万美元）</t>
  </si>
  <si>
    <t>S02 10-Q p.38</t>
  </si>
  <si>
    <t>2026-06-30 现金及短期国债（保险及其他，净额，百万美元）</t>
  </si>
  <si>
    <t>公式：浮存金与现金表</t>
  </si>
  <si>
    <t>2026-06-30 股票投资公允价值（百万美元）</t>
  </si>
  <si>
    <t>公式：股票组合表行业合计</t>
  </si>
  <si>
    <t>2026-06-30 每股账面价值（A 类，美元）</t>
  </si>
  <si>
    <t>公式：回购与每股账面表</t>
  </si>
  <si>
    <t>2025 全年经营利润（百万美元）</t>
  </si>
  <si>
    <t>公式：分部利润表加总</t>
  </si>
  <si>
    <t>第 1 题</t>
  </si>
  <si>
    <t>1983 年买下内布拉斯加家具城 90% 股权支付的支票（百万美元）</t>
  </si>
  <si>
    <t>（历史数字，见出处）</t>
  </si>
  <si>
    <t>1984 年致股东信（“a check for $55 million”）</t>
  </si>
  <si>
    <t>内布拉斯加家具城单店年销售额（百万美元，超过）</t>
  </si>
  <si>
    <t>1983 年致股东信（“over $100 million of sales annually”）</t>
  </si>
  <si>
    <t>第 2 题</t>
  </si>
  <si>
    <t>接手前九年纺织业务累计销售额（百万美元）</t>
  </si>
  <si>
    <t>1985 年致股东信</t>
  </si>
  <si>
    <t>同期累计亏损（百万美元）</t>
  </si>
  <si>
    <t>1980 年以来美国关闭的纺织厂数量</t>
  </si>
  <si>
    <t>1985 年致股东信（引 Business Week）</t>
  </si>
  <si>
    <t>第 3 题</t>
  </si>
  <si>
    <t>1967 年进入保险业时的浮存金（百万美元）</t>
  </si>
  <si>
    <t>2021 年致股东信</t>
  </si>
  <si>
    <t>第 4 题</t>
  </si>
  <si>
    <t>1988 年末可口可乐持股（股）</t>
  </si>
  <si>
    <t>1988 年致股东信持仓表</t>
  </si>
  <si>
    <t>1988 年末可口可乐持仓成本（千美元）</t>
  </si>
  <si>
    <t>1989 年末可口可乐持仓成本（千美元）</t>
  </si>
  <si>
    <t>1989 年致股东信持仓表</t>
  </si>
  <si>
    <t>1989 年末可口可乐持仓市值（千美元）</t>
  </si>
  <si>
    <t>第 5 题</t>
  </si>
  <si>
    <t>买下富国银行约 10% 股权的总价（百万美元）</t>
  </si>
  <si>
    <t>1990 年致股东信</t>
  </si>
  <si>
    <t>富国银行总资产（十亿美元）</t>
  </si>
  <si>
    <t>1997 年末富国银行持仓市值（百万美元）</t>
  </si>
  <si>
    <t>1997 年致股东信持仓表</t>
  </si>
  <si>
    <t>第 6 题</t>
  </si>
  <si>
    <t>买下 GEICO 另一半股权的价格（十亿美元）</t>
  </si>
  <si>
    <t>1995 年致股东信</t>
  </si>
  <si>
    <t>1980 年前投入 GEICO 的资金（百万美元）</t>
  </si>
  <si>
    <t>收购 GEICO 带来的浮存金增量（十亿美元，近）</t>
  </si>
  <si>
    <t>第 7 题</t>
  </si>
  <si>
    <t>1999 年伯克希尔每股市值变化（%）</t>
  </si>
  <si>
    <t>2025 年致股东信附表（Berkshire’s Performance vs. the S&amp;P 500）</t>
  </si>
  <si>
    <t>1999 年标普 500（含股息）变化（%）</t>
  </si>
  <si>
    <t>同上</t>
  </si>
  <si>
    <t>2000–2002 年伯克希尔每股市值变化（%）</t>
  </si>
  <si>
    <t>同上：2000 年 26.6、2001 年 6.5、2002 年 −3.8</t>
  </si>
  <si>
    <t>2000–2002 年标普 500 变化（%）</t>
  </si>
  <si>
    <t>同上：2000 年 −9.1、2001 年 −11.9、2002 年 −22.1</t>
  </si>
  <si>
    <t>第 8 题</t>
  </si>
  <si>
    <t>2008 年买入 Wrigley、高盛、通用电气固定收益证券（十亿美元）</t>
  </si>
  <si>
    <t>2008 年致股东信</t>
  </si>
  <si>
    <t>2011 年瑞士再保险、高盛、通用电气赎回总额（十亿美元）</t>
  </si>
  <si>
    <t>2011 年致股东信</t>
  </si>
  <si>
    <t>2008 年伯克希尔每股市值变化（%）</t>
  </si>
  <si>
    <t>2025 年致股东信附表</t>
  </si>
  <si>
    <t>第 9 题</t>
  </si>
  <si>
    <t>收购 BNSF 时动用的现金（十亿美元）</t>
  </si>
  <si>
    <t>2009 年致股东信</t>
  </si>
  <si>
    <t>为收购 BNSF 增发股份占原股本比例（%）</t>
  </si>
  <si>
    <t>2010 年收购 BNSF 时的股权价值（十亿美元）</t>
  </si>
  <si>
    <t>2025 年致股东信</t>
  </si>
  <si>
    <t>2025 年 BNSF 向伯克希尔分红（十亿美元）</t>
  </si>
  <si>
    <t>第 10 题</t>
  </si>
  <si>
    <t>2014 年股东大会分红提案：B 类股反对与赞成之比（约）</t>
  </si>
  <si>
    <t>2014 年致股东信</t>
  </si>
  <si>
    <t>2014 年分红提案：投票股份中反对派息的比例（%）</t>
  </si>
  <si>
    <t>出处索引（单元格批注中的出处代码对应此表）</t>
  </si>
  <si>
    <t>页码规则：10-K 用页脚页码（如 p.K-34）；10-Q 用页脚页码；PDF 给出“PDF 第 N 页（页脚）”。有出处的输入数字已用脚本逐条比对原文（430 条，全部在所引位置找到）。</t>
  </si>
  <si>
    <t>代码</t>
  </si>
  <si>
    <t>文件路径 / 网页地址</t>
  </si>
  <si>
    <t>访问日期</t>
  </si>
  <si>
    <t>S01</t>
  </si>
  <si>
    <t>伯克希尔 2025 年年报（Form 10-K，截至 2025-12-31）</t>
  </si>
  <si>
    <t>材料/Berkshire_2025年报__brka-20251231.htm</t>
  </si>
  <si>
    <t>本地材料</t>
  </si>
  <si>
    <t>S02</t>
  </si>
  <si>
    <t>伯克希尔 2026 年二季度报告（Form 10-Q，截至 2026-06-30）</t>
  </si>
  <si>
    <t>材料/Berkshire_2026Q2季报__brka-20260630.htm</t>
  </si>
  <si>
    <t>S03</t>
  </si>
  <si>
    <t>伯克希尔 2026 年二季度业绩公告（8-K 附件 99.1，2026-08-08）</t>
  </si>
  <si>
    <t>材料/Berkshire_2026Q2业绩公告__d159922dex991.htm</t>
  </si>
  <si>
    <t>L2021</t>
  </si>
  <si>
    <t>2021 年致股东信（巴菲特）</t>
  </si>
  <si>
    <t>材料/股东信/2021ltr.pdf</t>
  </si>
  <si>
    <t>L2022</t>
  </si>
  <si>
    <t>2022 年致股东信（巴菲特）</t>
  </si>
  <si>
    <t>材料/股东信/2022ltr.pdf</t>
  </si>
  <si>
    <t>L2023</t>
  </si>
  <si>
    <t>2023 年致股东信（巴菲特）</t>
  </si>
  <si>
    <t>材料/股东信/2023ltr.pdf</t>
  </si>
  <si>
    <t>L2024</t>
  </si>
  <si>
    <t>2024 年致股东信（巴菲特）</t>
  </si>
  <si>
    <t>材料/股东信/2024ltr.pdf</t>
  </si>
  <si>
    <t>L2025</t>
  </si>
  <si>
    <t>2025 年致股东信（阿贝尔，首封 CEO 信）</t>
  </si>
  <si>
    <t>材料/股东信/2025ltr.pdf</t>
  </si>
  <si>
    <t>W01</t>
  </si>
  <si>
    <t>伯克希尔 2023 年年度报告（含 10-K；2021–2022 年数字已按 LDTI 追溯调整）</t>
  </si>
  <si>
    <t>https://www.berkshirehathaway.com/2023ar/2023ar.pdf</t>
  </si>
  <si>
    <t>2026-10-22</t>
  </si>
  <si>
    <t>W02</t>
  </si>
  <si>
    <t>伯克希尔 2022 年年度报告（含 10-K；LDTI 追溯调整前口径）</t>
  </si>
  <si>
    <t>https://www.berkshirehathaway.com/2022ar/2022ar.pdf</t>
  </si>
  <si>
    <t>• W01/W02 为联网获取的伯克希尔官网年度报告 PDF（含 10-K 全文），用于补齐材料中缺少的 2021–2022 年分部利润、资产负债表与股数；2025 年年报只覆盖 2023–2025 年。</t>
  </si>
  <si>
    <t>• 2021–2022 年分部利润与 2021 年末股东权益使用 2023 年年报中按 LDTI（ASU 2018-12）追溯调整后的数字，与 2023 年起口径一致。</t>
  </si>
  <si>
    <t>• “其他”在 2025 年年报中包含权益法投资收益；2021–2022 年由 2023 年年报中的“非控股企业”和“其他”两行合并而来（公式）。</t>
  </si>
  <si>
    <t>• 股东信中的经营利润、浮存金等文字数字用于交叉核对（见各表“核对”行）。</t>
  </si>
  <si>
    <t>核对汇总（全部应为 0 / TRUE）</t>
  </si>
  <si>
    <t>核对项</t>
  </si>
  <si>
    <t>最大绝对差异</t>
  </si>
  <si>
    <t>是否通过</t>
  </si>
  <si>
    <t>分部利润：公式净利润 − 披露净利润</t>
  </si>
  <si>
    <t>分部利润：公式经营利润 − 披露经营利润</t>
  </si>
  <si>
    <t>“其他”明细合计 − “其他”（2023 起）</t>
  </si>
  <si>
    <t>保险：分部承保利润合计 − 披露合计</t>
  </si>
  <si>
    <t>现金及国债：公式 − MD&amp;A 披露（十亿美元）</t>
  </si>
  <si>
    <t>股票组合：行业合计 − 资产负债表</t>
  </si>
  <si>
    <t>A 类等值股：公式 − 披露</t>
  </si>
  <si>
    <t>经营利润构成占比合计 − 100%</t>
  </si>
  <si>
    <t>网页数字 − 账本数字</t>
  </si>
  <si>
    <t>全部通过？</t>
  </si>
  <si>
    <t>伯克希尔账本（2021 — 2026 上半年）</t>
  </si>
  <si>
    <t>巴菲特交班之后，伯克希尔的账 —— 研究用数据底稿与变化分析。编制日期 2026-10-22；数据截至 2026-06-30（另含 2026-08-08 业绩公告）。</t>
  </si>
  <si>
    <t>用途</t>
  </si>
  <si>
    <t>把 2021—2025 年及 2026 年上半年伯克希尔·哈撒韦的分部利润、浮存金、现金与短期国债、股票组合、回购、每股账面价值放在一张可追溯、可联动的表里，供研究与教学展示。</t>
  </si>
  <si>
    <t>重要声明</t>
  </si>
  <si>
    <t>仅为研究和展示用的分析，不构成投资建议；不给出买入、卖出、持有或目标价，也不评价股价高低。</t>
  </si>
  <si>
    <t>单位</t>
  </si>
  <si>
    <t>除特别注明外，金额为百万美元（USD m）；每股数据为美元；股数为股。</t>
  </si>
  <si>
    <t>颜色约定</t>
  </si>
  <si>
    <t>蓝底蓝字 = 披露数据（手工录入，单元格批注写明文件、章节、页码与原文锚点）；黄底 = 假设（可改）；白底 = 公式；橙底斜体 = 受假设影响的公式结果；绿底 = 核对。</t>
  </si>
  <si>
    <t>联动方式</t>
  </si>
  <si>
    <t>所有汇总、比率、同比、占比、每股数均为公式；“假设与参数”表中的名称（P_conv、A_h2、A_rate、A_tax、P_mincash）被各表公式引用，改一个数，相关结果与图表自动更新。</t>
  </si>
  <si>
    <t>口径要点</t>
  </si>
  <si>
    <t>① 分部利润采用 2025 年年报 MD&amp;A 的税后利润分解（保险承保、保险投资收益、BNSF、BHE、制造服务零售、其他）；② 2021–2022 年取自 2023 年年报（LDTI 追溯调整后），“其他”= 非控股企业 + 其他；③ 经营利润 = 净利润 − 投资收益 − 权益法投资减值；④ 现金及国债的“保险及其他（净额）”口径与公司 MD&amp;A 一致。</t>
  </si>
  <si>
    <t>见“出处索引”表。材料内文件以代码 S01–S03、L2021–L2025 表示；联网补充的 2021–2022 年数据来自伯克希尔官网年度报告 PDF（W01、W02，访问日期 2026-10-22）。</t>
  </si>
  <si>
    <t>自检</t>
  </si>
  <si>
    <t>“核对”表汇总了 8 类勾稽关系（净利润、经营利润、组合合计、股数等）以及网页数字一致性检查，全部应显示 TRUE。</t>
  </si>
  <si>
    <t>工作表目录</t>
  </si>
  <si>
    <t>假设与参数</t>
  </si>
  <si>
    <t>可修改的假设与披露参数</t>
  </si>
  <si>
    <t>分部利润</t>
  </si>
  <si>
    <t>六大板块税后利润、经营利润、净利润及核对；“其他”拆分</t>
  </si>
  <si>
    <t>业务明细</t>
  </si>
  <si>
    <t>保险承保（GEICO/Primary/再保险）、GEICO 成本率、BNSF 运营比率、BHE 构成、制造服务零售</t>
  </si>
  <si>
    <t>浮存金与现金</t>
  </si>
  <si>
    <t>浮存金、现金与短期国债、总资产、浮存金成本</t>
  </si>
  <si>
    <t>现金流节选</t>
  </si>
  <si>
    <t>经营现金流、股票买卖、收购、资本开支</t>
  </si>
  <si>
    <t>股票组合</t>
  </si>
  <si>
    <t>按行业成本/公允价值、集中度、主要持仓</t>
  </si>
  <si>
    <t>回购与每股账面</t>
  </si>
  <si>
    <t>股东权益、A/B 股数、每股账面价值、回购金额与均价</t>
  </si>
  <si>
    <t>变化</t>
  </si>
  <si>
    <t>同比、占比、结构与 7 张图表（分析页）</t>
  </si>
  <si>
    <t>网页数字对照</t>
  </si>
  <si>
    <t>小游戏与备忘录中引用的数字与本表逐项对照</t>
  </si>
  <si>
    <t>出处索引</t>
  </si>
  <si>
    <t>文件代码与网址</t>
  </si>
  <si>
    <t>勾稽关系汇总</t>
  </si>
  <si>
    <t>颜色图例</t>
  </si>
  <si>
    <t>来自年报/季报/公告/股东信的原始数字；单元格批注写明出处</t>
  </si>
  <si>
    <t>可修改的假设（“假设与参数”表及少量标注单元格）</t>
  </si>
  <si>
    <t>由公式计算，不手填</t>
  </si>
  <si>
    <t>公式结果，但会随假设改变</t>
  </si>
  <si>
    <t>勾稽检查，应为 0 或 TRUE</t>
  </si>
</sst>
</file>

<file path=xl/styles.xml><?xml version="1.0" encoding="utf-8"?>
<styleSheet xmlns="http://schemas.openxmlformats.org/spreadsheetml/2006/main">
  <numFmts count="13">
    <numFmt numFmtId="164" formatCode="@"/>
    <numFmt numFmtId="165" formatCode="#,##0"/>
    <numFmt numFmtId="166" formatCode="0.00"/>
    <numFmt numFmtId="167" formatCode="0%"/>
    <numFmt numFmtId="168" formatCode="#,##0;[Red](#,##0);&quot;—&quot;"/>
    <numFmt numFmtId="169" formatCode="0.0"/>
    <numFmt numFmtId="170" formatCode="0.0%;[Red]-0.0%;0.0%"/>
    <numFmt numFmtId="171" formatCode="&quot;$&quot;#,##0;[Red]-&quot;$&quot;#,##0"/>
    <numFmt numFmtId="172" formatCode="&quot;$&quot;#,##0.00"/>
    <numFmt numFmtId="173" formatCode="0.00&quot;x&quot;"/>
    <numFmt numFmtId="174" formatCode="0.0%"/>
    <numFmt numFmtId="175" formatCode="#,##0.0"/>
    <numFmt numFmtId="176" formatCode="#,##0.000"/>
  </numFmts>
  <fonts count="29">
    <font>
      <sz val="11"/>
      <color theme="1"/>
      <name val="Calibri"/>
      <family val="2"/>
      <scheme val="minor"/>
    </font>
    <font>
      <b/>
      <sz val="16"/>
      <color rgb="FF1F3864"/>
      <name val="Microsoft YaHei"/>
      <family val="2"/>
    </font>
    <font>
      <i/>
      <sz val="10"/>
      <color rgb="FF595959"/>
      <name val="Microsoft YaHei"/>
      <family val="2"/>
    </font>
    <font>
      <b/>
      <sz val="10"/>
      <color theme="1"/>
      <name val="Microsoft YaHei"/>
      <family val="2"/>
    </font>
    <font>
      <sz val="10"/>
      <color theme="1"/>
      <name val="Microsoft YaHei"/>
      <family val="2"/>
    </font>
    <font>
      <b/>
      <sz val="12"/>
      <color rgb="FF1F3864"/>
      <name val="Microsoft YaHei"/>
      <family val="2"/>
    </font>
    <font>
      <u/>
      <sz val="10"/>
      <color rgb="FF0563C1"/>
      <name val="Microsoft YaHei"/>
      <family val="2"/>
    </font>
    <font>
      <b/>
      <sz val="10"/>
      <color rgb="FF1F4E79"/>
      <name val="Microsoft YaHei"/>
      <family val="2"/>
    </font>
    <font>
      <b/>
      <sz val="10"/>
      <color rgb="FF7F6000"/>
      <name val="Microsoft YaHei"/>
      <family val="2"/>
    </font>
    <font>
      <b/>
      <sz val="10"/>
      <color rgb="FF000000"/>
      <name val="Microsoft YaHei"/>
      <family val="2"/>
    </font>
    <font>
      <b/>
      <i/>
      <sz val="10"/>
      <color rgb="FF833C0B"/>
      <name val="Microsoft YaHei"/>
      <family val="2"/>
    </font>
    <font>
      <b/>
      <sz val="10"/>
      <color rgb="FF375623"/>
      <name val="Microsoft YaHei"/>
      <family val="2"/>
    </font>
    <font>
      <b/>
      <sz val="9"/>
      <color theme="1"/>
      <name val="Microsoft YaHei"/>
      <family val="2"/>
    </font>
    <font>
      <sz val="9"/>
      <color rgb="FF1F4E79"/>
      <name val="Microsoft YaHei"/>
      <family val="2"/>
    </font>
    <font>
      <b/>
      <sz val="9"/>
      <color rgb="FF7F6000"/>
      <name val="Microsoft YaHei"/>
      <family val="2"/>
    </font>
    <font>
      <sz val="9"/>
      <color rgb="FF000000"/>
      <name val="Microsoft YaHei"/>
      <family val="2"/>
    </font>
    <font>
      <i/>
      <sz val="9"/>
      <color rgb="FF833C0B"/>
      <name val="Microsoft YaHei"/>
      <family val="2"/>
    </font>
    <font>
      <sz val="9"/>
      <color rgb="FF375623"/>
      <name val="Microsoft YaHei"/>
      <family val="2"/>
    </font>
    <font>
      <b/>
      <sz val="10"/>
      <color rgb="FFFFFFFF"/>
      <name val="Microsoft YaHei"/>
      <family val="2"/>
    </font>
    <font>
      <sz val="10"/>
      <color rgb="FF1F4E79"/>
      <name val="Microsoft YaHei"/>
      <family val="2"/>
    </font>
    <font>
      <sz val="8"/>
      <color rgb="FF595959"/>
      <name val="Microsoft YaHei"/>
      <family val="2"/>
    </font>
    <font>
      <sz val="9"/>
      <color rgb="FF404040"/>
      <name val="Microsoft YaHei"/>
      <family val="2"/>
    </font>
    <font>
      <i/>
      <sz val="10"/>
      <color rgb="FF833C0B"/>
      <name val="Microsoft YaHei"/>
      <family val="2"/>
    </font>
    <font>
      <sz val="10"/>
      <color rgb="FF000000"/>
      <name val="Microsoft YaHei"/>
      <family val="2"/>
    </font>
    <font>
      <sz val="10"/>
      <color rgb="FF375623"/>
      <name val="Microsoft YaHei"/>
      <family val="2"/>
    </font>
    <font>
      <sz val="10"/>
      <color rgb="FFA6A6A6"/>
      <name val="Microsoft YaHei"/>
      <family val="2"/>
    </font>
    <font>
      <sz val="8"/>
      <color theme="1"/>
      <name val="Microsoft YaHei"/>
      <family val="2"/>
    </font>
    <font>
      <u/>
      <sz val="9"/>
      <color rgb="FF0563C1"/>
      <name val="Microsoft YaHei"/>
      <family val="2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7F9FC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left" vertical="center"/>
    </xf>
    <xf numFmtId="0" fontId="18" fillId="7" borderId="3" xfId="0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166" fontId="8" fillId="3" borderId="1" xfId="0" applyNumberFormat="1" applyFont="1" applyFill="1" applyBorder="1" applyAlignment="1">
      <alignment vertical="center"/>
    </xf>
    <xf numFmtId="167" fontId="8" fillId="3" borderId="1" xfId="0" applyNumberFormat="1" applyFont="1" applyFill="1" applyBorder="1" applyAlignment="1">
      <alignment vertical="center"/>
    </xf>
    <xf numFmtId="0" fontId="21" fillId="0" borderId="0" xfId="0" applyFont="1" applyAlignment="1">
      <alignment vertical="top" wrapText="1"/>
    </xf>
    <xf numFmtId="168" fontId="19" fillId="2" borderId="1" xfId="0" applyNumberFormat="1" applyFont="1" applyFill="1" applyBorder="1" applyAlignment="1">
      <alignment vertical="center"/>
    </xf>
    <xf numFmtId="168" fontId="22" fillId="5" borderId="1" xfId="0" applyNumberFormat="1" applyFont="1" applyFill="1" applyBorder="1" applyAlignment="1">
      <alignment vertical="center"/>
    </xf>
    <xf numFmtId="168" fontId="23" fillId="4" borderId="1" xfId="0" applyNumberFormat="1" applyFont="1" applyFill="1" applyBorder="1" applyAlignment="1">
      <alignment vertical="center"/>
    </xf>
    <xf numFmtId="168" fontId="9" fillId="4" borderId="1" xfId="0" applyNumberFormat="1" applyFont="1" applyFill="1" applyBorder="1" applyAlignment="1">
      <alignment vertical="center"/>
    </xf>
    <xf numFmtId="168" fontId="10" fillId="5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8" fontId="24" fillId="6" borderId="1" xfId="0" applyNumberFormat="1" applyFont="1" applyFill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169" fontId="19" fillId="2" borderId="1" xfId="0" applyNumberFormat="1" applyFont="1" applyFill="1" applyBorder="1" applyAlignment="1">
      <alignment vertical="center"/>
    </xf>
    <xf numFmtId="169" fontId="24" fillId="6" borderId="1" xfId="0" applyNumberFormat="1" applyFont="1" applyFill="1" applyBorder="1" applyAlignment="1">
      <alignment vertical="center"/>
    </xf>
    <xf numFmtId="170" fontId="23" fillId="4" borderId="1" xfId="0" applyNumberFormat="1" applyFont="1" applyFill="1" applyBorder="1" applyAlignment="1">
      <alignment vertical="center"/>
    </xf>
    <xf numFmtId="170" fontId="9" fillId="4" borderId="1" xfId="0" applyNumberFormat="1" applyFont="1" applyFill="1" applyBorder="1" applyAlignment="1">
      <alignment vertical="center"/>
    </xf>
    <xf numFmtId="168" fontId="8" fillId="3" borderId="1" xfId="0" applyNumberFormat="1" applyFont="1" applyFill="1" applyBorder="1" applyAlignment="1">
      <alignment vertical="center"/>
    </xf>
    <xf numFmtId="170" fontId="22" fillId="5" borderId="1" xfId="0" applyNumberFormat="1" applyFont="1" applyFill="1" applyBorder="1" applyAlignment="1">
      <alignment vertical="center"/>
    </xf>
    <xf numFmtId="167" fontId="19" fillId="2" borderId="1" xfId="0" applyNumberFormat="1" applyFont="1" applyFill="1" applyBorder="1" applyAlignment="1">
      <alignment vertical="center"/>
    </xf>
    <xf numFmtId="0" fontId="26" fillId="0" borderId="1" xfId="0" applyFont="1" applyBorder="1" applyAlignment="1">
      <alignment vertical="center" wrapText="1"/>
    </xf>
    <xf numFmtId="165" fontId="9" fillId="4" borderId="1" xfId="0" applyNumberFormat="1" applyFont="1" applyFill="1" applyBorder="1" applyAlignment="1">
      <alignment vertical="center"/>
    </xf>
    <xf numFmtId="165" fontId="24" fillId="6" borderId="1" xfId="0" applyNumberFormat="1" applyFont="1" applyFill="1" applyBorder="1" applyAlignment="1">
      <alignment vertical="center"/>
    </xf>
    <xf numFmtId="171" fontId="9" fillId="4" borderId="1" xfId="0" applyNumberFormat="1" applyFont="1" applyFill="1" applyBorder="1" applyAlignment="1">
      <alignment vertical="center"/>
    </xf>
    <xf numFmtId="172" fontId="23" fillId="4" borderId="1" xfId="0" applyNumberFormat="1" applyFont="1" applyFill="1" applyBorder="1" applyAlignment="1">
      <alignment vertical="center"/>
    </xf>
    <xf numFmtId="165" fontId="23" fillId="4" borderId="1" xfId="0" applyNumberFormat="1" applyFont="1" applyFill="1" applyBorder="1" applyAlignment="1">
      <alignment vertical="center"/>
    </xf>
    <xf numFmtId="173" fontId="22" fillId="5" borderId="1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4" fillId="8" borderId="1" xfId="0" applyFont="1" applyFill="1" applyBorder="1" applyAlignment="1">
      <alignment vertical="top" wrapText="1"/>
    </xf>
    <xf numFmtId="170" fontId="24" fillId="6" borderId="1" xfId="0" applyNumberFormat="1" applyFont="1" applyFill="1" applyBorder="1" applyAlignment="1">
      <alignment vertical="center"/>
    </xf>
    <xf numFmtId="171" fontId="23" fillId="4" borderId="1" xfId="0" applyNumberFormat="1" applyFont="1" applyFill="1" applyBorder="1" applyAlignment="1">
      <alignment vertical="center"/>
    </xf>
    <xf numFmtId="166" fontId="22" fillId="5" borderId="1" xfId="0" applyNumberFormat="1" applyFont="1" applyFill="1" applyBorder="1" applyAlignment="1">
      <alignment vertical="center"/>
    </xf>
    <xf numFmtId="167" fontId="22" fillId="5" borderId="1" xfId="0" applyNumberFormat="1" applyFont="1" applyFill="1" applyBorder="1" applyAlignment="1">
      <alignment vertical="center"/>
    </xf>
    <xf numFmtId="174" fontId="19" fillId="2" borderId="1" xfId="0" applyNumberFormat="1" applyFont="1" applyFill="1" applyBorder="1" applyAlignment="1">
      <alignment vertical="center"/>
    </xf>
    <xf numFmtId="174" fontId="23" fillId="4" borderId="1" xfId="0" applyNumberFormat="1" applyFont="1" applyFill="1" applyBorder="1" applyAlignment="1">
      <alignment vertical="center"/>
    </xf>
    <xf numFmtId="174" fontId="24" fillId="6" borderId="1" xfId="0" applyNumberFormat="1" applyFont="1" applyFill="1" applyBorder="1" applyAlignment="1">
      <alignment vertical="center"/>
    </xf>
    <xf numFmtId="175" fontId="19" fillId="2" borderId="1" xfId="0" applyNumberFormat="1" applyFont="1" applyFill="1" applyBorder="1" applyAlignment="1">
      <alignment vertical="center"/>
    </xf>
    <xf numFmtId="176" fontId="24" fillId="6" borderId="1" xfId="0" applyNumberFormat="1" applyFont="1" applyFill="1" applyBorder="1" applyAlignment="1">
      <alignment vertical="center"/>
    </xf>
    <xf numFmtId="0" fontId="24" fillId="6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="1" baseline="0">
                <a:latin typeface="Microsoft YaHei"/>
              </a:defRPr>
            </a:pPr>
            <a:r>
              <a:rPr lang="en-US" sz="1100" b="1" baseline="0">
                <a:latin typeface="Microsoft YaHei"/>
              </a:rPr>
              <a:t>经营利润构成 2021–2025（百万美元）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变化!$A$35</c:f>
              <c:strCache>
                <c:ptCount val="1"/>
                <c:pt idx="0">
                  <c:v>保险承保</c:v>
                </c:pt>
              </c:strCache>
            </c:strRef>
          </c:tx>
          <c:spPr>
            <a:solidFill>
              <a:srgbClr val="2E5C8A"/>
            </a:solidFill>
          </c:spPr>
          <c:cat>
            <c:strRef>
              <c:f>变化!$B$34:$F$34</c:f>
              <c:strCache>
                <c:ptCount val="5"/>
                <c:pt idx="0">
                  <c:v>2021 年</c:v>
                </c:pt>
                <c:pt idx="1">
                  <c:v>2022 年</c:v>
                </c:pt>
                <c:pt idx="2">
                  <c:v>2023 年</c:v>
                </c:pt>
                <c:pt idx="3">
                  <c:v>2024 年</c:v>
                </c:pt>
                <c:pt idx="4">
                  <c:v>2025 年</c:v>
                </c:pt>
              </c:strCache>
            </c:strRef>
          </c:cat>
          <c:val>
            <c:numRef>
              <c:f>变化!$B$35:$F$35</c:f>
              <c:numCache>
                <c:formatCode>General</c:formatCode>
                <c:ptCount val="5"/>
                <c:pt idx="0">
                  <c:v>870</c:v>
                </c:pt>
                <c:pt idx="1">
                  <c:v>-30</c:v>
                </c:pt>
                <c:pt idx="2">
                  <c:v>5428</c:v>
                </c:pt>
                <c:pt idx="3">
                  <c:v>9020</c:v>
                </c:pt>
                <c:pt idx="4">
                  <c:v>7258</c:v>
                </c:pt>
              </c:numCache>
            </c:numRef>
          </c:val>
        </c:ser>
        <c:ser>
          <c:idx val="1"/>
          <c:order val="1"/>
          <c:tx>
            <c:strRef>
              <c:f>变化!$A$36</c:f>
              <c:strCache>
                <c:ptCount val="1"/>
                <c:pt idx="0">
                  <c:v>保险投资收益</c:v>
                </c:pt>
              </c:strCache>
            </c:strRef>
          </c:tx>
          <c:spPr>
            <a:solidFill>
              <a:srgbClr val="5B9BD5"/>
            </a:solidFill>
          </c:spPr>
          <c:cat>
            <c:strRef>
              <c:f>变化!$B$34:$F$34</c:f>
              <c:strCache>
                <c:ptCount val="5"/>
                <c:pt idx="0">
                  <c:v>2021 年</c:v>
                </c:pt>
                <c:pt idx="1">
                  <c:v>2022 年</c:v>
                </c:pt>
                <c:pt idx="2">
                  <c:v>2023 年</c:v>
                </c:pt>
                <c:pt idx="3">
                  <c:v>2024 年</c:v>
                </c:pt>
                <c:pt idx="4">
                  <c:v>2025 年</c:v>
                </c:pt>
              </c:strCache>
            </c:strRef>
          </c:cat>
          <c:val>
            <c:numRef>
              <c:f>变化!$B$36:$F$36</c:f>
              <c:numCache>
                <c:formatCode>General</c:formatCode>
                <c:ptCount val="5"/>
                <c:pt idx="0">
                  <c:v>4807</c:v>
                </c:pt>
                <c:pt idx="1">
                  <c:v>6484</c:v>
                </c:pt>
                <c:pt idx="2">
                  <c:v>9567</c:v>
                </c:pt>
                <c:pt idx="3">
                  <c:v>13670</c:v>
                </c:pt>
                <c:pt idx="4">
                  <c:v>12513</c:v>
                </c:pt>
              </c:numCache>
            </c:numRef>
          </c:val>
        </c:ser>
        <c:ser>
          <c:idx val="2"/>
          <c:order val="2"/>
          <c:tx>
            <c:strRef>
              <c:f>变化!$A$37</c:f>
              <c:strCache>
                <c:ptCount val="1"/>
                <c:pt idx="0">
                  <c:v>铁路 BNSF</c:v>
                </c:pt>
              </c:strCache>
            </c:strRef>
          </c:tx>
          <c:spPr>
            <a:solidFill>
              <a:srgbClr val="C55A11"/>
            </a:solidFill>
          </c:spPr>
          <c:cat>
            <c:strRef>
              <c:f>变化!$B$34:$F$34</c:f>
              <c:strCache>
                <c:ptCount val="5"/>
                <c:pt idx="0">
                  <c:v>2021 年</c:v>
                </c:pt>
                <c:pt idx="1">
                  <c:v>2022 年</c:v>
                </c:pt>
                <c:pt idx="2">
                  <c:v>2023 年</c:v>
                </c:pt>
                <c:pt idx="3">
                  <c:v>2024 年</c:v>
                </c:pt>
                <c:pt idx="4">
                  <c:v>2025 年</c:v>
                </c:pt>
              </c:strCache>
            </c:strRef>
          </c:cat>
          <c:val>
            <c:numRef>
              <c:f>变化!$B$37:$F$37</c:f>
              <c:numCache>
                <c:formatCode>General</c:formatCode>
                <c:ptCount val="5"/>
                <c:pt idx="0">
                  <c:v>5990</c:v>
                </c:pt>
                <c:pt idx="1">
                  <c:v>5946</c:v>
                </c:pt>
                <c:pt idx="2">
                  <c:v>5087</c:v>
                </c:pt>
                <c:pt idx="3">
                  <c:v>5031</c:v>
                </c:pt>
                <c:pt idx="4">
                  <c:v>5476</c:v>
                </c:pt>
              </c:numCache>
            </c:numRef>
          </c:val>
        </c:ser>
        <c:ser>
          <c:idx val="3"/>
          <c:order val="3"/>
          <c:tx>
            <c:strRef>
              <c:f>变化!$A$38</c:f>
              <c:strCache>
                <c:ptCount val="1"/>
                <c:pt idx="0">
                  <c:v>能源 BHE</c:v>
                </c:pt>
              </c:strCache>
            </c:strRef>
          </c:tx>
          <c:spPr>
            <a:solidFill>
              <a:srgbClr val="F4B183"/>
            </a:solidFill>
          </c:spPr>
          <c:cat>
            <c:strRef>
              <c:f>变化!$B$34:$F$34</c:f>
              <c:strCache>
                <c:ptCount val="5"/>
                <c:pt idx="0">
                  <c:v>2021 年</c:v>
                </c:pt>
                <c:pt idx="1">
                  <c:v>2022 年</c:v>
                </c:pt>
                <c:pt idx="2">
                  <c:v>2023 年</c:v>
                </c:pt>
                <c:pt idx="3">
                  <c:v>2024 年</c:v>
                </c:pt>
                <c:pt idx="4">
                  <c:v>2025 年</c:v>
                </c:pt>
              </c:strCache>
            </c:strRef>
          </c:cat>
          <c:val>
            <c:numRef>
              <c:f>变化!$B$38:$F$38</c:f>
              <c:numCache>
                <c:formatCode>General</c:formatCode>
                <c:ptCount val="5"/>
                <c:pt idx="0">
                  <c:v>3572</c:v>
                </c:pt>
                <c:pt idx="1">
                  <c:v>3904</c:v>
                </c:pt>
                <c:pt idx="2">
                  <c:v>2331</c:v>
                </c:pt>
                <c:pt idx="3">
                  <c:v>3730</c:v>
                </c:pt>
                <c:pt idx="4">
                  <c:v>3979</c:v>
                </c:pt>
              </c:numCache>
            </c:numRef>
          </c:val>
        </c:ser>
        <c:ser>
          <c:idx val="4"/>
          <c:order val="4"/>
          <c:tx>
            <c:strRef>
              <c:f>变化!$A$39</c:f>
              <c:strCache>
                <c:ptCount val="1"/>
                <c:pt idx="0">
                  <c:v>制造、服务与零售</c:v>
                </c:pt>
              </c:strCache>
            </c:strRef>
          </c:tx>
          <c:spPr>
            <a:solidFill>
              <a:srgbClr val="70AD47"/>
            </a:solidFill>
          </c:spPr>
          <c:cat>
            <c:strRef>
              <c:f>变化!$B$34:$F$34</c:f>
              <c:strCache>
                <c:ptCount val="5"/>
                <c:pt idx="0">
                  <c:v>2021 年</c:v>
                </c:pt>
                <c:pt idx="1">
                  <c:v>2022 年</c:v>
                </c:pt>
                <c:pt idx="2">
                  <c:v>2023 年</c:v>
                </c:pt>
                <c:pt idx="3">
                  <c:v>2024 年</c:v>
                </c:pt>
                <c:pt idx="4">
                  <c:v>2025 年</c:v>
                </c:pt>
              </c:strCache>
            </c:strRef>
          </c:cat>
          <c:val>
            <c:numRef>
              <c:f>变化!$B$39:$F$39</c:f>
              <c:numCache>
                <c:formatCode>General</c:formatCode>
                <c:ptCount val="5"/>
                <c:pt idx="0">
                  <c:v>11120</c:v>
                </c:pt>
                <c:pt idx="1">
                  <c:v>12512</c:v>
                </c:pt>
                <c:pt idx="2">
                  <c:v>13362</c:v>
                </c:pt>
                <c:pt idx="3">
                  <c:v>13072</c:v>
                </c:pt>
                <c:pt idx="4">
                  <c:v>13647</c:v>
                </c:pt>
              </c:numCache>
            </c:numRef>
          </c:val>
        </c:ser>
        <c:ser>
          <c:idx val="5"/>
          <c:order val="5"/>
          <c:tx>
            <c:strRef>
              <c:f>变化!$A$40</c:f>
              <c:strCache>
                <c:ptCount val="1"/>
                <c:pt idx="0">
                  <c:v>其他</c:v>
                </c:pt>
              </c:strCache>
            </c:strRef>
          </c:tx>
          <c:spPr>
            <a:solidFill>
              <a:srgbClr val="A5A5A5"/>
            </a:solidFill>
          </c:spPr>
          <c:cat>
            <c:strRef>
              <c:f>变化!$B$34:$F$34</c:f>
              <c:strCache>
                <c:ptCount val="5"/>
                <c:pt idx="0">
                  <c:v>2021 年</c:v>
                </c:pt>
                <c:pt idx="1">
                  <c:v>2022 年</c:v>
                </c:pt>
                <c:pt idx="2">
                  <c:v>2023 年</c:v>
                </c:pt>
                <c:pt idx="3">
                  <c:v>2024 年</c:v>
                </c:pt>
                <c:pt idx="4">
                  <c:v>2025 年</c:v>
                </c:pt>
              </c:strCache>
            </c:strRef>
          </c:cat>
          <c:val>
            <c:numRef>
              <c:f>变化!$B$40:$F$40</c:f>
              <c:numCache>
                <c:formatCode>General</c:formatCode>
                <c:ptCount val="5"/>
                <c:pt idx="0">
                  <c:v>1238</c:v>
                </c:pt>
                <c:pt idx="1">
                  <c:v>2037</c:v>
                </c:pt>
                <c:pt idx="2">
                  <c:v>1575</c:v>
                </c:pt>
                <c:pt idx="3">
                  <c:v>2914</c:v>
                </c:pt>
                <c:pt idx="4">
                  <c:v>1613</c:v>
                </c:pt>
              </c:numCache>
            </c:numRef>
          </c:val>
        </c:ser>
        <c:gapWidth val="6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7E6E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8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latin typeface="Microsoft YaHe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="1" baseline="0">
                <a:latin typeface="Microsoft YaHei"/>
              </a:defRPr>
            </a:pPr>
            <a:r>
              <a:rPr lang="en-US" sz="1100" b="1" baseline="0">
                <a:latin typeface="Microsoft YaHei"/>
              </a:rPr>
              <a:t>交班后首个半年：各板块税后利润对比（百万美元）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2025 上半年</c:v>
          </c:tx>
          <c:spPr>
            <a:solidFill>
              <a:srgbClr val="A5A5A5"/>
            </a:solidFill>
          </c:spPr>
          <c:cat>
            <c:strRef>
              <c:f>变化!$A$35:$A$40</c:f>
              <c:strCache>
                <c:ptCount val="6"/>
                <c:pt idx="0">
                  <c:v>保险承保</c:v>
                </c:pt>
                <c:pt idx="1">
                  <c:v>保险投资收益</c:v>
                </c:pt>
                <c:pt idx="2">
                  <c:v>铁路 BNSF</c:v>
                </c:pt>
                <c:pt idx="3">
                  <c:v>能源 BHE</c:v>
                </c:pt>
                <c:pt idx="4">
                  <c:v>制造、服务与零售</c:v>
                </c:pt>
                <c:pt idx="5">
                  <c:v>其他</c:v>
                </c:pt>
              </c:strCache>
            </c:strRef>
          </c:cat>
          <c:val>
            <c:numRef>
              <c:f>变化!$G$35:$G$40</c:f>
              <c:numCache>
                <c:formatCode>General</c:formatCode>
                <c:ptCount val="6"/>
                <c:pt idx="0">
                  <c:v>3328</c:v>
                </c:pt>
                <c:pt idx="1">
                  <c:v>6260</c:v>
                </c:pt>
                <c:pt idx="2">
                  <c:v>2680</c:v>
                </c:pt>
                <c:pt idx="3">
                  <c:v>1799</c:v>
                </c:pt>
                <c:pt idx="4">
                  <c:v>6661</c:v>
                </c:pt>
                <c:pt idx="5">
                  <c:v>73</c:v>
                </c:pt>
              </c:numCache>
            </c:numRef>
          </c:val>
        </c:ser>
        <c:ser>
          <c:idx val="1"/>
          <c:order val="1"/>
          <c:tx>
            <c:v>2026 上半年</c:v>
          </c:tx>
          <c:spPr>
            <a:solidFill>
              <a:srgbClr val="2E5C8A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700" baseline="0">
                    <a:latin typeface="Microsoft YaHei"/>
                  </a:defRPr>
                </a:pPr>
                <a:endParaRPr lang="en-US"/>
              </a:p>
            </c:txPr>
            <c:showVal val="1"/>
          </c:dLbls>
          <c:cat>
            <c:strRef>
              <c:f>变化!$A$35:$A$40</c:f>
              <c:strCache>
                <c:ptCount val="6"/>
                <c:pt idx="0">
                  <c:v>保险承保</c:v>
                </c:pt>
                <c:pt idx="1">
                  <c:v>保险投资收益</c:v>
                </c:pt>
                <c:pt idx="2">
                  <c:v>铁路 BNSF</c:v>
                </c:pt>
                <c:pt idx="3">
                  <c:v>能源 BHE</c:v>
                </c:pt>
                <c:pt idx="4">
                  <c:v>制造、服务与零售</c:v>
                </c:pt>
                <c:pt idx="5">
                  <c:v>其他</c:v>
                </c:pt>
              </c:strCache>
            </c:strRef>
          </c:cat>
          <c:val>
            <c:numRef>
              <c:f>变化!$H$35:$H$40</c:f>
              <c:numCache>
                <c:formatCode>General</c:formatCode>
                <c:ptCount val="6"/>
                <c:pt idx="0">
                  <c:v>3448</c:v>
                </c:pt>
                <c:pt idx="1">
                  <c:v>5738</c:v>
                </c:pt>
                <c:pt idx="2">
                  <c:v>2935</c:v>
                </c:pt>
                <c:pt idx="3">
                  <c:v>2005</c:v>
                </c:pt>
                <c:pt idx="4">
                  <c:v>7669</c:v>
                </c:pt>
                <c:pt idx="5">
                  <c:v>2534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7E6E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8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latin typeface="Microsoft YaHe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="1" baseline="0">
                <a:latin typeface="Microsoft YaHei"/>
              </a:defRPr>
            </a:pPr>
            <a:r>
              <a:rPr lang="en-US" sz="1100" b="1" baseline="0">
                <a:latin typeface="Microsoft YaHei"/>
              </a:rPr>
              <a:t>浮存金、现金及国债、股票组合（百万美元）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变化!$A$53</c:f>
              <c:strCache>
                <c:ptCount val="1"/>
                <c:pt idx="0">
                  <c:v>保险浮存金</c:v>
                </c:pt>
              </c:strCache>
            </c:strRef>
          </c:tx>
          <c:spPr>
            <a:ln w="31750">
              <a:solidFill>
                <a:srgbClr val="C55A11"/>
              </a:solidFill>
            </a:ln>
          </c:spPr>
          <c:marker>
            <c:symbol val="circle"/>
            <c:size val="6"/>
            <c:spPr>
              <a:solidFill>
                <a:srgbClr val="C55A11"/>
              </a:solidFill>
              <a:ln>
                <a:solidFill>
                  <a:srgbClr val="C55A11"/>
                </a:solidFill>
              </a:ln>
            </c:spPr>
          </c:marker>
          <c:cat>
            <c:strRef>
              <c:f>变化!$B$52:$G$52</c:f>
              <c:strCache>
                <c:ptCount val="6"/>
                <c:pt idx="0">
                  <c:v>2021末</c:v>
                </c:pt>
                <c:pt idx="1">
                  <c:v>2022末</c:v>
                </c:pt>
                <c:pt idx="2">
                  <c:v>2023末</c:v>
                </c:pt>
                <c:pt idx="3">
                  <c:v>2024末</c:v>
                </c:pt>
                <c:pt idx="4">
                  <c:v>2025末</c:v>
                </c:pt>
                <c:pt idx="5">
                  <c:v>2026-06-30</c:v>
                </c:pt>
              </c:strCache>
            </c:strRef>
          </c:cat>
          <c:val>
            <c:numRef>
              <c:f>变化!$B$53:$G$53</c:f>
              <c:numCache>
                <c:formatCode>General</c:formatCode>
                <c:ptCount val="6"/>
                <c:pt idx="0">
                  <c:v>147000</c:v>
                </c:pt>
                <c:pt idx="1">
                  <c:v>164000</c:v>
                </c:pt>
                <c:pt idx="2">
                  <c:v>169000</c:v>
                </c:pt>
                <c:pt idx="3">
                  <c:v>171000</c:v>
                </c:pt>
                <c:pt idx="4">
                  <c:v>176000</c:v>
                </c:pt>
                <c:pt idx="5">
                  <c:v>177500</c:v>
                </c:pt>
              </c:numCache>
            </c:numRef>
          </c:val>
        </c:ser>
        <c:ser>
          <c:idx val="1"/>
          <c:order val="1"/>
          <c:tx>
            <c:strRef>
              <c:f>变化!$A$54</c:f>
              <c:strCache>
                <c:ptCount val="1"/>
                <c:pt idx="0">
                  <c:v>现金及国债（保险及其他，净额）</c:v>
                </c:pt>
              </c:strCache>
            </c:strRef>
          </c:tx>
          <c:spPr>
            <a:ln w="31750">
              <a:solidFill>
                <a:srgbClr val="2E5C8A"/>
              </a:solidFill>
            </a:ln>
          </c:spPr>
          <c:marker>
            <c:symbol val="circle"/>
            <c:size val="6"/>
            <c:spPr>
              <a:solidFill>
                <a:srgbClr val="2E5C8A"/>
              </a:solidFill>
              <a:ln>
                <a:solidFill>
                  <a:srgbClr val="2E5C8A"/>
                </a:solidFill>
              </a:ln>
            </c:spPr>
          </c:marker>
          <c:cat>
            <c:strRef>
              <c:f>变化!$B$52:$G$52</c:f>
              <c:strCache>
                <c:ptCount val="6"/>
                <c:pt idx="0">
                  <c:v>2021末</c:v>
                </c:pt>
                <c:pt idx="1">
                  <c:v>2022末</c:v>
                </c:pt>
                <c:pt idx="2">
                  <c:v>2023末</c:v>
                </c:pt>
                <c:pt idx="3">
                  <c:v>2024末</c:v>
                </c:pt>
                <c:pt idx="4">
                  <c:v>2025末</c:v>
                </c:pt>
                <c:pt idx="5">
                  <c:v>2026-06-30</c:v>
                </c:pt>
              </c:strCache>
            </c:strRef>
          </c:cat>
          <c:val>
            <c:numRef>
              <c:f>变化!$B$54:$G$54</c:f>
              <c:numCache>
                <c:formatCode>General</c:formatCode>
                <c:ptCount val="6"/>
                <c:pt idx="0">
                  <c:v>143854</c:v>
                </c:pt>
                <c:pt idx="1">
                  <c:v>125034</c:v>
                </c:pt>
                <c:pt idx="2">
                  <c:v>163291</c:v>
                </c:pt>
                <c:pt idx="3">
                  <c:v>318036</c:v>
                </c:pt>
                <c:pt idx="4">
                  <c:v>368986</c:v>
                </c:pt>
                <c:pt idx="5">
                  <c:v>359230</c:v>
                </c:pt>
              </c:numCache>
            </c:numRef>
          </c:val>
        </c:ser>
        <c:ser>
          <c:idx val="2"/>
          <c:order val="2"/>
          <c:tx>
            <c:strRef>
              <c:f>变化!$A$56</c:f>
              <c:strCache>
                <c:ptCount val="1"/>
                <c:pt idx="0">
                  <c:v>股票投资公允价值</c:v>
                </c:pt>
              </c:strCache>
            </c:strRef>
          </c:tx>
          <c:spPr>
            <a:ln w="31750">
              <a:solidFill>
                <a:srgbClr val="70AD47"/>
              </a:solidFill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cat>
            <c:strRef>
              <c:f>变化!$B$52:$G$52</c:f>
              <c:strCache>
                <c:ptCount val="6"/>
                <c:pt idx="0">
                  <c:v>2021末</c:v>
                </c:pt>
                <c:pt idx="1">
                  <c:v>2022末</c:v>
                </c:pt>
                <c:pt idx="2">
                  <c:v>2023末</c:v>
                </c:pt>
                <c:pt idx="3">
                  <c:v>2024末</c:v>
                </c:pt>
                <c:pt idx="4">
                  <c:v>2025末</c:v>
                </c:pt>
                <c:pt idx="5">
                  <c:v>2026-06-30</c:v>
                </c:pt>
              </c:strCache>
            </c:strRef>
          </c:cat>
          <c:val>
            <c:numRef>
              <c:f>变化!$B$56:$G$56</c:f>
              <c:numCache>
                <c:formatCode>General</c:formatCode>
                <c:ptCount val="6"/>
                <c:pt idx="0">
                  <c:v>350719</c:v>
                </c:pt>
                <c:pt idx="1">
                  <c:v>308793</c:v>
                </c:pt>
                <c:pt idx="2">
                  <c:v>353842</c:v>
                </c:pt>
                <c:pt idx="3">
                  <c:v>271588</c:v>
                </c:pt>
                <c:pt idx="4">
                  <c:v>297778</c:v>
                </c:pt>
                <c:pt idx="5">
                  <c:v>323779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7E6E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8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latin typeface="Microsoft YaHe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="1" baseline="0">
                <a:latin typeface="Microsoft YaHei"/>
              </a:defRPr>
            </a:pPr>
            <a:r>
              <a:rPr lang="en-US" sz="1100" b="1" baseline="0">
                <a:latin typeface="Microsoft YaHei"/>
              </a:rPr>
              <a:t>每股账面价值（A 类等值股，美元）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每股账面价值（A 类，美元）</c:v>
          </c:tx>
          <c:spPr>
            <a:solidFill>
              <a:srgbClr val="2E5C8A"/>
            </a:solidFill>
          </c:spPr>
          <c:dLbls>
            <c:numFmt formatCode="&quot;$&quot;#,##0" sourceLinked="0"/>
            <c:txPr>
              <a:bodyPr/>
              <a:lstStyle/>
              <a:p>
                <a:pPr>
                  <a:defRPr sz="700" baseline="0">
                    <a:latin typeface="Microsoft YaHei"/>
                  </a:defRPr>
                </a:pPr>
                <a:endParaRPr lang="en-US"/>
              </a:p>
            </c:txPr>
            <c:showVal val="1"/>
          </c:dLbls>
          <c:cat>
            <c:strRef>
              <c:f>变化!$B$52:$G$52</c:f>
              <c:strCache>
                <c:ptCount val="6"/>
                <c:pt idx="0">
                  <c:v>2021末</c:v>
                </c:pt>
                <c:pt idx="1">
                  <c:v>2022末</c:v>
                </c:pt>
                <c:pt idx="2">
                  <c:v>2023末</c:v>
                </c:pt>
                <c:pt idx="3">
                  <c:v>2024末</c:v>
                </c:pt>
                <c:pt idx="4">
                  <c:v>2025末</c:v>
                </c:pt>
                <c:pt idx="5">
                  <c:v>2026-06-30</c:v>
                </c:pt>
              </c:strCache>
            </c:strRef>
          </c:cat>
          <c:val>
            <c:numRef>
              <c:f>变化!$B$59:$G$59</c:f>
              <c:numCache>
                <c:formatCode>General</c:formatCode>
                <c:ptCount val="6"/>
                <c:pt idx="0">
                  <c:v>339486.964286409</c:v>
                </c:pt>
                <c:pt idx="1">
                  <c:v>324322.239382312</c:v>
                </c:pt>
                <c:pt idx="2">
                  <c:v>389372.006269944</c:v>
                </c:pt>
                <c:pt idx="3">
                  <c:v>451507.038656732</c:v>
                </c:pt>
                <c:pt idx="4">
                  <c:v>498823.052823783</c:v>
                </c:pt>
                <c:pt idx="5">
                  <c:v>522395.639081912</c:v>
                </c:pt>
              </c:numCache>
            </c:numRef>
          </c:val>
        </c:ser>
        <c:gapWidth val="8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7E6E6"/>
              </a:solidFill>
            </a:ln>
          </c:spPr>
        </c:majorGridlines>
        <c:numFmt formatCode="&quot;$&quot;#,##0" sourceLinked="0"/>
        <c:tickLblPos val="nextTo"/>
        <c:txPr>
          <a:bodyPr/>
          <a:lstStyle/>
          <a:p>
            <a:pPr>
              <a:defRPr sz="800" baseline="0">
                <a:latin typeface="Microsoft YaHei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="1" baseline="0">
                <a:latin typeface="Microsoft YaHei"/>
              </a:defRPr>
            </a:pPr>
            <a:r>
              <a:rPr lang="en-US" sz="1100" b="1" baseline="0">
                <a:latin typeface="Microsoft YaHei"/>
              </a:rPr>
              <a:t>回购：金额与占经营利润比例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回购金额（百万美元）</c:v>
          </c:tx>
          <c:spPr>
            <a:solidFill>
              <a:srgbClr val="C55A11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700" baseline="0">
                    <a:latin typeface="Microsoft YaHei"/>
                  </a:defRPr>
                </a:pPr>
                <a:endParaRPr lang="en-US"/>
              </a:p>
            </c:txPr>
            <c:showVal val="1"/>
          </c:dLbls>
          <c:cat>
            <c:strRef>
              <c:f>变化!$B$73:$H$73</c:f>
              <c:strCache>
                <c:ptCount val="7"/>
                <c:pt idx="0">
                  <c:v>2021 年</c:v>
                </c:pt>
                <c:pt idx="1">
                  <c:v>2022 年</c:v>
                </c:pt>
                <c:pt idx="2">
                  <c:v>2023 年</c:v>
                </c:pt>
                <c:pt idx="3">
                  <c:v>2024 年</c:v>
                </c:pt>
                <c:pt idx="4">
                  <c:v>2025 年</c:v>
                </c:pt>
                <c:pt idx="5">
                  <c:v>2025 上半年</c:v>
                </c:pt>
                <c:pt idx="6">
                  <c:v>2026 上半年</c:v>
                </c:pt>
              </c:strCache>
            </c:strRef>
          </c:cat>
          <c:val>
            <c:numRef>
              <c:f>变化!$B$74:$H$74</c:f>
              <c:numCache>
                <c:formatCode>General</c:formatCode>
                <c:ptCount val="7"/>
                <c:pt idx="0">
                  <c:v>26942</c:v>
                </c:pt>
                <c:pt idx="1">
                  <c:v>8031</c:v>
                </c:pt>
                <c:pt idx="2">
                  <c:v>8976</c:v>
                </c:pt>
                <c:pt idx="3">
                  <c:v>2918</c:v>
                </c:pt>
                <c:pt idx="4">
                  <c:v>0</c:v>
                </c:pt>
                <c:pt idx="5">
                  <c:v>0</c:v>
                </c:pt>
                <c:pt idx="6">
                  <c:v>4762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回购 ÷ 经营利润（右轴）</c:v>
          </c:tx>
          <c:spPr>
            <a:ln w="25400">
              <a:solidFill>
                <a:srgbClr val="2E5C8A"/>
              </a:solidFill>
            </a:ln>
          </c:spPr>
          <c:marker>
            <c:symbol val="diamond"/>
            <c:size val="6"/>
          </c:marker>
          <c:cat>
            <c:strRef>
              <c:f>变化!$B$73:$H$73</c:f>
              <c:strCache>
                <c:ptCount val="7"/>
                <c:pt idx="0">
                  <c:v>2021 年</c:v>
                </c:pt>
                <c:pt idx="1">
                  <c:v>2022 年</c:v>
                </c:pt>
                <c:pt idx="2">
                  <c:v>2023 年</c:v>
                </c:pt>
                <c:pt idx="3">
                  <c:v>2024 年</c:v>
                </c:pt>
                <c:pt idx="4">
                  <c:v>2025 年</c:v>
                </c:pt>
                <c:pt idx="5">
                  <c:v>2025 上半年</c:v>
                </c:pt>
                <c:pt idx="6">
                  <c:v>2026 上半年</c:v>
                </c:pt>
              </c:strCache>
            </c:strRef>
          </c:cat>
          <c:val>
            <c:numRef>
              <c:f>变化!$B$75:$H$75</c:f>
              <c:numCache>
                <c:formatCode>General</c:formatCode>
                <c:ptCount val="7"/>
                <c:pt idx="0">
                  <c:v>0.976265536108997</c:v>
                </c:pt>
                <c:pt idx="1">
                  <c:v>0.260298836417852</c:v>
                </c:pt>
                <c:pt idx="2">
                  <c:v>0.240321285140562</c:v>
                </c:pt>
                <c:pt idx="3">
                  <c:v>0.0615131648291418</c:v>
                </c:pt>
                <c:pt idx="4">
                  <c:v>0</c:v>
                </c:pt>
                <c:pt idx="5">
                  <c:v>0</c:v>
                </c:pt>
                <c:pt idx="6">
                  <c:v>0.195733486785318</c:v>
                </c:pt>
              </c:numCache>
            </c:numRef>
          </c:val>
        </c:ser>
        <c:marker val="1"/>
        <c:axId val="60050001"/>
        <c:axId val="6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7E6E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800" baseline="0">
                <a:latin typeface="Microsoft YaHei"/>
              </a:defRPr>
            </a:pPr>
            <a:endParaRPr lang="en-US"/>
          </a:p>
        </c:txPr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0%" sourceLinked="0"/>
        <c:tickLblPos val="nextTo"/>
        <c:txPr>
          <a:bodyPr/>
          <a:lstStyle/>
          <a:p>
            <a:pPr>
              <a:defRPr sz="800" baseline="0">
                <a:latin typeface="Microsoft YaHei"/>
              </a:defRPr>
            </a:pPr>
            <a:endParaRPr lang="en-US"/>
          </a:p>
        </c:txPr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tickLblPos val="none"/>
        <c:crossAx val="6005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800" baseline="0">
              <a:latin typeface="Microsoft YaHe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="1" baseline="0">
                <a:latin typeface="Microsoft YaHei"/>
              </a:defRPr>
            </a:pPr>
            <a:r>
              <a:rPr lang="en-US" sz="1100" b="1" baseline="0">
                <a:latin typeface="Microsoft YaHei"/>
              </a:rPr>
              <a:t>股票组合行业结构（公允价值占比）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变化!$A$65</c:f>
              <c:strCache>
                <c:ptCount val="1"/>
                <c:pt idx="0">
                  <c:v>组合占比：银行、保险与金融</c:v>
                </c:pt>
              </c:strCache>
            </c:strRef>
          </c:tx>
          <c:spPr>
            <a:solidFill>
              <a:srgbClr val="5B9BD5"/>
            </a:solidFill>
          </c:spPr>
          <c:cat>
            <c:strRef>
              <c:f>变化!$B$62:$G$62</c:f>
              <c:strCache>
                <c:ptCount val="6"/>
                <c:pt idx="0">
                  <c:v>2021末</c:v>
                </c:pt>
                <c:pt idx="1">
                  <c:v>2022末</c:v>
                </c:pt>
                <c:pt idx="2">
                  <c:v>2023末</c:v>
                </c:pt>
                <c:pt idx="3">
                  <c:v>2024末</c:v>
                </c:pt>
                <c:pt idx="4">
                  <c:v>2025末</c:v>
                </c:pt>
                <c:pt idx="5">
                  <c:v>2026-06-30</c:v>
                </c:pt>
              </c:strCache>
            </c:strRef>
          </c:cat>
          <c:val>
            <c:numRef>
              <c:f>变化!$B$65:$G$65</c:f>
              <c:numCache>
                <c:formatCode>General</c:formatCode>
                <c:ptCount val="6"/>
                <c:pt idx="0">
                  <c:v>0.253929784243226</c:v>
                </c:pt>
                <c:pt idx="1">
                  <c:v>0.225251220072994</c:v>
                </c:pt>
                <c:pt idx="2">
                  <c:v>0.221319119833146</c:v>
                </c:pt>
                <c:pt idx="3">
                  <c:v>0.337433907241852</c:v>
                </c:pt>
                <c:pt idx="4">
                  <c:v>0.349686679338299</c:v>
                </c:pt>
                <c:pt idx="5">
                  <c:v>0.291794711825041</c:v>
                </c:pt>
              </c:numCache>
            </c:numRef>
          </c:val>
        </c:ser>
        <c:ser>
          <c:idx val="1"/>
          <c:order val="1"/>
          <c:tx>
            <c:strRef>
              <c:f>变化!$A$66</c:f>
              <c:strCache>
                <c:ptCount val="1"/>
                <c:pt idx="0">
                  <c:v>组合占比：消费品</c:v>
                </c:pt>
              </c:strCache>
            </c:strRef>
          </c:tx>
          <c:spPr>
            <a:solidFill>
              <a:srgbClr val="F4B183"/>
            </a:solidFill>
          </c:spPr>
          <c:cat>
            <c:strRef>
              <c:f>变化!$B$62:$G$62</c:f>
              <c:strCache>
                <c:ptCount val="6"/>
                <c:pt idx="0">
                  <c:v>2021末</c:v>
                </c:pt>
                <c:pt idx="1">
                  <c:v>2022末</c:v>
                </c:pt>
                <c:pt idx="2">
                  <c:v>2023末</c:v>
                </c:pt>
                <c:pt idx="3">
                  <c:v>2024末</c:v>
                </c:pt>
                <c:pt idx="4">
                  <c:v>2025末</c:v>
                </c:pt>
                <c:pt idx="5">
                  <c:v>2026-06-30</c:v>
                </c:pt>
              </c:strCache>
            </c:strRef>
          </c:cat>
          <c:val>
            <c:numRef>
              <c:f>变化!$B$66:$G$66</c:f>
              <c:numCache>
                <c:formatCode>General</c:formatCode>
                <c:ptCount val="6"/>
                <c:pt idx="0">
                  <c:v>0.544655407890648</c:v>
                </c:pt>
                <c:pt idx="1">
                  <c:v>0.495127804062916</c:v>
                </c:pt>
                <c:pt idx="2">
                  <c:v>0.568454281854613</c:v>
                </c:pt>
                <c:pt idx="3">
                  <c:v>0.385690825809682</c:v>
                </c:pt>
                <c:pt idx="4">
                  <c:v>0.31887513516781</c:v>
                </c:pt>
                <c:pt idx="5">
                  <c:v>0.31035366716186</c:v>
                </c:pt>
              </c:numCache>
            </c:numRef>
          </c:val>
        </c:ser>
        <c:ser>
          <c:idx val="2"/>
          <c:order val="2"/>
          <c:tx>
            <c:strRef>
              <c:f>变化!$A$67</c:f>
              <c:strCache>
                <c:ptCount val="1"/>
                <c:pt idx="0">
                  <c:v>组合占比：商业、工业及其他</c:v>
                </c:pt>
              </c:strCache>
            </c:strRef>
          </c:tx>
          <c:spPr>
            <a:solidFill>
              <a:srgbClr val="70AD47"/>
            </a:solidFill>
          </c:spPr>
          <c:cat>
            <c:strRef>
              <c:f>变化!$B$62:$G$62</c:f>
              <c:strCache>
                <c:ptCount val="6"/>
                <c:pt idx="0">
                  <c:v>2021末</c:v>
                </c:pt>
                <c:pt idx="1">
                  <c:v>2022末</c:v>
                </c:pt>
                <c:pt idx="2">
                  <c:v>2023末</c:v>
                </c:pt>
                <c:pt idx="3">
                  <c:v>2024末</c:v>
                </c:pt>
                <c:pt idx="4">
                  <c:v>2025末</c:v>
                </c:pt>
                <c:pt idx="5">
                  <c:v>2026-06-30</c:v>
                </c:pt>
              </c:strCache>
            </c:strRef>
          </c:cat>
          <c:val>
            <c:numRef>
              <c:f>变化!$B$67:$G$67</c:f>
              <c:numCache>
                <c:formatCode>General</c:formatCode>
                <c:ptCount val="6"/>
                <c:pt idx="0">
                  <c:v>0.201414807866126</c:v>
                </c:pt>
                <c:pt idx="1">
                  <c:v>0.27962097586409</c:v>
                </c:pt>
                <c:pt idx="2">
                  <c:v>0.210226598312241</c:v>
                </c:pt>
                <c:pt idx="3">
                  <c:v>0.276875266948466</c:v>
                </c:pt>
                <c:pt idx="4">
                  <c:v>0.331438185493891</c:v>
                </c:pt>
                <c:pt idx="5">
                  <c:v>0.397851621013098</c:v>
                </c:pt>
              </c:numCache>
            </c:numRef>
          </c:val>
        </c:ser>
        <c:gapWidth val="70"/>
        <c:overlap val="100"/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0%" sourceLinked="1"/>
        <c:tickLblPos val="nextTo"/>
        <c:txPr>
          <a:bodyPr/>
          <a:lstStyle/>
          <a:p>
            <a:pPr>
              <a:defRPr sz="800" baseline="0">
                <a:latin typeface="Microsoft YaHei"/>
              </a:defRPr>
            </a:pPr>
            <a:endParaRPr lang="en-US"/>
          </a:p>
        </c:txPr>
        <c:crossAx val="50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latin typeface="Microsoft YaHe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="1" baseline="0">
                <a:latin typeface="Microsoft YaHei"/>
              </a:defRPr>
            </a:pPr>
            <a:r>
              <a:rPr lang="en-US" sz="1100" b="1" baseline="0">
                <a:latin typeface="Microsoft YaHei"/>
              </a:rPr>
              <a:t>主要板块税后利润同比变化（不含“其他”）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2025 vs 2024</c:v>
          </c:tx>
          <c:spPr>
            <a:solidFill>
              <a:srgbClr val="A5A5A5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700" baseline="0">
                    <a:latin typeface="Microsoft YaHei"/>
                  </a:defRPr>
                </a:pPr>
                <a:endParaRPr lang="en-US"/>
              </a:p>
            </c:txPr>
            <c:showVal val="1"/>
          </c:dLbls>
          <c:cat>
            <c:strRef>
              <c:f>变化!$A$44:$A$49</c:f>
              <c:strCache>
                <c:ptCount val="6"/>
                <c:pt idx="0">
                  <c:v>保险承保</c:v>
                </c:pt>
                <c:pt idx="1">
                  <c:v>保险投资收益</c:v>
                </c:pt>
                <c:pt idx="2">
                  <c:v>铁路 BNSF</c:v>
                </c:pt>
                <c:pt idx="3">
                  <c:v>能源 BHE</c:v>
                </c:pt>
                <c:pt idx="4">
                  <c:v>制造、服务与零售</c:v>
                </c:pt>
                <c:pt idx="5">
                  <c:v>经营利润合计</c:v>
                </c:pt>
              </c:strCache>
            </c:strRef>
          </c:cat>
          <c:val>
            <c:numRef>
              <c:f>变化!$B$44:$B$49</c:f>
              <c:numCache>
                <c:formatCode>General</c:formatCode>
                <c:ptCount val="6"/>
                <c:pt idx="0">
                  <c:v>-0.195343680709534</c:v>
                </c:pt>
                <c:pt idx="1">
                  <c:v>-0.0846378931967813</c:v>
                </c:pt>
                <c:pt idx="2">
                  <c:v>0.088451600079507</c:v>
                </c:pt>
                <c:pt idx="3">
                  <c:v>0.0667560321715817</c:v>
                </c:pt>
                <c:pt idx="4">
                  <c:v>0.0439871481028151</c:v>
                </c:pt>
                <c:pt idx="5">
                  <c:v>-0.0622088243354344</c:v>
                </c:pt>
              </c:numCache>
            </c:numRef>
          </c:val>
        </c:ser>
        <c:ser>
          <c:idx val="1"/>
          <c:order val="1"/>
          <c:tx>
            <c:v>2026H1 vs 2025H1</c:v>
          </c:tx>
          <c:spPr>
            <a:solidFill>
              <a:srgbClr val="2E5C8A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700" baseline="0">
                    <a:latin typeface="Microsoft YaHei"/>
                  </a:defRPr>
                </a:pPr>
                <a:endParaRPr lang="en-US"/>
              </a:p>
            </c:txPr>
            <c:showVal val="1"/>
          </c:dLbls>
          <c:cat>
            <c:strRef>
              <c:f>变化!$A$44:$A$49</c:f>
              <c:strCache>
                <c:ptCount val="6"/>
                <c:pt idx="0">
                  <c:v>保险承保</c:v>
                </c:pt>
                <c:pt idx="1">
                  <c:v>保险投资收益</c:v>
                </c:pt>
                <c:pt idx="2">
                  <c:v>铁路 BNSF</c:v>
                </c:pt>
                <c:pt idx="3">
                  <c:v>能源 BHE</c:v>
                </c:pt>
                <c:pt idx="4">
                  <c:v>制造、服务与零售</c:v>
                </c:pt>
                <c:pt idx="5">
                  <c:v>经营利润合计</c:v>
                </c:pt>
              </c:strCache>
            </c:strRef>
          </c:cat>
          <c:val>
            <c:numRef>
              <c:f>变化!$C$44:$C$49</c:f>
              <c:numCache>
                <c:formatCode>General</c:formatCode>
                <c:ptCount val="6"/>
                <c:pt idx="0">
                  <c:v>0.0360576923076923</c:v>
                </c:pt>
                <c:pt idx="1">
                  <c:v>-0.0833865814696486</c:v>
                </c:pt>
                <c:pt idx="2">
                  <c:v>0.0951492537313432</c:v>
                </c:pt>
                <c:pt idx="3">
                  <c:v>0.114508060033352</c:v>
                </c:pt>
                <c:pt idx="4">
                  <c:v>0.151328629334935</c:v>
                </c:pt>
                <c:pt idx="5">
                  <c:v>0.169607230421614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axMin"/>
        </c:scaling>
        <c:axPos val="l"/>
        <c:tickLblPos val="low"/>
        <c:txPr>
          <a:bodyPr/>
          <a:lstStyle/>
          <a:p>
            <a:pPr>
              <a:defRPr sz="800" baseline="0">
                <a:latin typeface="Microsoft YaHei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t"/>
        <c:majorGridlines>
          <c:spPr>
            <a:ln>
              <a:solidFill>
                <a:srgbClr val="E7E6E6"/>
              </a:solidFill>
            </a:ln>
          </c:spPr>
        </c:majorGridlines>
        <c:numFmt formatCode="0%" sourceLinked="0"/>
        <c:tickLblPos val="nextTo"/>
        <c:txPr>
          <a:bodyPr/>
          <a:lstStyle/>
          <a:p>
            <a:pPr>
              <a:defRPr sz="800" baseline="0">
                <a:latin typeface="Microsoft YaHei"/>
              </a:defRPr>
            </a:pPr>
            <a:endParaRPr lang="en-US"/>
          </a:p>
        </c:txPr>
        <c:crossAx val="50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latin typeface="Microsoft YaHe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84</xdr:row>
      <xdr:rowOff>57150</xdr:rowOff>
    </xdr:from>
    <xdr:to>
      <xdr:col>4</xdr:col>
      <xdr:colOff>609600</xdr:colOff>
      <xdr:row>101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84</xdr:row>
      <xdr:rowOff>57150</xdr:rowOff>
    </xdr:from>
    <xdr:to>
      <xdr:col>11</xdr:col>
      <xdr:colOff>800100</xdr:colOff>
      <xdr:row>101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103</xdr:row>
      <xdr:rowOff>57150</xdr:rowOff>
    </xdr:from>
    <xdr:to>
      <xdr:col>4</xdr:col>
      <xdr:colOff>609600</xdr:colOff>
      <xdr:row>120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103</xdr:row>
      <xdr:rowOff>57150</xdr:rowOff>
    </xdr:from>
    <xdr:to>
      <xdr:col>11</xdr:col>
      <xdr:colOff>800100</xdr:colOff>
      <xdr:row>120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122</xdr:row>
      <xdr:rowOff>57150</xdr:rowOff>
    </xdr:from>
    <xdr:to>
      <xdr:col>4</xdr:col>
      <xdr:colOff>609600</xdr:colOff>
      <xdr:row>139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38100</xdr:colOff>
      <xdr:row>122</xdr:row>
      <xdr:rowOff>57150</xdr:rowOff>
    </xdr:from>
    <xdr:to>
      <xdr:col>11</xdr:col>
      <xdr:colOff>800100</xdr:colOff>
      <xdr:row>139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141</xdr:row>
      <xdr:rowOff>57150</xdr:rowOff>
    </xdr:from>
    <xdr:to>
      <xdr:col>4</xdr:col>
      <xdr:colOff>609600</xdr:colOff>
      <xdr:row>158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C31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3" width="96.7109375" customWidth="1"/>
  </cols>
  <sheetData>
    <row r="1" spans="2:3">
      <c r="B1" s="1" t="s">
        <v>490</v>
      </c>
    </row>
    <row r="2" spans="2:3">
      <c r="B2" s="2" t="s">
        <v>491</v>
      </c>
    </row>
    <row r="4" spans="2:3" ht="30" customHeight="1">
      <c r="B4" s="3" t="s">
        <v>492</v>
      </c>
      <c r="C4" s="4" t="s">
        <v>493</v>
      </c>
    </row>
    <row r="5" spans="2:3" ht="30" customHeight="1">
      <c r="B5" s="3" t="s">
        <v>494</v>
      </c>
      <c r="C5" s="4" t="s">
        <v>495</v>
      </c>
    </row>
    <row r="6" spans="2:3" ht="30" customHeight="1">
      <c r="B6" s="3" t="s">
        <v>496</v>
      </c>
      <c r="C6" s="4" t="s">
        <v>497</v>
      </c>
    </row>
    <row r="7" spans="2:3" ht="30" customHeight="1">
      <c r="B7" s="3" t="s">
        <v>498</v>
      </c>
      <c r="C7" s="4" t="s">
        <v>499</v>
      </c>
    </row>
    <row r="8" spans="2:3" ht="44" customHeight="1">
      <c r="B8" s="3" t="s">
        <v>500</v>
      </c>
      <c r="C8" s="4" t="s">
        <v>501</v>
      </c>
    </row>
    <row r="9" spans="2:3" ht="44" customHeight="1">
      <c r="B9" s="3" t="s">
        <v>502</v>
      </c>
      <c r="C9" s="4" t="s">
        <v>503</v>
      </c>
    </row>
    <row r="10" spans="2:3" ht="44" customHeight="1">
      <c r="B10" s="3" t="s">
        <v>67</v>
      </c>
      <c r="C10" s="4" t="s">
        <v>504</v>
      </c>
    </row>
    <row r="11" spans="2:3" ht="30" customHeight="1">
      <c r="B11" s="3" t="s">
        <v>505</v>
      </c>
      <c r="C11" s="4" t="s">
        <v>506</v>
      </c>
    </row>
    <row r="13" spans="2:3">
      <c r="B13" s="5" t="s">
        <v>507</v>
      </c>
    </row>
    <row r="14" spans="2:3">
      <c r="B14" s="6" t="s">
        <v>508</v>
      </c>
      <c r="C14" s="4" t="s">
        <v>509</v>
      </c>
    </row>
    <row r="15" spans="2:3">
      <c r="B15" s="6" t="s">
        <v>510</v>
      </c>
      <c r="C15" s="4" t="s">
        <v>511</v>
      </c>
    </row>
    <row r="16" spans="2:3">
      <c r="B16" s="6" t="s">
        <v>512</v>
      </c>
      <c r="C16" s="4" t="s">
        <v>513</v>
      </c>
    </row>
    <row r="17" spans="2:3">
      <c r="B17" s="6" t="s">
        <v>514</v>
      </c>
      <c r="C17" s="4" t="s">
        <v>515</v>
      </c>
    </row>
    <row r="18" spans="2:3">
      <c r="B18" s="6" t="s">
        <v>516</v>
      </c>
      <c r="C18" s="4" t="s">
        <v>517</v>
      </c>
    </row>
    <row r="19" spans="2:3">
      <c r="B19" s="6" t="s">
        <v>518</v>
      </c>
      <c r="C19" s="4" t="s">
        <v>519</v>
      </c>
    </row>
    <row r="20" spans="2:3">
      <c r="B20" s="6" t="s">
        <v>520</v>
      </c>
      <c r="C20" s="4" t="s">
        <v>521</v>
      </c>
    </row>
    <row r="21" spans="2:3">
      <c r="B21" s="6" t="s">
        <v>522</v>
      </c>
      <c r="C21" s="4" t="s">
        <v>523</v>
      </c>
    </row>
    <row r="22" spans="2:3">
      <c r="B22" s="6" t="s">
        <v>524</v>
      </c>
      <c r="C22" s="4" t="s">
        <v>525</v>
      </c>
    </row>
    <row r="23" spans="2:3">
      <c r="B23" s="6" t="s">
        <v>526</v>
      </c>
      <c r="C23" s="4" t="s">
        <v>527</v>
      </c>
    </row>
    <row r="24" spans="2:3">
      <c r="B24" s="6" t="s">
        <v>7</v>
      </c>
      <c r="C24" s="4" t="s">
        <v>528</v>
      </c>
    </row>
    <row r="26" spans="2:3">
      <c r="B26" s="5" t="s">
        <v>529</v>
      </c>
    </row>
    <row r="27" spans="2:3">
      <c r="B27" s="7" t="s">
        <v>3</v>
      </c>
      <c r="C27" s="4" t="s">
        <v>530</v>
      </c>
    </row>
    <row r="28" spans="2:3">
      <c r="B28" s="8" t="s">
        <v>4</v>
      </c>
      <c r="C28" s="4" t="s">
        <v>531</v>
      </c>
    </row>
    <row r="29" spans="2:3">
      <c r="B29" s="9" t="s">
        <v>5</v>
      </c>
      <c r="C29" s="4" t="s">
        <v>532</v>
      </c>
    </row>
    <row r="30" spans="2:3">
      <c r="B30" s="10" t="s">
        <v>6</v>
      </c>
      <c r="C30" s="4" t="s">
        <v>533</v>
      </c>
    </row>
    <row r="31" spans="2:3">
      <c r="B31" s="11" t="s">
        <v>7</v>
      </c>
      <c r="C31" s="4" t="s">
        <v>534</v>
      </c>
    </row>
  </sheetData>
  <hyperlinks>
    <hyperlink ref="B14" location="'假设与参数'!A1" display="假设与参数"/>
    <hyperlink ref="B15" location="'分部利润'!A1" display="分部利润"/>
    <hyperlink ref="B16" location="'业务明细'!A1" display="业务明细"/>
    <hyperlink ref="B17" location="'浮存金与现金'!A1" display="浮存金与现金"/>
    <hyperlink ref="B18" location="'现金流节选'!A1" display="现金流节选"/>
    <hyperlink ref="B19" location="'股票组合'!A1" display="股票组合"/>
    <hyperlink ref="B20" location="'回购与每股账面'!A1" display="回购与每股账面"/>
    <hyperlink ref="B21" location="'变化'!A1" display="变化"/>
    <hyperlink ref="B22" location="'网页数字对照'!A1" display="网页数字对照"/>
    <hyperlink ref="B23" location="'出处索引'!A1" display="出处索引"/>
    <hyperlink ref="B24" location="'核对'!A1" display="核对"/>
  </hyperlinks>
  <pageMargins left="0.4" right="0.4" top="0.5" bottom="0.5" header="0.3" footer="0.3"/>
  <pageSetup paperSize="9" fitToHeight="0" orientation="landscape"/>
  <headerFooter>
    <oddFooter>&amp;L&amp;8伯克希尔账本 · 仅供研究，不构成投资建议&amp;R&amp;8&amp;A · 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8"/>
  <sheetViews>
    <sheetView workbookViewId="0"/>
  </sheetViews>
  <sheetFormatPr defaultRowHeight="15"/>
  <cols>
    <col min="1" max="1" width="44.7109375" customWidth="1"/>
    <col min="2" max="2" width="14.7109375" customWidth="1"/>
    <col min="3" max="3" width="10.7109375" customWidth="1"/>
    <col min="4" max="4" width="70.7109375" customWidth="1"/>
  </cols>
  <sheetData>
    <row r="1" spans="1:6">
      <c r="A1" s="1" t="s">
        <v>0</v>
      </c>
    </row>
    <row r="2" spans="1:6">
      <c r="A2" s="2" t="s">
        <v>1</v>
      </c>
    </row>
    <row r="3" spans="1:6">
      <c r="A3" s="12" t="s">
        <v>2</v>
      </c>
      <c r="B3" s="13" t="s">
        <v>3</v>
      </c>
      <c r="C3" s="14" t="s">
        <v>4</v>
      </c>
      <c r="D3" s="15" t="s">
        <v>5</v>
      </c>
      <c r="E3" s="16" t="s">
        <v>6</v>
      </c>
      <c r="F3" s="17" t="s">
        <v>7</v>
      </c>
    </row>
    <row r="5" spans="1:6">
      <c r="A5" s="18" t="s">
        <v>8</v>
      </c>
      <c r="B5" s="19" t="s">
        <v>9</v>
      </c>
      <c r="C5" s="19" t="s">
        <v>10</v>
      </c>
      <c r="D5" s="19" t="s">
        <v>11</v>
      </c>
    </row>
    <row r="6" spans="1:6">
      <c r="A6" s="3" t="s">
        <v>12</v>
      </c>
      <c r="B6" s="20">
        <v>1500</v>
      </c>
      <c r="C6" s="4" t="s">
        <v>13</v>
      </c>
      <c r="D6" s="21" t="s">
        <v>14</v>
      </c>
    </row>
    <row r="7" spans="1:6">
      <c r="A7" s="3" t="s">
        <v>15</v>
      </c>
      <c r="B7" s="22">
        <v>1</v>
      </c>
      <c r="C7" s="4" t="s">
        <v>16</v>
      </c>
      <c r="D7" s="21" t="s">
        <v>17</v>
      </c>
    </row>
    <row r="8" spans="1:6">
      <c r="A8" s="3" t="s">
        <v>18</v>
      </c>
      <c r="B8" s="22">
        <v>-1</v>
      </c>
      <c r="C8" s="4" t="s">
        <v>16</v>
      </c>
      <c r="D8" s="21" t="s">
        <v>19</v>
      </c>
    </row>
    <row r="9" spans="1:6">
      <c r="A9" s="3" t="s">
        <v>20</v>
      </c>
      <c r="B9" s="23">
        <v>0.21</v>
      </c>
      <c r="C9" s="4" t="s">
        <v>16</v>
      </c>
      <c r="D9" s="21" t="s">
        <v>21</v>
      </c>
    </row>
    <row r="10" spans="1:6">
      <c r="A10" s="3" t="s">
        <v>22</v>
      </c>
      <c r="B10" s="20">
        <v>30000</v>
      </c>
      <c r="C10" s="4" t="s">
        <v>13</v>
      </c>
      <c r="D10" s="21" t="s">
        <v>23</v>
      </c>
    </row>
    <row r="12" spans="1:6">
      <c r="A12" s="5" t="s">
        <v>24</v>
      </c>
    </row>
    <row r="13" spans="1:6" ht="30" customHeight="1">
      <c r="A13" s="24" t="s">
        <v>25</v>
      </c>
      <c r="B13" s="24"/>
      <c r="C13" s="24"/>
      <c r="D13" s="24"/>
    </row>
    <row r="14" spans="1:6" ht="30" customHeight="1">
      <c r="A14" s="24" t="s">
        <v>26</v>
      </c>
      <c r="B14" s="24"/>
      <c r="C14" s="24"/>
      <c r="D14" s="24"/>
    </row>
    <row r="15" spans="1:6" ht="30" customHeight="1">
      <c r="A15" s="24" t="s">
        <v>27</v>
      </c>
      <c r="B15" s="24"/>
      <c r="C15" s="24"/>
      <c r="D15" s="24"/>
    </row>
    <row r="16" spans="1:6" ht="30" customHeight="1">
      <c r="A16" s="24" t="s">
        <v>28</v>
      </c>
      <c r="B16" s="24"/>
      <c r="C16" s="24"/>
      <c r="D16" s="24"/>
    </row>
    <row r="17" spans="1:4" ht="30" customHeight="1">
      <c r="A17" s="24" t="s">
        <v>29</v>
      </c>
      <c r="B17" s="24"/>
      <c r="C17" s="24"/>
      <c r="D17" s="24"/>
    </row>
    <row r="18" spans="1:4" ht="30" customHeight="1">
      <c r="A18" s="24" t="s">
        <v>30</v>
      </c>
      <c r="B18" s="24"/>
      <c r="C18" s="24"/>
      <c r="D18" s="24"/>
    </row>
  </sheetData>
  <mergeCells count="6">
    <mergeCell ref="A13:D13"/>
    <mergeCell ref="A14:D14"/>
    <mergeCell ref="A15:D15"/>
    <mergeCell ref="A16:D16"/>
    <mergeCell ref="A17:D17"/>
    <mergeCell ref="A18:D18"/>
  </mergeCells>
  <pageMargins left="0.4" right="0.4" top="0.5" bottom="0.5" header="0.3" footer="0.3"/>
  <pageSetup paperSize="9" fitToHeight="0" orientation="landscape"/>
  <headerFooter>
    <oddFooter>&amp;L&amp;8伯克希尔账本 · 仅供研究，不构成投资建议&amp;R&amp;8&amp;A · 第 &amp;P 页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46.7109375" customWidth="1"/>
    <col min="2" max="8" width="13.28515625" customWidth="1"/>
    <col min="9" max="9" width="16.7109375" customWidth="1"/>
    <col min="10" max="10" width="72.7109375" customWidth="1"/>
  </cols>
  <sheetData>
    <row r="1" spans="1:10">
      <c r="A1" s="1" t="s">
        <v>31</v>
      </c>
    </row>
    <row r="2" spans="1:10">
      <c r="A2" s="2" t="s">
        <v>32</v>
      </c>
    </row>
    <row r="3" spans="1:10">
      <c r="A3" s="12" t="s">
        <v>2</v>
      </c>
      <c r="B3" s="13" t="s">
        <v>3</v>
      </c>
      <c r="C3" s="14" t="s">
        <v>4</v>
      </c>
      <c r="D3" s="15" t="s">
        <v>5</v>
      </c>
      <c r="E3" s="16" t="s">
        <v>6</v>
      </c>
      <c r="F3" s="17" t="s">
        <v>7</v>
      </c>
    </row>
    <row r="5" spans="1:10" ht="46" customHeight="1">
      <c r="A5" s="18" t="s">
        <v>33</v>
      </c>
      <c r="B5" s="19" t="s">
        <v>34</v>
      </c>
      <c r="C5" s="19" t="s">
        <v>35</v>
      </c>
      <c r="D5" s="19" t="s">
        <v>36</v>
      </c>
      <c r="E5" s="19" t="s">
        <v>37</v>
      </c>
      <c r="F5" s="19" t="s">
        <v>38</v>
      </c>
      <c r="G5" s="19" t="s">
        <v>39</v>
      </c>
      <c r="H5" s="19" t="s">
        <v>40</v>
      </c>
      <c r="I5" s="19" t="s">
        <v>41</v>
      </c>
      <c r="J5" s="19" t="s">
        <v>42</v>
      </c>
    </row>
    <row r="6" spans="1:10">
      <c r="A6" s="4" t="s">
        <v>43</v>
      </c>
      <c r="B6" s="25">
        <v>870</v>
      </c>
      <c r="C6" s="25">
        <v>-30</v>
      </c>
      <c r="D6" s="25">
        <v>5428</v>
      </c>
      <c r="E6" s="25">
        <v>9020</v>
      </c>
      <c r="F6" s="25">
        <v>7258</v>
      </c>
      <c r="G6" s="25">
        <v>3328</v>
      </c>
      <c r="H6" s="25">
        <v>3448</v>
      </c>
      <c r="I6" s="26">
        <f>H6*(1+A_h2)</f>
        <v>6896</v>
      </c>
      <c r="J6" s="21" t="s">
        <v>44</v>
      </c>
    </row>
    <row r="7" spans="1:10">
      <c r="A7" s="4" t="s">
        <v>45</v>
      </c>
      <c r="B7" s="25">
        <v>4807</v>
      </c>
      <c r="C7" s="25">
        <v>6484</v>
      </c>
      <c r="D7" s="25">
        <v>9567</v>
      </c>
      <c r="E7" s="25">
        <v>13670</v>
      </c>
      <c r="F7" s="25">
        <v>12513</v>
      </c>
      <c r="G7" s="25">
        <v>6260</v>
      </c>
      <c r="H7" s="25">
        <v>5738</v>
      </c>
      <c r="I7" s="26">
        <f>H7*(1+A_h2)</f>
        <v>11476</v>
      </c>
      <c r="J7" s="21" t="s">
        <v>44</v>
      </c>
    </row>
    <row r="8" spans="1:10">
      <c r="A8" s="4" t="s">
        <v>46</v>
      </c>
      <c r="B8" s="25">
        <v>5990</v>
      </c>
      <c r="C8" s="25">
        <v>5946</v>
      </c>
      <c r="D8" s="25">
        <v>5087</v>
      </c>
      <c r="E8" s="25">
        <v>5031</v>
      </c>
      <c r="F8" s="25">
        <v>5476</v>
      </c>
      <c r="G8" s="25">
        <v>2680</v>
      </c>
      <c r="H8" s="25">
        <v>2935</v>
      </c>
      <c r="I8" s="26">
        <f>H8*(1+A_h2)</f>
        <v>5870</v>
      </c>
      <c r="J8" s="21" t="s">
        <v>44</v>
      </c>
    </row>
    <row r="9" spans="1:10">
      <c r="A9" s="4" t="s">
        <v>47</v>
      </c>
      <c r="B9" s="25">
        <v>3572</v>
      </c>
      <c r="C9" s="25">
        <v>3904</v>
      </c>
      <c r="D9" s="25">
        <v>2331</v>
      </c>
      <c r="E9" s="25">
        <v>3730</v>
      </c>
      <c r="F9" s="25">
        <v>3979</v>
      </c>
      <c r="G9" s="25">
        <v>1799</v>
      </c>
      <c r="H9" s="25">
        <v>2005</v>
      </c>
      <c r="I9" s="26">
        <f>H9*(1+A_h2)</f>
        <v>4010</v>
      </c>
      <c r="J9" s="21" t="s">
        <v>44</v>
      </c>
    </row>
    <row r="10" spans="1:10">
      <c r="A10" s="4" t="s">
        <v>48</v>
      </c>
      <c r="B10" s="25">
        <v>11120</v>
      </c>
      <c r="C10" s="25">
        <v>12512</v>
      </c>
      <c r="D10" s="25">
        <v>13362</v>
      </c>
      <c r="E10" s="25">
        <v>13072</v>
      </c>
      <c r="F10" s="25">
        <v>13647</v>
      </c>
      <c r="G10" s="25">
        <v>6661</v>
      </c>
      <c r="H10" s="25">
        <v>7669</v>
      </c>
      <c r="I10" s="26">
        <f>H10*(1+A_h2)</f>
        <v>15338</v>
      </c>
      <c r="J10" s="21" t="s">
        <v>44</v>
      </c>
    </row>
    <row r="11" spans="1:10">
      <c r="A11" s="4" t="s">
        <v>49</v>
      </c>
      <c r="B11" s="27">
        <f>B23+B24</f>
        <v>1238</v>
      </c>
      <c r="C11" s="27">
        <f>C23+C24</f>
        <v>2037</v>
      </c>
      <c r="D11" s="25">
        <v>1575</v>
      </c>
      <c r="E11" s="25">
        <v>2914</v>
      </c>
      <c r="F11" s="25">
        <v>1613</v>
      </c>
      <c r="G11" s="25">
        <v>73</v>
      </c>
      <c r="H11" s="25">
        <v>2534</v>
      </c>
      <c r="I11" s="26">
        <f>H11*(1+A_h2)</f>
        <v>5068</v>
      </c>
      <c r="J11" s="21" t="s">
        <v>50</v>
      </c>
    </row>
    <row r="12" spans="1:10">
      <c r="A12" s="3" t="s">
        <v>51</v>
      </c>
      <c r="B12" s="28">
        <f>SUM(B6:B11)</f>
        <v>27597</v>
      </c>
      <c r="C12" s="28">
        <f>SUM(C6:C11)</f>
        <v>30853</v>
      </c>
      <c r="D12" s="28">
        <f>SUM(D6:D11)</f>
        <v>37350</v>
      </c>
      <c r="E12" s="28">
        <f>SUM(E6:E11)</f>
        <v>47437</v>
      </c>
      <c r="F12" s="28">
        <f>SUM(F6:F11)</f>
        <v>44486</v>
      </c>
      <c r="G12" s="28">
        <f>SUM(G6:G11)</f>
        <v>20801</v>
      </c>
      <c r="H12" s="28">
        <f>SUM(H6:H11)</f>
        <v>24329</v>
      </c>
      <c r="I12" s="29">
        <f>H12*(1+A_h2)</f>
        <v>48658</v>
      </c>
      <c r="J12" s="21" t="s">
        <v>52</v>
      </c>
    </row>
    <row r="13" spans="1:10">
      <c r="A13" s="4" t="s">
        <v>53</v>
      </c>
      <c r="B13" s="25">
        <v>62340</v>
      </c>
      <c r="C13" s="25">
        <v>-53612</v>
      </c>
      <c r="D13" s="25">
        <v>58873</v>
      </c>
      <c r="E13" s="25">
        <v>41558</v>
      </c>
      <c r="F13" s="25">
        <v>30737</v>
      </c>
      <c r="G13" s="25">
        <v>-68</v>
      </c>
      <c r="H13" s="25">
        <v>11444</v>
      </c>
      <c r="J13" s="21" t="s">
        <v>44</v>
      </c>
    </row>
    <row r="14" spans="1:10">
      <c r="A14" s="4" t="s">
        <v>54</v>
      </c>
      <c r="B14" s="25">
        <v>0</v>
      </c>
      <c r="C14" s="25">
        <v>0</v>
      </c>
      <c r="D14" s="25">
        <v>0</v>
      </c>
      <c r="E14" s="25">
        <v>0</v>
      </c>
      <c r="F14" s="25">
        <v>-8255</v>
      </c>
      <c r="G14" s="25">
        <v>-3760</v>
      </c>
      <c r="H14" s="25">
        <v>0</v>
      </c>
      <c r="J14" s="21" t="s">
        <v>55</v>
      </c>
    </row>
    <row r="15" spans="1:10">
      <c r="A15" s="3" t="s">
        <v>56</v>
      </c>
      <c r="B15" s="28">
        <f>B12+B13+B14</f>
        <v>89937</v>
      </c>
      <c r="C15" s="28">
        <f>C12+C13+C14</f>
        <v>-22759</v>
      </c>
      <c r="D15" s="28">
        <f>D12+D13+D14</f>
        <v>96223</v>
      </c>
      <c r="E15" s="28">
        <f>E12+E13+E14</f>
        <v>88995</v>
      </c>
      <c r="F15" s="28">
        <f>F12+F13+F14</f>
        <v>66968</v>
      </c>
      <c r="G15" s="28">
        <f>G12+G13+G14</f>
        <v>16973</v>
      </c>
      <c r="H15" s="28">
        <f>H12+H13+H14</f>
        <v>35773</v>
      </c>
      <c r="J15" s="21" t="s">
        <v>5</v>
      </c>
    </row>
    <row r="16" spans="1:10">
      <c r="A16" s="30" t="s">
        <v>57</v>
      </c>
      <c r="B16" s="25">
        <v>89937</v>
      </c>
      <c r="C16" s="25">
        <v>-22759</v>
      </c>
      <c r="D16" s="25">
        <v>96223</v>
      </c>
      <c r="E16" s="25">
        <v>88995</v>
      </c>
      <c r="F16" s="25">
        <v>66968</v>
      </c>
      <c r="G16" s="25">
        <v>16973</v>
      </c>
      <c r="H16" s="25">
        <v>35773</v>
      </c>
      <c r="J16" s="21" t="s">
        <v>58</v>
      </c>
    </row>
    <row r="17" spans="1:10">
      <c r="A17" s="30" t="s">
        <v>59</v>
      </c>
      <c r="B17" s="31">
        <f>B15-B16</f>
        <v>0</v>
      </c>
      <c r="C17" s="31">
        <f>C15-C16</f>
        <v>0</v>
      </c>
      <c r="D17" s="31">
        <f>D15-D16</f>
        <v>0</v>
      </c>
      <c r="E17" s="31">
        <f>E15-E16</f>
        <v>0</v>
      </c>
      <c r="F17" s="31">
        <f>F15-F16</f>
        <v>0</v>
      </c>
      <c r="G17" s="31">
        <f>G15-G16</f>
        <v>0</v>
      </c>
      <c r="H17" s="31">
        <f>H15-H16</f>
        <v>0</v>
      </c>
    </row>
    <row r="18" spans="1:10">
      <c r="A18" s="30" t="s">
        <v>60</v>
      </c>
      <c r="B18" s="32" t="s">
        <v>61</v>
      </c>
      <c r="C18" s="25">
        <v>30853</v>
      </c>
      <c r="D18" s="25">
        <v>37350</v>
      </c>
      <c r="E18" s="25">
        <v>47437</v>
      </c>
      <c r="F18" s="32" t="s">
        <v>61</v>
      </c>
      <c r="G18" s="25">
        <v>20801</v>
      </c>
      <c r="H18" s="25">
        <v>24329</v>
      </c>
      <c r="J18" s="21" t="s">
        <v>62</v>
      </c>
    </row>
    <row r="19" spans="1:10">
      <c r="A19" s="30" t="s">
        <v>63</v>
      </c>
      <c r="B19" s="33">
        <v>27.6</v>
      </c>
      <c r="C19" s="32"/>
      <c r="D19" s="32"/>
      <c r="E19" s="32"/>
      <c r="F19" s="33">
        <v>44.5</v>
      </c>
      <c r="G19" s="32"/>
      <c r="H19" s="32"/>
      <c r="J19" s="21" t="s">
        <v>64</v>
      </c>
    </row>
    <row r="20" spans="1:10">
      <c r="A20" s="30" t="s">
        <v>65</v>
      </c>
      <c r="B20" s="34">
        <f>ROUND(B12/1000,1)-B19</f>
        <v>0</v>
      </c>
      <c r="C20" s="31">
        <f>C12-C18</f>
        <v>0</v>
      </c>
      <c r="D20" s="31">
        <f>D12-D18</f>
        <v>0</v>
      </c>
      <c r="E20" s="31">
        <f>E12-E18</f>
        <v>0</v>
      </c>
      <c r="F20" s="34">
        <f>ROUND(F12/1000,1)-F19</f>
        <v>0</v>
      </c>
      <c r="G20" s="31">
        <f>G12-G18</f>
        <v>0</v>
      </c>
      <c r="H20" s="31">
        <f>H12-H18</f>
        <v>0</v>
      </c>
    </row>
    <row r="21" spans="1:10">
      <c r="A21" s="5" t="s">
        <v>66</v>
      </c>
    </row>
    <row r="22" spans="1:10">
      <c r="A22" s="18" t="s">
        <v>33</v>
      </c>
      <c r="B22" s="19" t="s">
        <v>34</v>
      </c>
      <c r="C22" s="19" t="s">
        <v>35</v>
      </c>
      <c r="D22" s="19" t="s">
        <v>36</v>
      </c>
      <c r="E22" s="19" t="s">
        <v>37</v>
      </c>
      <c r="F22" s="19" t="s">
        <v>38</v>
      </c>
      <c r="G22" s="19" t="s">
        <v>39</v>
      </c>
      <c r="H22" s="19" t="s">
        <v>40</v>
      </c>
      <c r="I22" s="19" t="s">
        <v>67</v>
      </c>
    </row>
    <row r="23" spans="1:10">
      <c r="A23" s="4" t="s">
        <v>68</v>
      </c>
      <c r="B23" s="25">
        <v>804</v>
      </c>
      <c r="C23" s="25">
        <v>1528</v>
      </c>
      <c r="D23" s="32"/>
      <c r="E23" s="32"/>
      <c r="F23" s="32"/>
      <c r="G23" s="32"/>
      <c r="H23" s="32"/>
      <c r="J23" s="21" t="s">
        <v>69</v>
      </c>
    </row>
    <row r="24" spans="1:10">
      <c r="A24" s="4" t="s">
        <v>70</v>
      </c>
      <c r="B24" s="25">
        <v>434</v>
      </c>
      <c r="C24" s="25">
        <v>509</v>
      </c>
      <c r="D24" s="32"/>
      <c r="E24" s="32"/>
      <c r="F24" s="32"/>
      <c r="G24" s="32"/>
      <c r="H24" s="32"/>
      <c r="J24" s="21" t="s">
        <v>69</v>
      </c>
    </row>
    <row r="26" spans="1:10">
      <c r="A26" s="5" t="s">
        <v>71</v>
      </c>
    </row>
    <row r="27" spans="1:10">
      <c r="A27" s="18" t="s">
        <v>33</v>
      </c>
      <c r="B27" s="19" t="s">
        <v>34</v>
      </c>
      <c r="C27" s="19" t="s">
        <v>35</v>
      </c>
      <c r="D27" s="19" t="s">
        <v>36</v>
      </c>
      <c r="E27" s="19" t="s">
        <v>37</v>
      </c>
      <c r="F27" s="19" t="s">
        <v>38</v>
      </c>
      <c r="G27" s="19" t="s">
        <v>39</v>
      </c>
      <c r="H27" s="19" t="s">
        <v>40</v>
      </c>
      <c r="I27" s="19" t="s">
        <v>67</v>
      </c>
    </row>
    <row r="28" spans="1:10">
      <c r="A28" s="4" t="s">
        <v>72</v>
      </c>
      <c r="B28" s="32"/>
      <c r="C28" s="32"/>
      <c r="D28" s="25">
        <v>959</v>
      </c>
      <c r="E28" s="25">
        <v>1445</v>
      </c>
      <c r="F28" s="25">
        <v>3566</v>
      </c>
      <c r="G28" s="25">
        <v>1735</v>
      </c>
      <c r="H28" s="25">
        <v>1924</v>
      </c>
      <c r="J28" s="21" t="s">
        <v>73</v>
      </c>
    </row>
    <row r="29" spans="1:10">
      <c r="A29" s="4" t="s">
        <v>74</v>
      </c>
      <c r="B29" s="32"/>
      <c r="C29" s="32"/>
      <c r="D29" s="25">
        <v>211</v>
      </c>
      <c r="E29" s="25">
        <v>1151</v>
      </c>
      <c r="F29" s="25">
        <v>-642</v>
      </c>
      <c r="G29" s="25">
        <v>-1590</v>
      </c>
      <c r="H29" s="25">
        <v>575</v>
      </c>
      <c r="J29" s="21" t="s">
        <v>73</v>
      </c>
    </row>
    <row r="30" spans="1:10">
      <c r="A30" s="4" t="s">
        <v>75</v>
      </c>
      <c r="B30" s="32"/>
      <c r="C30" s="32"/>
      <c r="D30" s="25">
        <v>0</v>
      </c>
      <c r="E30" s="25">
        <v>-399</v>
      </c>
      <c r="F30" s="25">
        <v>-1555</v>
      </c>
      <c r="G30" s="25">
        <v>0</v>
      </c>
      <c r="H30" s="25">
        <v>0</v>
      </c>
      <c r="J30" s="21" t="s">
        <v>76</v>
      </c>
    </row>
    <row r="31" spans="1:10">
      <c r="A31" s="4" t="s">
        <v>77</v>
      </c>
      <c r="B31" s="32"/>
      <c r="C31" s="32"/>
      <c r="D31" s="25">
        <v>1750</v>
      </c>
      <c r="E31" s="25">
        <v>1519</v>
      </c>
      <c r="F31" s="25">
        <v>900</v>
      </c>
      <c r="G31" s="25">
        <v>300</v>
      </c>
      <c r="H31" s="25">
        <v>366</v>
      </c>
      <c r="J31" s="21" t="s">
        <v>73</v>
      </c>
    </row>
    <row r="32" spans="1:10">
      <c r="A32" s="4" t="s">
        <v>78</v>
      </c>
      <c r="B32" s="32"/>
      <c r="C32" s="32"/>
      <c r="D32" s="25">
        <v>-693</v>
      </c>
      <c r="E32" s="25">
        <v>-531</v>
      </c>
      <c r="F32" s="25">
        <v>-528</v>
      </c>
      <c r="G32" s="25">
        <v>-248</v>
      </c>
      <c r="H32" s="25">
        <v>-227</v>
      </c>
      <c r="J32" s="21" t="s">
        <v>73</v>
      </c>
    </row>
    <row r="33" spans="1:10">
      <c r="A33" s="4" t="s">
        <v>79</v>
      </c>
      <c r="B33" s="32"/>
      <c r="C33" s="32"/>
      <c r="D33" s="25">
        <v>-652</v>
      </c>
      <c r="E33" s="25">
        <v>-271</v>
      </c>
      <c r="F33" s="25">
        <v>-128</v>
      </c>
      <c r="G33" s="25">
        <v>-124</v>
      </c>
      <c r="H33" s="25">
        <v>-104</v>
      </c>
      <c r="J33" s="21" t="s">
        <v>73</v>
      </c>
    </row>
    <row r="34" spans="1:10">
      <c r="A34" s="3" t="s">
        <v>80</v>
      </c>
      <c r="B34" s="32"/>
      <c r="C34" s="32"/>
      <c r="D34" s="28">
        <f>SUM(D28:D33)</f>
        <v>1575</v>
      </c>
      <c r="E34" s="28">
        <f>SUM(E28:E33)</f>
        <v>2914</v>
      </c>
      <c r="F34" s="28">
        <f>SUM(F28:F33)</f>
        <v>1613</v>
      </c>
      <c r="G34" s="28">
        <f>SUM(G28:G33)</f>
        <v>73</v>
      </c>
      <c r="H34" s="28">
        <f>SUM(H28:H33)</f>
        <v>2534</v>
      </c>
    </row>
    <row r="35" spans="1:10">
      <c r="A35" s="30" t="s">
        <v>81</v>
      </c>
      <c r="B35" s="32"/>
      <c r="C35" s="32"/>
      <c r="D35" s="31">
        <f>D34-D11</f>
        <v>0</v>
      </c>
      <c r="E35" s="31">
        <f>E34-E11</f>
        <v>0</v>
      </c>
      <c r="F35" s="31">
        <f>F34-F11</f>
        <v>0</v>
      </c>
      <c r="G35" s="31">
        <f>G34-G11</f>
        <v>0</v>
      </c>
      <c r="H35" s="31">
        <f>H34-H11</f>
        <v>0</v>
      </c>
    </row>
    <row r="37" spans="1:10">
      <c r="A37" s="5" t="s">
        <v>82</v>
      </c>
    </row>
    <row r="38" spans="1:10">
      <c r="A38" s="18" t="s">
        <v>33</v>
      </c>
      <c r="B38" s="19" t="s">
        <v>34</v>
      </c>
      <c r="C38" s="19" t="s">
        <v>35</v>
      </c>
      <c r="D38" s="19" t="s">
        <v>36</v>
      </c>
      <c r="E38" s="19" t="s">
        <v>37</v>
      </c>
      <c r="F38" s="19" t="s">
        <v>38</v>
      </c>
      <c r="G38" s="19" t="s">
        <v>39</v>
      </c>
      <c r="H38" s="19" t="s">
        <v>40</v>
      </c>
      <c r="I38" s="19" t="s">
        <v>83</v>
      </c>
    </row>
    <row r="39" spans="1:10">
      <c r="A39" s="3" t="s">
        <v>84</v>
      </c>
      <c r="B39" s="32"/>
      <c r="C39" s="32"/>
      <c r="D39" s="28">
        <f>D7+D28</f>
        <v>10526</v>
      </c>
      <c r="E39" s="28">
        <f>E7+E28</f>
        <v>15115</v>
      </c>
      <c r="F39" s="28">
        <f>F7+F28</f>
        <v>16079</v>
      </c>
      <c r="G39" s="28">
        <f>G7+G28</f>
        <v>7995</v>
      </c>
      <c r="H39" s="28">
        <f>H7+H28</f>
        <v>7662</v>
      </c>
      <c r="J39" s="21" t="s">
        <v>85</v>
      </c>
    </row>
  </sheetData>
  <pageMargins left="0.4" right="0.4" top="0.5" bottom="0.5" header="0.3" footer="0.3"/>
  <pageSetup paperSize="9" fitToHeight="0" orientation="landscape"/>
  <headerFooter>
    <oddFooter>&amp;L&amp;8伯克希尔账本 · 仅供研究，不构成投资建议&amp;R&amp;8&amp;A · 第 &amp;P 页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6.7109375" customWidth="1"/>
    <col min="2" max="8" width="13.28515625" customWidth="1"/>
    <col min="9" max="9" width="70.7109375" customWidth="1"/>
  </cols>
  <sheetData>
    <row r="1" spans="1:9">
      <c r="A1" s="1" t="s">
        <v>86</v>
      </c>
    </row>
    <row r="2" spans="1:9">
      <c r="A2" s="2" t="s">
        <v>87</v>
      </c>
    </row>
    <row r="3" spans="1:9">
      <c r="A3" s="12" t="s">
        <v>2</v>
      </c>
      <c r="B3" s="13" t="s">
        <v>3</v>
      </c>
      <c r="C3" s="14" t="s">
        <v>4</v>
      </c>
      <c r="D3" s="15" t="s">
        <v>5</v>
      </c>
      <c r="E3" s="16" t="s">
        <v>6</v>
      </c>
      <c r="F3" s="17" t="s">
        <v>7</v>
      </c>
    </row>
    <row r="5" spans="1:9">
      <c r="A5" s="5" t="s">
        <v>88</v>
      </c>
    </row>
    <row r="6" spans="1:9" ht="28" customHeight="1">
      <c r="A6" s="18" t="s">
        <v>33</v>
      </c>
      <c r="B6" s="19" t="s">
        <v>34</v>
      </c>
      <c r="C6" s="19" t="s">
        <v>35</v>
      </c>
      <c r="D6" s="19" t="s">
        <v>36</v>
      </c>
      <c r="E6" s="19" t="s">
        <v>37</v>
      </c>
      <c r="F6" s="19" t="s">
        <v>38</v>
      </c>
      <c r="G6" s="19" t="s">
        <v>39</v>
      </c>
      <c r="H6" s="19" t="s">
        <v>40</v>
      </c>
      <c r="I6" s="19" t="s">
        <v>42</v>
      </c>
    </row>
    <row r="7" spans="1:9">
      <c r="A7" s="4" t="s">
        <v>89</v>
      </c>
      <c r="B7" s="25">
        <v>1259</v>
      </c>
      <c r="C7" s="25">
        <v>-1880</v>
      </c>
      <c r="D7" s="25">
        <v>3635</v>
      </c>
      <c r="E7" s="25">
        <v>7813</v>
      </c>
      <c r="F7" s="25">
        <v>6824</v>
      </c>
      <c r="G7" s="25">
        <v>3994</v>
      </c>
      <c r="H7" s="25">
        <v>2410</v>
      </c>
      <c r="I7" s="21" t="s">
        <v>90</v>
      </c>
    </row>
    <row r="8" spans="1:9">
      <c r="A8" s="4" t="s">
        <v>91</v>
      </c>
      <c r="B8" s="25">
        <v>607</v>
      </c>
      <c r="C8" s="25">
        <v>393</v>
      </c>
      <c r="D8" s="25">
        <v>1374</v>
      </c>
      <c r="E8" s="25">
        <v>855</v>
      </c>
      <c r="F8" s="25">
        <v>785</v>
      </c>
      <c r="G8" s="25">
        <v>-81</v>
      </c>
      <c r="H8" s="25">
        <v>749</v>
      </c>
      <c r="I8" s="21" t="s">
        <v>90</v>
      </c>
    </row>
    <row r="9" spans="1:9">
      <c r="A9" s="4" t="s">
        <v>92</v>
      </c>
      <c r="B9" s="25">
        <v>-755</v>
      </c>
      <c r="C9" s="25">
        <v>1465</v>
      </c>
      <c r="D9" s="25">
        <v>1904</v>
      </c>
      <c r="E9" s="25">
        <v>2737</v>
      </c>
      <c r="F9" s="25">
        <v>1851</v>
      </c>
      <c r="G9" s="25">
        <v>343</v>
      </c>
      <c r="H9" s="25">
        <v>1286</v>
      </c>
      <c r="I9" s="21" t="s">
        <v>90</v>
      </c>
    </row>
    <row r="10" spans="1:9">
      <c r="A10" s="3" t="s">
        <v>93</v>
      </c>
      <c r="B10" s="28">
        <f>SUM(B7:B9)</f>
        <v>1111</v>
      </c>
      <c r="C10" s="28">
        <f>SUM(C7:C9)</f>
        <v>-22</v>
      </c>
      <c r="D10" s="28">
        <f>SUM(D7:D9)</f>
        <v>6913</v>
      </c>
      <c r="E10" s="28">
        <f>SUM(E7:E9)</f>
        <v>11405</v>
      </c>
      <c r="F10" s="28">
        <f>SUM(F7:F9)</f>
        <v>9460</v>
      </c>
      <c r="G10" s="28">
        <f>SUM(G7:G9)</f>
        <v>4256</v>
      </c>
      <c r="H10" s="28">
        <f>SUM(H7:H9)</f>
        <v>4445</v>
      </c>
    </row>
    <row r="11" spans="1:9">
      <c r="A11" s="30" t="s">
        <v>94</v>
      </c>
      <c r="B11" s="25">
        <v>1111</v>
      </c>
      <c r="C11" s="25">
        <v>-22</v>
      </c>
      <c r="D11" s="25">
        <v>6913</v>
      </c>
      <c r="E11" s="25">
        <v>11405</v>
      </c>
      <c r="F11" s="25">
        <v>9460</v>
      </c>
      <c r="G11" s="25">
        <v>4256</v>
      </c>
      <c r="H11" s="25">
        <v>4445</v>
      </c>
      <c r="I11" s="21" t="s">
        <v>90</v>
      </c>
    </row>
    <row r="12" spans="1:9">
      <c r="A12" s="30" t="s">
        <v>59</v>
      </c>
      <c r="B12" s="31">
        <f>B10-B11</f>
        <v>0</v>
      </c>
      <c r="C12" s="31">
        <f>C10-C11</f>
        <v>0</v>
      </c>
      <c r="D12" s="31">
        <f>D10-D11</f>
        <v>0</v>
      </c>
      <c r="E12" s="31">
        <f>E10-E11</f>
        <v>0</v>
      </c>
      <c r="F12" s="31">
        <f>F10-F11</f>
        <v>0</v>
      </c>
      <c r="G12" s="31">
        <f>G10-G11</f>
        <v>0</v>
      </c>
      <c r="H12" s="31">
        <f>H10-H11</f>
        <v>0</v>
      </c>
    </row>
    <row r="14" spans="1:9">
      <c r="A14" s="5" t="s">
        <v>95</v>
      </c>
    </row>
    <row r="15" spans="1:9" ht="28" customHeight="1">
      <c r="A15" s="18" t="s">
        <v>33</v>
      </c>
      <c r="B15" s="19" t="s">
        <v>34</v>
      </c>
      <c r="C15" s="19" t="s">
        <v>35</v>
      </c>
      <c r="D15" s="19" t="s">
        <v>36</v>
      </c>
      <c r="E15" s="19" t="s">
        <v>37</v>
      </c>
      <c r="F15" s="19" t="s">
        <v>38</v>
      </c>
      <c r="G15" s="19" t="s">
        <v>39</v>
      </c>
      <c r="H15" s="19" t="s">
        <v>40</v>
      </c>
      <c r="I15" s="19" t="s">
        <v>42</v>
      </c>
    </row>
    <row r="16" spans="1:9">
      <c r="A16" s="4" t="s">
        <v>96</v>
      </c>
      <c r="B16" s="25">
        <v>37706</v>
      </c>
      <c r="C16" s="25">
        <v>38984</v>
      </c>
      <c r="D16" s="25">
        <v>39264</v>
      </c>
      <c r="E16" s="25">
        <v>42252</v>
      </c>
      <c r="F16" s="25">
        <v>44481</v>
      </c>
      <c r="G16" s="25">
        <v>21816</v>
      </c>
      <c r="H16" s="25">
        <v>22477</v>
      </c>
      <c r="I16" s="21" t="s">
        <v>97</v>
      </c>
    </row>
    <row r="17" spans="1:9">
      <c r="A17" s="4" t="s">
        <v>98</v>
      </c>
      <c r="B17" s="25">
        <v>30999</v>
      </c>
      <c r="C17" s="25">
        <v>36297</v>
      </c>
      <c r="D17" s="25">
        <v>31814</v>
      </c>
      <c r="E17" s="25">
        <v>30331</v>
      </c>
      <c r="F17" s="25">
        <v>32144</v>
      </c>
      <c r="G17" s="25">
        <v>15369</v>
      </c>
      <c r="H17" s="25">
        <v>16921</v>
      </c>
      <c r="I17" s="21" t="s">
        <v>97</v>
      </c>
    </row>
    <row r="18" spans="1:9">
      <c r="A18" s="4" t="s">
        <v>99</v>
      </c>
      <c r="B18" s="25">
        <v>5448</v>
      </c>
      <c r="C18" s="25">
        <v>4567</v>
      </c>
      <c r="D18" s="25">
        <v>3815</v>
      </c>
      <c r="E18" s="25">
        <v>4108</v>
      </c>
      <c r="F18" s="25">
        <v>5513</v>
      </c>
      <c r="G18" s="25">
        <v>2453</v>
      </c>
      <c r="H18" s="25">
        <v>3146</v>
      </c>
      <c r="I18" s="21" t="s">
        <v>97</v>
      </c>
    </row>
    <row r="19" spans="1:9">
      <c r="A19" s="4" t="s">
        <v>100</v>
      </c>
      <c r="B19" s="35">
        <f>B17/B16</f>
        <v>0.822123799925741</v>
      </c>
      <c r="C19" s="35">
        <f>C17/C16</f>
        <v>0.931074286886928</v>
      </c>
      <c r="D19" s="35">
        <f>D17/D16</f>
        <v>0.810258761206194</v>
      </c>
      <c r="E19" s="35">
        <f>E17/E16</f>
        <v>0.717859509609013</v>
      </c>
      <c r="F19" s="35">
        <f>F17/F16</f>
        <v>0.722645623974281</v>
      </c>
      <c r="G19" s="35">
        <f>G17/G16</f>
        <v>0.70448294829483</v>
      </c>
      <c r="H19" s="35">
        <f>H17/H16</f>
        <v>0.752813987631801</v>
      </c>
    </row>
    <row r="20" spans="1:9">
      <c r="A20" s="4" t="s">
        <v>101</v>
      </c>
      <c r="B20" s="35">
        <f>B18/B16</f>
        <v>0.144486288654326</v>
      </c>
      <c r="C20" s="35">
        <f>C18/C16</f>
        <v>0.117150625897804</v>
      </c>
      <c r="D20" s="35">
        <f>D18/D16</f>
        <v>0.0971627954360228</v>
      </c>
      <c r="E20" s="35">
        <f>E18/E16</f>
        <v>0.0972261668086718</v>
      </c>
      <c r="F20" s="35">
        <f>F18/F16</f>
        <v>0.123940558890313</v>
      </c>
      <c r="G20" s="35">
        <f>G18/G16</f>
        <v>0.112440410707737</v>
      </c>
      <c r="H20" s="35">
        <f>H18/H16</f>
        <v>0.139965297860035</v>
      </c>
    </row>
    <row r="21" spans="1:9">
      <c r="A21" s="3" t="s">
        <v>102</v>
      </c>
      <c r="B21" s="36">
        <f>B19+B20</f>
        <v>0.966610088580067</v>
      </c>
      <c r="C21" s="36">
        <f>C19+C20</f>
        <v>1.04822491278473</v>
      </c>
      <c r="D21" s="36">
        <f>D19+D20</f>
        <v>0.907421556642217</v>
      </c>
      <c r="E21" s="36">
        <f>E19+E20</f>
        <v>0.815085676417684</v>
      </c>
      <c r="F21" s="36">
        <f>F19+F20</f>
        <v>0.846586182864594</v>
      </c>
      <c r="G21" s="36">
        <f>G19+G20</f>
        <v>0.816923359002567</v>
      </c>
      <c r="H21" s="36">
        <f>H19+H20</f>
        <v>0.892779285491836</v>
      </c>
    </row>
    <row r="23" spans="1:9">
      <c r="A23" s="5" t="s">
        <v>103</v>
      </c>
    </row>
    <row r="24" spans="1:9" ht="28" customHeight="1">
      <c r="A24" s="18" t="s">
        <v>33</v>
      </c>
      <c r="B24" s="19" t="s">
        <v>34</v>
      </c>
      <c r="C24" s="19" t="s">
        <v>35</v>
      </c>
      <c r="D24" s="19" t="s">
        <v>36</v>
      </c>
      <c r="E24" s="19" t="s">
        <v>37</v>
      </c>
      <c r="F24" s="19" t="s">
        <v>38</v>
      </c>
      <c r="G24" s="19" t="s">
        <v>39</v>
      </c>
      <c r="H24" s="19" t="s">
        <v>40</v>
      </c>
      <c r="I24" s="19" t="s">
        <v>42</v>
      </c>
    </row>
    <row r="25" spans="1:9">
      <c r="A25" s="4" t="s">
        <v>104</v>
      </c>
      <c r="B25" s="25">
        <v>22513</v>
      </c>
      <c r="C25" s="25">
        <v>25203</v>
      </c>
      <c r="D25" s="25">
        <v>23474</v>
      </c>
      <c r="E25" s="25">
        <v>23355</v>
      </c>
      <c r="F25" s="25">
        <v>23350</v>
      </c>
      <c r="G25" s="25">
        <v>11402</v>
      </c>
      <c r="H25" s="25">
        <v>12521</v>
      </c>
      <c r="I25" s="21" t="s">
        <v>105</v>
      </c>
    </row>
    <row r="26" spans="1:9">
      <c r="A26" s="4" t="s">
        <v>106</v>
      </c>
      <c r="B26" s="25">
        <v>13702</v>
      </c>
      <c r="C26" s="25">
        <v>16600</v>
      </c>
      <c r="D26" s="25">
        <v>16059</v>
      </c>
      <c r="E26" s="25">
        <v>15886</v>
      </c>
      <c r="F26" s="25">
        <v>15295</v>
      </c>
      <c r="G26" s="25">
        <v>7568</v>
      </c>
      <c r="H26" s="25">
        <v>8203</v>
      </c>
      <c r="I26" s="21" t="s">
        <v>105</v>
      </c>
    </row>
    <row r="27" spans="1:9">
      <c r="A27" s="4" t="s">
        <v>107</v>
      </c>
      <c r="B27" s="20">
        <v>10135</v>
      </c>
      <c r="C27" s="20">
        <v>9549</v>
      </c>
      <c r="D27" s="20">
        <v>9003</v>
      </c>
      <c r="E27" s="20">
        <v>9589</v>
      </c>
      <c r="F27" s="20">
        <v>9622</v>
      </c>
      <c r="G27" s="20">
        <v>4684</v>
      </c>
      <c r="H27" s="20">
        <v>4887</v>
      </c>
      <c r="I27" s="21" t="s">
        <v>108</v>
      </c>
    </row>
    <row r="28" spans="1:9">
      <c r="A28" s="4" t="s">
        <v>109</v>
      </c>
      <c r="B28" s="27">
        <f>B25-B26</f>
        <v>8811</v>
      </c>
      <c r="C28" s="27">
        <f>C25-C26</f>
        <v>8603</v>
      </c>
      <c r="D28" s="27">
        <f>D25-D26</f>
        <v>7415</v>
      </c>
      <c r="E28" s="27">
        <f>E25-E26</f>
        <v>7469</v>
      </c>
      <c r="F28" s="27">
        <f>F25-F26</f>
        <v>8055</v>
      </c>
      <c r="G28" s="27">
        <f>G25-G26</f>
        <v>3834</v>
      </c>
      <c r="H28" s="27">
        <f>H25-H26</f>
        <v>4318</v>
      </c>
    </row>
    <row r="29" spans="1:9">
      <c r="A29" s="3" t="s">
        <v>110</v>
      </c>
      <c r="B29" s="36">
        <f>B26/B25</f>
        <v>0.608626127126549</v>
      </c>
      <c r="C29" s="36">
        <f>C26/C25</f>
        <v>0.658651747807801</v>
      </c>
      <c r="D29" s="36">
        <f>D26/D25</f>
        <v>0.684118599301355</v>
      </c>
      <c r="E29" s="36">
        <f>E26/E25</f>
        <v>0.680196959965746</v>
      </c>
      <c r="F29" s="36">
        <f>F26/F25</f>
        <v>0.655032119914347</v>
      </c>
      <c r="G29" s="36">
        <f>G26/G25</f>
        <v>0.663743202946851</v>
      </c>
      <c r="H29" s="36">
        <f>H26/H25</f>
        <v>0.655139365865346</v>
      </c>
    </row>
    <row r="30" spans="1:9">
      <c r="A30" s="4" t="s">
        <v>111</v>
      </c>
      <c r="B30" s="35">
        <f>1-B29</f>
        <v>0.391373872873451</v>
      </c>
      <c r="C30" s="35">
        <f>1-C29</f>
        <v>0.341348252192199</v>
      </c>
      <c r="D30" s="35">
        <f>1-D29</f>
        <v>0.315881400698645</v>
      </c>
      <c r="E30" s="35">
        <f>1-E29</f>
        <v>0.319803040034254</v>
      </c>
      <c r="F30" s="35">
        <f>1-F29</f>
        <v>0.344967880085653</v>
      </c>
      <c r="G30" s="35">
        <f>1-G29</f>
        <v>0.336256797053149</v>
      </c>
      <c r="H30" s="35">
        <f>1-H29</f>
        <v>0.344860634134654</v>
      </c>
    </row>
    <row r="32" spans="1:9">
      <c r="A32" s="5" t="s">
        <v>112</v>
      </c>
    </row>
    <row r="33" spans="1:9" ht="28" customHeight="1">
      <c r="A33" s="18" t="s">
        <v>33</v>
      </c>
      <c r="B33" s="19" t="s">
        <v>34</v>
      </c>
      <c r="C33" s="19" t="s">
        <v>35</v>
      </c>
      <c r="D33" s="19" t="s">
        <v>36</v>
      </c>
      <c r="E33" s="19" t="s">
        <v>37</v>
      </c>
      <c r="F33" s="19" t="s">
        <v>38</v>
      </c>
      <c r="G33" s="19" t="s">
        <v>39</v>
      </c>
      <c r="H33" s="19" t="s">
        <v>40</v>
      </c>
      <c r="I33" s="19" t="s">
        <v>42</v>
      </c>
    </row>
    <row r="34" spans="1:9">
      <c r="A34" s="4" t="s">
        <v>113</v>
      </c>
      <c r="B34" s="32" t="s">
        <v>114</v>
      </c>
      <c r="C34" s="32" t="s">
        <v>114</v>
      </c>
      <c r="D34" s="25">
        <v>906</v>
      </c>
      <c r="E34" s="25">
        <v>1961</v>
      </c>
      <c r="F34" s="25">
        <v>2097</v>
      </c>
      <c r="G34" s="25">
        <v>862</v>
      </c>
      <c r="H34" s="25">
        <v>956</v>
      </c>
      <c r="I34" s="21" t="s">
        <v>115</v>
      </c>
    </row>
    <row r="35" spans="1:9">
      <c r="A35" s="4" t="s">
        <v>116</v>
      </c>
      <c r="B35" s="32" t="s">
        <v>114</v>
      </c>
      <c r="C35" s="32" t="s">
        <v>114</v>
      </c>
      <c r="D35" s="25">
        <v>1079</v>
      </c>
      <c r="E35" s="25">
        <v>1232</v>
      </c>
      <c r="F35" s="25">
        <v>1151</v>
      </c>
      <c r="G35" s="25">
        <v>671</v>
      </c>
      <c r="H35" s="25">
        <v>848</v>
      </c>
      <c r="I35" s="21" t="s">
        <v>115</v>
      </c>
    </row>
    <row r="36" spans="1:9">
      <c r="A36" s="4" t="s">
        <v>117</v>
      </c>
      <c r="B36" s="32" t="s">
        <v>114</v>
      </c>
      <c r="C36" s="32" t="s">
        <v>114</v>
      </c>
      <c r="D36" s="25">
        <v>1024</v>
      </c>
      <c r="E36" s="25">
        <v>1334</v>
      </c>
      <c r="F36" s="25">
        <v>1175</v>
      </c>
      <c r="G36" s="25">
        <v>650</v>
      </c>
      <c r="H36" s="25">
        <v>546</v>
      </c>
      <c r="I36" s="21" t="s">
        <v>115</v>
      </c>
    </row>
    <row r="37" spans="1:9">
      <c r="A37" s="4" t="s">
        <v>118</v>
      </c>
      <c r="B37" s="32" t="s">
        <v>114</v>
      </c>
      <c r="C37" s="32" t="s">
        <v>114</v>
      </c>
      <c r="D37" s="25">
        <v>13</v>
      </c>
      <c r="E37" s="25">
        <v>-107</v>
      </c>
      <c r="F37" s="25">
        <v>24</v>
      </c>
      <c r="G37" s="25">
        <v>30</v>
      </c>
      <c r="H37" s="25">
        <v>8</v>
      </c>
      <c r="I37" s="21" t="s">
        <v>115</v>
      </c>
    </row>
    <row r="38" spans="1:9">
      <c r="A38" s="4" t="s">
        <v>119</v>
      </c>
      <c r="B38" s="32" t="s">
        <v>114</v>
      </c>
      <c r="C38" s="32" t="s">
        <v>114</v>
      </c>
      <c r="D38" s="25">
        <v>-412</v>
      </c>
      <c r="E38" s="25">
        <v>-394</v>
      </c>
      <c r="F38" s="25">
        <v>-465</v>
      </c>
      <c r="G38" s="25">
        <v>-411</v>
      </c>
      <c r="H38" s="25">
        <v>-353</v>
      </c>
      <c r="I38" s="21" t="s">
        <v>115</v>
      </c>
    </row>
    <row r="39" spans="1:9">
      <c r="A39" s="3" t="s">
        <v>120</v>
      </c>
      <c r="B39" s="32" t="s">
        <v>114</v>
      </c>
      <c r="C39" s="32" t="s">
        <v>114</v>
      </c>
      <c r="D39" s="28">
        <f>SUM(D34:D38)</f>
        <v>2610</v>
      </c>
      <c r="E39" s="28">
        <f>SUM(E34:E38)</f>
        <v>4026</v>
      </c>
      <c r="F39" s="28">
        <f>SUM(F34:F38)</f>
        <v>3982</v>
      </c>
      <c r="G39" s="28">
        <f>SUM(G34:G38)</f>
        <v>1802</v>
      </c>
      <c r="H39" s="28">
        <f>SUM(H34:H38)</f>
        <v>2005</v>
      </c>
    </row>
    <row r="40" spans="1:9">
      <c r="A40" s="4" t="s">
        <v>121</v>
      </c>
      <c r="B40" s="32" t="s">
        <v>114</v>
      </c>
      <c r="C40" s="32" t="s">
        <v>114</v>
      </c>
      <c r="D40" s="25">
        <v>1700</v>
      </c>
      <c r="E40" s="25">
        <v>346</v>
      </c>
      <c r="F40" s="25">
        <v>100</v>
      </c>
      <c r="G40" s="32" t="s">
        <v>114</v>
      </c>
      <c r="H40" s="32" t="s">
        <v>114</v>
      </c>
      <c r="I40" s="21" t="s">
        <v>122</v>
      </c>
    </row>
    <row r="42" spans="1:9">
      <c r="A42" s="5" t="s">
        <v>123</v>
      </c>
    </row>
    <row r="43" spans="1:9" ht="28" customHeight="1">
      <c r="A43" s="18" t="s">
        <v>33</v>
      </c>
      <c r="B43" s="19" t="s">
        <v>34</v>
      </c>
      <c r="C43" s="19" t="s">
        <v>35</v>
      </c>
      <c r="D43" s="19" t="s">
        <v>36</v>
      </c>
      <c r="E43" s="19" t="s">
        <v>37</v>
      </c>
      <c r="F43" s="19" t="s">
        <v>38</v>
      </c>
      <c r="G43" s="19" t="s">
        <v>39</v>
      </c>
      <c r="H43" s="19" t="s">
        <v>40</v>
      </c>
      <c r="I43" s="19" t="s">
        <v>42</v>
      </c>
    </row>
    <row r="44" spans="1:9">
      <c r="A44" s="4" t="s">
        <v>124</v>
      </c>
      <c r="B44" s="32" t="s">
        <v>114</v>
      </c>
      <c r="C44" s="32" t="s">
        <v>114</v>
      </c>
      <c r="D44" s="25">
        <v>11445</v>
      </c>
      <c r="E44" s="25">
        <v>11895</v>
      </c>
      <c r="F44" s="25">
        <v>12571</v>
      </c>
      <c r="G44" s="25">
        <v>5963</v>
      </c>
      <c r="H44" s="25">
        <v>7176</v>
      </c>
      <c r="I44" s="21" t="s">
        <v>125</v>
      </c>
    </row>
    <row r="45" spans="1:9">
      <c r="A45" s="4" t="s">
        <v>126</v>
      </c>
      <c r="B45" s="32" t="s">
        <v>114</v>
      </c>
      <c r="C45" s="32" t="s">
        <v>114</v>
      </c>
      <c r="D45" s="25">
        <v>6144</v>
      </c>
      <c r="E45" s="25">
        <v>4948</v>
      </c>
      <c r="F45" s="25">
        <v>4905</v>
      </c>
      <c r="G45" s="25">
        <v>2690</v>
      </c>
      <c r="H45" s="25">
        <v>2904</v>
      </c>
      <c r="I45" s="21" t="s">
        <v>125</v>
      </c>
    </row>
    <row r="46" spans="1:9">
      <c r="A46" s="4" t="s">
        <v>127</v>
      </c>
      <c r="B46" s="32" t="s">
        <v>114</v>
      </c>
      <c r="C46" s="32" t="s">
        <v>114</v>
      </c>
      <c r="D46" s="25">
        <v>219747</v>
      </c>
      <c r="E46" s="25">
        <v>215903</v>
      </c>
      <c r="F46" s="25">
        <v>214330</v>
      </c>
      <c r="G46" s="25">
        <v>104875</v>
      </c>
      <c r="H46" s="25">
        <v>116344</v>
      </c>
      <c r="I46" s="21" t="s">
        <v>125</v>
      </c>
    </row>
    <row r="47" spans="1:9">
      <c r="A47" s="3" t="s">
        <v>128</v>
      </c>
      <c r="B47" s="32" t="s">
        <v>114</v>
      </c>
      <c r="C47" s="32" t="s">
        <v>114</v>
      </c>
      <c r="D47" s="36">
        <f>(D44+D45)/D46</f>
        <v>0.080042048355609</v>
      </c>
      <c r="E47" s="36">
        <f>(E44+E45)/E46</f>
        <v>0.0780118849668601</v>
      </c>
      <c r="F47" s="36">
        <f>(F44+F45)/F46</f>
        <v>0.0815378155181263</v>
      </c>
      <c r="G47" s="36">
        <f>(G44+G45)/G46</f>
        <v>0.082507747318236</v>
      </c>
      <c r="H47" s="36">
        <f>(H44+H45)/H46</f>
        <v>0.0866396204359486</v>
      </c>
    </row>
  </sheetData>
  <pageMargins left="0.4" right="0.4" top="0.5" bottom="0.5" header="0.3" footer="0.3"/>
  <pageSetup paperSize="9" fitToHeight="0" orientation="landscape"/>
  <headerFooter>
    <oddFooter>&amp;L&amp;8伯克希尔账本 · 仅供研究，不构成投资建议&amp;R&amp;8&amp;A · 第 &amp;P 页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50.7109375" customWidth="1"/>
    <col min="2" max="8" width="13.7109375" customWidth="1"/>
    <col min="9" max="9" width="70.7109375" customWidth="1"/>
  </cols>
  <sheetData>
    <row r="1" spans="1:9">
      <c r="A1" s="1" t="s">
        <v>129</v>
      </c>
    </row>
    <row r="2" spans="1:9">
      <c r="A2" s="2" t="s">
        <v>130</v>
      </c>
    </row>
    <row r="3" spans="1:9">
      <c r="A3" s="12" t="s">
        <v>2</v>
      </c>
      <c r="B3" s="13" t="s">
        <v>3</v>
      </c>
      <c r="C3" s="14" t="s">
        <v>4</v>
      </c>
      <c r="D3" s="15" t="s">
        <v>5</v>
      </c>
      <c r="E3" s="16" t="s">
        <v>6</v>
      </c>
      <c r="F3" s="17" t="s">
        <v>7</v>
      </c>
    </row>
    <row r="5" spans="1:9" ht="28" customHeight="1">
      <c r="A5" s="18" t="s">
        <v>33</v>
      </c>
      <c r="B5" s="19" t="s">
        <v>131</v>
      </c>
      <c r="C5" s="19" t="s">
        <v>132</v>
      </c>
      <c r="D5" s="19" t="s">
        <v>133</v>
      </c>
      <c r="E5" s="19" t="s">
        <v>134</v>
      </c>
      <c r="F5" s="19" t="s">
        <v>135</v>
      </c>
      <c r="G5" s="19" t="s">
        <v>136</v>
      </c>
      <c r="H5" s="19" t="s">
        <v>137</v>
      </c>
      <c r="I5" s="19" t="s">
        <v>42</v>
      </c>
    </row>
    <row r="6" spans="1:9">
      <c r="A6" s="3" t="s">
        <v>138</v>
      </c>
      <c r="B6" s="25">
        <v>138000</v>
      </c>
      <c r="C6" s="25">
        <v>147000</v>
      </c>
      <c r="D6" s="25">
        <v>164000</v>
      </c>
      <c r="E6" s="25">
        <v>169000</v>
      </c>
      <c r="F6" s="25">
        <v>171000</v>
      </c>
      <c r="G6" s="25">
        <v>176000</v>
      </c>
      <c r="H6" s="25">
        <v>177500</v>
      </c>
      <c r="I6" s="21" t="s">
        <v>139</v>
      </c>
    </row>
    <row r="7" spans="1:9">
      <c r="A7" s="4" t="s">
        <v>140</v>
      </c>
      <c r="B7" s="32" t="s">
        <v>141</v>
      </c>
      <c r="C7" s="25">
        <v>85319</v>
      </c>
      <c r="D7" s="25">
        <v>32260</v>
      </c>
      <c r="E7" s="25">
        <v>33672</v>
      </c>
      <c r="F7" s="25">
        <v>44333</v>
      </c>
      <c r="G7" s="25">
        <v>47719</v>
      </c>
      <c r="H7" s="25">
        <v>35096</v>
      </c>
      <c r="I7" s="21" t="s">
        <v>142</v>
      </c>
    </row>
    <row r="8" spans="1:9">
      <c r="A8" s="4" t="s">
        <v>143</v>
      </c>
      <c r="B8" s="32" t="s">
        <v>141</v>
      </c>
      <c r="C8" s="25">
        <v>58535</v>
      </c>
      <c r="D8" s="25">
        <v>92774</v>
      </c>
      <c r="E8" s="25">
        <v>129619</v>
      </c>
      <c r="F8" s="25">
        <v>286472</v>
      </c>
      <c r="G8" s="25">
        <v>321434</v>
      </c>
      <c r="H8" s="25">
        <v>324905</v>
      </c>
      <c r="I8" s="21" t="s">
        <v>142</v>
      </c>
    </row>
    <row r="9" spans="1:9">
      <c r="A9" s="4" t="s">
        <v>144</v>
      </c>
      <c r="B9" s="32" t="s">
        <v>141</v>
      </c>
      <c r="C9" s="37">
        <v>0</v>
      </c>
      <c r="D9" s="37">
        <v>0</v>
      </c>
      <c r="E9" s="37">
        <v>0</v>
      </c>
      <c r="F9" s="25">
        <v>12769</v>
      </c>
      <c r="G9" s="25">
        <v>167</v>
      </c>
      <c r="H9" s="25">
        <v>771</v>
      </c>
      <c r="I9" s="21" t="s">
        <v>145</v>
      </c>
    </row>
    <row r="10" spans="1:9">
      <c r="A10" s="4" t="s">
        <v>146</v>
      </c>
      <c r="B10" s="32" t="s">
        <v>141</v>
      </c>
      <c r="C10" s="25">
        <v>2865</v>
      </c>
      <c r="D10" s="25">
        <v>3551</v>
      </c>
      <c r="E10" s="25">
        <v>4350</v>
      </c>
      <c r="F10" s="25">
        <v>3396</v>
      </c>
      <c r="G10" s="25">
        <v>4158</v>
      </c>
      <c r="H10" s="25">
        <v>5513</v>
      </c>
      <c r="I10" s="21" t="s">
        <v>142</v>
      </c>
    </row>
    <row r="11" spans="1:9">
      <c r="A11" s="3" t="s">
        <v>147</v>
      </c>
      <c r="B11" s="32" t="s">
        <v>141</v>
      </c>
      <c r="C11" s="29">
        <f>C7+C8-C9</f>
        <v>143854</v>
      </c>
      <c r="D11" s="29">
        <f>D7+D8-D9</f>
        <v>125034</v>
      </c>
      <c r="E11" s="29">
        <f>E7+E8-E9</f>
        <v>163291</v>
      </c>
      <c r="F11" s="28">
        <f>F7+F8-F9</f>
        <v>318036</v>
      </c>
      <c r="G11" s="28">
        <f>G7+G8-G9</f>
        <v>368986</v>
      </c>
      <c r="H11" s="28">
        <f>H7+H8-H9</f>
        <v>359230</v>
      </c>
      <c r="I11" s="21" t="s">
        <v>148</v>
      </c>
    </row>
    <row r="12" spans="1:9">
      <c r="A12" s="3" t="s">
        <v>149</v>
      </c>
      <c r="B12" s="32" t="s">
        <v>141</v>
      </c>
      <c r="C12" s="29">
        <f>C11+C10</f>
        <v>146719</v>
      </c>
      <c r="D12" s="29">
        <f>D11+D10</f>
        <v>128585</v>
      </c>
      <c r="E12" s="29">
        <f>E11+E10</f>
        <v>167641</v>
      </c>
      <c r="F12" s="28">
        <f>F11+F10</f>
        <v>321432</v>
      </c>
      <c r="G12" s="28">
        <f>G11+G10</f>
        <v>373144</v>
      </c>
      <c r="H12" s="28">
        <f>H11+H10</f>
        <v>364743</v>
      </c>
      <c r="I12" s="21" t="s">
        <v>5</v>
      </c>
    </row>
    <row r="13" spans="1:9">
      <c r="A13" s="30" t="s">
        <v>150</v>
      </c>
      <c r="B13" s="32"/>
      <c r="C13" s="32"/>
      <c r="D13" s="32"/>
      <c r="E13" s="32"/>
      <c r="F13" s="32"/>
      <c r="G13" s="33">
        <v>369</v>
      </c>
      <c r="H13" s="33">
        <v>359.2</v>
      </c>
      <c r="I13" s="21" t="s">
        <v>151</v>
      </c>
    </row>
    <row r="14" spans="1:9">
      <c r="A14" s="30" t="s">
        <v>152</v>
      </c>
      <c r="B14" s="32"/>
      <c r="C14" s="32"/>
      <c r="D14" s="32"/>
      <c r="E14" s="32"/>
      <c r="F14" s="32"/>
      <c r="G14" s="34">
        <f>ROUND(G11/1000,1)-G13</f>
        <v>0</v>
      </c>
      <c r="H14" s="34">
        <f>ROUND(H11/1000,1)-H13</f>
        <v>0</v>
      </c>
    </row>
    <row r="15" spans="1:9">
      <c r="A15" s="4" t="s">
        <v>153</v>
      </c>
      <c r="B15" s="32" t="s">
        <v>141</v>
      </c>
      <c r="C15" s="25">
        <v>958784</v>
      </c>
      <c r="D15" s="25">
        <v>948465</v>
      </c>
      <c r="E15" s="25">
        <v>1069978</v>
      </c>
      <c r="F15" s="25">
        <v>1153881</v>
      </c>
      <c r="G15" s="25">
        <v>1222176</v>
      </c>
      <c r="H15" s="25">
        <v>1263071</v>
      </c>
      <c r="I15" s="21" t="s">
        <v>154</v>
      </c>
    </row>
    <row r="16" spans="1:9">
      <c r="A16" s="4" t="s">
        <v>155</v>
      </c>
      <c r="B16" s="32" t="s">
        <v>141</v>
      </c>
      <c r="C16" s="25">
        <v>350719</v>
      </c>
      <c r="D16" s="25">
        <v>308793</v>
      </c>
      <c r="E16" s="25">
        <v>353842</v>
      </c>
      <c r="F16" s="25">
        <v>271588</v>
      </c>
      <c r="G16" s="25">
        <v>297778</v>
      </c>
      <c r="H16" s="25">
        <v>323779</v>
      </c>
      <c r="I16" s="21" t="s">
        <v>142</v>
      </c>
    </row>
    <row r="17" spans="1:9">
      <c r="A17" s="4" t="s">
        <v>156</v>
      </c>
      <c r="B17" s="32" t="s">
        <v>141</v>
      </c>
      <c r="C17" s="25">
        <v>16045</v>
      </c>
      <c r="D17" s="25">
        <v>28050</v>
      </c>
      <c r="E17" s="25">
        <v>29066</v>
      </c>
      <c r="F17" s="25">
        <v>31134</v>
      </c>
      <c r="G17" s="25">
        <v>19978</v>
      </c>
      <c r="H17" s="25">
        <v>19948</v>
      </c>
      <c r="I17" s="21" t="s">
        <v>142</v>
      </c>
    </row>
    <row r="19" spans="1:9">
      <c r="A19" s="5" t="s">
        <v>157</v>
      </c>
    </row>
    <row r="20" spans="1:9">
      <c r="A20" s="18" t="s">
        <v>33</v>
      </c>
      <c r="B20" s="19" t="s">
        <v>131</v>
      </c>
      <c r="C20" s="19" t="s">
        <v>132</v>
      </c>
      <c r="D20" s="19" t="s">
        <v>133</v>
      </c>
      <c r="E20" s="19" t="s">
        <v>134</v>
      </c>
      <c r="F20" s="19" t="s">
        <v>135</v>
      </c>
      <c r="G20" s="19" t="s">
        <v>136</v>
      </c>
      <c r="H20" s="19" t="s">
        <v>137</v>
      </c>
      <c r="I20" s="19" t="s">
        <v>83</v>
      </c>
    </row>
    <row r="21" spans="1:9">
      <c r="A21" s="4" t="s">
        <v>158</v>
      </c>
      <c r="B21" s="32" t="s">
        <v>141</v>
      </c>
      <c r="C21" s="38">
        <f>C12/C15</f>
        <v>0.153026124758027</v>
      </c>
      <c r="D21" s="38">
        <f>D12/D15</f>
        <v>0.135571686883543</v>
      </c>
      <c r="E21" s="38">
        <f>E12/E15</f>
        <v>0.156677053173056</v>
      </c>
      <c r="F21" s="35">
        <f>F12/F15</f>
        <v>0.278565987307183</v>
      </c>
      <c r="G21" s="35">
        <f>G12/G15</f>
        <v>0.305311182677454</v>
      </c>
      <c r="H21" s="35">
        <f>H12/H15</f>
        <v>0.288774740295676</v>
      </c>
      <c r="I21" s="21" t="s">
        <v>159</v>
      </c>
    </row>
    <row r="22" spans="1:9">
      <c r="A22" s="4" t="s">
        <v>160</v>
      </c>
      <c r="B22" s="32" t="s">
        <v>141</v>
      </c>
      <c r="C22" s="38">
        <f>C6/C11</f>
        <v>1.02186939535918</v>
      </c>
      <c r="D22" s="38">
        <f>D6/D11</f>
        <v>1.31164323304061</v>
      </c>
      <c r="E22" s="38">
        <f>E6/E11</f>
        <v>1.03496212283592</v>
      </c>
      <c r="F22" s="35">
        <f>F6/F11</f>
        <v>0.537674980190922</v>
      </c>
      <c r="G22" s="35">
        <f>G6/G11</f>
        <v>0.476982866558623</v>
      </c>
      <c r="H22" s="35">
        <f>H6/H11</f>
        <v>0.494112407092949</v>
      </c>
      <c r="I22" s="21" t="s">
        <v>159</v>
      </c>
    </row>
    <row r="23" spans="1:9">
      <c r="A23" s="4" t="s">
        <v>161</v>
      </c>
      <c r="B23" s="32" t="s">
        <v>141</v>
      </c>
      <c r="C23" s="26">
        <f>C12-P_mincash</f>
        <v>116719</v>
      </c>
      <c r="D23" s="26">
        <f>D12-P_mincash</f>
        <v>98585</v>
      </c>
      <c r="E23" s="26">
        <f>E12-P_mincash</f>
        <v>137641</v>
      </c>
      <c r="F23" s="27">
        <f>F12-P_mincash</f>
        <v>291432</v>
      </c>
      <c r="G23" s="27">
        <f>G12-P_mincash</f>
        <v>343144</v>
      </c>
      <c r="H23" s="27">
        <f>H12-P_mincash</f>
        <v>334743</v>
      </c>
      <c r="I23" s="21" t="s">
        <v>162</v>
      </c>
    </row>
    <row r="24" spans="1:9">
      <c r="A24" s="4" t="s">
        <v>163</v>
      </c>
      <c r="B24" s="32" t="s">
        <v>141</v>
      </c>
      <c r="C24" s="27">
        <f>(B6+C6)/2</f>
        <v>142500</v>
      </c>
      <c r="D24" s="27">
        <f>(C6+D6)/2</f>
        <v>155500</v>
      </c>
      <c r="E24" s="27">
        <f>(D6+E6)/2</f>
        <v>166500</v>
      </c>
      <c r="F24" s="27">
        <f>(E6+F6)/2</f>
        <v>170000</v>
      </c>
      <c r="G24" s="27">
        <f>(F6+G6)/2</f>
        <v>173500</v>
      </c>
      <c r="H24" s="27">
        <f>(G6+H6)/2</f>
        <v>176750</v>
      </c>
      <c r="I24" s="21" t="s">
        <v>164</v>
      </c>
    </row>
    <row r="25" spans="1:9">
      <c r="A25" s="4" t="s">
        <v>165</v>
      </c>
      <c r="B25" s="32" t="s">
        <v>141</v>
      </c>
      <c r="C25" s="27">
        <f>'业务明细'!$B$10</f>
        <v>1111</v>
      </c>
      <c r="D25" s="27">
        <f>'业务明细'!$C$10</f>
        <v>-22</v>
      </c>
      <c r="E25" s="27">
        <f>'业务明细'!$D$10</f>
        <v>6913</v>
      </c>
      <c r="F25" s="27">
        <f>'业务明细'!$E$10</f>
        <v>11405</v>
      </c>
      <c r="G25" s="27">
        <f>'业务明细'!$F$10</f>
        <v>9460</v>
      </c>
      <c r="H25" s="27">
        <f>'业务明细'!$H$10</f>
        <v>4445</v>
      </c>
      <c r="I25" s="21" t="s">
        <v>166</v>
      </c>
    </row>
    <row r="26" spans="1:9">
      <c r="A26" s="4" t="s">
        <v>167</v>
      </c>
      <c r="B26" s="32" t="s">
        <v>141</v>
      </c>
      <c r="C26" s="35">
        <f>-C25/C24</f>
        <v>-0.00779649122807018</v>
      </c>
      <c r="D26" s="35">
        <f>-D25/D24</f>
        <v>0.000141479099678457</v>
      </c>
      <c r="E26" s="35">
        <f>-E25/E24</f>
        <v>-0.0415195195195195</v>
      </c>
      <c r="F26" s="35">
        <f>-F25/F24</f>
        <v>-0.0670882352941176</v>
      </c>
      <c r="G26" s="35">
        <f>-G25/G24</f>
        <v>-0.0545244956772334</v>
      </c>
      <c r="H26" s="35">
        <f>-H25/H24</f>
        <v>-0.0251485148514852</v>
      </c>
      <c r="I26" s="21" t="s">
        <v>168</v>
      </c>
    </row>
  </sheetData>
  <pageMargins left="0.4" right="0.4" top="0.5" bottom="0.5" header="0.3" footer="0.3"/>
  <pageSetup paperSize="9" fitToHeight="0" orientation="landscape"/>
  <headerFooter>
    <oddFooter>&amp;L&amp;8伯克希尔账本 · 仅供研究，不构成投资建议&amp;R&amp;8&amp;A · 第 &amp;P 页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46.7109375" customWidth="1"/>
    <col min="2" max="7" width="13.7109375" customWidth="1"/>
    <col min="8" max="8" width="70.7109375" customWidth="1"/>
  </cols>
  <sheetData>
    <row r="1" spans="1:8">
      <c r="A1" s="1" t="s">
        <v>169</v>
      </c>
    </row>
    <row r="2" spans="1:8">
      <c r="A2" s="2" t="s">
        <v>170</v>
      </c>
    </row>
    <row r="3" spans="1:8">
      <c r="A3" s="12" t="s">
        <v>2</v>
      </c>
      <c r="B3" s="13" t="s">
        <v>3</v>
      </c>
      <c r="C3" s="14" t="s">
        <v>4</v>
      </c>
      <c r="D3" s="15" t="s">
        <v>5</v>
      </c>
      <c r="E3" s="16" t="s">
        <v>6</v>
      </c>
      <c r="F3" s="17" t="s">
        <v>7</v>
      </c>
    </row>
    <row r="5" spans="1:8">
      <c r="A5" s="5" t="s">
        <v>171</v>
      </c>
    </row>
    <row r="6" spans="1:8" ht="28" customHeight="1">
      <c r="A6" s="18" t="s">
        <v>33</v>
      </c>
      <c r="B6" s="19" t="s">
        <v>132</v>
      </c>
      <c r="C6" s="19" t="s">
        <v>133</v>
      </c>
      <c r="D6" s="19" t="s">
        <v>134</v>
      </c>
      <c r="E6" s="19" t="s">
        <v>135</v>
      </c>
      <c r="F6" s="19" t="s">
        <v>136</v>
      </c>
      <c r="G6" s="19" t="s">
        <v>137</v>
      </c>
      <c r="H6" s="19" t="s">
        <v>42</v>
      </c>
    </row>
    <row r="7" spans="1:8">
      <c r="A7" s="4" t="s">
        <v>172</v>
      </c>
      <c r="B7" s="25">
        <v>26822</v>
      </c>
      <c r="C7" s="25">
        <v>25893</v>
      </c>
      <c r="D7" s="25">
        <v>27136</v>
      </c>
      <c r="E7" s="25">
        <v>15707</v>
      </c>
      <c r="F7" s="25">
        <v>15454</v>
      </c>
      <c r="G7" s="25">
        <v>15729</v>
      </c>
      <c r="H7" s="21" t="s">
        <v>173</v>
      </c>
    </row>
    <row r="8" spans="1:8">
      <c r="A8" s="3" t="s">
        <v>174</v>
      </c>
      <c r="B8" s="25">
        <v>89058</v>
      </c>
      <c r="C8" s="25">
        <v>69556</v>
      </c>
      <c r="D8" s="25">
        <v>78312</v>
      </c>
      <c r="E8" s="25">
        <v>91643</v>
      </c>
      <c r="F8" s="25">
        <v>104129</v>
      </c>
      <c r="G8" s="25">
        <v>94477</v>
      </c>
      <c r="H8" s="21" t="s">
        <v>173</v>
      </c>
    </row>
    <row r="9" spans="1:8">
      <c r="A9" s="30" t="s">
        <v>175</v>
      </c>
      <c r="B9" s="27">
        <f>B8-B7</f>
        <v>62236</v>
      </c>
      <c r="C9" s="27">
        <f>C8-C7</f>
        <v>43663</v>
      </c>
      <c r="D9" s="27">
        <f>D8-D7</f>
        <v>51176</v>
      </c>
      <c r="E9" s="27">
        <f>E8-E7</f>
        <v>75936</v>
      </c>
      <c r="F9" s="27">
        <f>F8-F7</f>
        <v>88675</v>
      </c>
      <c r="G9" s="27">
        <f>G8-G7</f>
        <v>78748</v>
      </c>
    </row>
    <row r="10" spans="1:8">
      <c r="A10" s="4" t="s">
        <v>176</v>
      </c>
      <c r="B10" s="25">
        <v>36076</v>
      </c>
      <c r="C10" s="25">
        <v>40508</v>
      </c>
      <c r="D10" s="25">
        <v>34248</v>
      </c>
      <c r="E10" s="25">
        <v>12658</v>
      </c>
      <c r="F10" s="25">
        <v>11899</v>
      </c>
      <c r="G10" s="25">
        <v>8650</v>
      </c>
      <c r="H10" s="21" t="s">
        <v>173</v>
      </c>
    </row>
    <row r="11" spans="1:8">
      <c r="A11" s="3" t="s">
        <v>177</v>
      </c>
      <c r="B11" s="25">
        <v>191021</v>
      </c>
      <c r="C11" s="25">
        <v>152892</v>
      </c>
      <c r="D11" s="25">
        <v>201143</v>
      </c>
      <c r="E11" s="25">
        <v>104749</v>
      </c>
      <c r="F11" s="25">
        <v>94954</v>
      </c>
      <c r="G11" s="25">
        <v>100486</v>
      </c>
      <c r="H11" s="21" t="s">
        <v>173</v>
      </c>
    </row>
    <row r="12" spans="1:8">
      <c r="A12" s="30" t="s">
        <v>178</v>
      </c>
      <c r="B12" s="27">
        <f>B11-B10</f>
        <v>154945</v>
      </c>
      <c r="C12" s="27">
        <f>C11-C10</f>
        <v>112384</v>
      </c>
      <c r="D12" s="27">
        <f>D11-D10</f>
        <v>166895</v>
      </c>
      <c r="E12" s="27">
        <f>E11-E10</f>
        <v>92091</v>
      </c>
      <c r="F12" s="27">
        <f>F11-F10</f>
        <v>83055</v>
      </c>
      <c r="G12" s="27">
        <f>G11-G10</f>
        <v>91836</v>
      </c>
    </row>
    <row r="13" spans="1:8">
      <c r="A13" s="4" t="s">
        <v>179</v>
      </c>
      <c r="B13" s="25">
        <v>41707</v>
      </c>
      <c r="C13" s="25">
        <v>65209</v>
      </c>
      <c r="D13" s="25">
        <v>48032</v>
      </c>
      <c r="E13" s="25">
        <v>47141</v>
      </c>
      <c r="F13" s="25">
        <v>58036</v>
      </c>
      <c r="G13" s="25">
        <v>82142</v>
      </c>
      <c r="H13" s="21" t="s">
        <v>173</v>
      </c>
    </row>
    <row r="14" spans="1:8">
      <c r="A14" s="3" t="s">
        <v>180</v>
      </c>
      <c r="B14" s="25">
        <v>70640</v>
      </c>
      <c r="C14" s="25">
        <v>86345</v>
      </c>
      <c r="D14" s="25">
        <v>74387</v>
      </c>
      <c r="E14" s="25">
        <v>75196</v>
      </c>
      <c r="F14" s="25">
        <v>98695</v>
      </c>
      <c r="G14" s="25">
        <v>128816</v>
      </c>
      <c r="H14" s="21" t="s">
        <v>173</v>
      </c>
    </row>
    <row r="15" spans="1:8">
      <c r="A15" s="30" t="s">
        <v>181</v>
      </c>
      <c r="B15" s="27">
        <f>B14-B13</f>
        <v>28933</v>
      </c>
      <c r="C15" s="27">
        <f>C14-C13</f>
        <v>21136</v>
      </c>
      <c r="D15" s="27">
        <f>D14-D13</f>
        <v>26355</v>
      </c>
      <c r="E15" s="27">
        <f>E14-E13</f>
        <v>28055</v>
      </c>
      <c r="F15" s="27">
        <f>F14-F13</f>
        <v>40659</v>
      </c>
      <c r="G15" s="27">
        <f>G14-G13</f>
        <v>46674</v>
      </c>
    </row>
    <row r="16" spans="1:8">
      <c r="A16" s="3" t="s">
        <v>182</v>
      </c>
      <c r="B16" s="28">
        <f>B7+B10+B13</f>
        <v>104605</v>
      </c>
      <c r="C16" s="28">
        <f>C7+C10+C13</f>
        <v>131610</v>
      </c>
      <c r="D16" s="28">
        <f>D7+D10+D13</f>
        <v>109416</v>
      </c>
      <c r="E16" s="28">
        <f>E7+E10+E13</f>
        <v>75506</v>
      </c>
      <c r="F16" s="28">
        <f>F7+F10+F13</f>
        <v>85389</v>
      </c>
      <c r="G16" s="28">
        <f>G7+G10+G13</f>
        <v>106521</v>
      </c>
    </row>
    <row r="17" spans="1:8">
      <c r="A17" s="3" t="s">
        <v>183</v>
      </c>
      <c r="B17" s="28">
        <f>B8+B11+B14</f>
        <v>350719</v>
      </c>
      <c r="C17" s="28">
        <f>C8+C11+C14</f>
        <v>308793</v>
      </c>
      <c r="D17" s="28">
        <f>D8+D11+D14</f>
        <v>353842</v>
      </c>
      <c r="E17" s="28">
        <f>E8+E11+E14</f>
        <v>271588</v>
      </c>
      <c r="F17" s="28">
        <f>F8+F11+F14</f>
        <v>297778</v>
      </c>
      <c r="G17" s="28">
        <f>G8+G11+G14</f>
        <v>323779</v>
      </c>
    </row>
    <row r="18" spans="1:8">
      <c r="A18" s="30" t="s">
        <v>184</v>
      </c>
      <c r="B18" s="31">
        <f>B17-'浮存金与现金'!$C$16</f>
        <v>0</v>
      </c>
      <c r="C18" s="31">
        <f>C17-'浮存金与现金'!$D$16</f>
        <v>0</v>
      </c>
      <c r="D18" s="31">
        <f>D17-'浮存金与现金'!$E$16</f>
        <v>0</v>
      </c>
      <c r="E18" s="31">
        <f>E17-'浮存金与现金'!$F$16</f>
        <v>0</v>
      </c>
      <c r="F18" s="31">
        <f>F17-'浮存金与现金'!$G$16</f>
        <v>0</v>
      </c>
      <c r="G18" s="31">
        <f>G17-'浮存金与现金'!$H$16</f>
        <v>0</v>
      </c>
    </row>
    <row r="19" spans="1:8">
      <c r="A19" s="4" t="s">
        <v>185</v>
      </c>
      <c r="B19" s="35">
        <f>(B17-B16)/B17</f>
        <v>0.701741280056113</v>
      </c>
      <c r="C19" s="35">
        <f>(C17-C16)/C17</f>
        <v>0.573792152024172</v>
      </c>
      <c r="D19" s="35">
        <f>(D17-D16)/D17</f>
        <v>0.690777239558899</v>
      </c>
      <c r="E19" s="35">
        <f>(E17-E16)/E17</f>
        <v>0.721983298231144</v>
      </c>
      <c r="F19" s="35">
        <f>(F17-F16)/F17</f>
        <v>0.713246109517829</v>
      </c>
      <c r="G19" s="35">
        <f>(G17-G16)/G17</f>
        <v>0.671007075814058</v>
      </c>
    </row>
    <row r="21" spans="1:8">
      <c r="A21" s="5" t="s">
        <v>186</v>
      </c>
    </row>
    <row r="22" spans="1:8">
      <c r="A22" s="18" t="s">
        <v>33</v>
      </c>
      <c r="B22" s="19" t="s">
        <v>132</v>
      </c>
      <c r="C22" s="19" t="s">
        <v>133</v>
      </c>
      <c r="D22" s="19" t="s">
        <v>134</v>
      </c>
      <c r="E22" s="19" t="s">
        <v>135</v>
      </c>
      <c r="F22" s="19" t="s">
        <v>136</v>
      </c>
      <c r="G22" s="19" t="s">
        <v>137</v>
      </c>
      <c r="H22" s="19" t="s">
        <v>83</v>
      </c>
    </row>
    <row r="23" spans="1:8">
      <c r="A23" s="4" t="s">
        <v>187</v>
      </c>
      <c r="B23" s="35">
        <f>B8/B17</f>
        <v>0.253929784243226</v>
      </c>
      <c r="C23" s="35">
        <f>C8/C17</f>
        <v>0.225251220072994</v>
      </c>
      <c r="D23" s="35">
        <f>D8/D17</f>
        <v>0.221319119833146</v>
      </c>
      <c r="E23" s="35">
        <f>E8/E17</f>
        <v>0.337433907241852</v>
      </c>
      <c r="F23" s="35">
        <f>F8/F17</f>
        <v>0.349686679338299</v>
      </c>
      <c r="G23" s="35">
        <f>G8/G17</f>
        <v>0.291794711825041</v>
      </c>
    </row>
    <row r="24" spans="1:8">
      <c r="A24" s="4" t="s">
        <v>188</v>
      </c>
      <c r="B24" s="35">
        <f>B11/B17</f>
        <v>0.544655407890648</v>
      </c>
      <c r="C24" s="35">
        <f>C11/C17</f>
        <v>0.495127804062916</v>
      </c>
      <c r="D24" s="35">
        <f>D11/D17</f>
        <v>0.568454281854613</v>
      </c>
      <c r="E24" s="35">
        <f>E11/E17</f>
        <v>0.385690825809682</v>
      </c>
      <c r="F24" s="35">
        <f>F11/F17</f>
        <v>0.31887513516781</v>
      </c>
      <c r="G24" s="35">
        <f>G11/G17</f>
        <v>0.31035366716186</v>
      </c>
    </row>
    <row r="25" spans="1:8">
      <c r="A25" s="4" t="s">
        <v>189</v>
      </c>
      <c r="B25" s="35">
        <f>B14/B17</f>
        <v>0.201414807866126</v>
      </c>
      <c r="C25" s="35">
        <f>C14/C17</f>
        <v>0.27962097586409</v>
      </c>
      <c r="D25" s="35">
        <f>D14/D17</f>
        <v>0.210226598312241</v>
      </c>
      <c r="E25" s="35">
        <f>E14/E17</f>
        <v>0.276875266948466</v>
      </c>
      <c r="F25" s="35">
        <f>F14/F17</f>
        <v>0.331438185493891</v>
      </c>
      <c r="G25" s="35">
        <f>G14/G17</f>
        <v>0.397851621013098</v>
      </c>
    </row>
    <row r="27" spans="1:8">
      <c r="A27" s="5" t="s">
        <v>190</v>
      </c>
    </row>
    <row r="28" spans="1:8">
      <c r="A28" s="18" t="s">
        <v>33</v>
      </c>
      <c r="B28" s="19" t="s">
        <v>132</v>
      </c>
      <c r="C28" s="19" t="s">
        <v>133</v>
      </c>
      <c r="D28" s="19" t="s">
        <v>134</v>
      </c>
      <c r="E28" s="19" t="s">
        <v>135</v>
      </c>
      <c r="F28" s="19" t="s">
        <v>136</v>
      </c>
      <c r="G28" s="19" t="s">
        <v>137</v>
      </c>
      <c r="H28" s="19" t="s">
        <v>42</v>
      </c>
    </row>
    <row r="29" spans="1:8">
      <c r="A29" s="3" t="s">
        <v>191</v>
      </c>
      <c r="B29" s="39">
        <v>0.73</v>
      </c>
      <c r="C29" s="39">
        <v>0.75</v>
      </c>
      <c r="D29" s="39">
        <v>0.79</v>
      </c>
      <c r="E29" s="39">
        <v>0.71</v>
      </c>
      <c r="F29" s="39">
        <v>0.65</v>
      </c>
      <c r="G29" s="39">
        <v>0.66</v>
      </c>
      <c r="H29" s="21" t="s">
        <v>192</v>
      </c>
    </row>
    <row r="30" spans="1:8">
      <c r="A30" s="4" t="s">
        <v>193</v>
      </c>
      <c r="B30" s="26">
        <f>B29*B17</f>
        <v>256024.87</v>
      </c>
      <c r="C30" s="26">
        <f>C29*C17</f>
        <v>231594.75</v>
      </c>
      <c r="D30" s="26">
        <f>D29*D17</f>
        <v>279535.18</v>
      </c>
      <c r="E30" s="26">
        <f>E29*E17</f>
        <v>192827.48</v>
      </c>
      <c r="F30" s="26">
        <f>F29*F17</f>
        <v>193555.7</v>
      </c>
      <c r="G30" s="26">
        <f>G29*G17</f>
        <v>213694.14</v>
      </c>
      <c r="H30" s="21" t="s">
        <v>194</v>
      </c>
    </row>
    <row r="31" spans="1:8" ht="54" customHeight="1">
      <c r="A31" s="4" t="s">
        <v>195</v>
      </c>
      <c r="B31" s="40" t="s">
        <v>196</v>
      </c>
      <c r="C31" s="40" t="s">
        <v>197</v>
      </c>
      <c r="D31" s="40" t="s">
        <v>197</v>
      </c>
      <c r="E31" s="40" t="s">
        <v>197</v>
      </c>
      <c r="F31" s="40" t="s">
        <v>197</v>
      </c>
      <c r="G31" s="40" t="s">
        <v>198</v>
      </c>
    </row>
    <row r="33" spans="1:8">
      <c r="A33" s="5" t="s">
        <v>199</v>
      </c>
    </row>
    <row r="34" spans="1:8">
      <c r="A34" s="18" t="s">
        <v>33</v>
      </c>
      <c r="B34" s="19" t="s">
        <v>132</v>
      </c>
      <c r="C34" s="19" t="s">
        <v>133</v>
      </c>
      <c r="D34" s="19" t="s">
        <v>134</v>
      </c>
      <c r="E34" s="19" t="s">
        <v>135</v>
      </c>
      <c r="F34" s="19" t="s">
        <v>136</v>
      </c>
      <c r="G34" s="19" t="s">
        <v>137</v>
      </c>
      <c r="H34" s="19" t="s">
        <v>42</v>
      </c>
    </row>
    <row r="35" spans="1:8">
      <c r="A35" s="4" t="s">
        <v>200</v>
      </c>
      <c r="B35" s="25">
        <v>161155</v>
      </c>
      <c r="C35" s="25">
        <v>119000</v>
      </c>
      <c r="D35" s="25">
        <v>174300</v>
      </c>
      <c r="E35" s="32" t="s">
        <v>201</v>
      </c>
      <c r="F35" s="25">
        <v>61962</v>
      </c>
      <c r="G35" s="32" t="s">
        <v>201</v>
      </c>
      <c r="H35" s="21" t="s">
        <v>202</v>
      </c>
    </row>
    <row r="36" spans="1:8">
      <c r="A36" s="4" t="s">
        <v>203</v>
      </c>
      <c r="B36" s="25">
        <v>24804</v>
      </c>
      <c r="C36" s="25">
        <v>22400</v>
      </c>
      <c r="D36" s="25">
        <v>28400</v>
      </c>
      <c r="E36" s="32" t="s">
        <v>201</v>
      </c>
      <c r="F36" s="25">
        <v>56088</v>
      </c>
      <c r="G36" s="32" t="s">
        <v>201</v>
      </c>
      <c r="H36" s="21" t="s">
        <v>202</v>
      </c>
    </row>
    <row r="37" spans="1:8">
      <c r="A37" s="4" t="s">
        <v>204</v>
      </c>
      <c r="B37" s="25">
        <v>45952</v>
      </c>
      <c r="C37" s="25">
        <v>34200</v>
      </c>
      <c r="D37" s="25">
        <v>34800</v>
      </c>
      <c r="E37" s="32" t="s">
        <v>201</v>
      </c>
      <c r="F37" s="32" t="s">
        <v>201</v>
      </c>
      <c r="G37" s="32" t="s">
        <v>201</v>
      </c>
      <c r="H37" s="21" t="s">
        <v>205</v>
      </c>
    </row>
    <row r="38" spans="1:8">
      <c r="A38" s="4" t="s">
        <v>206</v>
      </c>
      <c r="B38" s="25">
        <v>23684</v>
      </c>
      <c r="C38" s="25">
        <v>25400</v>
      </c>
      <c r="D38" s="25">
        <v>23600</v>
      </c>
      <c r="E38" s="32" t="s">
        <v>201</v>
      </c>
      <c r="F38" s="25">
        <v>27964</v>
      </c>
      <c r="G38" s="32" t="s">
        <v>201</v>
      </c>
      <c r="H38" s="21" t="s">
        <v>202</v>
      </c>
    </row>
    <row r="39" spans="1:8">
      <c r="A39" s="4" t="s">
        <v>207</v>
      </c>
      <c r="B39" s="25">
        <v>4488</v>
      </c>
      <c r="C39" s="25">
        <v>30000</v>
      </c>
      <c r="D39" s="25">
        <v>18800</v>
      </c>
      <c r="E39" s="32" t="s">
        <v>201</v>
      </c>
      <c r="F39" s="32" t="s">
        <v>201</v>
      </c>
      <c r="G39" s="32" t="s">
        <v>201</v>
      </c>
      <c r="H39" s="21" t="s">
        <v>205</v>
      </c>
    </row>
    <row r="40" spans="1:8">
      <c r="A40" s="4" t="s">
        <v>208</v>
      </c>
      <c r="B40" s="25">
        <v>9636</v>
      </c>
      <c r="C40" s="32" t="s">
        <v>201</v>
      </c>
      <c r="D40" s="32" t="s">
        <v>201</v>
      </c>
      <c r="E40" s="32" t="s">
        <v>201</v>
      </c>
      <c r="F40" s="25">
        <v>12603</v>
      </c>
      <c r="G40" s="32" t="s">
        <v>201</v>
      </c>
      <c r="H40" s="21" t="s">
        <v>209</v>
      </c>
    </row>
    <row r="41" spans="1:8">
      <c r="A41" s="4" t="s">
        <v>210</v>
      </c>
      <c r="B41" s="32" t="s">
        <v>201</v>
      </c>
      <c r="C41" s="32" t="s">
        <v>201</v>
      </c>
      <c r="D41" s="32" t="s">
        <v>201</v>
      </c>
      <c r="E41" s="25">
        <v>23500</v>
      </c>
      <c r="F41" s="25">
        <v>35368</v>
      </c>
      <c r="G41" s="32" t="s">
        <v>201</v>
      </c>
      <c r="H41" s="21" t="s">
        <v>211</v>
      </c>
    </row>
    <row r="42" spans="1:8" ht="30" customHeight="1">
      <c r="A42" s="24" t="s">
        <v>212</v>
      </c>
      <c r="B42" s="24"/>
      <c r="C42" s="24"/>
      <c r="D42" s="24"/>
      <c r="E42" s="24"/>
      <c r="F42" s="24"/>
      <c r="G42" s="24"/>
      <c r="H42" s="24"/>
    </row>
    <row r="43" spans="1:8">
      <c r="A43" s="4" t="s">
        <v>213</v>
      </c>
      <c r="B43" s="35">
        <f>B35/B17</f>
        <v>0.459498915085867</v>
      </c>
      <c r="C43" s="35">
        <f>C35/C17</f>
        <v>0.385371430051847</v>
      </c>
      <c r="D43" s="35">
        <f>D35/D17</f>
        <v>0.492592739132155</v>
      </c>
      <c r="E43" s="32" t="s">
        <v>141</v>
      </c>
      <c r="F43" s="35">
        <f>F35/F17</f>
        <v>0.208081187999113</v>
      </c>
      <c r="G43" s="32" t="s">
        <v>141</v>
      </c>
    </row>
    <row r="45" spans="1:8">
      <c r="A45" s="5" t="s">
        <v>214</v>
      </c>
    </row>
    <row r="46" spans="1:8">
      <c r="A46" s="18" t="s">
        <v>33</v>
      </c>
      <c r="B46" s="19" t="s">
        <v>215</v>
      </c>
      <c r="C46" s="19" t="s">
        <v>216</v>
      </c>
      <c r="D46" s="19" t="s">
        <v>217</v>
      </c>
    </row>
    <row r="47" spans="1:8">
      <c r="A47" s="4" t="s">
        <v>218</v>
      </c>
      <c r="B47" s="25">
        <v>816</v>
      </c>
      <c r="C47" s="25">
        <v>1299</v>
      </c>
      <c r="D47" s="36">
        <f>B47/C47</f>
        <v>0.628175519630485</v>
      </c>
      <c r="H47" s="21" t="s">
        <v>219</v>
      </c>
    </row>
  </sheetData>
  <mergeCells count="1">
    <mergeCell ref="A42:H42"/>
  </mergeCells>
  <pageMargins left="0.4" right="0.4" top="0.5" bottom="0.5" header="0.3" footer="0.3"/>
  <pageSetup paperSize="9" fitToHeight="0" orientation="landscape"/>
  <headerFooter>
    <oddFooter>&amp;L&amp;8伯克希尔账本 · 仅供研究，不构成投资建议&amp;R&amp;8&amp;A · 第 &amp;P 页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50.7109375" customWidth="1"/>
    <col min="2" max="8" width="14.7109375" customWidth="1"/>
    <col min="9" max="9" width="66.7109375" customWidth="1"/>
  </cols>
  <sheetData>
    <row r="1" spans="1:9">
      <c r="A1" s="1" t="s">
        <v>220</v>
      </c>
    </row>
    <row r="2" spans="1:9">
      <c r="A2" s="2" t="s">
        <v>221</v>
      </c>
    </row>
    <row r="3" spans="1:9">
      <c r="A3" s="12" t="s">
        <v>2</v>
      </c>
      <c r="B3" s="13" t="s">
        <v>3</v>
      </c>
      <c r="C3" s="14" t="s">
        <v>4</v>
      </c>
      <c r="D3" s="15" t="s">
        <v>5</v>
      </c>
      <c r="E3" s="16" t="s">
        <v>6</v>
      </c>
      <c r="F3" s="17" t="s">
        <v>7</v>
      </c>
    </row>
    <row r="5" spans="1:9">
      <c r="A5" s="5" t="s">
        <v>222</v>
      </c>
    </row>
    <row r="6" spans="1:9" ht="28" customHeight="1">
      <c r="A6" s="18" t="s">
        <v>33</v>
      </c>
      <c r="B6" s="19" t="s">
        <v>132</v>
      </c>
      <c r="C6" s="19" t="s">
        <v>133</v>
      </c>
      <c r="D6" s="19" t="s">
        <v>134</v>
      </c>
      <c r="E6" s="19" t="s">
        <v>135</v>
      </c>
      <c r="F6" s="19" t="s">
        <v>136</v>
      </c>
      <c r="G6" s="19" t="s">
        <v>137</v>
      </c>
      <c r="H6" s="19" t="s">
        <v>159</v>
      </c>
      <c r="I6" s="19" t="s">
        <v>42</v>
      </c>
    </row>
    <row r="7" spans="1:9">
      <c r="A7" s="30" t="s">
        <v>223</v>
      </c>
      <c r="B7" s="25">
        <v>510299</v>
      </c>
      <c r="C7" s="32"/>
      <c r="D7" s="32"/>
      <c r="E7" s="32"/>
      <c r="F7" s="32"/>
      <c r="G7" s="32"/>
      <c r="I7" s="21" t="s">
        <v>224</v>
      </c>
    </row>
    <row r="8" spans="1:9">
      <c r="A8" s="30" t="s">
        <v>225</v>
      </c>
      <c r="B8" s="25">
        <v>8731</v>
      </c>
      <c r="C8" s="32"/>
      <c r="D8" s="32"/>
      <c r="E8" s="32"/>
      <c r="F8" s="32"/>
      <c r="G8" s="32"/>
      <c r="I8" s="21" t="s">
        <v>226</v>
      </c>
    </row>
    <row r="9" spans="1:9">
      <c r="A9" s="3" t="s">
        <v>227</v>
      </c>
      <c r="B9" s="28">
        <f>B7-B8</f>
        <v>501568</v>
      </c>
      <c r="C9" s="25">
        <v>473424</v>
      </c>
      <c r="D9" s="25">
        <v>561273</v>
      </c>
      <c r="E9" s="25">
        <v>649368</v>
      </c>
      <c r="F9" s="25">
        <v>717419</v>
      </c>
      <c r="G9" s="25">
        <v>747910</v>
      </c>
      <c r="I9" s="21" t="s">
        <v>228</v>
      </c>
    </row>
    <row r="10" spans="1:9">
      <c r="A10" s="30" t="s">
        <v>229</v>
      </c>
      <c r="B10" s="25">
        <v>506199</v>
      </c>
      <c r="C10" s="25">
        <v>472360</v>
      </c>
      <c r="D10" s="32"/>
      <c r="E10" s="32"/>
      <c r="F10" s="32"/>
      <c r="G10" s="32"/>
      <c r="I10" s="21" t="s">
        <v>230</v>
      </c>
    </row>
    <row r="11" spans="1:9">
      <c r="A11" s="4" t="s">
        <v>231</v>
      </c>
      <c r="B11" s="20">
        <v>617113</v>
      </c>
      <c r="C11" s="20">
        <v>591564</v>
      </c>
      <c r="D11" s="20">
        <v>567775</v>
      </c>
      <c r="E11" s="20">
        <v>547562</v>
      </c>
      <c r="F11" s="20">
        <v>515835</v>
      </c>
      <c r="G11" s="20">
        <v>501101</v>
      </c>
      <c r="I11" s="21" t="s">
        <v>232</v>
      </c>
    </row>
    <row r="12" spans="1:9">
      <c r="A12" s="4" t="s">
        <v>233</v>
      </c>
      <c r="B12" s="20">
        <v>1290474503</v>
      </c>
      <c r="C12" s="20">
        <v>1302254076</v>
      </c>
      <c r="D12" s="20">
        <v>1310561508</v>
      </c>
      <c r="E12" s="20">
        <v>1335992139</v>
      </c>
      <c r="F12" s="20">
        <v>1383582639</v>
      </c>
      <c r="G12" s="20">
        <v>1395887484</v>
      </c>
      <c r="I12" s="21" t="s">
        <v>232</v>
      </c>
    </row>
    <row r="13" spans="1:9">
      <c r="A13" s="3" t="s">
        <v>234</v>
      </c>
      <c r="B13" s="41">
        <f>B11+B12/P_conv</f>
        <v>1477429.33533333</v>
      </c>
      <c r="C13" s="41">
        <f>C11+C12/P_conv</f>
        <v>1459733.384</v>
      </c>
      <c r="D13" s="41">
        <f>D11+D12/P_conv</f>
        <v>1441482.672</v>
      </c>
      <c r="E13" s="41">
        <f>E11+E12/P_conv</f>
        <v>1438223.426</v>
      </c>
      <c r="F13" s="41">
        <f>F11+F12/P_conv</f>
        <v>1438223.426</v>
      </c>
      <c r="G13" s="41">
        <f>G11+G12/P_conv</f>
        <v>1431692.656</v>
      </c>
      <c r="I13" s="21" t="s">
        <v>235</v>
      </c>
    </row>
    <row r="14" spans="1:9">
      <c r="A14" s="30" t="s">
        <v>236</v>
      </c>
      <c r="B14" s="20">
        <v>1477429</v>
      </c>
      <c r="C14" s="20">
        <v>1459733</v>
      </c>
      <c r="D14" s="20">
        <v>1441483</v>
      </c>
      <c r="E14" s="20">
        <v>1438223</v>
      </c>
      <c r="F14" s="20">
        <v>1438223</v>
      </c>
      <c r="G14" s="20">
        <v>1431693</v>
      </c>
      <c r="I14" s="21" t="s">
        <v>237</v>
      </c>
    </row>
    <row r="15" spans="1:9">
      <c r="A15" s="30" t="s">
        <v>238</v>
      </c>
      <c r="B15" s="42">
        <f>ROUND(B13,0)-B14</f>
        <v>0</v>
      </c>
      <c r="C15" s="42">
        <f>ROUND(C13,0)-C14</f>
        <v>0</v>
      </c>
      <c r="D15" s="42">
        <f>ROUND(D13,0)-D14</f>
        <v>0</v>
      </c>
      <c r="E15" s="42">
        <f>ROUND(E13,0)-E14</f>
        <v>0</v>
      </c>
      <c r="F15" s="42">
        <f>ROUND(F13,0)-F14</f>
        <v>0</v>
      </c>
      <c r="G15" s="42">
        <f>ROUND(G13,0)-G14</f>
        <v>0</v>
      </c>
    </row>
    <row r="16" spans="1:9">
      <c r="A16" s="3" t="s">
        <v>239</v>
      </c>
      <c r="B16" s="43">
        <f>B9*1000000/B13</f>
        <v>339486.964286409</v>
      </c>
      <c r="C16" s="43">
        <f>C9*1000000/C13</f>
        <v>324322.239382312</v>
      </c>
      <c r="D16" s="43">
        <f>D9*1000000/D13</f>
        <v>389372.006269944</v>
      </c>
      <c r="E16" s="43">
        <f>E9*1000000/E13</f>
        <v>451507.038656732</v>
      </c>
      <c r="F16" s="43">
        <f>F9*1000000/F13</f>
        <v>498823.052823783</v>
      </c>
      <c r="G16" s="43">
        <f>G9*1000000/G13</f>
        <v>522395.639081912</v>
      </c>
      <c r="I16" s="21" t="s">
        <v>240</v>
      </c>
    </row>
    <row r="17" spans="1:9">
      <c r="A17" s="4" t="s">
        <v>241</v>
      </c>
      <c r="B17" s="44">
        <f>B16/P_conv</f>
        <v>226.324642857606</v>
      </c>
      <c r="C17" s="44">
        <f>C16/P_conv</f>
        <v>216.214826254875</v>
      </c>
      <c r="D17" s="44">
        <f>D16/P_conv</f>
        <v>259.581337513296</v>
      </c>
      <c r="E17" s="44">
        <f>E16/P_conv</f>
        <v>301.004692437822</v>
      </c>
      <c r="F17" s="44">
        <f>F16/P_conv</f>
        <v>332.548701882522</v>
      </c>
      <c r="G17" s="44">
        <f>G16/P_conv</f>
        <v>348.263759387941</v>
      </c>
    </row>
    <row r="18" spans="1:9">
      <c r="A18" s="4" t="s">
        <v>242</v>
      </c>
      <c r="B18" s="32" t="s">
        <v>141</v>
      </c>
      <c r="C18" s="35">
        <f>C16/B16-1</f>
        <v>-0.0446695352087313</v>
      </c>
      <c r="D18" s="35">
        <f>D16/C16-1</f>
        <v>0.200571403957752</v>
      </c>
      <c r="E18" s="35">
        <f>E16/D16-1</f>
        <v>0.159577554077452</v>
      </c>
      <c r="F18" s="35">
        <f>F16/E16-1</f>
        <v>0.104795739857831</v>
      </c>
      <c r="G18" s="35">
        <f>G16/F16-1</f>
        <v>0.0472564091107803</v>
      </c>
      <c r="I18" s="21" t="s">
        <v>243</v>
      </c>
    </row>
    <row r="20" spans="1:9">
      <c r="A20" s="5" t="s">
        <v>244</v>
      </c>
    </row>
    <row r="21" spans="1:9" ht="28" customHeight="1">
      <c r="A21" s="18" t="s">
        <v>33</v>
      </c>
      <c r="B21" s="19" t="s">
        <v>34</v>
      </c>
      <c r="C21" s="19" t="s">
        <v>35</v>
      </c>
      <c r="D21" s="19" t="s">
        <v>36</v>
      </c>
      <c r="E21" s="19" t="s">
        <v>37</v>
      </c>
      <c r="F21" s="19" t="s">
        <v>38</v>
      </c>
      <c r="G21" s="19" t="s">
        <v>39</v>
      </c>
      <c r="H21" s="19" t="s">
        <v>40</v>
      </c>
      <c r="I21" s="19" t="s">
        <v>42</v>
      </c>
    </row>
    <row r="22" spans="1:9">
      <c r="A22" s="30" t="s">
        <v>245</v>
      </c>
      <c r="B22" s="32" t="s">
        <v>141</v>
      </c>
      <c r="C22" s="32" t="s">
        <v>141</v>
      </c>
      <c r="D22" s="32" t="s">
        <v>141</v>
      </c>
      <c r="E22" s="32" t="s">
        <v>141</v>
      </c>
      <c r="F22" s="32" t="s">
        <v>141</v>
      </c>
      <c r="G22" s="32" t="s">
        <v>141</v>
      </c>
      <c r="H22" s="25">
        <v>235</v>
      </c>
      <c r="I22" s="21" t="s">
        <v>246</v>
      </c>
    </row>
    <row r="23" spans="1:9">
      <c r="A23" s="30" t="s">
        <v>247</v>
      </c>
      <c r="B23" s="32" t="s">
        <v>141</v>
      </c>
      <c r="C23" s="32" t="s">
        <v>141</v>
      </c>
      <c r="D23" s="32" t="s">
        <v>141</v>
      </c>
      <c r="E23" s="32" t="s">
        <v>141</v>
      </c>
      <c r="F23" s="32" t="s">
        <v>141</v>
      </c>
      <c r="G23" s="32" t="s">
        <v>141</v>
      </c>
      <c r="H23" s="25">
        <v>4527</v>
      </c>
      <c r="I23" s="21" t="s">
        <v>246</v>
      </c>
    </row>
    <row r="24" spans="1:9">
      <c r="A24" s="3" t="s">
        <v>248</v>
      </c>
      <c r="B24" s="25">
        <v>26942</v>
      </c>
      <c r="C24" s="25">
        <v>8031</v>
      </c>
      <c r="D24" s="25">
        <v>8976</v>
      </c>
      <c r="E24" s="25">
        <v>2918</v>
      </c>
      <c r="F24" s="25">
        <v>0</v>
      </c>
      <c r="G24" s="25">
        <v>0</v>
      </c>
      <c r="H24" s="28">
        <f>H22+H23</f>
        <v>4762</v>
      </c>
      <c r="I24" s="21" t="s">
        <v>249</v>
      </c>
    </row>
    <row r="25" spans="1:9">
      <c r="A25" s="4" t="s">
        <v>250</v>
      </c>
      <c r="B25" s="25">
        <v>27061</v>
      </c>
      <c r="C25" s="25">
        <v>7854</v>
      </c>
      <c r="D25" s="25">
        <v>9171</v>
      </c>
      <c r="E25" s="25">
        <v>2918</v>
      </c>
      <c r="F25" s="25">
        <v>0</v>
      </c>
      <c r="G25" s="25">
        <v>0</v>
      </c>
      <c r="H25" s="25">
        <v>4444</v>
      </c>
      <c r="I25" s="21" t="s">
        <v>251</v>
      </c>
    </row>
    <row r="26" spans="1:9">
      <c r="A26" s="4" t="s">
        <v>252</v>
      </c>
      <c r="B26" s="20">
        <v>14196</v>
      </c>
      <c r="C26" s="20">
        <v>11098</v>
      </c>
      <c r="D26" s="20">
        <v>11667</v>
      </c>
      <c r="E26" s="20">
        <v>4787</v>
      </c>
      <c r="F26" s="20">
        <v>0</v>
      </c>
      <c r="G26" s="20">
        <v>0</v>
      </c>
      <c r="H26" s="20">
        <v>511</v>
      </c>
      <c r="I26" s="21" t="s">
        <v>253</v>
      </c>
    </row>
    <row r="27" spans="1:9">
      <c r="A27" s="4" t="s">
        <v>254</v>
      </c>
      <c r="B27" s="20">
        <v>78501968</v>
      </c>
      <c r="C27" s="20">
        <v>9896927</v>
      </c>
      <c r="D27" s="20">
        <v>9875568</v>
      </c>
      <c r="E27" s="20">
        <v>0</v>
      </c>
      <c r="F27" s="20">
        <v>0</v>
      </c>
      <c r="G27" s="20">
        <v>0</v>
      </c>
      <c r="H27" s="20">
        <v>9029655</v>
      </c>
      <c r="I27" s="21" t="s">
        <v>253</v>
      </c>
    </row>
    <row r="28" spans="1:9">
      <c r="A28" s="4" t="s">
        <v>255</v>
      </c>
      <c r="B28" s="45">
        <f>B26+B27/P_conv</f>
        <v>66530.6453333333</v>
      </c>
      <c r="C28" s="45">
        <f>C26+C27/P_conv</f>
        <v>17695.9513333333</v>
      </c>
      <c r="D28" s="45">
        <f>D26+D27/P_conv</f>
        <v>18250.712</v>
      </c>
      <c r="E28" s="45">
        <f>E26+E27/P_conv</f>
        <v>4787</v>
      </c>
      <c r="F28" s="45">
        <f>F26+F27/P_conv</f>
        <v>0</v>
      </c>
      <c r="G28" s="45">
        <f>G26+G27/P_conv</f>
        <v>0</v>
      </c>
      <c r="H28" s="45">
        <f>H26+H27/P_conv</f>
        <v>6530.77</v>
      </c>
    </row>
    <row r="29" spans="1:9">
      <c r="A29" s="3" t="s">
        <v>256</v>
      </c>
      <c r="B29" s="43">
        <f>IF(B28&gt;0,B24*1000000/B28,"无回购")</f>
        <v>404956.240316242</v>
      </c>
      <c r="C29" s="43">
        <f>IF(C28&gt;0,C24*1000000/C28,"无回购")</f>
        <v>453832.622429982</v>
      </c>
      <c r="D29" s="43">
        <f>IF(D28&gt;0,D24*1000000/D28,"无回购")</f>
        <v>491816.428860419</v>
      </c>
      <c r="E29" s="43">
        <f>IF(E28&gt;0,E24*1000000/E28,"无回购")</f>
        <v>609567.578859411</v>
      </c>
      <c r="F29" s="43" t="str">
        <f>IF(F28&gt;0,F24*1000000/F28,"无回购")</f>
        <v>无回购</v>
      </c>
      <c r="G29" s="43" t="str">
        <f>IF(G28&gt;0,G24*1000000/G28,"无回购")</f>
        <v>无回购</v>
      </c>
      <c r="H29" s="43">
        <f>IF(H28&gt;0,H24*1000000/H28,"无回购")</f>
        <v>729163.636140914</v>
      </c>
    </row>
    <row r="30" spans="1:9">
      <c r="A30" s="4" t="s">
        <v>257</v>
      </c>
      <c r="B30" s="46">
        <f>IF(ISNUMBER(B29),B29/'回购与每股账面'!$B$16,"—")</f>
        <v>1.19284768759074</v>
      </c>
      <c r="C30" s="46">
        <f>IF(ISNUMBER(C29),C29/'回购与每股账面'!$C$16,"—")</f>
        <v>1.39932624816087</v>
      </c>
      <c r="D30" s="46">
        <f>IF(ISNUMBER(D29),D29/'回购与每股账面'!$D$16,"—")</f>
        <v>1.2631016635527</v>
      </c>
      <c r="E30" s="46">
        <f>IF(ISNUMBER(E29),E29/'回购与每股账面'!$E$16,"—")</f>
        <v>1.35007325837693</v>
      </c>
      <c r="F30" s="46" t="str">
        <f>IF(ISNUMBER(F29),F29/'回购与每股账面'!$F$16,"—")</f>
        <v>—</v>
      </c>
      <c r="G30" s="32" t="s">
        <v>141</v>
      </c>
      <c r="H30" s="46">
        <f>IF(ISNUMBER(H29),H29/'回购与每股账面'!$G$16,"—")</f>
        <v>1.39580728013425</v>
      </c>
      <c r="I30" s="21" t="s">
        <v>258</v>
      </c>
    </row>
    <row r="31" spans="1:9">
      <c r="A31" s="4" t="s">
        <v>259</v>
      </c>
      <c r="B31" s="35">
        <f>B24/'分部利润'!$B$12</f>
        <v>0.976265536108997</v>
      </c>
      <c r="C31" s="35">
        <f>C24/'分部利润'!$C$12</f>
        <v>0.260298836417852</v>
      </c>
      <c r="D31" s="35">
        <f>D24/'分部利润'!$D$12</f>
        <v>0.240321285140562</v>
      </c>
      <c r="E31" s="35">
        <f>E24/'分部利润'!$E$12</f>
        <v>0.0615131648291418</v>
      </c>
      <c r="F31" s="35">
        <f>F24/'分部利润'!$F$12</f>
        <v>0</v>
      </c>
      <c r="G31" s="35">
        <f>G24/'分部利润'!$G$12</f>
        <v>0</v>
      </c>
      <c r="H31" s="35">
        <f>H24/'分部利润'!$H$12</f>
        <v>0.195733486785318</v>
      </c>
    </row>
  </sheetData>
  <pageMargins left="0.4" right="0.4" top="0.5" bottom="0.5" header="0.3" footer="0.3"/>
  <pageSetup paperSize="9" fitToHeight="0" orientation="landscape"/>
  <headerFooter>
    <oddFooter>&amp;L&amp;8伯克希尔账本 · 仅供研究，不构成投资建议&amp;R&amp;8&amp;A · 第 &amp;P 页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6.7109375" customWidth="1"/>
    <col min="2" max="8" width="13.28515625" customWidth="1"/>
    <col min="9" max="9" width="70.7109375" customWidth="1"/>
  </cols>
  <sheetData>
    <row r="1" spans="1:9">
      <c r="A1" s="1" t="s">
        <v>260</v>
      </c>
    </row>
    <row r="2" spans="1:9">
      <c r="A2" s="2" t="s">
        <v>261</v>
      </c>
    </row>
    <row r="3" spans="1:9">
      <c r="A3" s="12" t="s">
        <v>2</v>
      </c>
      <c r="B3" s="13" t="s">
        <v>3</v>
      </c>
      <c r="C3" s="14" t="s">
        <v>4</v>
      </c>
      <c r="D3" s="15" t="s">
        <v>5</v>
      </c>
      <c r="E3" s="16" t="s">
        <v>6</v>
      </c>
      <c r="F3" s="17" t="s">
        <v>7</v>
      </c>
    </row>
    <row r="5" spans="1:9">
      <c r="A5" s="5" t="s">
        <v>262</v>
      </c>
    </row>
    <row r="6" spans="1:9" ht="28" customHeight="1">
      <c r="A6" s="18" t="s">
        <v>33</v>
      </c>
      <c r="B6" s="19" t="s">
        <v>34</v>
      </c>
      <c r="C6" s="19" t="s">
        <v>35</v>
      </c>
      <c r="D6" s="19" t="s">
        <v>36</v>
      </c>
      <c r="E6" s="19" t="s">
        <v>37</v>
      </c>
      <c r="F6" s="19" t="s">
        <v>38</v>
      </c>
      <c r="G6" s="19" t="s">
        <v>39</v>
      </c>
      <c r="H6" s="19" t="s">
        <v>40</v>
      </c>
      <c r="I6" s="19" t="s">
        <v>42</v>
      </c>
    </row>
    <row r="7" spans="1:9">
      <c r="A7" s="4" t="s">
        <v>263</v>
      </c>
      <c r="B7" s="25">
        <v>39427</v>
      </c>
      <c r="C7" s="25">
        <v>37350</v>
      </c>
      <c r="D7" s="25">
        <v>49196</v>
      </c>
      <c r="E7" s="25">
        <v>30592</v>
      </c>
      <c r="F7" s="25">
        <v>45969</v>
      </c>
      <c r="G7" s="25">
        <v>20988</v>
      </c>
      <c r="H7" s="25">
        <v>21653</v>
      </c>
      <c r="I7" s="21" t="s">
        <v>264</v>
      </c>
    </row>
    <row r="8" spans="1:9">
      <c r="A8" s="4" t="s">
        <v>265</v>
      </c>
      <c r="B8" s="25">
        <v>8448</v>
      </c>
      <c r="C8" s="25">
        <v>67930</v>
      </c>
      <c r="D8" s="25">
        <v>16462</v>
      </c>
      <c r="E8" s="25">
        <v>9237</v>
      </c>
      <c r="F8" s="25">
        <v>16923</v>
      </c>
      <c r="G8" s="25">
        <v>7092</v>
      </c>
      <c r="H8" s="25">
        <v>39405</v>
      </c>
      <c r="I8" s="21" t="s">
        <v>264</v>
      </c>
    </row>
    <row r="9" spans="1:9">
      <c r="A9" s="4" t="s">
        <v>266</v>
      </c>
      <c r="B9" s="25">
        <v>15849</v>
      </c>
      <c r="C9" s="25">
        <v>33664</v>
      </c>
      <c r="D9" s="25">
        <v>40631</v>
      </c>
      <c r="E9" s="25">
        <v>143359</v>
      </c>
      <c r="F9" s="25">
        <v>30686</v>
      </c>
      <c r="G9" s="25">
        <v>11592</v>
      </c>
      <c r="H9" s="25">
        <v>27780</v>
      </c>
      <c r="I9" s="21" t="s">
        <v>264</v>
      </c>
    </row>
    <row r="10" spans="1:9">
      <c r="A10" s="4" t="s">
        <v>267</v>
      </c>
      <c r="B10" s="25">
        <v>456</v>
      </c>
      <c r="C10" s="25">
        <v>10594</v>
      </c>
      <c r="D10" s="25">
        <v>8604</v>
      </c>
      <c r="E10" s="25">
        <v>396</v>
      </c>
      <c r="F10" s="25">
        <v>1074</v>
      </c>
      <c r="G10" s="25">
        <v>101</v>
      </c>
      <c r="H10" s="25">
        <v>9704</v>
      </c>
      <c r="I10" s="21" t="s">
        <v>264</v>
      </c>
    </row>
    <row r="11" spans="1:9">
      <c r="A11" s="4" t="s">
        <v>268</v>
      </c>
      <c r="B11" s="25">
        <v>13276</v>
      </c>
      <c r="C11" s="25">
        <v>15464</v>
      </c>
      <c r="D11" s="25">
        <v>19409</v>
      </c>
      <c r="E11" s="25">
        <v>18976</v>
      </c>
      <c r="F11" s="25">
        <v>20927</v>
      </c>
      <c r="G11" s="25">
        <v>9139</v>
      </c>
      <c r="H11" s="25">
        <v>10631</v>
      </c>
      <c r="I11" s="21" t="s">
        <v>264</v>
      </c>
    </row>
    <row r="12" spans="1:9">
      <c r="A12" s="3" t="s">
        <v>269</v>
      </c>
      <c r="B12" s="28">
        <f>B8-B9</f>
        <v>-7401</v>
      </c>
      <c r="C12" s="28">
        <f>C8-C9</f>
        <v>34266</v>
      </c>
      <c r="D12" s="28">
        <f>D8-D9</f>
        <v>-24169</v>
      </c>
      <c r="E12" s="28">
        <f>E8-E9</f>
        <v>-134122</v>
      </c>
      <c r="F12" s="28">
        <f>F8-F9</f>
        <v>-13763</v>
      </c>
      <c r="G12" s="28">
        <f>G8-G9</f>
        <v>-4500</v>
      </c>
      <c r="H12" s="28">
        <f>H8-H9</f>
        <v>11625</v>
      </c>
    </row>
    <row r="13" spans="1:9">
      <c r="A13" s="4" t="s">
        <v>270</v>
      </c>
      <c r="B13" s="27">
        <f>'回购与每股账面'!$B$25</f>
        <v>27061</v>
      </c>
      <c r="C13" s="27">
        <f>'回购与每股账面'!$C$25</f>
        <v>7854</v>
      </c>
      <c r="D13" s="27">
        <f>'回购与每股账面'!$D$25</f>
        <v>9171</v>
      </c>
      <c r="E13" s="27">
        <f>'回购与每股账面'!$E$25</f>
        <v>2918</v>
      </c>
      <c r="F13" s="27">
        <f>'回购与每股账面'!$F$25</f>
        <v>0</v>
      </c>
      <c r="G13" s="27">
        <f>'回购与每股账面'!$G$25</f>
        <v>0</v>
      </c>
      <c r="H13" s="27">
        <f>'回购与每股账面'!$H$25</f>
        <v>4444</v>
      </c>
    </row>
    <row r="14" spans="1:9">
      <c r="A14" s="4" t="s">
        <v>271</v>
      </c>
      <c r="B14" s="27">
        <f>B7-B11</f>
        <v>26151</v>
      </c>
      <c r="C14" s="27">
        <f>C7-C11</f>
        <v>21886</v>
      </c>
      <c r="D14" s="27">
        <f>D7-D11</f>
        <v>29787</v>
      </c>
      <c r="E14" s="27">
        <f>E7-E11</f>
        <v>11616</v>
      </c>
      <c r="F14" s="27">
        <f>F7-F11</f>
        <v>25042</v>
      </c>
      <c r="G14" s="27">
        <f>G7-G11</f>
        <v>11849</v>
      </c>
      <c r="H14" s="27">
        <f>H7-H11</f>
        <v>11022</v>
      </c>
    </row>
  </sheetData>
  <pageMargins left="0.4" right="0.4" top="0.5" bottom="0.5" header="0.3" footer="0.3"/>
  <pageSetup paperSize="9" fitToHeight="0" orientation="landscape"/>
  <headerFooter>
    <oddFooter>&amp;L&amp;8伯克希尔账本 · 仅供研究，不构成投资建议&amp;R&amp;8&amp;A · 第 &amp;P 页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0.7109375" customWidth="1"/>
    <col min="2" max="9" width="13.28515625" customWidth="1"/>
    <col min="10" max="13" width="12.28515625" customWidth="1"/>
  </cols>
  <sheetData>
    <row r="1" spans="1:9">
      <c r="A1" s="1" t="s">
        <v>272</v>
      </c>
    </row>
    <row r="2" spans="1:9">
      <c r="A2" s="2" t="s">
        <v>273</v>
      </c>
    </row>
    <row r="3" spans="1:9">
      <c r="A3" s="12" t="s">
        <v>2</v>
      </c>
      <c r="B3" s="13" t="s">
        <v>3</v>
      </c>
      <c r="C3" s="14" t="s">
        <v>4</v>
      </c>
      <c r="D3" s="15" t="s">
        <v>5</v>
      </c>
      <c r="E3" s="16" t="s">
        <v>6</v>
      </c>
      <c r="F3" s="17" t="s">
        <v>7</v>
      </c>
    </row>
    <row r="5" spans="1:9">
      <c r="A5" s="5" t="s">
        <v>274</v>
      </c>
      <c r="D5" s="47" t="s">
        <v>329</v>
      </c>
    </row>
    <row r="6" spans="1:9" ht="34" customHeight="1">
      <c r="A6" s="48" t="str">
        <f>"2026 上半年经营利润 "&amp;TEXT('分部利润'!$H$12/100,"#,##0.0")&amp;" 亿美元，较 2025 上半年 "&amp;TEXT('分部利润'!$H$12/'分部利润'!$G$12-1,"+0.0%;-0.0%")&amp;"；其中制造服务零售 "&amp;TEXT('分部利润'!$H$10/'分部利润'!$G$10-1,"+0.0%;-0.0%")&amp;"、BNSF "&amp;TEXT('分部利润'!$H$8/'分部利润'!$G$8-1,"+0.0%;-0.0%")&amp;"、BHE "&amp;TEXT('分部利润'!$H$9/'分部利润'!$G$9-1,"+0.0%;-0.0%")&amp;"。"</f>
        <v>2026 上半年经营利润 243.3 亿美元，较 2025 上半年 +17.0%；其中制造服务零售 +15.1%、BNSF +9.5%、BHE +11.5%。</v>
      </c>
      <c r="B6" s="48"/>
      <c r="C6" s="48"/>
      <c r="D6" s="48"/>
      <c r="E6" s="48"/>
      <c r="F6" s="48"/>
      <c r="G6" s="48"/>
      <c r="H6" s="48"/>
      <c r="I6" s="48"/>
    </row>
    <row r="7" spans="1:9" ht="34" customHeight="1">
      <c r="A7" s="48" t="str">
        <f>"保险投资收益 2026 上半年同比 "&amp;TEXT('分部利润'!$H$7/'分部利润'!$G$7-1,"+0.0%;-0.0%")&amp;"（利率下行）；与公司层面投资收益合并看为 "&amp;TEXT('分部利润'!$H$39/'分部利润'!$G$39-1,"+0.0%;-0.0%")&amp;"。承保利润同比 "&amp;TEXT('分部利润'!$H$6/'分部利润'!$G$6-1,"+0.0%;-0.0%")&amp;"，但 GEICO 综合成本率由 "&amp;TEXT('业务明细'!$G$21,"0.0%")&amp;" 升至 "&amp;TEXT('业务明细'!$H$21,"0.0%")&amp;"。"</f>
        <v>保险投资收益 2026 上半年同比 -8.3%（利率下行）；与公司层面投资收益合并看为 -4.2%。承保利润同比 +3.6%，但 GEICO 综合成本率由 81.7% 升至 89.3%。</v>
      </c>
      <c r="B7" s="48"/>
      <c r="C7" s="48"/>
      <c r="D7" s="48"/>
      <c r="E7" s="48"/>
      <c r="F7" s="48"/>
      <c r="G7" s="48"/>
      <c r="H7" s="48"/>
      <c r="I7" s="48"/>
    </row>
    <row r="8" spans="1:9" ht="34" customHeight="1">
      <c r="A8" s="48" t="str">
        <f>"2026 年 6 月末浮存金约 "&amp;TEXT('浮存金与现金'!$H$6/100,"#,##0")&amp;" 亿美元；保险及其他业务现金及短期国债（净额）"&amp;TEXT('浮存金与现金'!$H$11/100,"#,##0")&amp;" 亿美元，较 2025 年末 "&amp;TEXT('浮存金与现金'!$H$11/'浮存金与现金'!$G$11-1,"+0.0%;-0.0%")&amp;"。"</f>
        <v>2026 年 6 月末浮存金约 1,775 亿美元；保险及其他业务现金及短期国债（净额）3,592 亿美元，较 2025 年末 -2.6%。</v>
      </c>
      <c r="B8" s="48"/>
      <c r="C8" s="48"/>
      <c r="D8" s="48"/>
      <c r="E8" s="48"/>
      <c r="F8" s="48"/>
      <c r="G8" s="48"/>
      <c r="H8" s="48"/>
      <c r="I8" s="48"/>
    </row>
    <row r="9" spans="1:9" ht="34" customHeight="1">
      <c r="A9" s="48" t="str">
        <f>"股票组合公允价值 "&amp;TEXT('股票组合'!$G$17/100,"#,##0")&amp;" 亿美元，较 2025 年末 "&amp;TEXT('股票组合'!$G$17/'股票组合'!$F$17-1,"+0.0%;-0.0%")&amp;"；“商业、工业及其他”占比由 "&amp;TEXT('股票组合'!$F$25,"0.0%")&amp;" 升至 "&amp;TEXT('股票组合'!$G$25,"0.0%")&amp;"，前五大集中度 "&amp;TEXT('股票组合'!$G$29,"0%")&amp;"。"</f>
        <v>股票组合公允价值 3,238 亿美元，较 2025 年末 +8.7%；“商业、工业及其他”占比由 33.1% 升至 39.8%，前五大集中度 66%。</v>
      </c>
      <c r="B9" s="48"/>
      <c r="C9" s="48"/>
      <c r="D9" s="48"/>
      <c r="E9" s="48"/>
      <c r="F9" s="48"/>
      <c r="G9" s="48"/>
      <c r="H9" s="48"/>
      <c r="I9" s="48"/>
    </row>
    <row r="10" spans="1:9" ht="34" customHeight="1">
      <c r="A10" s="48" t="str">
        <f>"交班后重启回购：2026 上半年回购 "&amp;TEXT('回购与每股账面'!$H$24/100,"#,##0.0")&amp;" 亿美元（2025 全年为 0），均价约为期末每股账面价值的 "&amp;TEXT('回购与每股账面'!$H$30,"0.00")&amp;" 倍；每股账面价值 "&amp;TEXT('回购与每股账面'!$G$16,"$#,##0")&amp;"，较 2025 年末 "&amp;TEXT('回购与每股账面'!$G$18,"+0.0%;-0.0%")&amp;"。"</f>
        <v>交班后重启回购：2026 上半年回购 47.6 亿美元（2025 全年为 0），均价约为期末每股账面价值的 1.40 倍；每股账面价值 $522,396，较 2025 年末 +4.7%。</v>
      </c>
      <c r="B10" s="48"/>
      <c r="C10" s="48"/>
      <c r="D10" s="48"/>
      <c r="E10" s="48"/>
      <c r="F10" s="48"/>
      <c r="G10" s="48"/>
      <c r="H10" s="48"/>
      <c r="I10" s="48"/>
    </row>
    <row r="12" spans="1:9">
      <c r="A12" s="5" t="s">
        <v>275</v>
      </c>
    </row>
    <row r="13" spans="1:9" ht="30" customHeight="1">
      <c r="A13" s="18" t="s">
        <v>276</v>
      </c>
      <c r="B13" s="19" t="s">
        <v>277</v>
      </c>
      <c r="C13" s="19" t="s">
        <v>278</v>
      </c>
      <c r="D13" s="19" t="s">
        <v>279</v>
      </c>
      <c r="E13" s="19" t="s">
        <v>280</v>
      </c>
      <c r="F13" s="19" t="s">
        <v>281</v>
      </c>
      <c r="G13" s="19" t="s">
        <v>282</v>
      </c>
      <c r="H13" s="19" t="s">
        <v>283</v>
      </c>
    </row>
    <row r="14" spans="1:9">
      <c r="A14" s="4" t="s">
        <v>284</v>
      </c>
      <c r="B14" s="35">
        <f>IF('分部利润'!$B$6&lt;=0,"n/m",'分部利润'!$C$6/'分部利润'!$B$6-1)</f>
        <v>-1.03448275862069</v>
      </c>
      <c r="C14" s="35" t="str">
        <f>IF('分部利润'!$C$6&lt;=0,"n/m",'分部利润'!$D$6/'分部利润'!$C$6-1)</f>
        <v>n/m</v>
      </c>
      <c r="D14" s="35">
        <f>IF('分部利润'!$D$6&lt;=0,"n/m",'分部利润'!$E$6/'分部利润'!$D$6-1)</f>
        <v>0.661753868828298</v>
      </c>
      <c r="E14" s="35">
        <f>IF('分部利润'!$E$6&lt;=0,"n/m",'分部利润'!$F$6/'分部利润'!$E$6-1)</f>
        <v>-0.195343680709534</v>
      </c>
      <c r="F14" s="35">
        <f>IF('分部利润'!$G$6&lt;=0,"n/m",'分部利润'!$H$6/'分部利润'!$G$6-1)</f>
        <v>0.0360576923076923</v>
      </c>
      <c r="G14" s="35">
        <f>IF(OR('分部利润'!$B$6&lt;=0,'分部利润'!$F$6&lt;=0),"n/m",('分部利润'!$F$6/'分部利润'!$B$6)^(1/4)-1)</f>
        <v>0.699512752886917</v>
      </c>
      <c r="H14" s="27">
        <f>'分部利润'!$F$6-'分部利润'!$B$6</f>
        <v>6388</v>
      </c>
    </row>
    <row r="15" spans="1:9">
      <c r="A15" s="4" t="s">
        <v>285</v>
      </c>
      <c r="B15" s="35">
        <f>IF('分部利润'!$B$7&lt;=0,"n/m",'分部利润'!$C$7/'分部利润'!$B$7-1)</f>
        <v>0.34886623673809</v>
      </c>
      <c r="C15" s="35">
        <f>IF('分部利润'!$C$7&lt;=0,"n/m",'分部利润'!$D$7/'分部利润'!$C$7-1)</f>
        <v>0.47547809993831</v>
      </c>
      <c r="D15" s="35">
        <f>IF('分部利润'!$D$7&lt;=0,"n/m",'分部利润'!$E$7/'分部利润'!$D$7-1)</f>
        <v>0.428870074213442</v>
      </c>
      <c r="E15" s="35">
        <f>IF('分部利润'!$E$7&lt;=0,"n/m",'分部利润'!$F$7/'分部利润'!$E$7-1)</f>
        <v>-0.0846378931967813</v>
      </c>
      <c r="F15" s="35">
        <f>IF('分部利润'!$G$7&lt;=0,"n/m",'分部利润'!$H$7/'分部利润'!$G$7-1)</f>
        <v>-0.0833865814696486</v>
      </c>
      <c r="G15" s="35">
        <f>IF(OR('分部利润'!$B$7&lt;=0,'分部利润'!$F$7&lt;=0),"n/m",('分部利润'!$F$7/'分部利润'!$B$7)^(1/4)-1)</f>
        <v>0.270199187524497</v>
      </c>
      <c r="H15" s="27">
        <f>'分部利润'!$F$7-'分部利润'!$B$7</f>
        <v>7706</v>
      </c>
    </row>
    <row r="16" spans="1:9">
      <c r="A16" s="4" t="s">
        <v>46</v>
      </c>
      <c r="B16" s="35">
        <f>IF('分部利润'!$B$8&lt;=0,"n/m",'分部利润'!$C$8/'分部利润'!$B$8-1)</f>
        <v>-0.00734557595993324</v>
      </c>
      <c r="C16" s="35">
        <f>IF('分部利润'!$C$8&lt;=0,"n/m",'分部利润'!$D$8/'分部利润'!$C$8-1)</f>
        <v>-0.144466868483014</v>
      </c>
      <c r="D16" s="35">
        <f>IF('分部利润'!$D$8&lt;=0,"n/m",'分部利润'!$E$8/'分部利润'!$D$8-1)</f>
        <v>-0.0110084529192058</v>
      </c>
      <c r="E16" s="35">
        <f>IF('分部利润'!$E$8&lt;=0,"n/m",'分部利润'!$F$8/'分部利润'!$E$8-1)</f>
        <v>0.088451600079507</v>
      </c>
      <c r="F16" s="35">
        <f>IF('分部利润'!$G$8&lt;=0,"n/m",'分部利润'!$H$8/'分部利润'!$G$8-1)</f>
        <v>0.0951492537313432</v>
      </c>
      <c r="G16" s="35">
        <f>IF(OR('分部利润'!$B$8&lt;=0,'分部利润'!$F$8&lt;=0),"n/m",('分部利润'!$F$8/'分部利润'!$B$8)^(1/4)-1)</f>
        <v>-0.0221794633811391</v>
      </c>
      <c r="H16" s="27">
        <f>'分部利润'!$F$8-'分部利润'!$B$8</f>
        <v>-514</v>
      </c>
    </row>
    <row r="17" spans="1:8">
      <c r="A17" s="4" t="s">
        <v>286</v>
      </c>
      <c r="B17" s="35">
        <f>IF('分部利润'!$B$9&lt;=0,"n/m",'分部利润'!$C$9/'分部利润'!$B$9-1)</f>
        <v>0.0929451287793952</v>
      </c>
      <c r="C17" s="35">
        <f>IF('分部利润'!$C$9&lt;=0,"n/m",'分部利润'!$D$9/'分部利润'!$C$9-1)</f>
        <v>-0.402920081967213</v>
      </c>
      <c r="D17" s="35">
        <f>IF('分部利润'!$D$9&lt;=0,"n/m",'分部利润'!$E$9/'分部利润'!$D$9-1)</f>
        <v>0.6001716001716</v>
      </c>
      <c r="E17" s="35">
        <f>IF('分部利润'!$E$9&lt;=0,"n/m",'分部利润'!$F$9/'分部利润'!$E$9-1)</f>
        <v>0.0667560321715817</v>
      </c>
      <c r="F17" s="35">
        <f>IF('分部利润'!$G$9&lt;=0,"n/m",'分部利润'!$H$9/'分部利润'!$G$9-1)</f>
        <v>0.114508060033352</v>
      </c>
      <c r="G17" s="35">
        <f>IF(OR('分部利润'!$B$9&lt;=0,'分部利润'!$F$9&lt;=0),"n/m",('分部利润'!$F$9/'分部利润'!$B$9)^(1/4)-1)</f>
        <v>0.0273433692761673</v>
      </c>
      <c r="H17" s="27">
        <f>'分部利润'!$F$9-'分部利润'!$B$9</f>
        <v>407</v>
      </c>
    </row>
    <row r="18" spans="1:8">
      <c r="A18" s="4" t="s">
        <v>287</v>
      </c>
      <c r="B18" s="35">
        <f>IF('分部利润'!$B$10&lt;=0,"n/m",'分部利润'!$C$10/'分部利润'!$B$10-1)</f>
        <v>0.125179856115108</v>
      </c>
      <c r="C18" s="35">
        <f>IF('分部利润'!$C$10&lt;=0,"n/m",'分部利润'!$D$10/'分部利润'!$C$10-1)</f>
        <v>0.0679347826086956</v>
      </c>
      <c r="D18" s="35">
        <f>IF('分部利润'!$D$10&lt;=0,"n/m",'分部利润'!$E$10/'分部利润'!$D$10-1)</f>
        <v>-0.0217033378236791</v>
      </c>
      <c r="E18" s="35">
        <f>IF('分部利润'!$E$10&lt;=0,"n/m",'分部利润'!$F$10/'分部利润'!$E$10-1)</f>
        <v>0.0439871481028151</v>
      </c>
      <c r="F18" s="35">
        <f>IF('分部利润'!$G$10&lt;=0,"n/m",'分部利润'!$H$10/'分部利润'!$G$10-1)</f>
        <v>0.151328629334935</v>
      </c>
      <c r="G18" s="35">
        <f>IF(OR('分部利润'!$B$10&lt;=0,'分部利润'!$F$10&lt;=0),"n/m",('分部利润'!$F$10/'分部利润'!$B$10)^(1/4)-1)</f>
        <v>0.052526650199417</v>
      </c>
      <c r="H18" s="27">
        <f>'分部利润'!$F$10-'分部利润'!$B$10</f>
        <v>2527</v>
      </c>
    </row>
    <row r="19" spans="1:8">
      <c r="A19" s="4" t="s">
        <v>288</v>
      </c>
      <c r="B19" s="35">
        <f>IF('分部利润'!$B$11&lt;=0,"n/m",'分部利润'!$C$11/'分部利润'!$B$11-1)</f>
        <v>0.645395799676898</v>
      </c>
      <c r="C19" s="35">
        <f>IF('分部利润'!$C$11&lt;=0,"n/m",'分部利润'!$D$11/'分部利润'!$C$11-1)</f>
        <v>-0.22680412371134</v>
      </c>
      <c r="D19" s="35">
        <f>IF('分部利润'!$D$11&lt;=0,"n/m",'分部利润'!$E$11/'分部利润'!$D$11-1)</f>
        <v>0.85015873015873</v>
      </c>
      <c r="E19" s="35">
        <f>IF('分部利润'!$E$11&lt;=0,"n/m",'分部利润'!$F$11/'分部利润'!$E$11-1)</f>
        <v>-0.44646533973919</v>
      </c>
      <c r="F19" s="35">
        <f>IF('分部利润'!$G$11&lt;=0,"n/m",'分部利润'!$H$11/'分部利润'!$G$11-1)</f>
        <v>33.7123287671233</v>
      </c>
      <c r="G19" s="35">
        <f>IF(OR('分部利润'!$B$11&lt;=0,'分部利润'!$F$11&lt;=0),"n/m",('分部利润'!$F$11/'分部利润'!$B$11)^(1/4)-1)</f>
        <v>0.0683865959018908</v>
      </c>
      <c r="H19" s="27">
        <f>'分部利润'!$F$11-'分部利润'!$B$11</f>
        <v>375</v>
      </c>
    </row>
    <row r="20" spans="1:8">
      <c r="A20" s="3" t="s">
        <v>289</v>
      </c>
      <c r="B20" s="36">
        <f>IF('分部利润'!$B$12&lt;=0,"n/m",'分部利润'!$C$12/'分部利润'!$B$12-1)</f>
        <v>0.117983838823061</v>
      </c>
      <c r="C20" s="36">
        <f>IF('分部利润'!$C$12&lt;=0,"n/m",'分部利润'!$D$12/'分部利润'!$C$12-1)</f>
        <v>0.210579198133083</v>
      </c>
      <c r="D20" s="36">
        <f>IF('分部利润'!$D$12&lt;=0,"n/m",'分部利润'!$E$12/'分部利润'!$D$12-1)</f>
        <v>0.270066934404284</v>
      </c>
      <c r="E20" s="36">
        <f>IF('分部利润'!$E$12&lt;=0,"n/m",'分部利润'!$F$12/'分部利润'!$E$12-1)</f>
        <v>-0.0622088243354344</v>
      </c>
      <c r="F20" s="36">
        <f>IF('分部利润'!$G$12&lt;=0,"n/m",'分部利润'!$H$12/'分部利润'!$G$12-1)</f>
        <v>0.169607230421614</v>
      </c>
      <c r="G20" s="35">
        <f>IF(OR('分部利润'!$B$12&lt;=0,'分部利润'!$F$12&lt;=0),"n/m",('分部利润'!$F$12/'分部利润'!$B$12)^(1/4)-1)</f>
        <v>0.126783220294872</v>
      </c>
      <c r="H20" s="27">
        <f>'分部利润'!$F$12-'分部利润'!$B$12</f>
        <v>16889</v>
      </c>
    </row>
    <row r="21" spans="1:8">
      <c r="A21" s="3" t="s">
        <v>290</v>
      </c>
      <c r="B21" s="35">
        <f>IF('分部利润'!$B$15&lt;=0,"n/m",'分部利润'!$C$15/'分部利润'!$B$15-1)</f>
        <v>-1.25305491621913</v>
      </c>
      <c r="C21" s="35" t="str">
        <f>IF('分部利润'!$C$15&lt;=0,"n/m",'分部利润'!$D$15/'分部利润'!$C$15-1)</f>
        <v>n/m</v>
      </c>
      <c r="D21" s="35">
        <f>IF('分部利润'!$D$15&lt;=0,"n/m",'分部利润'!$E$15/'分部利润'!$D$15-1)</f>
        <v>-0.075117175727217</v>
      </c>
      <c r="E21" s="35">
        <f>IF('分部利润'!$E$15&lt;=0,"n/m",'分部利润'!$F$15/'分部利润'!$E$15-1)</f>
        <v>-0.247508286982415</v>
      </c>
      <c r="F21" s="35">
        <f>IF('分部利润'!$G$15&lt;=0,"n/m",'分部利润'!$H$15/'分部利润'!$G$15-1)</f>
        <v>1.10764154834148</v>
      </c>
      <c r="G21" s="35">
        <f>IF(OR('分部利润'!$B$15&lt;=0,'分部利润'!$F$15&lt;=0),"n/m",('分部利润'!$F$15/'分部利润'!$B$15)^(1/4)-1)</f>
        <v>-0.0710716164471066</v>
      </c>
      <c r="H21" s="27">
        <f>'分部利润'!$F$15-'分部利润'!$B$15</f>
        <v>-22969</v>
      </c>
    </row>
    <row r="23" spans="1:8">
      <c r="A23" s="5" t="s">
        <v>291</v>
      </c>
    </row>
    <row r="24" spans="1:8" ht="30" customHeight="1">
      <c r="A24" s="18" t="s">
        <v>276</v>
      </c>
      <c r="B24" s="19" t="s">
        <v>34</v>
      </c>
      <c r="C24" s="19" t="s">
        <v>35</v>
      </c>
      <c r="D24" s="19" t="s">
        <v>36</v>
      </c>
      <c r="E24" s="19" t="s">
        <v>37</v>
      </c>
      <c r="F24" s="19" t="s">
        <v>38</v>
      </c>
      <c r="G24" s="19" t="s">
        <v>39</v>
      </c>
      <c r="H24" s="19" t="s">
        <v>40</v>
      </c>
    </row>
    <row r="25" spans="1:8">
      <c r="A25" s="4" t="s">
        <v>284</v>
      </c>
      <c r="B25" s="35">
        <f>'分部利润'!$B$6/'分部利润'!$B$12</f>
        <v>0.031525165778889</v>
      </c>
      <c r="C25" s="35">
        <f>'分部利润'!$C$6/'分部利润'!$C$12</f>
        <v>-0.000972352769584805</v>
      </c>
      <c r="D25" s="35">
        <f>'分部利润'!$D$6/'分部利润'!$D$12</f>
        <v>0.145327978580991</v>
      </c>
      <c r="E25" s="35">
        <f>'分部利润'!$E$6/'分部利润'!$E$12</f>
        <v>0.190146931719965</v>
      </c>
      <c r="F25" s="35">
        <f>'分部利润'!$F$6/'分部利润'!$F$12</f>
        <v>0.163152452456953</v>
      </c>
      <c r="G25" s="35">
        <f>'分部利润'!$G$6/'分部利润'!$G$12</f>
        <v>0.159992308062112</v>
      </c>
      <c r="H25" s="35">
        <f>'分部利润'!$H$6/'分部利润'!$H$12</f>
        <v>0.14172386863414</v>
      </c>
    </row>
    <row r="26" spans="1:8">
      <c r="A26" s="4" t="s">
        <v>285</v>
      </c>
      <c r="B26" s="35">
        <f>'分部利润'!$B$7/'分部利润'!$B$12</f>
        <v>0.174185599884045</v>
      </c>
      <c r="C26" s="35">
        <f>'分部利润'!$C$7/'分部利润'!$C$12</f>
        <v>0.210157845266263</v>
      </c>
      <c r="D26" s="35">
        <f>'分部利润'!$D$7/'分部利润'!$D$12</f>
        <v>0.256144578313253</v>
      </c>
      <c r="E26" s="35">
        <f>'分部利润'!$E$7/'分部利润'!$E$12</f>
        <v>0.288171680333917</v>
      </c>
      <c r="F26" s="35">
        <f>'分部利润'!$F$7/'分部利润'!$F$12</f>
        <v>0.281279503664074</v>
      </c>
      <c r="G26" s="35">
        <f>'分部利润'!$G$7/'分部利润'!$G$12</f>
        <v>0.300947069852411</v>
      </c>
      <c r="H26" s="35">
        <f>'分部利润'!$H$7/'分部利润'!$H$12</f>
        <v>0.235850219902174</v>
      </c>
    </row>
    <row r="27" spans="1:8">
      <c r="A27" s="4" t="s">
        <v>46</v>
      </c>
      <c r="B27" s="35">
        <f>'分部利润'!$B$8/'分部利润'!$B$12</f>
        <v>0.217052578178788</v>
      </c>
      <c r="C27" s="35">
        <f>'分部利润'!$C$8/'分部利润'!$C$12</f>
        <v>0.192720318931708</v>
      </c>
      <c r="D27" s="35">
        <f>'分部利润'!$D$8/'分部利润'!$D$12</f>
        <v>0.13619812583668</v>
      </c>
      <c r="E27" s="35">
        <f>'分部利润'!$E$8/'分部利润'!$E$12</f>
        <v>0.106056453822965</v>
      </c>
      <c r="F27" s="35">
        <f>'分部利润'!$F$8/'分部利润'!$F$12</f>
        <v>0.123094906262644</v>
      </c>
      <c r="G27" s="35">
        <f>'分部利润'!$G$8/'分部利润'!$G$12</f>
        <v>0.128839959617326</v>
      </c>
      <c r="H27" s="35">
        <f>'分部利润'!$H$8/'分部利润'!$H$12</f>
        <v>0.120637921821694</v>
      </c>
    </row>
    <row r="28" spans="1:8">
      <c r="A28" s="4" t="s">
        <v>286</v>
      </c>
      <c r="B28" s="35">
        <f>'分部利润'!$B$9/'分部利润'!$B$12</f>
        <v>0.129434358807117</v>
      </c>
      <c r="C28" s="35">
        <f>'分部利润'!$C$9/'分部利润'!$C$12</f>
        <v>0.126535507081969</v>
      </c>
      <c r="D28" s="35">
        <f>'分部利润'!$D$9/'分部利润'!$D$12</f>
        <v>0.0624096385542169</v>
      </c>
      <c r="E28" s="35">
        <f>'分部利润'!$E$9/'分部利润'!$E$12</f>
        <v>0.0786306048021587</v>
      </c>
      <c r="F28" s="35">
        <f>'分部利润'!$F$9/'分部利润'!$F$12</f>
        <v>0.0894438699815672</v>
      </c>
      <c r="G28" s="35">
        <f>'分部利润'!$G$9/'分部利润'!$G$12</f>
        <v>0.08648622662372</v>
      </c>
      <c r="H28" s="35">
        <f>'分部利润'!$H$9/'分部利润'!$H$12</f>
        <v>0.0824119363722307</v>
      </c>
    </row>
    <row r="29" spans="1:8">
      <c r="A29" s="4" t="s">
        <v>287</v>
      </c>
      <c r="B29" s="35">
        <f>'分部利润'!$B$10/'分部利润'!$B$12</f>
        <v>0.40294234880603</v>
      </c>
      <c r="C29" s="35">
        <f>'分部利润'!$C$10/'分部利润'!$C$12</f>
        <v>0.405535928434836</v>
      </c>
      <c r="D29" s="35">
        <f>'分部利润'!$D$10/'分部利润'!$D$12</f>
        <v>0.357751004016064</v>
      </c>
      <c r="E29" s="35">
        <f>'分部利润'!$E$10/'分部利润'!$E$12</f>
        <v>0.275565486856251</v>
      </c>
      <c r="F29" s="35">
        <f>'分部利润'!$F$10/'分部利润'!$F$12</f>
        <v>0.306770669424089</v>
      </c>
      <c r="G29" s="35">
        <f>'分部利润'!$G$10/'分部利润'!$G$12</f>
        <v>0.320224989183212</v>
      </c>
      <c r="H29" s="35">
        <f>'分部利润'!$H$10/'分部利润'!$H$12</f>
        <v>0.315220518722512</v>
      </c>
    </row>
    <row r="30" spans="1:8">
      <c r="A30" s="4" t="s">
        <v>288</v>
      </c>
      <c r="B30" s="35">
        <f>'分部利润'!$B$11/'分部利润'!$B$12</f>
        <v>0.0448599485451317</v>
      </c>
      <c r="C30" s="35">
        <f>'分部利润'!$C$11/'分部利润'!$C$12</f>
        <v>0.0660227530548083</v>
      </c>
      <c r="D30" s="35">
        <f>'分部利润'!$D$11/'分部利润'!$D$12</f>
        <v>0.0421686746987952</v>
      </c>
      <c r="E30" s="35">
        <f>'分部利润'!$E$11/'分部利润'!$E$12</f>
        <v>0.0614288424647427</v>
      </c>
      <c r="F30" s="35">
        <f>'分部利润'!$F$11/'分部利润'!$F$12</f>
        <v>0.036258598210673</v>
      </c>
      <c r="G30" s="35">
        <f>'分部利润'!$G$11/'分部利润'!$G$12</f>
        <v>0.00350944666121821</v>
      </c>
      <c r="H30" s="35">
        <f>'分部利润'!$H$11/'分部利润'!$H$12</f>
        <v>0.104155534547248</v>
      </c>
    </row>
    <row r="31" spans="1:8">
      <c r="A31" s="30" t="s">
        <v>292</v>
      </c>
      <c r="B31" s="49">
        <f>SUM(B25:B30)</f>
        <v>1</v>
      </c>
      <c r="C31" s="49">
        <f>SUM(C25:C30)</f>
        <v>1</v>
      </c>
      <c r="D31" s="49">
        <f>SUM(D25:D30)</f>
        <v>1</v>
      </c>
      <c r="E31" s="49">
        <f>SUM(E25:E30)</f>
        <v>1</v>
      </c>
      <c r="F31" s="49">
        <f>SUM(F25:F30)</f>
        <v>1</v>
      </c>
      <c r="G31" s="49">
        <f>SUM(G25:G30)</f>
        <v>1</v>
      </c>
      <c r="H31" s="49">
        <f>SUM(H25:H30)</f>
        <v>1</v>
      </c>
    </row>
    <row r="33" spans="1:8">
      <c r="A33" s="5" t="s">
        <v>293</v>
      </c>
    </row>
    <row r="34" spans="1:8" ht="30" customHeight="1">
      <c r="A34" s="18" t="s">
        <v>276</v>
      </c>
      <c r="B34" s="19" t="s">
        <v>34</v>
      </c>
      <c r="C34" s="19" t="s">
        <v>35</v>
      </c>
      <c r="D34" s="19" t="s">
        <v>36</v>
      </c>
      <c r="E34" s="19" t="s">
        <v>37</v>
      </c>
      <c r="F34" s="19" t="s">
        <v>38</v>
      </c>
      <c r="G34" s="19" t="s">
        <v>39</v>
      </c>
      <c r="H34" s="19" t="s">
        <v>40</v>
      </c>
    </row>
    <row r="35" spans="1:8">
      <c r="A35" s="4" t="s">
        <v>284</v>
      </c>
      <c r="B35" s="27">
        <f>'分部利润'!$B$6</f>
        <v>870</v>
      </c>
      <c r="C35" s="27">
        <f>'分部利润'!$C$6</f>
        <v>-30</v>
      </c>
      <c r="D35" s="27">
        <f>'分部利润'!$D$6</f>
        <v>5428</v>
      </c>
      <c r="E35" s="27">
        <f>'分部利润'!$E$6</f>
        <v>9020</v>
      </c>
      <c r="F35" s="27">
        <f>'分部利润'!$F$6</f>
        <v>7258</v>
      </c>
      <c r="G35" s="27">
        <f>'分部利润'!$G$6</f>
        <v>3328</v>
      </c>
      <c r="H35" s="27">
        <f>'分部利润'!$H$6</f>
        <v>3448</v>
      </c>
    </row>
    <row r="36" spans="1:8">
      <c r="A36" s="4" t="s">
        <v>285</v>
      </c>
      <c r="B36" s="27">
        <f>'分部利润'!$B$7</f>
        <v>4807</v>
      </c>
      <c r="C36" s="27">
        <f>'分部利润'!$C$7</f>
        <v>6484</v>
      </c>
      <c r="D36" s="27">
        <f>'分部利润'!$D$7</f>
        <v>9567</v>
      </c>
      <c r="E36" s="27">
        <f>'分部利润'!$E$7</f>
        <v>13670</v>
      </c>
      <c r="F36" s="27">
        <f>'分部利润'!$F$7</f>
        <v>12513</v>
      </c>
      <c r="G36" s="27">
        <f>'分部利润'!$G$7</f>
        <v>6260</v>
      </c>
      <c r="H36" s="27">
        <f>'分部利润'!$H$7</f>
        <v>5738</v>
      </c>
    </row>
    <row r="37" spans="1:8">
      <c r="A37" s="4" t="s">
        <v>46</v>
      </c>
      <c r="B37" s="27">
        <f>'分部利润'!$B$8</f>
        <v>5990</v>
      </c>
      <c r="C37" s="27">
        <f>'分部利润'!$C$8</f>
        <v>5946</v>
      </c>
      <c r="D37" s="27">
        <f>'分部利润'!$D$8</f>
        <v>5087</v>
      </c>
      <c r="E37" s="27">
        <f>'分部利润'!$E$8</f>
        <v>5031</v>
      </c>
      <c r="F37" s="27">
        <f>'分部利润'!$F$8</f>
        <v>5476</v>
      </c>
      <c r="G37" s="27">
        <f>'分部利润'!$G$8</f>
        <v>2680</v>
      </c>
      <c r="H37" s="27">
        <f>'分部利润'!$H$8</f>
        <v>2935</v>
      </c>
    </row>
    <row r="38" spans="1:8">
      <c r="A38" s="4" t="s">
        <v>286</v>
      </c>
      <c r="B38" s="27">
        <f>'分部利润'!$B$9</f>
        <v>3572</v>
      </c>
      <c r="C38" s="27">
        <f>'分部利润'!$C$9</f>
        <v>3904</v>
      </c>
      <c r="D38" s="27">
        <f>'分部利润'!$D$9</f>
        <v>2331</v>
      </c>
      <c r="E38" s="27">
        <f>'分部利润'!$E$9</f>
        <v>3730</v>
      </c>
      <c r="F38" s="27">
        <f>'分部利润'!$F$9</f>
        <v>3979</v>
      </c>
      <c r="G38" s="27">
        <f>'分部利润'!$G$9</f>
        <v>1799</v>
      </c>
      <c r="H38" s="27">
        <f>'分部利润'!$H$9</f>
        <v>2005</v>
      </c>
    </row>
    <row r="39" spans="1:8">
      <c r="A39" s="4" t="s">
        <v>287</v>
      </c>
      <c r="B39" s="27">
        <f>'分部利润'!$B$10</f>
        <v>11120</v>
      </c>
      <c r="C39" s="27">
        <f>'分部利润'!$C$10</f>
        <v>12512</v>
      </c>
      <c r="D39" s="27">
        <f>'分部利润'!$D$10</f>
        <v>13362</v>
      </c>
      <c r="E39" s="27">
        <f>'分部利润'!$E$10</f>
        <v>13072</v>
      </c>
      <c r="F39" s="27">
        <f>'分部利润'!$F$10</f>
        <v>13647</v>
      </c>
      <c r="G39" s="27">
        <f>'分部利润'!$G$10</f>
        <v>6661</v>
      </c>
      <c r="H39" s="27">
        <f>'分部利润'!$H$10</f>
        <v>7669</v>
      </c>
    </row>
    <row r="40" spans="1:8">
      <c r="A40" s="4" t="s">
        <v>288</v>
      </c>
      <c r="B40" s="27">
        <f>'分部利润'!$B$11</f>
        <v>1238</v>
      </c>
      <c r="C40" s="27">
        <f>'分部利润'!$C$11</f>
        <v>2037</v>
      </c>
      <c r="D40" s="27">
        <f>'分部利润'!$D$11</f>
        <v>1575</v>
      </c>
      <c r="E40" s="27">
        <f>'分部利润'!$E$11</f>
        <v>2914</v>
      </c>
      <c r="F40" s="27">
        <f>'分部利润'!$F$11</f>
        <v>1613</v>
      </c>
      <c r="G40" s="27">
        <f>'分部利润'!$G$11</f>
        <v>73</v>
      </c>
      <c r="H40" s="27">
        <f>'分部利润'!$H$11</f>
        <v>2534</v>
      </c>
    </row>
    <row r="41" spans="1:8">
      <c r="A41" s="3" t="s">
        <v>289</v>
      </c>
      <c r="B41" s="28">
        <f>'分部利润'!$B$12</f>
        <v>27597</v>
      </c>
      <c r="C41" s="28">
        <f>'分部利润'!$C$12</f>
        <v>30853</v>
      </c>
      <c r="D41" s="28">
        <f>'分部利润'!$D$12</f>
        <v>37350</v>
      </c>
      <c r="E41" s="28">
        <f>'分部利润'!$E$12</f>
        <v>47437</v>
      </c>
      <c r="F41" s="28">
        <f>'分部利润'!$F$12</f>
        <v>44486</v>
      </c>
      <c r="G41" s="28">
        <f>'分部利润'!$G$12</f>
        <v>20801</v>
      </c>
      <c r="H41" s="28">
        <f>'分部利润'!$H$12</f>
        <v>24329</v>
      </c>
    </row>
    <row r="42" spans="1:8">
      <c r="A42" s="5" t="s">
        <v>294</v>
      </c>
    </row>
    <row r="43" spans="1:8" ht="30" customHeight="1">
      <c r="A43" s="18" t="s">
        <v>276</v>
      </c>
      <c r="B43" s="19" t="s">
        <v>280</v>
      </c>
      <c r="C43" s="19" t="s">
        <v>281</v>
      </c>
    </row>
    <row r="44" spans="1:8">
      <c r="A44" s="4" t="s">
        <v>284</v>
      </c>
      <c r="B44" s="35">
        <f>'变化'!$E$14</f>
        <v>-0.195343680709534</v>
      </c>
      <c r="C44" s="35">
        <f>'变化'!$F$14</f>
        <v>0.0360576923076923</v>
      </c>
    </row>
    <row r="45" spans="1:8">
      <c r="A45" s="4" t="s">
        <v>285</v>
      </c>
      <c r="B45" s="35">
        <f>'变化'!$E$15</f>
        <v>-0.0846378931967813</v>
      </c>
      <c r="C45" s="35">
        <f>'变化'!$F$15</f>
        <v>-0.0833865814696486</v>
      </c>
    </row>
    <row r="46" spans="1:8">
      <c r="A46" s="4" t="s">
        <v>46</v>
      </c>
      <c r="B46" s="35">
        <f>'变化'!$E$16</f>
        <v>0.088451600079507</v>
      </c>
      <c r="C46" s="35">
        <f>'变化'!$F$16</f>
        <v>0.0951492537313432</v>
      </c>
    </row>
    <row r="47" spans="1:8">
      <c r="A47" s="4" t="s">
        <v>286</v>
      </c>
      <c r="B47" s="35">
        <f>'变化'!$E$17</f>
        <v>0.0667560321715817</v>
      </c>
      <c r="C47" s="35">
        <f>'变化'!$F$17</f>
        <v>0.114508060033352</v>
      </c>
    </row>
    <row r="48" spans="1:8">
      <c r="A48" s="4" t="s">
        <v>287</v>
      </c>
      <c r="B48" s="35">
        <f>'变化'!$E$18</f>
        <v>0.0439871481028151</v>
      </c>
      <c r="C48" s="35">
        <f>'变化'!$F$18</f>
        <v>0.151328629334935</v>
      </c>
    </row>
    <row r="49" spans="1:13">
      <c r="A49" s="4" t="s">
        <v>289</v>
      </c>
      <c r="B49" s="35">
        <f>'变化'!$E$20</f>
        <v>-0.0622088243354344</v>
      </c>
      <c r="C49" s="35">
        <f>'变化'!$F$20</f>
        <v>0.169607230421614</v>
      </c>
    </row>
    <row r="51" spans="1:13">
      <c r="A51" s="5" t="s">
        <v>295</v>
      </c>
    </row>
    <row r="52" spans="1:13" ht="30" customHeight="1">
      <c r="A52" s="18" t="s">
        <v>33</v>
      </c>
      <c r="B52" s="19" t="s">
        <v>132</v>
      </c>
      <c r="C52" s="19" t="s">
        <v>133</v>
      </c>
      <c r="D52" s="19" t="s">
        <v>134</v>
      </c>
      <c r="E52" s="19" t="s">
        <v>135</v>
      </c>
      <c r="F52" s="19" t="s">
        <v>136</v>
      </c>
      <c r="G52" s="19" t="s">
        <v>137</v>
      </c>
      <c r="H52" s="19" t="s">
        <v>296</v>
      </c>
      <c r="I52" s="19" t="s">
        <v>297</v>
      </c>
      <c r="J52" s="19" t="s">
        <v>298</v>
      </c>
      <c r="K52" s="19" t="s">
        <v>299</v>
      </c>
      <c r="L52" s="19" t="s">
        <v>300</v>
      </c>
      <c r="M52" s="19" t="s">
        <v>301</v>
      </c>
    </row>
    <row r="53" spans="1:13">
      <c r="A53" s="4" t="s">
        <v>302</v>
      </c>
      <c r="B53" s="27">
        <f>'浮存金与现金'!$C$6</f>
        <v>147000</v>
      </c>
      <c r="C53" s="27">
        <f>'浮存金与现金'!$D$6</f>
        <v>164000</v>
      </c>
      <c r="D53" s="27">
        <f>'浮存金与现金'!$E$6</f>
        <v>169000</v>
      </c>
      <c r="E53" s="27">
        <f>'浮存金与现金'!$F$6</f>
        <v>171000</v>
      </c>
      <c r="F53" s="27">
        <f>'浮存金与现金'!$G$6</f>
        <v>176000</v>
      </c>
      <c r="G53" s="27">
        <f>'浮存金与现金'!$H$6</f>
        <v>177500</v>
      </c>
      <c r="H53" s="35">
        <f>C53/B53-1</f>
        <v>0.115646258503401</v>
      </c>
      <c r="I53" s="35">
        <f>D53/C53-1</f>
        <v>0.0304878048780488</v>
      </c>
      <c r="J53" s="35">
        <f>E53/D53-1</f>
        <v>0.0118343195266273</v>
      </c>
      <c r="K53" s="35">
        <f>F53/E53-1</f>
        <v>0.0292397660818713</v>
      </c>
      <c r="L53" s="35">
        <f>G53/F53-1</f>
        <v>0.00852272727272729</v>
      </c>
      <c r="M53" s="35">
        <f>(F53/B53)^(1/4)-1</f>
        <v>0.046041303613001</v>
      </c>
    </row>
    <row r="54" spans="1:13">
      <c r="A54" s="4" t="s">
        <v>303</v>
      </c>
      <c r="B54" s="27">
        <f>'浮存金与现金'!$C$11</f>
        <v>143854</v>
      </c>
      <c r="C54" s="27">
        <f>'浮存金与现金'!$D$11</f>
        <v>125034</v>
      </c>
      <c r="D54" s="27">
        <f>'浮存金与现金'!$E$11</f>
        <v>163291</v>
      </c>
      <c r="E54" s="27">
        <f>'浮存金与现金'!$F$11</f>
        <v>318036</v>
      </c>
      <c r="F54" s="27">
        <f>'浮存金与现金'!$G$11</f>
        <v>368986</v>
      </c>
      <c r="G54" s="27">
        <f>'浮存金与现金'!$H$11</f>
        <v>359230</v>
      </c>
      <c r="H54" s="35">
        <f>C54/B54-1</f>
        <v>-0.130827088575917</v>
      </c>
      <c r="I54" s="35">
        <f>D54/C54-1</f>
        <v>0.30597277540509</v>
      </c>
      <c r="J54" s="35">
        <f>E54/D54-1</f>
        <v>0.947663986380144</v>
      </c>
      <c r="K54" s="35">
        <f>F54/E54-1</f>
        <v>0.160201989711857</v>
      </c>
      <c r="L54" s="35">
        <f>G54/F54-1</f>
        <v>-0.02644002753492</v>
      </c>
      <c r="M54" s="35">
        <f>(F54/B54)^(1/4)-1</f>
        <v>0.265528664714336</v>
      </c>
    </row>
    <row r="55" spans="1:13">
      <c r="A55" s="4" t="s">
        <v>304</v>
      </c>
      <c r="B55" s="27">
        <f>'浮存金与现金'!$C$12</f>
        <v>146719</v>
      </c>
      <c r="C55" s="27">
        <f>'浮存金与现金'!$D$12</f>
        <v>128585</v>
      </c>
      <c r="D55" s="27">
        <f>'浮存金与现金'!$E$12</f>
        <v>167641</v>
      </c>
      <c r="E55" s="27">
        <f>'浮存金与现金'!$F$12</f>
        <v>321432</v>
      </c>
      <c r="F55" s="27">
        <f>'浮存金与现金'!$G$12</f>
        <v>373144</v>
      </c>
      <c r="G55" s="27">
        <f>'浮存金与现金'!$H$12</f>
        <v>364743</v>
      </c>
      <c r="H55" s="35">
        <f>C55/B55-1</f>
        <v>-0.123596807502777</v>
      </c>
      <c r="I55" s="35">
        <f>D55/C55-1</f>
        <v>0.30373682777929</v>
      </c>
      <c r="J55" s="35">
        <f>E55/D55-1</f>
        <v>0.917382979104157</v>
      </c>
      <c r="K55" s="35">
        <f>F55/E55-1</f>
        <v>0.160880061723786</v>
      </c>
      <c r="L55" s="35">
        <f>G55/F55-1</f>
        <v>-0.0225140964346204</v>
      </c>
      <c r="M55" s="35">
        <f>(F55/B55)^(1/4)-1</f>
        <v>0.262837663740594</v>
      </c>
    </row>
    <row r="56" spans="1:13">
      <c r="A56" s="4" t="s">
        <v>305</v>
      </c>
      <c r="B56" s="27">
        <f>'股票组合'!$B$17</f>
        <v>350719</v>
      </c>
      <c r="C56" s="27">
        <f>'股票组合'!$C$17</f>
        <v>308793</v>
      </c>
      <c r="D56" s="27">
        <f>'股票组合'!$D$17</f>
        <v>353842</v>
      </c>
      <c r="E56" s="27">
        <f>'股票组合'!$E$17</f>
        <v>271588</v>
      </c>
      <c r="F56" s="27">
        <f>'股票组合'!$F$17</f>
        <v>297778</v>
      </c>
      <c r="G56" s="27">
        <f>'股票组合'!$G$17</f>
        <v>323779</v>
      </c>
      <c r="H56" s="35">
        <f>C56/B56-1</f>
        <v>-0.119542995959728</v>
      </c>
      <c r="I56" s="35">
        <f>D56/C56-1</f>
        <v>0.145887374389964</v>
      </c>
      <c r="J56" s="35">
        <f>E56/D56-1</f>
        <v>-0.232459685396307</v>
      </c>
      <c r="K56" s="35">
        <f>F56/E56-1</f>
        <v>0.0964328320838919</v>
      </c>
      <c r="L56" s="35">
        <f>G56/F56-1</f>
        <v>0.0873167258830403</v>
      </c>
      <c r="M56" s="35">
        <f>(F56/B56)^(1/4)-1</f>
        <v>-0.0400837833485384</v>
      </c>
    </row>
    <row r="57" spans="1:13">
      <c r="A57" s="4" t="s">
        <v>306</v>
      </c>
      <c r="B57" s="27">
        <f>'回购与每股账面'!$B$9</f>
        <v>501568</v>
      </c>
      <c r="C57" s="27">
        <f>'回购与每股账面'!$C$9</f>
        <v>473424</v>
      </c>
      <c r="D57" s="27">
        <f>'回购与每股账面'!$D$9</f>
        <v>561273</v>
      </c>
      <c r="E57" s="27">
        <f>'回购与每股账面'!$E$9</f>
        <v>649368</v>
      </c>
      <c r="F57" s="27">
        <f>'回购与每股账面'!$F$9</f>
        <v>717419</v>
      </c>
      <c r="G57" s="27">
        <f>'回购与每股账面'!$G$9</f>
        <v>747910</v>
      </c>
      <c r="H57" s="35">
        <f>C57/B57-1</f>
        <v>-0.0561120326655608</v>
      </c>
      <c r="I57" s="35">
        <f>D57/C57-1</f>
        <v>0.185560934806854</v>
      </c>
      <c r="J57" s="35">
        <f>E57/D57-1</f>
        <v>0.15695570604679</v>
      </c>
      <c r="K57" s="35">
        <f>F57/E57-1</f>
        <v>0.104795739857831</v>
      </c>
      <c r="L57" s="35">
        <f>G57/F57-1</f>
        <v>0.0425009652657653</v>
      </c>
      <c r="M57" s="35">
        <f>(F57/B57)^(1/4)-1</f>
        <v>0.0936056955203004</v>
      </c>
    </row>
    <row r="58" spans="1:13">
      <c r="A58" s="4" t="s">
        <v>307</v>
      </c>
      <c r="B58" s="45">
        <f>'回购与每股账面'!$B$13</f>
        <v>1477429.33533333</v>
      </c>
      <c r="C58" s="45">
        <f>'回购与每股账面'!$C$13</f>
        <v>1459733.384</v>
      </c>
      <c r="D58" s="45">
        <f>'回购与每股账面'!$D$13</f>
        <v>1441482.672</v>
      </c>
      <c r="E58" s="45">
        <f>'回购与每股账面'!$E$13</f>
        <v>1438223.426</v>
      </c>
      <c r="F58" s="45">
        <f>'回购与每股账面'!$F$13</f>
        <v>1438223.426</v>
      </c>
      <c r="G58" s="45">
        <f>'回购与每股账面'!$G$13</f>
        <v>1431692.656</v>
      </c>
      <c r="H58" s="35">
        <f>C58/B58-1</f>
        <v>-0.0119775280686035</v>
      </c>
      <c r="I58" s="35">
        <f>D58/C58-1</f>
        <v>-0.0125027708484606</v>
      </c>
      <c r="J58" s="35">
        <f>E58/D58-1</f>
        <v>-0.00226103723846915</v>
      </c>
      <c r="K58" s="35">
        <f>F58/E58-1</f>
        <v>0</v>
      </c>
      <c r="L58" s="35">
        <f>G58/F58-1</f>
        <v>-0.00454085914742985</v>
      </c>
      <c r="M58" s="35">
        <f>(F58/B58)^(1/4)-1</f>
        <v>-0.00670120163297572</v>
      </c>
    </row>
    <row r="59" spans="1:13">
      <c r="A59" s="3" t="s">
        <v>308</v>
      </c>
      <c r="B59" s="50">
        <f>'回购与每股账面'!$B$16</f>
        <v>339486.964286409</v>
      </c>
      <c r="C59" s="50">
        <f>'回购与每股账面'!$C$16</f>
        <v>324322.239382312</v>
      </c>
      <c r="D59" s="50">
        <f>'回购与每股账面'!$D$16</f>
        <v>389372.006269944</v>
      </c>
      <c r="E59" s="50">
        <f>'回购与每股账面'!$E$16</f>
        <v>451507.038656732</v>
      </c>
      <c r="F59" s="50">
        <f>'回购与每股账面'!$F$16</f>
        <v>498823.052823783</v>
      </c>
      <c r="G59" s="50">
        <f>'回购与每股账面'!$G$16</f>
        <v>522395.639081912</v>
      </c>
      <c r="H59" s="35">
        <f>C59/B59-1</f>
        <v>-0.0446695352087313</v>
      </c>
      <c r="I59" s="35">
        <f>D59/C59-1</f>
        <v>0.200571403957752</v>
      </c>
      <c r="J59" s="35">
        <f>E59/D59-1</f>
        <v>0.159577554077452</v>
      </c>
      <c r="K59" s="35">
        <f>F59/E59-1</f>
        <v>0.104795739857831</v>
      </c>
      <c r="L59" s="35">
        <f>G59/F59-1</f>
        <v>0.0472564091107803</v>
      </c>
      <c r="M59" s="35">
        <f>(F59/B59)^(1/4)-1</f>
        <v>0.100983608676644</v>
      </c>
    </row>
    <row r="61" spans="1:13">
      <c r="A61" s="5" t="s">
        <v>309</v>
      </c>
    </row>
    <row r="62" spans="1:13" ht="30" customHeight="1">
      <c r="A62" s="18" t="s">
        <v>33</v>
      </c>
      <c r="B62" s="19" t="s">
        <v>132</v>
      </c>
      <c r="C62" s="19" t="s">
        <v>133</v>
      </c>
      <c r="D62" s="19" t="s">
        <v>134</v>
      </c>
      <c r="E62" s="19" t="s">
        <v>135</v>
      </c>
      <c r="F62" s="19" t="s">
        <v>136</v>
      </c>
      <c r="G62" s="19" t="s">
        <v>137</v>
      </c>
    </row>
    <row r="63" spans="1:13">
      <c r="A63" s="4" t="s">
        <v>158</v>
      </c>
      <c r="B63" s="35">
        <f>'浮存金与现金'!$C$21</f>
        <v>0.153026124758027</v>
      </c>
      <c r="C63" s="35">
        <f>'浮存金与现金'!$D$21</f>
        <v>0.135571686883543</v>
      </c>
      <c r="D63" s="35">
        <f>'浮存金与现金'!$E$21</f>
        <v>0.156677053173056</v>
      </c>
      <c r="E63" s="35">
        <f>'浮存金与现金'!$F$21</f>
        <v>0.278565987307183</v>
      </c>
      <c r="F63" s="35">
        <f>'浮存金与现金'!$G$21</f>
        <v>0.305311182677454</v>
      </c>
      <c r="G63" s="35">
        <f>'浮存金与现金'!$H$21</f>
        <v>0.288774740295676</v>
      </c>
    </row>
    <row r="64" spans="1:13">
      <c r="A64" s="4" t="s">
        <v>310</v>
      </c>
      <c r="B64" s="35">
        <f>'浮存金与现金'!$C$22</f>
        <v>1.02186939535918</v>
      </c>
      <c r="C64" s="35">
        <f>'浮存金与现金'!$D$22</f>
        <v>1.31164323304061</v>
      </c>
      <c r="D64" s="35">
        <f>'浮存金与现金'!$E$22</f>
        <v>1.03496212283592</v>
      </c>
      <c r="E64" s="35">
        <f>'浮存金与现金'!$F$22</f>
        <v>0.537674980190922</v>
      </c>
      <c r="F64" s="35">
        <f>'浮存金与现金'!$G$22</f>
        <v>0.476982866558623</v>
      </c>
      <c r="G64" s="35">
        <f>'浮存金与现金'!$H$22</f>
        <v>0.494112407092949</v>
      </c>
    </row>
    <row r="65" spans="1:8">
      <c r="A65" s="4" t="s">
        <v>311</v>
      </c>
      <c r="B65" s="35">
        <f>'股票组合'!$B$23</f>
        <v>0.253929784243226</v>
      </c>
      <c r="C65" s="35">
        <f>'股票组合'!$C$23</f>
        <v>0.225251220072994</v>
      </c>
      <c r="D65" s="35">
        <f>'股票组合'!$D$23</f>
        <v>0.221319119833146</v>
      </c>
      <c r="E65" s="35">
        <f>'股票组合'!$E$23</f>
        <v>0.337433907241852</v>
      </c>
      <c r="F65" s="35">
        <f>'股票组合'!$F$23</f>
        <v>0.349686679338299</v>
      </c>
      <c r="G65" s="35">
        <f>'股票组合'!$G$23</f>
        <v>0.291794711825041</v>
      </c>
    </row>
    <row r="66" spans="1:8">
      <c r="A66" s="4" t="s">
        <v>312</v>
      </c>
      <c r="B66" s="35">
        <f>'股票组合'!$B$24</f>
        <v>0.544655407890648</v>
      </c>
      <c r="C66" s="35">
        <f>'股票组合'!$C$24</f>
        <v>0.495127804062916</v>
      </c>
      <c r="D66" s="35">
        <f>'股票组合'!$D$24</f>
        <v>0.568454281854613</v>
      </c>
      <c r="E66" s="35">
        <f>'股票组合'!$E$24</f>
        <v>0.385690825809682</v>
      </c>
      <c r="F66" s="35">
        <f>'股票组合'!$F$24</f>
        <v>0.31887513516781</v>
      </c>
      <c r="G66" s="35">
        <f>'股票组合'!$G$24</f>
        <v>0.31035366716186</v>
      </c>
    </row>
    <row r="67" spans="1:8">
      <c r="A67" s="4" t="s">
        <v>313</v>
      </c>
      <c r="B67" s="35">
        <f>'股票组合'!$B$25</f>
        <v>0.201414807866126</v>
      </c>
      <c r="C67" s="35">
        <f>'股票组合'!$C$25</f>
        <v>0.27962097586409</v>
      </c>
      <c r="D67" s="35">
        <f>'股票组合'!$D$25</f>
        <v>0.210226598312241</v>
      </c>
      <c r="E67" s="35">
        <f>'股票组合'!$E$25</f>
        <v>0.276875266948466</v>
      </c>
      <c r="F67" s="35">
        <f>'股票组合'!$F$25</f>
        <v>0.331438185493891</v>
      </c>
      <c r="G67" s="35">
        <f>'股票组合'!$G$25</f>
        <v>0.397851621013098</v>
      </c>
    </row>
    <row r="68" spans="1:8">
      <c r="A68" s="4" t="s">
        <v>314</v>
      </c>
      <c r="B68" s="35">
        <f>'股票组合'!$B$29</f>
        <v>0.73</v>
      </c>
      <c r="C68" s="35">
        <f>'股票组合'!$C$29</f>
        <v>0.75</v>
      </c>
      <c r="D68" s="35">
        <f>'股票组合'!$D$29</f>
        <v>0.79</v>
      </c>
      <c r="E68" s="35">
        <f>'股票组合'!$E$29</f>
        <v>0.71</v>
      </c>
      <c r="F68" s="35">
        <f>'股票组合'!$F$29</f>
        <v>0.65</v>
      </c>
      <c r="G68" s="35">
        <f>'股票组合'!$G$29</f>
        <v>0.66</v>
      </c>
    </row>
    <row r="69" spans="1:8">
      <c r="A69" s="4" t="s">
        <v>315</v>
      </c>
      <c r="B69" s="35">
        <f>'股票组合'!$B$19</f>
        <v>0.701741280056113</v>
      </c>
      <c r="C69" s="35">
        <f>'股票组合'!$C$19</f>
        <v>0.573792152024172</v>
      </c>
      <c r="D69" s="35">
        <f>'股票组合'!$D$19</f>
        <v>0.690777239558899</v>
      </c>
      <c r="E69" s="35">
        <f>'股票组合'!$E$19</f>
        <v>0.721983298231144</v>
      </c>
      <c r="F69" s="35">
        <f>'股票组合'!$F$19</f>
        <v>0.713246109517829</v>
      </c>
      <c r="G69" s="35">
        <f>'股票组合'!$G$19</f>
        <v>0.671007075814058</v>
      </c>
    </row>
    <row r="70" spans="1:8">
      <c r="A70" s="4" t="s">
        <v>316</v>
      </c>
      <c r="B70" s="35">
        <f>'股票组合'!$B$17/'回购与每股账面'!$B$9</f>
        <v>0.699245167155799</v>
      </c>
      <c r="C70" s="35">
        <f>'股票组合'!$C$17/'回购与每股账面'!$C$9</f>
        <v>0.652254638548109</v>
      </c>
      <c r="D70" s="35">
        <f>'股票组合'!$D$17/'回购与每股账面'!$D$9</f>
        <v>0.630427617220141</v>
      </c>
      <c r="E70" s="35">
        <f>'股票组合'!$E$17/'回购与每股账面'!$E$9</f>
        <v>0.418234344778308</v>
      </c>
      <c r="F70" s="35">
        <f>'股票组合'!$F$17/'回购与每股账面'!$F$9</f>
        <v>0.415068460690336</v>
      </c>
      <c r="G70" s="35">
        <f>'股票组合'!$G$17/'回购与每股账面'!$G$9</f>
        <v>0.432911713976281</v>
      </c>
    </row>
    <row r="72" spans="1:8">
      <c r="A72" s="5" t="s">
        <v>317</v>
      </c>
    </row>
    <row r="73" spans="1:8" ht="30" customHeight="1">
      <c r="A73" s="18" t="s">
        <v>33</v>
      </c>
      <c r="B73" s="19" t="s">
        <v>34</v>
      </c>
      <c r="C73" s="19" t="s">
        <v>35</v>
      </c>
      <c r="D73" s="19" t="s">
        <v>36</v>
      </c>
      <c r="E73" s="19" t="s">
        <v>37</v>
      </c>
      <c r="F73" s="19" t="s">
        <v>38</v>
      </c>
      <c r="G73" s="19" t="s">
        <v>39</v>
      </c>
      <c r="H73" s="19" t="s">
        <v>40</v>
      </c>
    </row>
    <row r="74" spans="1:8">
      <c r="A74" s="4" t="s">
        <v>318</v>
      </c>
      <c r="B74" s="27">
        <f>'回购与每股账面'!$B$24</f>
        <v>26942</v>
      </c>
      <c r="C74" s="27">
        <f>'回购与每股账面'!$C$24</f>
        <v>8031</v>
      </c>
      <c r="D74" s="27">
        <f>'回购与每股账面'!$D$24</f>
        <v>8976</v>
      </c>
      <c r="E74" s="27">
        <f>'回购与每股账面'!$E$24</f>
        <v>2918</v>
      </c>
      <c r="F74" s="27">
        <f>'回购与每股账面'!$F$24</f>
        <v>0</v>
      </c>
      <c r="G74" s="27">
        <f>'回购与每股账面'!$G$24</f>
        <v>0</v>
      </c>
      <c r="H74" s="27">
        <f>'回购与每股账面'!$H$24</f>
        <v>4762</v>
      </c>
    </row>
    <row r="75" spans="1:8">
      <c r="A75" s="4" t="s">
        <v>319</v>
      </c>
      <c r="B75" s="35">
        <f>'回购与每股账面'!$B$31</f>
        <v>0.976265536108997</v>
      </c>
      <c r="C75" s="35">
        <f>'回购与每股账面'!$C$31</f>
        <v>0.260298836417852</v>
      </c>
      <c r="D75" s="35">
        <f>'回购与每股账面'!$D$31</f>
        <v>0.240321285140562</v>
      </c>
      <c r="E75" s="35">
        <f>'回购与每股账面'!$E$31</f>
        <v>0.0615131648291418</v>
      </c>
      <c r="F75" s="35">
        <f>'回购与每股账面'!$F$31</f>
        <v>0</v>
      </c>
      <c r="G75" s="35">
        <f>'回购与每股账面'!$G$31</f>
        <v>0</v>
      </c>
      <c r="H75" s="35">
        <f>'回购与每股账面'!$H$31</f>
        <v>0.195733486785318</v>
      </c>
    </row>
    <row r="76" spans="1:8">
      <c r="A76" s="4" t="s">
        <v>320</v>
      </c>
      <c r="B76" s="46">
        <f>IFERROR('回购与每股账面'!$B$30*1,"—")</f>
        <v>1.19284768759074</v>
      </c>
      <c r="C76" s="46">
        <f>IFERROR('回购与每股账面'!$C$30*1,"—")</f>
        <v>1.39932624816087</v>
      </c>
      <c r="D76" s="46">
        <f>IFERROR('回购与每股账面'!$D$30*1,"—")</f>
        <v>1.2631016635527</v>
      </c>
      <c r="E76" s="46">
        <f>IFERROR('回购与每股账面'!$E$30*1,"—")</f>
        <v>1.35007325837693</v>
      </c>
      <c r="F76" s="46" t="str">
        <f>IFERROR('回购与每股账面'!$F$30*1,"—")</f>
        <v>—</v>
      </c>
      <c r="G76" s="32" t="s">
        <v>141</v>
      </c>
      <c r="H76" s="46">
        <f>IFERROR('回购与每股账面'!$H$30*1,"—")</f>
        <v>1.39580728013425</v>
      </c>
    </row>
    <row r="78" spans="1:8">
      <c r="A78" s="5" t="s">
        <v>321</v>
      </c>
    </row>
    <row r="79" spans="1:8">
      <c r="A79" s="4" t="s">
        <v>322</v>
      </c>
      <c r="B79" s="29">
        <f>'分部利润'!$I$12</f>
        <v>48658</v>
      </c>
      <c r="C79" s="30" t="s">
        <v>323</v>
      </c>
      <c r="D79" s="38">
        <f>'分部利润'!$I$12/'分部利润'!$F$12-1</f>
        <v>0.093782313536843</v>
      </c>
    </row>
    <row r="80" spans="1:8">
      <c r="A80" s="4" t="s">
        <v>324</v>
      </c>
      <c r="B80" s="27">
        <f>'浮存金与现金'!$H$11</f>
        <v>359230</v>
      </c>
    </row>
    <row r="81" spans="1:4">
      <c r="A81" s="4" t="s">
        <v>325</v>
      </c>
      <c r="B81" s="51">
        <f>A_rate</f>
        <v>-1</v>
      </c>
      <c r="C81" s="52">
        <f>A_tax</f>
        <v>0.21</v>
      </c>
    </row>
    <row r="82" spans="1:4">
      <c r="A82" s="3" t="s">
        <v>326</v>
      </c>
      <c r="B82" s="29">
        <f>B80*A_rate/100*(1-A_tax)</f>
        <v>-2837.917</v>
      </c>
      <c r="C82" s="30" t="s">
        <v>327</v>
      </c>
      <c r="D82" s="38">
        <f>B82/'分部利润'!$F$12</f>
        <v>-0.0637934855909725</v>
      </c>
    </row>
    <row r="84" spans="1:4">
      <c r="A84" s="5" t="s">
        <v>328</v>
      </c>
    </row>
  </sheetData>
  <mergeCells count="5">
    <mergeCell ref="A6:I6"/>
    <mergeCell ref="A7:I7"/>
    <mergeCell ref="A8:I8"/>
    <mergeCell ref="A9:I9"/>
    <mergeCell ref="A10:I10"/>
  </mergeCells>
  <hyperlinks>
    <hyperlink ref="D5" location="'变化'!A84" display="↓ 图表在本页第 84 行起（7 张）"/>
  </hyperlinks>
  <pageMargins left="0.4" right="0.4" top="0.5" bottom="0.5" header="0.3" footer="0.3"/>
  <pageSetup paperSize="9" fitToHeight="0" orientation="landscape"/>
  <headerFooter>
    <oddFooter>&amp;L&amp;8伯克希尔账本 · 仅供研究，不构成投资建议&amp;R&amp;8&amp;A · 第 &amp;P 页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0"/>
  <sheetViews>
    <sheetView workbookViewId="0"/>
  </sheetViews>
  <sheetFormatPr defaultRowHeight="15"/>
  <cols>
    <col min="1" max="1" width="30.7109375" customWidth="1"/>
    <col min="2" max="2" width="46.7109375" customWidth="1"/>
    <col min="3" max="5" width="14.7109375" customWidth="1"/>
    <col min="6" max="6" width="60.7109375" customWidth="1"/>
  </cols>
  <sheetData>
    <row r="1" spans="1:6">
      <c r="A1" s="1" t="s">
        <v>330</v>
      </c>
    </row>
    <row r="2" spans="1:6">
      <c r="A2" s="2" t="s">
        <v>331</v>
      </c>
    </row>
    <row r="4" spans="1:6">
      <c r="A4" s="19" t="s">
        <v>332</v>
      </c>
      <c r="B4" s="19" t="s">
        <v>333</v>
      </c>
      <c r="C4" s="19" t="s">
        <v>334</v>
      </c>
      <c r="D4" s="19" t="s">
        <v>335</v>
      </c>
      <c r="E4" s="19" t="s">
        <v>336</v>
      </c>
      <c r="F4" s="19" t="s">
        <v>337</v>
      </c>
    </row>
    <row r="5" spans="1:6">
      <c r="A5" s="4" t="s">
        <v>338</v>
      </c>
      <c r="B5" s="4" t="s">
        <v>339</v>
      </c>
      <c r="C5" s="20">
        <v>176000</v>
      </c>
      <c r="D5" s="45">
        <f>'浮存金与现金'!$G$6</f>
        <v>176000</v>
      </c>
      <c r="E5" s="42">
        <f>ROUND(C5-D5,2)</f>
        <v>0</v>
      </c>
      <c r="F5" s="21" t="s">
        <v>340</v>
      </c>
    </row>
    <row r="6" spans="1:6">
      <c r="A6" s="4" t="s">
        <v>338</v>
      </c>
      <c r="B6" s="4" t="s">
        <v>341</v>
      </c>
      <c r="C6" s="20">
        <v>1851</v>
      </c>
      <c r="D6" s="45">
        <f>'业务明细'!$F$9</f>
        <v>1851</v>
      </c>
      <c r="E6" s="42">
        <f>ROUND(C6-D6,2)</f>
        <v>0</v>
      </c>
      <c r="F6" s="21" t="s">
        <v>342</v>
      </c>
    </row>
    <row r="7" spans="1:6">
      <c r="A7" s="4" t="s">
        <v>343</v>
      </c>
      <c r="B7" s="4" t="s">
        <v>344</v>
      </c>
      <c r="C7" s="20">
        <v>816</v>
      </c>
      <c r="D7" s="45">
        <f>'股票组合'!$B$47</f>
        <v>816</v>
      </c>
      <c r="E7" s="42">
        <f>ROUND(C7-D7,2)</f>
        <v>0</v>
      </c>
      <c r="F7" s="21" t="s">
        <v>345</v>
      </c>
    </row>
    <row r="8" spans="1:6">
      <c r="A8" s="4" t="s">
        <v>343</v>
      </c>
      <c r="B8" s="4" t="s">
        <v>346</v>
      </c>
      <c r="C8" s="20">
        <v>1299</v>
      </c>
      <c r="D8" s="45">
        <f>'股票组合'!$C$47</f>
        <v>1299</v>
      </c>
      <c r="E8" s="42">
        <f>ROUND(C8-D8,2)</f>
        <v>0</v>
      </c>
      <c r="F8" s="21" t="s">
        <v>345</v>
      </c>
    </row>
    <row r="9" spans="1:6">
      <c r="A9" s="4" t="s">
        <v>343</v>
      </c>
      <c r="B9" s="4" t="s">
        <v>217</v>
      </c>
      <c r="C9" s="53">
        <v>0.628175519630485</v>
      </c>
      <c r="D9" s="54">
        <f>'股票组合'!$D$47</f>
        <v>0.628175519630485</v>
      </c>
      <c r="E9" s="55">
        <f>ROUND(C9-D9,4)</f>
        <v>0</v>
      </c>
      <c r="F9" s="21" t="s">
        <v>347</v>
      </c>
    </row>
    <row r="10" spans="1:6">
      <c r="A10" s="4" t="s">
        <v>348</v>
      </c>
      <c r="B10" s="4" t="s">
        <v>349</v>
      </c>
      <c r="C10" s="20">
        <v>44481</v>
      </c>
      <c r="D10" s="45">
        <f>'业务明细'!$F$16</f>
        <v>44481</v>
      </c>
      <c r="E10" s="42">
        <f>ROUND(C10-D10,2)</f>
        <v>0</v>
      </c>
      <c r="F10" s="21" t="s">
        <v>350</v>
      </c>
    </row>
    <row r="11" spans="1:6">
      <c r="A11" s="4" t="s">
        <v>348</v>
      </c>
      <c r="B11" s="4" t="s">
        <v>351</v>
      </c>
      <c r="C11" s="20">
        <v>6824</v>
      </c>
      <c r="D11" s="45">
        <f>'业务明细'!$F$7</f>
        <v>6824</v>
      </c>
      <c r="E11" s="42">
        <f>ROUND(C11-D11,2)</f>
        <v>0</v>
      </c>
      <c r="F11" s="21" t="s">
        <v>342</v>
      </c>
    </row>
    <row r="12" spans="1:6">
      <c r="A12" s="4" t="s">
        <v>352</v>
      </c>
      <c r="B12" s="4" t="s">
        <v>353</v>
      </c>
      <c r="C12" s="20">
        <v>5476</v>
      </c>
      <c r="D12" s="45">
        <f>'分部利润'!$F$8</f>
        <v>5476</v>
      </c>
      <c r="E12" s="42">
        <f>ROUND(C12-D12,2)</f>
        <v>0</v>
      </c>
      <c r="F12" s="21" t="s">
        <v>354</v>
      </c>
    </row>
    <row r="13" spans="1:6">
      <c r="A13" s="4" t="s">
        <v>352</v>
      </c>
      <c r="B13" s="4" t="s">
        <v>355</v>
      </c>
      <c r="C13" s="20">
        <v>2935</v>
      </c>
      <c r="D13" s="45">
        <f>'分部利润'!$H$8</f>
        <v>2935</v>
      </c>
      <c r="E13" s="42">
        <f>ROUND(C13-D13,2)</f>
        <v>0</v>
      </c>
      <c r="F13" s="21" t="s">
        <v>356</v>
      </c>
    </row>
    <row r="14" spans="1:6">
      <c r="A14" s="4" t="s">
        <v>357</v>
      </c>
      <c r="B14" s="4" t="s">
        <v>358</v>
      </c>
      <c r="C14" s="20">
        <v>4762</v>
      </c>
      <c r="D14" s="45">
        <f>'回购与每股账面'!$H$24</f>
        <v>4762</v>
      </c>
      <c r="E14" s="42">
        <f>ROUND(C14-D14,2)</f>
        <v>0</v>
      </c>
      <c r="F14" s="21" t="s">
        <v>359</v>
      </c>
    </row>
    <row r="15" spans="1:6">
      <c r="A15" s="4" t="s">
        <v>360</v>
      </c>
      <c r="B15" s="4" t="s">
        <v>361</v>
      </c>
      <c r="C15" s="20">
        <v>24329</v>
      </c>
      <c r="D15" s="45">
        <f>'分部利润'!$H$12</f>
        <v>24329</v>
      </c>
      <c r="E15" s="42">
        <f>ROUND(C15-D15,2)</f>
        <v>0</v>
      </c>
      <c r="F15" s="21" t="s">
        <v>362</v>
      </c>
    </row>
    <row r="16" spans="1:6">
      <c r="A16" s="4" t="s">
        <v>360</v>
      </c>
      <c r="B16" s="4" t="s">
        <v>363</v>
      </c>
      <c r="C16" s="20">
        <v>20801</v>
      </c>
      <c r="D16" s="45">
        <f>'分部利润'!$G$12</f>
        <v>20801</v>
      </c>
      <c r="E16" s="42">
        <f>ROUND(C16-D16,2)</f>
        <v>0</v>
      </c>
      <c r="F16" s="21" t="s">
        <v>364</v>
      </c>
    </row>
    <row r="17" spans="1:6">
      <c r="A17" s="4" t="s">
        <v>360</v>
      </c>
      <c r="B17" s="4" t="s">
        <v>365</v>
      </c>
      <c r="C17" s="20">
        <v>177500</v>
      </c>
      <c r="D17" s="45">
        <f>'浮存金与现金'!$H$6</f>
        <v>177500</v>
      </c>
      <c r="E17" s="42">
        <f>ROUND(C17-D17,2)</f>
        <v>0</v>
      </c>
      <c r="F17" s="21" t="s">
        <v>366</v>
      </c>
    </row>
    <row r="18" spans="1:6">
      <c r="A18" s="4" t="s">
        <v>360</v>
      </c>
      <c r="B18" s="4" t="s">
        <v>367</v>
      </c>
      <c r="C18" s="20">
        <v>359230</v>
      </c>
      <c r="D18" s="45">
        <f>'浮存金与现金'!$H$11</f>
        <v>359230</v>
      </c>
      <c r="E18" s="42">
        <f>ROUND(C18-D18,2)</f>
        <v>0</v>
      </c>
      <c r="F18" s="21" t="s">
        <v>368</v>
      </c>
    </row>
    <row r="19" spans="1:6">
      <c r="A19" s="4" t="s">
        <v>360</v>
      </c>
      <c r="B19" s="4" t="s">
        <v>369</v>
      </c>
      <c r="C19" s="20">
        <v>323779</v>
      </c>
      <c r="D19" s="45">
        <f>'股票组合'!$G$17</f>
        <v>323779</v>
      </c>
      <c r="E19" s="42">
        <f>ROUND(C19-D19,2)</f>
        <v>0</v>
      </c>
      <c r="F19" s="21" t="s">
        <v>370</v>
      </c>
    </row>
    <row r="20" spans="1:6">
      <c r="A20" s="4" t="s">
        <v>360</v>
      </c>
      <c r="B20" s="4" t="s">
        <v>371</v>
      </c>
      <c r="C20" s="20">
        <v>522395.639081912</v>
      </c>
      <c r="D20" s="45">
        <f>'回购与每股账面'!$G$16</f>
        <v>522395.639081912</v>
      </c>
      <c r="E20" s="42">
        <f>ROUND(C20-D20,2)</f>
        <v>0</v>
      </c>
      <c r="F20" s="21" t="s">
        <v>372</v>
      </c>
    </row>
    <row r="21" spans="1:6">
      <c r="A21" s="4" t="s">
        <v>360</v>
      </c>
      <c r="B21" s="4" t="s">
        <v>373</v>
      </c>
      <c r="C21" s="20">
        <v>44486</v>
      </c>
      <c r="D21" s="45">
        <f>'分部利润'!$F$12</f>
        <v>44486</v>
      </c>
      <c r="E21" s="42">
        <f>ROUND(C21-D21,2)</f>
        <v>0</v>
      </c>
      <c r="F21" s="21" t="s">
        <v>374</v>
      </c>
    </row>
    <row r="22" spans="1:6">
      <c r="A22" s="4" t="s">
        <v>375</v>
      </c>
      <c r="B22" s="4" t="s">
        <v>376</v>
      </c>
      <c r="C22" s="20">
        <v>55</v>
      </c>
      <c r="D22" s="32" t="s">
        <v>377</v>
      </c>
      <c r="E22" s="32"/>
      <c r="F22" s="21" t="s">
        <v>378</v>
      </c>
    </row>
    <row r="23" spans="1:6">
      <c r="A23" s="4" t="s">
        <v>375</v>
      </c>
      <c r="B23" s="4" t="s">
        <v>379</v>
      </c>
      <c r="C23" s="20">
        <v>100</v>
      </c>
      <c r="D23" s="32" t="s">
        <v>377</v>
      </c>
      <c r="E23" s="32"/>
      <c r="F23" s="21" t="s">
        <v>380</v>
      </c>
    </row>
    <row r="24" spans="1:6">
      <c r="A24" s="4" t="s">
        <v>381</v>
      </c>
      <c r="B24" s="4" t="s">
        <v>382</v>
      </c>
      <c r="C24" s="20">
        <v>530</v>
      </c>
      <c r="D24" s="32" t="s">
        <v>377</v>
      </c>
      <c r="E24" s="32"/>
      <c r="F24" s="21" t="s">
        <v>383</v>
      </c>
    </row>
    <row r="25" spans="1:6">
      <c r="A25" s="4" t="s">
        <v>381</v>
      </c>
      <c r="B25" s="4" t="s">
        <v>384</v>
      </c>
      <c r="C25" s="20">
        <v>10</v>
      </c>
      <c r="D25" s="32" t="s">
        <v>377</v>
      </c>
      <c r="E25" s="32"/>
      <c r="F25" s="21" t="s">
        <v>383</v>
      </c>
    </row>
    <row r="26" spans="1:6">
      <c r="A26" s="4" t="s">
        <v>381</v>
      </c>
      <c r="B26" s="4" t="s">
        <v>385</v>
      </c>
      <c r="C26" s="20">
        <v>250</v>
      </c>
      <c r="D26" s="32" t="s">
        <v>377</v>
      </c>
      <c r="E26" s="32"/>
      <c r="F26" s="21" t="s">
        <v>386</v>
      </c>
    </row>
    <row r="27" spans="1:6">
      <c r="A27" s="4" t="s">
        <v>387</v>
      </c>
      <c r="B27" s="4" t="s">
        <v>388</v>
      </c>
      <c r="C27" s="20">
        <v>19</v>
      </c>
      <c r="D27" s="32" t="s">
        <v>377</v>
      </c>
      <c r="E27" s="32"/>
      <c r="F27" s="21" t="s">
        <v>389</v>
      </c>
    </row>
    <row r="28" spans="1:6">
      <c r="A28" s="4" t="s">
        <v>390</v>
      </c>
      <c r="B28" s="4" t="s">
        <v>391</v>
      </c>
      <c r="C28" s="20">
        <v>14172500</v>
      </c>
      <c r="D28" s="32" t="s">
        <v>377</v>
      </c>
      <c r="E28" s="32"/>
      <c r="F28" s="21" t="s">
        <v>392</v>
      </c>
    </row>
    <row r="29" spans="1:6">
      <c r="A29" s="4" t="s">
        <v>390</v>
      </c>
      <c r="B29" s="4" t="s">
        <v>393</v>
      </c>
      <c r="C29" s="20">
        <v>592540</v>
      </c>
      <c r="D29" s="32" t="s">
        <v>377</v>
      </c>
      <c r="E29" s="32"/>
      <c r="F29" s="21" t="s">
        <v>392</v>
      </c>
    </row>
    <row r="30" spans="1:6">
      <c r="A30" s="4" t="s">
        <v>390</v>
      </c>
      <c r="B30" s="4" t="s">
        <v>394</v>
      </c>
      <c r="C30" s="20">
        <v>1023920</v>
      </c>
      <c r="D30" s="32" t="s">
        <v>377</v>
      </c>
      <c r="E30" s="32"/>
      <c r="F30" s="21" t="s">
        <v>395</v>
      </c>
    </row>
    <row r="31" spans="1:6">
      <c r="A31" s="4" t="s">
        <v>390</v>
      </c>
      <c r="B31" s="4" t="s">
        <v>396</v>
      </c>
      <c r="C31" s="20">
        <v>1803787</v>
      </c>
      <c r="D31" s="32" t="s">
        <v>377</v>
      </c>
      <c r="E31" s="32"/>
      <c r="F31" s="21" t="s">
        <v>395</v>
      </c>
    </row>
    <row r="32" spans="1:6">
      <c r="A32" s="4" t="s">
        <v>397</v>
      </c>
      <c r="B32" s="4" t="s">
        <v>398</v>
      </c>
      <c r="C32" s="20">
        <v>290</v>
      </c>
      <c r="D32" s="32" t="s">
        <v>377</v>
      </c>
      <c r="E32" s="32"/>
      <c r="F32" s="21" t="s">
        <v>399</v>
      </c>
    </row>
    <row r="33" spans="1:6">
      <c r="A33" s="4" t="s">
        <v>397</v>
      </c>
      <c r="B33" s="4" t="s">
        <v>400</v>
      </c>
      <c r="C33" s="20">
        <v>56</v>
      </c>
      <c r="D33" s="32" t="s">
        <v>377</v>
      </c>
      <c r="E33" s="32"/>
      <c r="F33" s="21" t="s">
        <v>399</v>
      </c>
    </row>
    <row r="34" spans="1:6">
      <c r="A34" s="4" t="s">
        <v>397</v>
      </c>
      <c r="B34" s="4" t="s">
        <v>401</v>
      </c>
      <c r="C34" s="56">
        <v>2270.9</v>
      </c>
      <c r="D34" s="32" t="s">
        <v>377</v>
      </c>
      <c r="E34" s="32"/>
      <c r="F34" s="21" t="s">
        <v>402</v>
      </c>
    </row>
    <row r="35" spans="1:6">
      <c r="A35" s="4" t="s">
        <v>403</v>
      </c>
      <c r="B35" s="4" t="s">
        <v>404</v>
      </c>
      <c r="C35" s="56">
        <v>2.3</v>
      </c>
      <c r="D35" s="32" t="s">
        <v>377</v>
      </c>
      <c r="E35" s="32"/>
      <c r="F35" s="21" t="s">
        <v>405</v>
      </c>
    </row>
    <row r="36" spans="1:6">
      <c r="A36" s="4" t="s">
        <v>403</v>
      </c>
      <c r="B36" s="4" t="s">
        <v>406</v>
      </c>
      <c r="C36" s="56">
        <v>45.7</v>
      </c>
      <c r="D36" s="32" t="s">
        <v>377</v>
      </c>
      <c r="E36" s="32"/>
      <c r="F36" s="21" t="s">
        <v>405</v>
      </c>
    </row>
    <row r="37" spans="1:6">
      <c r="A37" s="4" t="s">
        <v>403</v>
      </c>
      <c r="B37" s="4" t="s">
        <v>407</v>
      </c>
      <c r="C37" s="20">
        <v>3</v>
      </c>
      <c r="D37" s="32" t="s">
        <v>377</v>
      </c>
      <c r="E37" s="32"/>
      <c r="F37" s="21" t="s">
        <v>405</v>
      </c>
    </row>
    <row r="38" spans="1:6">
      <c r="A38" s="4" t="s">
        <v>408</v>
      </c>
      <c r="B38" s="4" t="s">
        <v>409</v>
      </c>
      <c r="C38" s="56">
        <v>-19.9</v>
      </c>
      <c r="D38" s="32" t="s">
        <v>377</v>
      </c>
      <c r="E38" s="32"/>
      <c r="F38" s="21" t="s">
        <v>410</v>
      </c>
    </row>
    <row r="39" spans="1:6">
      <c r="A39" s="4" t="s">
        <v>408</v>
      </c>
      <c r="B39" s="4" t="s">
        <v>411</v>
      </c>
      <c r="C39" s="56">
        <v>21</v>
      </c>
      <c r="D39" s="32" t="s">
        <v>377</v>
      </c>
      <c r="E39" s="32"/>
      <c r="F39" s="21" t="s">
        <v>412</v>
      </c>
    </row>
    <row r="40" spans="1:6">
      <c r="A40" s="4" t="s">
        <v>408</v>
      </c>
      <c r="B40" s="4" t="s">
        <v>413</v>
      </c>
      <c r="C40" s="56">
        <v>26.6</v>
      </c>
      <c r="D40" s="32" t="s">
        <v>377</v>
      </c>
      <c r="E40" s="32"/>
      <c r="F40" s="21" t="s">
        <v>414</v>
      </c>
    </row>
    <row r="41" spans="1:6">
      <c r="A41" s="4" t="s">
        <v>408</v>
      </c>
      <c r="B41" s="4" t="s">
        <v>415</v>
      </c>
      <c r="C41" s="56">
        <v>-9.1</v>
      </c>
      <c r="D41" s="32" t="s">
        <v>377</v>
      </c>
      <c r="E41" s="32"/>
      <c r="F41" s="21" t="s">
        <v>416</v>
      </c>
    </row>
    <row r="42" spans="1:6">
      <c r="A42" s="4" t="s">
        <v>417</v>
      </c>
      <c r="B42" s="4" t="s">
        <v>418</v>
      </c>
      <c r="C42" s="56">
        <v>14.5</v>
      </c>
      <c r="D42" s="32" t="s">
        <v>377</v>
      </c>
      <c r="E42" s="32"/>
      <c r="F42" s="21" t="s">
        <v>419</v>
      </c>
    </row>
    <row r="43" spans="1:6">
      <c r="A43" s="4" t="s">
        <v>417</v>
      </c>
      <c r="B43" s="4" t="s">
        <v>420</v>
      </c>
      <c r="C43" s="56">
        <v>12.8</v>
      </c>
      <c r="D43" s="32" t="s">
        <v>377</v>
      </c>
      <c r="E43" s="32"/>
      <c r="F43" s="21" t="s">
        <v>421</v>
      </c>
    </row>
    <row r="44" spans="1:6">
      <c r="A44" s="4" t="s">
        <v>417</v>
      </c>
      <c r="B44" s="4" t="s">
        <v>422</v>
      </c>
      <c r="C44" s="56">
        <v>-31.8</v>
      </c>
      <c r="D44" s="32" t="s">
        <v>377</v>
      </c>
      <c r="E44" s="32"/>
      <c r="F44" s="21" t="s">
        <v>423</v>
      </c>
    </row>
    <row r="45" spans="1:6">
      <c r="A45" s="4" t="s">
        <v>424</v>
      </c>
      <c r="B45" s="4" t="s">
        <v>425</v>
      </c>
      <c r="C45" s="20">
        <v>22</v>
      </c>
      <c r="D45" s="32" t="s">
        <v>377</v>
      </c>
      <c r="E45" s="32"/>
      <c r="F45" s="21" t="s">
        <v>426</v>
      </c>
    </row>
    <row r="46" spans="1:6">
      <c r="A46" s="4" t="s">
        <v>424</v>
      </c>
      <c r="B46" s="4" t="s">
        <v>427</v>
      </c>
      <c r="C46" s="56">
        <v>6.1</v>
      </c>
      <c r="D46" s="32" t="s">
        <v>377</v>
      </c>
      <c r="E46" s="32"/>
      <c r="F46" s="21" t="s">
        <v>426</v>
      </c>
    </row>
    <row r="47" spans="1:6">
      <c r="A47" s="4" t="s">
        <v>424</v>
      </c>
      <c r="B47" s="4" t="s">
        <v>428</v>
      </c>
      <c r="C47" s="56">
        <v>34.5</v>
      </c>
      <c r="D47" s="32" t="s">
        <v>377</v>
      </c>
      <c r="E47" s="32"/>
      <c r="F47" s="21" t="s">
        <v>429</v>
      </c>
    </row>
    <row r="48" spans="1:6">
      <c r="A48" s="4" t="s">
        <v>424</v>
      </c>
      <c r="B48" s="4" t="s">
        <v>430</v>
      </c>
      <c r="C48" s="56">
        <v>4.4</v>
      </c>
      <c r="D48" s="32" t="s">
        <v>377</v>
      </c>
      <c r="E48" s="32"/>
      <c r="F48" s="21" t="s">
        <v>429</v>
      </c>
    </row>
    <row r="49" spans="1:6">
      <c r="A49" s="4" t="s">
        <v>431</v>
      </c>
      <c r="B49" s="4" t="s">
        <v>432</v>
      </c>
      <c r="C49" s="20">
        <v>47</v>
      </c>
      <c r="D49" s="32" t="s">
        <v>377</v>
      </c>
      <c r="E49" s="32"/>
      <c r="F49" s="21" t="s">
        <v>433</v>
      </c>
    </row>
    <row r="50" spans="1:6">
      <c r="A50" s="4" t="s">
        <v>431</v>
      </c>
      <c r="B50" s="4" t="s">
        <v>434</v>
      </c>
      <c r="C50" s="20">
        <v>98</v>
      </c>
      <c r="D50" s="32" t="s">
        <v>377</v>
      </c>
      <c r="E50" s="32"/>
      <c r="F50" s="21" t="s">
        <v>433</v>
      </c>
    </row>
  </sheetData>
  <pageMargins left="0.4" right="0.4" top="0.5" bottom="0.5" header="0.3" footer="0.3"/>
  <pageSetup paperSize="9" fitToHeight="0" orientation="landscape"/>
  <headerFooter>
    <oddFooter>&amp;L&amp;8伯克希尔账本 · 仅供研究，不构成投资建议&amp;R&amp;8&amp;A · 第 &amp;P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0"/>
  <sheetViews>
    <sheetView workbookViewId="0"/>
  </sheetViews>
  <sheetFormatPr defaultRowHeight="15"/>
  <cols>
    <col min="1" max="1" width="9.7109375" customWidth="1"/>
    <col min="2" max="2" width="52.7109375" customWidth="1"/>
    <col min="3" max="3" width="62.7109375" customWidth="1"/>
    <col min="4" max="4" width="14.7109375" customWidth="1"/>
  </cols>
  <sheetData>
    <row r="1" spans="1:4">
      <c r="A1" s="1" t="s">
        <v>435</v>
      </c>
    </row>
    <row r="2" spans="1:4">
      <c r="A2" s="2" t="s">
        <v>436</v>
      </c>
    </row>
    <row r="4" spans="1:4">
      <c r="A4" s="19" t="s">
        <v>437</v>
      </c>
      <c r="B4" s="19" t="s">
        <v>8</v>
      </c>
      <c r="C4" s="19" t="s">
        <v>438</v>
      </c>
      <c r="D4" s="19" t="s">
        <v>439</v>
      </c>
    </row>
    <row r="5" spans="1:4">
      <c r="A5" s="3" t="s">
        <v>440</v>
      </c>
      <c r="B5" s="4" t="s">
        <v>441</v>
      </c>
      <c r="C5" s="4" t="s">
        <v>442</v>
      </c>
      <c r="D5" s="4" t="s">
        <v>443</v>
      </c>
    </row>
    <row r="6" spans="1:4">
      <c r="A6" s="3" t="s">
        <v>444</v>
      </c>
      <c r="B6" s="4" t="s">
        <v>445</v>
      </c>
      <c r="C6" s="4" t="s">
        <v>446</v>
      </c>
      <c r="D6" s="4" t="s">
        <v>443</v>
      </c>
    </row>
    <row r="7" spans="1:4">
      <c r="A7" s="3" t="s">
        <v>447</v>
      </c>
      <c r="B7" s="4" t="s">
        <v>448</v>
      </c>
      <c r="C7" s="4" t="s">
        <v>449</v>
      </c>
      <c r="D7" s="4" t="s">
        <v>443</v>
      </c>
    </row>
    <row r="8" spans="1:4">
      <c r="A8" s="3" t="s">
        <v>450</v>
      </c>
      <c r="B8" s="4" t="s">
        <v>451</v>
      </c>
      <c r="C8" s="4" t="s">
        <v>452</v>
      </c>
      <c r="D8" s="4" t="s">
        <v>443</v>
      </c>
    </row>
    <row r="9" spans="1:4">
      <c r="A9" s="3" t="s">
        <v>453</v>
      </c>
      <c r="B9" s="4" t="s">
        <v>454</v>
      </c>
      <c r="C9" s="4" t="s">
        <v>455</v>
      </c>
      <c r="D9" s="4" t="s">
        <v>443</v>
      </c>
    </row>
    <row r="10" spans="1:4">
      <c r="A10" s="3" t="s">
        <v>456</v>
      </c>
      <c r="B10" s="4" t="s">
        <v>457</v>
      </c>
      <c r="C10" s="4" t="s">
        <v>458</v>
      </c>
      <c r="D10" s="4" t="s">
        <v>443</v>
      </c>
    </row>
    <row r="11" spans="1:4">
      <c r="A11" s="3" t="s">
        <v>459</v>
      </c>
      <c r="B11" s="4" t="s">
        <v>460</v>
      </c>
      <c r="C11" s="4" t="s">
        <v>461</v>
      </c>
      <c r="D11" s="4" t="s">
        <v>443</v>
      </c>
    </row>
    <row r="12" spans="1:4">
      <c r="A12" s="3" t="s">
        <v>462</v>
      </c>
      <c r="B12" s="4" t="s">
        <v>463</v>
      </c>
      <c r="C12" s="4" t="s">
        <v>464</v>
      </c>
      <c r="D12" s="4" t="s">
        <v>443</v>
      </c>
    </row>
    <row r="13" spans="1:4">
      <c r="A13" s="3" t="s">
        <v>465</v>
      </c>
      <c r="B13" s="4" t="s">
        <v>466</v>
      </c>
      <c r="C13" s="4" t="s">
        <v>467</v>
      </c>
      <c r="D13" s="4" t="s">
        <v>468</v>
      </c>
    </row>
    <row r="14" spans="1:4">
      <c r="A14" s="3" t="s">
        <v>469</v>
      </c>
      <c r="B14" s="4" t="s">
        <v>470</v>
      </c>
      <c r="C14" s="4" t="s">
        <v>471</v>
      </c>
      <c r="D14" s="4" t="s">
        <v>468</v>
      </c>
    </row>
    <row r="16" spans="1:4">
      <c r="A16" s="5" t="s">
        <v>83</v>
      </c>
    </row>
    <row r="17" spans="1:4" ht="30" customHeight="1">
      <c r="A17" s="24" t="s">
        <v>472</v>
      </c>
      <c r="B17" s="24"/>
      <c r="C17" s="24"/>
      <c r="D17" s="24"/>
    </row>
    <row r="18" spans="1:4" ht="30" customHeight="1">
      <c r="A18" s="24" t="s">
        <v>473</v>
      </c>
      <c r="B18" s="24"/>
      <c r="C18" s="24"/>
      <c r="D18" s="24"/>
    </row>
    <row r="19" spans="1:4" ht="30" customHeight="1">
      <c r="A19" s="24" t="s">
        <v>474</v>
      </c>
      <c r="B19" s="24"/>
      <c r="C19" s="24"/>
      <c r="D19" s="24"/>
    </row>
    <row r="20" spans="1:4" ht="30" customHeight="1">
      <c r="A20" s="24" t="s">
        <v>475</v>
      </c>
      <c r="B20" s="24"/>
      <c r="C20" s="24"/>
      <c r="D20" s="24"/>
    </row>
  </sheetData>
  <mergeCells count="4">
    <mergeCell ref="A17:D17"/>
    <mergeCell ref="A18:D18"/>
    <mergeCell ref="A19:D19"/>
    <mergeCell ref="A20:D20"/>
  </mergeCells>
  <pageMargins left="0.4" right="0.4" top="0.5" bottom="0.5" header="0.3" footer="0.3"/>
  <pageSetup paperSize="9" fitToHeight="0" orientation="landscape"/>
  <headerFooter>
    <oddFooter>&amp;L&amp;8伯克希尔账本 · 仅供研究，不构成投资建议&amp;R&amp;8&amp;A · 第 &amp;P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4"/>
  <sheetViews>
    <sheetView workbookViewId="0"/>
  </sheetViews>
  <sheetFormatPr defaultRowHeight="15"/>
  <cols>
    <col min="1" max="1" width="54.7109375" customWidth="1"/>
    <col min="2" max="3" width="16.7109375" customWidth="1"/>
  </cols>
  <sheetData>
    <row r="1" spans="1:3">
      <c r="A1" s="1" t="s">
        <v>476</v>
      </c>
    </row>
    <row r="3" spans="1:3">
      <c r="A3" s="19" t="s">
        <v>477</v>
      </c>
      <c r="B3" s="19" t="s">
        <v>478</v>
      </c>
      <c r="C3" s="19" t="s">
        <v>479</v>
      </c>
    </row>
    <row r="4" spans="1:3">
      <c r="A4" s="4" t="s">
        <v>480</v>
      </c>
      <c r="B4" s="57">
        <f>MAX(ABS('分部利润'!$B$17),ABS('分部利润'!$C$17),ABS('分部利润'!$D$17),ABS('分部利润'!$E$17),ABS('分部利润'!$F$17),ABS('分部利润'!$G$17),ABS('分部利润'!$H$17))</f>
        <v>0</v>
      </c>
      <c r="C4" s="58" t="b">
        <f>B4&lt;0.0001</f>
        <v>1</v>
      </c>
    </row>
    <row r="5" spans="1:3">
      <c r="A5" s="4" t="s">
        <v>481</v>
      </c>
      <c r="B5" s="57">
        <f>MAX(ABS('分部利润'!$B$20),ABS('分部利润'!$C$20),ABS('分部利润'!$D$20),ABS('分部利润'!$E$20),ABS('分部利润'!$F$20),ABS('分部利润'!$G$20),ABS('分部利润'!$H$20))</f>
        <v>0</v>
      </c>
      <c r="C5" s="58" t="b">
        <f>B5&lt;0.0001</f>
        <v>1</v>
      </c>
    </row>
    <row r="6" spans="1:3">
      <c r="A6" s="4" t="s">
        <v>482</v>
      </c>
      <c r="B6" s="57">
        <f>MAX(ABS('分部利润'!$D$35),ABS('分部利润'!$E$35),ABS('分部利润'!$F$35),ABS('分部利润'!$G$35),ABS('分部利润'!$H$35))</f>
        <v>0</v>
      </c>
      <c r="C6" s="58" t="b">
        <f>B6&lt;0.0001</f>
        <v>1</v>
      </c>
    </row>
    <row r="7" spans="1:3">
      <c r="A7" s="4" t="s">
        <v>483</v>
      </c>
      <c r="B7" s="57">
        <f>MAX(ABS('业务明细'!$B$12),ABS('业务明细'!$C$12),ABS('业务明细'!$D$12),ABS('业务明细'!$E$12),ABS('业务明细'!$F$12),ABS('业务明细'!$G$12),ABS('业务明细'!$H$12))</f>
        <v>0</v>
      </c>
      <c r="C7" s="58" t="b">
        <f>B7&lt;0.0001</f>
        <v>1</v>
      </c>
    </row>
    <row r="8" spans="1:3">
      <c r="A8" s="4" t="s">
        <v>484</v>
      </c>
      <c r="B8" s="57">
        <f>MAX(ABS('浮存金与现金'!$G$14),ABS('浮存金与现金'!$H$14))</f>
        <v>0</v>
      </c>
      <c r="C8" s="58" t="b">
        <f>B8&lt;0.0001</f>
        <v>1</v>
      </c>
    </row>
    <row r="9" spans="1:3">
      <c r="A9" s="4" t="s">
        <v>485</v>
      </c>
      <c r="B9" s="57">
        <f>MAX(ABS('股票组合'!$B$18),ABS('股票组合'!$C$18),ABS('股票组合'!$D$18),ABS('股票组合'!$E$18),ABS('股票组合'!$F$18),ABS('股票组合'!$G$18))</f>
        <v>0</v>
      </c>
      <c r="C9" s="58" t="b">
        <f>B9&lt;0.0001</f>
        <v>1</v>
      </c>
    </row>
    <row r="10" spans="1:3">
      <c r="A10" s="4" t="s">
        <v>486</v>
      </c>
      <c r="B10" s="57">
        <f>MAX(ABS('回购与每股账面'!$B$15),ABS('回购与每股账面'!$C$15),ABS('回购与每股账面'!$D$15),ABS('回购与每股账面'!$E$15),ABS('回购与每股账面'!$F$15),ABS('回购与每股账面'!$G$15))</f>
        <v>0</v>
      </c>
      <c r="C10" s="58" t="b">
        <f>B10&lt;0.0001</f>
        <v>1</v>
      </c>
    </row>
    <row r="11" spans="1:3">
      <c r="A11" s="4" t="s">
        <v>487</v>
      </c>
      <c r="B11" s="57">
        <f>MAX(ABS(('变化'!$B$31-1)),ABS(('变化'!$C$31-1)),ABS(('变化'!$D$31-1)),ABS(('变化'!$E$31-1)),ABS(('变化'!$F$31-1)),ABS(('变化'!$G$31-1)),ABS(('变化'!$H$31-1)))</f>
        <v>0</v>
      </c>
      <c r="C11" s="58" t="b">
        <f>B11&lt;0.0001</f>
        <v>1</v>
      </c>
    </row>
    <row r="12" spans="1:3">
      <c r="A12" s="4" t="s">
        <v>488</v>
      </c>
      <c r="B12" s="57">
        <f>MAX(ABS(MIN('网页数字对照'!E5:E50)),ABS(MAX('网页数字对照'!E5:E50)))</f>
        <v>0</v>
      </c>
      <c r="C12" s="58" t="b">
        <f>B12&lt;0.0001</f>
        <v>1</v>
      </c>
    </row>
    <row r="14" spans="1:3">
      <c r="A14" s="3" t="s">
        <v>489</v>
      </c>
      <c r="C14" s="59" t="b">
        <f>AND(C4:C12)</f>
        <v>1</v>
      </c>
    </row>
  </sheetData>
  <pageMargins left="0.4" right="0.4" top="0.5" bottom="0.5" header="0.3" footer="0.3"/>
  <pageSetup paperSize="9" fitToHeight="0" orientation="landscape"/>
  <headerFooter>
    <oddFooter>&amp;L&amp;8伯克希尔账本 · 仅供研究，不构成投资建议&amp;R&amp;8&amp;A · 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说明</vt:lpstr>
      <vt:lpstr>假设与参数</vt:lpstr>
      <vt:lpstr>分部利润</vt:lpstr>
      <vt:lpstr>业务明细</vt:lpstr>
      <vt:lpstr>浮存金与现金</vt:lpstr>
      <vt:lpstr>股票组合</vt:lpstr>
      <vt:lpstr>回购与每股账面</vt:lpstr>
      <vt:lpstr>现金流节选</vt:lpstr>
      <vt:lpstr>变化</vt:lpstr>
      <vt:lpstr>网页数字对照</vt:lpstr>
      <vt:lpstr>出处索引</vt:lpstr>
      <vt:lpstr>核对</vt:lpstr>
      <vt:lpstr>A_h2</vt:lpstr>
      <vt:lpstr>A_rate</vt:lpstr>
      <vt:lpstr>A_tax</vt:lpstr>
      <vt:lpstr>P_conv</vt:lpstr>
      <vt:lpstr>P_mincash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伯克希尔账本（2021–2026H1）</dc:title>
  <dc:subject>伯克希尔·哈撒韦财务数据底稿与变化分析</dc:subject>
  <dc:creator>研究员</dc:creator>
  <dc:description>数据来自材料/ 中的年报、季报、业绩公告、致股东信，以及伯克希尔官网年报 PDF（访问日期 2026-10-22）。仅供研究，不构成投资建议。</dc:description>
  <cp:lastModifiedBy>研究员</cp:lastModifiedBy>
  <dcterms:created xsi:type="dcterms:W3CDTF">2026-10-22T21:41:07Z</dcterms:created>
  <dcterms:modified xsi:type="dcterms:W3CDTF">2026-10-22T21:41:07Z</dcterms:modified>
</cp:coreProperties>
</file>