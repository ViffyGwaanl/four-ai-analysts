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分部利润" sheetId="2" state="visible" r:id="rId2"/>
    <sheet xmlns:r="http://schemas.openxmlformats.org/officeDocument/2006/relationships" name="保险与资产" sheetId="3" state="visible" r:id="rId3"/>
    <sheet xmlns:r="http://schemas.openxmlformats.org/officeDocument/2006/relationships" name="股票组合" sheetId="4" state="visible" r:id="rId4"/>
    <sheet xmlns:r="http://schemas.openxmlformats.org/officeDocument/2006/relationships" name="图表数据" sheetId="5" state="visible" r:id="rId5"/>
    <sheet xmlns:r="http://schemas.openxmlformats.org/officeDocument/2006/relationships" name="变化" sheetId="6" state="visible" r:id="rId6"/>
    <sheet xmlns:r="http://schemas.openxmlformats.org/officeDocument/2006/relationships" name="情景" sheetId="7" state="visible" r:id="rId7"/>
    <sheet xmlns:r="http://schemas.openxmlformats.org/officeDocument/2006/relationships" name="历史决策" sheetId="8" state="visible" r:id="rId8"/>
    <sheet xmlns:r="http://schemas.openxmlformats.org/officeDocument/2006/relationships" name="来源" sheetId="9" state="visible" r:id="rId9"/>
    <sheet xmlns:r="http://schemas.openxmlformats.org/officeDocument/2006/relationships" name="口径" sheetId="10" state="visible" r:id="rId10"/>
  </sheets>
  <definedNames>
    <definedName name="_xlnm.Print_Area" localSheetId="0">'封面'!$B$1:$F$45</definedName>
    <definedName name="_xlnm.Print_Area" localSheetId="1">'分部利润'!$A$1:$L$38</definedName>
    <definedName name="_xlnm.Print_Area" localSheetId="2">'保险与资产'!$A$1:$J$25</definedName>
    <definedName name="_xlnm.Print_Area" localSheetId="3">'股票组合'!$A$1:$H$32</definedName>
    <definedName name="_xlnm.Print_Area" localSheetId="4">'图表数据'!$A$1:$G$28</definedName>
    <definedName name="_xlnm.Print_Area" localSheetId="5">'变化'!$A$1:$T$40</definedName>
    <definedName name="_xlnm.Print_Area" localSheetId="6">'情景'!$A$1:$L$27</definedName>
    <definedName name="_xlnm.Print_Area" localSheetId="7">'历史决策'!$A$1:$F$16</definedName>
    <definedName name="_xlnm.Print_Area" localSheetId="8">'来源'!$A$1:$H$26</definedName>
    <definedName name="_xlnm.Print_Area" localSheetId="9">'口径'!$A$1:$C$17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"/>
    <numFmt numFmtId="167" formatCode="0.0"/>
    <numFmt numFmtId="168" formatCode="0.00&quot;x&quot;"/>
    <numFmt numFmtId="169" formatCode="0.00%;(0.00%);&quot;-&quot;"/>
  </numFmts>
  <fonts count="22">
    <font>
      <name val="Calibri"/>
      <family val="2"/>
      <color theme="1"/>
      <sz val="11"/>
      <scheme val="minor"/>
    </font>
    <font>
      <name val="Microsoft YaHei"/>
      <b val="1"/>
      <color rgb="001F3A4D"/>
      <sz val="34"/>
    </font>
    <font>
      <name val="Microsoft YaHei"/>
      <color rgb="000E7C7B"/>
      <sz val="14"/>
    </font>
    <font>
      <name val="Microsoft YaHei"/>
      <color rgb="006B7B8C"/>
      <sz val="11"/>
    </font>
    <font>
      <name val="Microsoft YaHei"/>
      <b val="1"/>
      <color rgb="000E7C7B"/>
      <sz val="13"/>
    </font>
    <font>
      <name val="Microsoft YaHei"/>
      <b val="1"/>
      <color rgb="001F3A4D"/>
      <sz val="10"/>
    </font>
    <font>
      <name val="Microsoft YaHei"/>
      <color rgb="001B2A41"/>
      <sz val="9"/>
    </font>
    <font>
      <name val="Microsoft YaHei"/>
      <b val="1"/>
      <color rgb="001B2A41"/>
      <sz val="9"/>
    </font>
    <font>
      <name val="Microsoft YaHei"/>
      <color rgb="006B7B8C"/>
      <sz val="8"/>
    </font>
    <font>
      <name val="Microsoft YaHei"/>
      <color rgb="00E76F51"/>
      <sz val="8"/>
    </font>
    <font>
      <name val="Microsoft YaHei"/>
      <b val="1"/>
      <color rgb="00FFFFFF"/>
      <sz val="18"/>
    </font>
    <font>
      <name val="Microsoft YaHei"/>
      <color rgb="006B7B8C"/>
      <sz val="9"/>
    </font>
    <font>
      <name val="Microsoft YaHei"/>
      <b val="1"/>
      <color rgb="006B7B8C"/>
      <sz val="7"/>
    </font>
    <font>
      <name val="Arial"/>
      <color rgb="001B2A41"/>
      <sz val="9"/>
    </font>
    <font>
      <name val="Arial"/>
      <b val="1"/>
      <color rgb="001B2A41"/>
      <sz val="9"/>
    </font>
    <font>
      <name val="Microsoft YaHei"/>
      <color rgb="001B2A41"/>
      <sz val="8"/>
    </font>
    <font>
      <name val="Arial"/>
      <color rgb="001B2A41"/>
      <sz val="8"/>
    </font>
    <font>
      <name val="Microsoft YaHei"/>
      <i val="1"/>
      <color rgb="006B7B8C"/>
      <sz val="8"/>
    </font>
    <font>
      <name val="Microsoft YaHei"/>
      <b val="1"/>
      <color rgb="00FFFFFF"/>
      <sz val="11"/>
    </font>
    <font>
      <name val="Arial"/>
      <b val="1"/>
      <color rgb="00E76F51"/>
      <sz val="10"/>
    </font>
    <font>
      <name val="Microsoft YaHei"/>
      <color rgb="001B2A41"/>
      <sz val="7"/>
    </font>
    <font>
      <name val="Microsoft YaHei"/>
      <b val="1"/>
      <color rgb="000E7C7B"/>
      <sz val="9"/>
    </font>
  </fonts>
  <fills count="11">
    <fill>
      <patternFill/>
    </fill>
    <fill>
      <patternFill patternType="gray125"/>
    </fill>
    <fill>
      <patternFill patternType="solid">
        <fgColor rgb="00F2B54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8EC"/>
      </patternFill>
    </fill>
    <fill>
      <patternFill patternType="solid">
        <fgColor rgb="001F3A4D"/>
      </patternFill>
    </fill>
    <fill>
      <patternFill patternType="solid">
        <fgColor rgb="00D9EEEE"/>
      </patternFill>
    </fill>
    <fill>
      <patternFill patternType="solid">
        <fgColor rgb="00F2F4F6"/>
      </patternFill>
    </fill>
    <fill>
      <patternFill patternType="solid">
        <fgColor rgb="000E7C7B"/>
      </patternFill>
    </fill>
  </fills>
  <borders count="5">
    <border>
      <left/>
      <right/>
      <top/>
      <bottom/>
      <diagonal/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  <border>
      <left/>
      <right/>
      <top style="thin">
        <color rgb="00D5DCE3"/>
      </top>
      <bottom/>
      <diagonal/>
    </border>
    <border>
      <left/>
      <right style="thin">
        <color rgb="00D5DCE3"/>
      </right>
      <top style="thin">
        <color rgb="00D5DCE3"/>
      </top>
      <bottom/>
      <diagonal/>
    </border>
    <border>
      <left/>
      <right style="thin">
        <color rgb="00D5DCE3"/>
      </right>
      <top style="thin">
        <color rgb="00D5DCE3"/>
      </top>
      <bottom style="thin">
        <color rgb="00D5DCE3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0" fontId="6" fillId="6" borderId="1" applyAlignment="1" pivotButton="0" quotePrefix="0" xfId="0">
      <alignment vertical="top" wrapText="1" indent="1"/>
    </xf>
    <xf numFmtId="0" fontId="9" fillId="0" borderId="0" applyAlignment="1" pivotButton="0" quotePrefix="0" xfId="0">
      <alignment vertical="top" wrapText="1" indent="1"/>
    </xf>
    <xf numFmtId="0" fontId="8" fillId="0" borderId="0" pivotButton="0" quotePrefix="0" xfId="0"/>
    <xf numFmtId="0" fontId="10" fillId="7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164" fontId="13" fillId="3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left" vertical="center" indent="1"/>
    </xf>
    <xf numFmtId="164" fontId="14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 indent="1"/>
    </xf>
    <xf numFmtId="164" fontId="1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 indent="1"/>
    </xf>
    <xf numFmtId="0" fontId="18" fillId="10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/>
    </xf>
    <xf numFmtId="164" fontId="13" fillId="4" borderId="1" applyAlignment="1" pivotButton="0" quotePrefix="0" xfId="0">
      <alignment horizontal="right" vertical="center"/>
    </xf>
    <xf numFmtId="3" fontId="13" fillId="3" borderId="1" applyAlignment="1" pivotButton="0" quotePrefix="0" xfId="0">
      <alignment horizontal="right" vertical="center"/>
    </xf>
    <xf numFmtId="166" fontId="1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 indent="1"/>
    </xf>
    <xf numFmtId="165" fontId="13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 wrapText="1" indent="1"/>
    </xf>
    <xf numFmtId="165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167" fontId="13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1"/>
    </xf>
    <xf numFmtId="168" fontId="19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wrapText="1" indent="1"/>
    </xf>
    <xf numFmtId="164" fontId="19" fillId="5" borderId="1" applyAlignment="1" pivotButton="0" quotePrefix="0" xfId="0">
      <alignment horizontal="right" vertical="center"/>
    </xf>
    <xf numFmtId="169" fontId="19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indent="1"/>
    </xf>
    <xf numFmtId="166" fontId="14" fillId="4" borderId="1" applyAlignment="1" pivotButton="0" quotePrefix="0" xfId="0">
      <alignment horizontal="right" vertical="center"/>
    </xf>
    <xf numFmtId="168" fontId="13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20" fillId="3" borderId="1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分部利润构成（十亿美元）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'图表数据'!B3</f>
            </strRef>
          </tx>
          <spPr>
            <a:solidFill xmlns:a="http://schemas.openxmlformats.org/drawingml/2006/main">
              <a:srgbClr val="0E7C7B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'图表数据'!$B$4:$B$9</f>
            </numRef>
          </val>
        </ser>
        <ser>
          <idx val="1"/>
          <order val="1"/>
          <tx>
            <strRef>
              <f>'图表数据'!C3</f>
            </strRef>
          </tx>
          <spPr>
            <a:solidFill xmlns:a="http://schemas.openxmlformats.org/drawingml/2006/main">
              <a:srgbClr val="F2B544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'图表数据'!$C$4:$C$9</f>
            </numRef>
          </val>
        </ser>
        <ser>
          <idx val="2"/>
          <order val="2"/>
          <tx>
            <strRef>
              <f>'图表数据'!D3</f>
            </strRef>
          </tx>
          <spPr>
            <a:solidFill xmlns:a="http://schemas.openxmlformats.org/drawingml/2006/main">
              <a:srgbClr val="E76F51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'图表数据'!$D$4:$D$9</f>
            </numRef>
          </val>
        </ser>
        <ser>
          <idx val="3"/>
          <order val="3"/>
          <tx>
            <strRef>
              <f>'图表数据'!E3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'图表数据'!$E$4:$E$9</f>
            </numRef>
          </val>
        </ser>
        <ser>
          <idx val="4"/>
          <order val="4"/>
          <tx>
            <strRef>
              <f>'图表数据'!F3</f>
            </strRef>
          </tx>
          <spPr>
            <a:solidFill xmlns:a="http://schemas.openxmlformats.org/drawingml/2006/main">
              <a:srgbClr val="8AB6D6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'图表数据'!$F$4:$F$9</f>
            </numRef>
          </val>
        </ser>
        <ser>
          <idx val="5"/>
          <order val="5"/>
          <tx>
            <strRef>
              <f>'图表数据'!G3</f>
            </strRef>
          </tx>
          <spPr>
            <a:solidFill xmlns:a="http://schemas.openxmlformats.org/drawingml/2006/main">
              <a:srgbClr val="B8B8B8"/>
            </a:solidFill>
            <a:ln xmlns:a="http://schemas.openxmlformats.org/drawingml/2006/main">
              <a:noFill/>
              <a:prstDash val="solid"/>
            </a:ln>
          </spPr>
          <cat>
            <numRef>
              <f>'图表数据'!$A$4:$A$9</f>
            </numRef>
          </cat>
          <val>
            <numRef>
              <f>'图表数据'!$G$4:$G$9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浮存金、现金与股票（十亿美元）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'图表数据'!B13</f>
            </strRef>
          </tx>
          <spPr>
            <a:ln xmlns:a="http://schemas.openxmlformats.org/drawingml/2006/main" w="26000">
              <a:solidFill>
                <a:srgbClr val="F2B5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'图表数据'!$A$14:$A$19</f>
            </numRef>
          </cat>
          <val>
            <numRef>
              <f>'图表数据'!$B$14:$B$19</f>
            </numRef>
          </val>
          <smooth val="1"/>
        </ser>
        <ser>
          <idx val="1"/>
          <order val="1"/>
          <tx>
            <strRef>
              <f>'图表数据'!C13</f>
            </strRef>
          </tx>
          <spPr>
            <a:ln xmlns:a="http://schemas.openxmlformats.org/drawingml/2006/main" w="26000">
              <a:solidFill>
                <a:srgbClr val="0E7C7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'图表数据'!$A$14:$A$19</f>
            </numRef>
          </cat>
          <val>
            <numRef>
              <f>'图表数据'!$C$14:$C$19</f>
            </numRef>
          </val>
          <smooth val="1"/>
        </ser>
        <ser>
          <idx val="2"/>
          <order val="2"/>
          <tx>
            <strRef>
              <f>'图表数据'!D13</f>
            </strRef>
          </tx>
          <spPr>
            <a:ln xmlns:a="http://schemas.openxmlformats.org/drawingml/2006/main" w="26000">
              <a:solidFill>
                <a:srgbClr val="E76F5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'图表数据'!$A$14:$A$19</f>
            </numRef>
          </cat>
          <val>
            <numRef>
              <f>'图表数据'!$D$14:$D$19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年各板块利润同比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'图表数据'!B22</f>
            </strRef>
          </tx>
          <spPr>
            <a:solidFill xmlns:a="http://schemas.openxmlformats.org/drawingml/2006/main">
              <a:srgbClr val="E76F51"/>
            </a:solidFill>
            <a:ln xmlns:a="http://schemas.openxmlformats.org/drawingml/2006/main">
              <a:prstDash val="solid"/>
            </a:ln>
          </spPr>
          <cat>
            <numRef>
              <f>'图表数据'!$A$23:$A$28</f>
            </numRef>
          </cat>
          <val>
            <numRef>
              <f>'图表数据'!$B$23:$B$28</f>
            </numRef>
          </val>
        </ser>
        <dLbls>
          <numFmt formatCode="0.0%"/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  <max val="1"/>
          <min val="-0.6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同比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年末股票组合行业占比</a:t>
            </a:r>
          </a:p>
        </rich>
      </tx>
    </title>
    <plotArea>
      <pieChart>
        <varyColors val="1"/>
        <ser>
          <idx val="0"/>
          <order val="0"/>
          <tx>
            <strRef>
              <f>'股票组合'!F12</f>
            </strRef>
          </tx>
          <spPr>
            <a:solidFill xmlns:a="http://schemas.openxmlformats.org/drawingml/2006/main">
              <a:srgbClr val="0E7C7B"/>
            </a:solidFill>
            <a:ln xmlns:a="http://schemas.openxmlformats.org/drawingml/2006/main">
              <a:prstDash val="solid"/>
            </a:ln>
          </spPr>
          <cat>
            <numRef>
              <f>'股票组合'!$A$13:$A$15</f>
            </numRef>
          </cat>
          <val>
            <numRef>
              <f>'股票组合'!$F$13:$F$15</f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年化系数 → 2026E 营运利润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'情景'!B20</f>
            </strRef>
          </tx>
          <spPr>
            <a:solidFill xmlns:a="http://schemas.openxmlformats.org/drawingml/2006/main">
              <a:srgbClr val="0E7C7B"/>
            </a:solidFill>
            <a:ln xmlns:a="http://schemas.openxmlformats.org/drawingml/2006/main">
              <a:prstDash val="solid"/>
            </a:ln>
          </spPr>
          <cat>
            <numRef>
              <f>'情景'!$A$21:$A$25</f>
            </numRef>
          </cat>
          <val>
            <numRef>
              <f>'情景'!$B$21:$B$25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3096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3096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22</row>
      <rowOff>0</rowOff>
    </from>
    <ext cx="3096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22</row>
      <rowOff>0</rowOff>
    </from>
    <ext cx="3096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A4D"/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20" customWidth="1" min="4" max="4"/>
    <col width="20" customWidth="1" min="5" max="5"/>
    <col width="18" customWidth="1" min="6" max="6"/>
  </cols>
  <sheetData>
    <row r="1" ht="20" customHeight="1"/>
    <row r="2" ht="20" customHeight="1">
      <c r="B2" s="1" t="inlineStr">
        <is>
          <t>伯克希尔账本</t>
        </is>
      </c>
    </row>
    <row r="3" ht="20" customHeight="1"/>
    <row r="4" ht="20" customHeight="1">
      <c r="B4" s="2" t="inlineStr">
        <is>
          <t>2021—2025 年 + 2026 年上半年 · 按年报分部口径重述</t>
        </is>
      </c>
    </row>
    <row r="5" ht="20" customHeight="1">
      <c r="B5" s="3" t="inlineStr">
        <is>
          <t>Buffett 交班之后，一家公司的钱从哪里来、放在哪里、又去了哪里</t>
        </is>
      </c>
    </row>
    <row r="6" ht="20" customHeight="1"/>
    <row r="7" ht="4" customHeight="1">
      <c r="B7" s="4" t="n"/>
    </row>
    <row r="8" ht="20" customHeight="1"/>
    <row r="9" ht="20" customHeight="1">
      <c r="B9" s="5" t="inlineStr">
        <is>
          <t>这本账包含什么</t>
        </is>
      </c>
    </row>
    <row r="10" ht="20" customHeight="1"/>
    <row r="11" ht="34" customHeight="1">
      <c r="B11" s="6" t="inlineStr">
        <is>
          <t>01  分部利润</t>
        </is>
      </c>
      <c r="D11" s="7" t="inlineStr">
        <is>
          <t>保险承保、保险投资收益、BNSF、BHE、制造/服务/零售、其他；2021—2025 与 2026H1，含同比与占比。</t>
        </is>
      </c>
    </row>
    <row r="12" ht="20" customHeight="1"/>
    <row r="13" ht="34" customHeight="1">
      <c r="B13" s="6" t="inlineStr">
        <is>
          <t>02  保险与资产</t>
        </is>
      </c>
      <c r="D13" s="7" t="inlineStr">
        <is>
          <t>保险浮存金、现金与短期国债、股票投资组合、归母权益、A 等价股数、每股账面价值、回购。</t>
        </is>
      </c>
    </row>
    <row r="14" ht="20" customHeight="1"/>
    <row r="15" ht="34" customHeight="1">
      <c r="B15" s="6" t="inlineStr">
        <is>
          <t>03  股票组合</t>
        </is>
      </c>
      <c r="D15" s="7" t="inlineStr">
        <is>
          <t>按年报披露的三个行业类别拆分；2025 年末核心持仓与五大持仓集中度。</t>
        </is>
      </c>
    </row>
    <row r="16" ht="20" customHeight="1"/>
    <row r="17" ht="34" customHeight="1">
      <c r="B17" s="6" t="inlineStr">
        <is>
          <t>04  变化</t>
        </is>
      </c>
      <c r="D17" s="7" t="inlineStr">
        <is>
          <t>一页仪表盘：同比、占比与四张图。</t>
        </is>
      </c>
    </row>
    <row r="18" ht="20" customHeight="1"/>
    <row r="19" ht="34" customHeight="1">
      <c r="B19" s="6" t="inlineStr">
        <is>
          <t>05  情景</t>
        </is>
      </c>
      <c r="D19" s="7" t="inlineStr">
        <is>
          <t>可修改假设与 2026 全年机械情景；改一个假设，相关结果自动更新。</t>
        </is>
      </c>
    </row>
    <row r="20" ht="20" customHeight="1"/>
    <row r="21" ht="34" customHeight="1">
      <c r="B21" s="6" t="inlineStr">
        <is>
          <t>06  历史决策</t>
        </is>
      </c>
      <c r="D21" s="7" t="inlineStr">
        <is>
          <t>小游戏使用的 10 个历史决策及其关键数字，与网页口径一致。</t>
        </is>
      </c>
    </row>
    <row r="22" ht="20" customHeight="1"/>
    <row r="23" ht="34" customHeight="1">
      <c r="B23" s="6" t="inlineStr">
        <is>
          <t>07  来源与口径</t>
        </is>
      </c>
      <c r="D23" s="7" t="inlineStr">
        <is>
          <t>每个数字的来源编号、SEC 补充链接、定义、重述与局限。</t>
        </is>
      </c>
    </row>
    <row r="24" ht="20" customHeight="1"/>
    <row r="25" ht="20" customHeight="1">
      <c r="B25" s="5" t="inlineStr">
        <is>
          <t>颜色约定</t>
        </is>
      </c>
    </row>
    <row r="26" ht="28" customHeight="1">
      <c r="B26" s="8" t="inlineStr"/>
      <c r="C26" s="9" t="inlineStr">
        <is>
          <t>披露输入值</t>
        </is>
      </c>
      <c r="D26" s="10" t="inlineStr">
        <is>
          <t>来自年报、季报、业绩公告或股东信的原始数字，未做加工。</t>
        </is>
      </c>
    </row>
    <row r="27" ht="20" customHeight="1"/>
    <row r="28" ht="28" customHeight="1">
      <c r="B28" s="11" t="inlineStr"/>
      <c r="C28" s="9" t="inlineStr">
        <is>
          <t>公式计算</t>
        </is>
      </c>
      <c r="D28" s="10" t="inlineStr">
        <is>
          <t>同比、占比、合计、每股账面价值、比率等，均由单元格公式联动。</t>
        </is>
      </c>
    </row>
    <row r="29" ht="20" customHeight="1"/>
    <row r="30" ht="28" customHeight="1">
      <c r="B30" s="12" t="inlineStr"/>
      <c r="C30" s="9" t="inlineStr">
        <is>
          <t>可修改假设</t>
        </is>
      </c>
      <c r="D30" s="10" t="inlineStr">
        <is>
          <t>「变化」表中的年化系数、下半年回购/浮存金/每股账面价值假设；改一个，相关估算自动更新。</t>
        </is>
      </c>
    </row>
    <row r="31" ht="20" customHeight="1"/>
    <row r="32" ht="20" customHeight="1"/>
    <row r="33" ht="20" customHeight="1"/>
    <row r="34" ht="20" customHeight="1">
      <c r="B34" s="5" t="inlineStr">
        <is>
          <t>口径一句话</t>
        </is>
      </c>
    </row>
    <row r="35" ht="20" customHeight="1">
      <c r="B35" s="13" t="inlineStr">
        <is>
          <t>分部利润为「归属于伯克希尔股东的税后利润」，取自各年年报 MD&amp;A 的 Results of Operations 表；不含投资损益与 OTTI。2021—2022 采用 2023 年 10-K 追溯重述数；2023 年起 Pilot 并入「制造、服务与零售」。2026H1 取自 2026 年二季度业绩公告（8-K Exhibit 99.1）。</t>
        </is>
      </c>
    </row>
    <row r="36" ht="20" customHeight="1"/>
    <row r="37" ht="20" customHeight="1"/>
    <row r="38" ht="20" customHeight="1"/>
    <row r="39" ht="20" customHeight="1"/>
    <row r="40" ht="20" customHeight="1">
      <c r="B40" s="14" t="inlineStr">
        <is>
          <t>免责声明：本文件是研究与展示用的历史财务分析，不构成投资建议，不提供买入、卖出、持有或目标价，也不评价股价。所有假设均以「假设」标注，与披露事实分开。数据截至 2026 年 6 月 30 日；网页与文档中的数字与本工作簿一致。</t>
        </is>
      </c>
    </row>
    <row r="41" ht="20" customHeight="1"/>
    <row r="42" ht="20" customHeight="1"/>
    <row r="43" ht="20" customHeight="1"/>
    <row r="44" ht="20" customHeight="1"/>
    <row r="45" ht="20" customHeight="1">
      <c r="B45" s="15" t="inlineStr">
        <is>
          <t>编制日期：2026 年 10 月 22 日     |     单位：百万美元（另注者除外）</t>
        </is>
      </c>
    </row>
  </sheetData>
  <mergeCells count="30">
    <mergeCell ref="B4:F4"/>
    <mergeCell ref="B7:F7"/>
    <mergeCell ref="D11:F11"/>
    <mergeCell ref="D13:F13"/>
    <mergeCell ref="B35:F37"/>
    <mergeCell ref="B25:F25"/>
    <mergeCell ref="D17:F17"/>
    <mergeCell ref="C28"/>
    <mergeCell ref="B21:C21"/>
    <mergeCell ref="D28:F28"/>
    <mergeCell ref="B40:F43"/>
    <mergeCell ref="B11:C11"/>
    <mergeCell ref="C30"/>
    <mergeCell ref="B23:C23"/>
    <mergeCell ref="B17:C17"/>
    <mergeCell ref="D30:F30"/>
    <mergeCell ref="D15:F15"/>
    <mergeCell ref="B13:C13"/>
    <mergeCell ref="D23:F23"/>
    <mergeCell ref="C26"/>
    <mergeCell ref="B34:F34"/>
    <mergeCell ref="B19:C19"/>
    <mergeCell ref="D26:F26"/>
    <mergeCell ref="B9:F9"/>
    <mergeCell ref="D19:F19"/>
    <mergeCell ref="B15:C15"/>
    <mergeCell ref="B2:F3"/>
    <mergeCell ref="B5:F5"/>
    <mergeCell ref="B45:F45"/>
    <mergeCell ref="D21:F21"/>
  </mergeCells>
  <pageMargins left="0.3" right="0.3" top="0.3" bottom="0.3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L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3" customWidth="1" min="9" max="9"/>
    <col width="11" customWidth="1" min="10" max="10"/>
    <col width="11" customWidth="1" min="11" max="11"/>
    <col width="62" customWidth="1" min="12" max="12"/>
  </cols>
  <sheetData>
    <row r="1" ht="34" customHeight="1">
      <c r="A1" s="16" t="inlineStr">
        <is>
          <t>01  分部利润：钱从哪里来</t>
        </is>
      </c>
    </row>
    <row r="2" ht="30" customHeight="1">
      <c r="A2" s="17" t="inlineStr">
        <is>
          <t>税后、归属于伯克希尔股东；单位：百万美元。2021—2022 为 2023 年 10-K 追溯重述数；2023 年起 Pilot 并入「制造、服务与零售」。</t>
        </is>
      </c>
    </row>
    <row r="4" ht="30" customHeight="1">
      <c r="A4" s="18" t="inlineStr">
        <is>
          <t>项目</t>
        </is>
      </c>
      <c r="B4" s="18" t="inlineStr">
        <is>
          <t>2021</t>
        </is>
      </c>
      <c r="C4" s="18" t="inlineStr">
        <is>
          <t>2022</t>
        </is>
      </c>
      <c r="D4" s="18" t="inlineStr">
        <is>
          <t>2023</t>
        </is>
      </c>
      <c r="E4" s="18" t="inlineStr">
        <is>
          <t>2024</t>
        </is>
      </c>
      <c r="F4" s="18" t="inlineStr">
        <is>
          <t>2025</t>
        </is>
      </c>
      <c r="G4" s="18" t="inlineStr">
        <is>
          <t>2025H1</t>
        </is>
      </c>
      <c r="H4" s="18" t="inlineStr">
        <is>
          <t>2026H1</t>
        </is>
      </c>
      <c r="I4" s="18" t="inlineStr">
        <is>
          <t>2021-25
复合增速</t>
        </is>
      </c>
      <c r="J4" s="18" t="inlineStr">
        <is>
          <t>2025
同比</t>
        </is>
      </c>
      <c r="K4" s="18" t="inlineStr">
        <is>
          <t>2026H1
同比</t>
        </is>
      </c>
      <c r="L4" s="18" t="inlineStr">
        <is>
          <t>出处（按年份/表）</t>
        </is>
      </c>
    </row>
    <row r="5" ht="15" customHeight="1">
      <c r="A5" s="19" t="inlineStr"/>
      <c r="B5" s="19" t="inlineStr">
        <is>
          <t>S5</t>
        </is>
      </c>
      <c r="C5" s="19" t="inlineStr">
        <is>
          <t>S5</t>
        </is>
      </c>
      <c r="D5" s="19" t="inlineStr">
        <is>
          <t>S1</t>
        </is>
      </c>
      <c r="E5" s="19" t="inlineStr">
        <is>
          <t>S1</t>
        </is>
      </c>
      <c r="F5" s="19" t="inlineStr">
        <is>
          <t>S1</t>
        </is>
      </c>
      <c r="G5" s="19" t="inlineStr">
        <is>
          <t>S3</t>
        </is>
      </c>
      <c r="H5" s="19" t="inlineStr">
        <is>
          <t>S3</t>
        </is>
      </c>
      <c r="I5" s="19" t="inlineStr"/>
      <c r="J5" s="19" t="inlineStr"/>
      <c r="K5" s="19" t="inlineStr"/>
      <c r="L5" s="19" t="inlineStr"/>
    </row>
    <row r="6" ht="22" customHeight="1">
      <c r="A6" s="20" t="inlineStr">
        <is>
          <t>保险承保</t>
        </is>
      </c>
      <c r="B6" s="21" t="n">
        <v>870</v>
      </c>
      <c r="C6" s="21" t="n">
        <v>-30</v>
      </c>
      <c r="D6" s="21" t="n">
        <v>5428</v>
      </c>
      <c r="E6" s="21" t="n">
        <v>9020</v>
      </c>
      <c r="F6" s="21" t="n">
        <v>7258</v>
      </c>
      <c r="G6" s="21" t="n">
        <v>3328</v>
      </c>
      <c r="H6" s="21" t="n">
        <v>3448</v>
      </c>
      <c r="I6" s="22">
        <f>IFERROR((F6/B6)^(1/4)-1,"")</f>
        <v/>
      </c>
      <c r="J6" s="22">
        <f>IFERROR(F6/E6-1,"")</f>
        <v/>
      </c>
      <c r="K6" s="22">
        <f>IFERROR(H6/G6-1,"")</f>
        <v/>
      </c>
      <c r="L6" s="23" t="inlineStr">
        <is>
          <t>S5 p.K-34（2021-2022，经 ASU 2018-12 追溯重述）；S1 p.K-34（2023-2025）；S3（2026H1）</t>
        </is>
      </c>
    </row>
    <row r="7" ht="22" customHeight="1">
      <c r="A7" s="24" t="inlineStr">
        <is>
          <t>保险投资收益</t>
        </is>
      </c>
      <c r="B7" s="21" t="n">
        <v>4807</v>
      </c>
      <c r="C7" s="21" t="n">
        <v>6484</v>
      </c>
      <c r="D7" s="21" t="n">
        <v>9567</v>
      </c>
      <c r="E7" s="21" t="n">
        <v>13670</v>
      </c>
      <c r="F7" s="21" t="n">
        <v>12513</v>
      </c>
      <c r="G7" s="21" t="n">
        <v>6260</v>
      </c>
      <c r="H7" s="21" t="n">
        <v>5738</v>
      </c>
      <c r="I7" s="22">
        <f>IFERROR((F7/B7)^(1/4)-1,"")</f>
        <v/>
      </c>
      <c r="J7" s="22">
        <f>IFERROR(F7/E7-1,"")</f>
        <v/>
      </c>
      <c r="K7" s="22">
        <f>IFERROR(H7/G7-1,"")</f>
        <v/>
      </c>
      <c r="L7" s="23" t="inlineStr">
        <is>
          <t>S5 p.K-34（2021-2022）；S1 p.K-34（2023-2025）；S3（2026H1）</t>
        </is>
      </c>
    </row>
    <row r="8" ht="22" customHeight="1">
      <c r="A8" s="24" t="inlineStr">
        <is>
          <t>铁路（BNSF）</t>
        </is>
      </c>
      <c r="B8" s="21" t="n">
        <v>5990</v>
      </c>
      <c r="C8" s="21" t="n">
        <v>5946</v>
      </c>
      <c r="D8" s="21" t="n">
        <v>5087</v>
      </c>
      <c r="E8" s="21" t="n">
        <v>5031</v>
      </c>
      <c r="F8" s="21" t="n">
        <v>5476</v>
      </c>
      <c r="G8" s="21" t="n">
        <v>2680</v>
      </c>
      <c r="H8" s="21" t="n">
        <v>2935</v>
      </c>
      <c r="I8" s="22">
        <f>IFERROR((F8/B8)^(1/4)-1,"")</f>
        <v/>
      </c>
      <c r="J8" s="22">
        <f>IFERROR(F8/E8-1,"")</f>
        <v/>
      </c>
      <c r="K8" s="22">
        <f>IFERROR(H8/G8-1,"")</f>
        <v/>
      </c>
      <c r="L8" s="23" t="inlineStr">
        <is>
          <t>S5 p.K-34（2021-2022）；S1 p.K-34（2023-2025）；S3（2026H1）</t>
        </is>
      </c>
    </row>
    <row r="9" ht="22" customHeight="1">
      <c r="A9" s="24" t="inlineStr">
        <is>
          <t>能源（BHE）</t>
        </is>
      </c>
      <c r="B9" s="21" t="n">
        <v>3572</v>
      </c>
      <c r="C9" s="21" t="n">
        <v>3904</v>
      </c>
      <c r="D9" s="21" t="n">
        <v>2331</v>
      </c>
      <c r="E9" s="21" t="n">
        <v>3730</v>
      </c>
      <c r="F9" s="21" t="n">
        <v>3979</v>
      </c>
      <c r="G9" s="21" t="n">
        <v>1799</v>
      </c>
      <c r="H9" s="21" t="n">
        <v>2005</v>
      </c>
      <c r="I9" s="22">
        <f>IFERROR((F9/B9)^(1/4)-1,"")</f>
        <v/>
      </c>
      <c r="J9" s="22">
        <f>IFERROR(F9/E9-1,"")</f>
        <v/>
      </c>
      <c r="K9" s="22">
        <f>IFERROR(H9/G9-1,"")</f>
        <v/>
      </c>
      <c r="L9" s="23" t="inlineStr">
        <is>
          <t>S5 p.K-34（2021-2022）；S1 p.K-34（2023-2025）；S3（2026H1）</t>
        </is>
      </c>
    </row>
    <row r="10" ht="22" customHeight="1">
      <c r="A10" s="24" t="inlineStr">
        <is>
          <t>制造、服务与零售</t>
        </is>
      </c>
      <c r="B10" s="21" t="n">
        <v>11120</v>
      </c>
      <c r="C10" s="21" t="n">
        <v>12512</v>
      </c>
      <c r="D10" s="21" t="n">
        <v>13362</v>
      </c>
      <c r="E10" s="21" t="n">
        <v>13072</v>
      </c>
      <c r="F10" s="21" t="n">
        <v>13647</v>
      </c>
      <c r="G10" s="21" t="n">
        <v>6661</v>
      </c>
      <c r="H10" s="21" t="n">
        <v>7669</v>
      </c>
      <c r="I10" s="22">
        <f>IFERROR((F10/B10)^(1/4)-1,"")</f>
        <v/>
      </c>
      <c r="J10" s="22">
        <f>IFERROR(F10/E10-1,"")</f>
        <v/>
      </c>
      <c r="K10" s="22">
        <f>IFERROR(H10/G10-1,"")</f>
        <v/>
      </c>
      <c r="L10" s="23" t="inlineStr">
        <is>
          <t>S5 p.K-34（2021-2022）；S1 p.K-34（2023-2025）；S3（2026H1）。2023 年起含 Pilot。</t>
        </is>
      </c>
    </row>
    <row r="11" ht="22" customHeight="1">
      <c r="A11" s="24" t="inlineStr">
        <is>
          <t>其他</t>
        </is>
      </c>
      <c r="B11" s="21" t="n">
        <v>1238</v>
      </c>
      <c r="C11" s="21" t="n">
        <v>2037</v>
      </c>
      <c r="D11" s="21" t="n">
        <v>1575</v>
      </c>
      <c r="E11" s="21" t="n">
        <v>2914</v>
      </c>
      <c r="F11" s="21" t="n">
        <v>1613</v>
      </c>
      <c r="G11" s="21" t="n">
        <v>73</v>
      </c>
      <c r="H11" s="21" t="n">
        <v>2534</v>
      </c>
      <c r="I11" s="22">
        <f>IFERROR((F11/B11)^(1/4)-1,"")</f>
        <v/>
      </c>
      <c r="J11" s="22">
        <f>IFERROR(F11/E11-1,"")</f>
        <v/>
      </c>
      <c r="K11" s="22">
        <f>IFERROR(H11/G11-1,"")</f>
        <v/>
      </c>
      <c r="L11" s="23" t="inlineStr">
        <is>
          <t>S5 p.K-34（2021-2022：非控股业务+其他）；S1 p.K-34（2023-2025）；S3（2026H1）</t>
        </is>
      </c>
    </row>
    <row r="12" ht="22" customHeight="1">
      <c r="A12" s="20" t="inlineStr">
        <is>
          <t>营运利润合计</t>
        </is>
      </c>
      <c r="B12" s="25">
        <f>SUM(B6:B11)</f>
        <v/>
      </c>
      <c r="C12" s="25">
        <f>SUM(C6:C11)</f>
        <v/>
      </c>
      <c r="D12" s="25">
        <f>SUM(D6:D11)</f>
        <v/>
      </c>
      <c r="E12" s="25">
        <f>SUM(E6:E11)</f>
        <v/>
      </c>
      <c r="F12" s="25">
        <f>SUM(F6:F11)</f>
        <v/>
      </c>
      <c r="G12" s="25">
        <f>SUM(G6:G11)</f>
        <v/>
      </c>
      <c r="H12" s="25">
        <f>SUM(H6:H11)</f>
        <v/>
      </c>
      <c r="I12" s="26">
        <f>IFERROR((F12/B12)^(1/4)-1,"")</f>
        <v/>
      </c>
      <c r="J12" s="26">
        <f>IFERROR(F12/E12-1,"")</f>
        <v/>
      </c>
      <c r="K12" s="26">
        <f>IFERROR(H12/G12-1,"")</f>
        <v/>
      </c>
      <c r="L12" s="23" t="inlineStr">
        <is>
          <t>计算：6-11 行之和</t>
        </is>
      </c>
    </row>
    <row r="13">
      <c r="A13" s="24" t="inlineStr">
        <is>
          <t>投资损益</t>
        </is>
      </c>
      <c r="B13" s="21" t="n">
        <v>62340</v>
      </c>
      <c r="C13" s="21" t="n">
        <v>-53612</v>
      </c>
      <c r="D13" s="21" t="n">
        <v>58873</v>
      </c>
      <c r="E13" s="21" t="n">
        <v>41558</v>
      </c>
      <c r="F13" s="21" t="n">
        <v>30737</v>
      </c>
      <c r="G13" s="21" t="n">
        <v>-68</v>
      </c>
      <c r="H13" s="21" t="n">
        <v>11444</v>
      </c>
      <c r="L13" s="23" t="inlineStr">
        <is>
          <t>S5 p.K-34（2021-2022）；S1 p.K-34（2023-2025）；S3（2026H1）</t>
        </is>
      </c>
    </row>
    <row r="14">
      <c r="A14" s="24" t="inlineStr">
        <is>
          <t>非暂时性减值（OTTI）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-8255</v>
      </c>
      <c r="G14" s="21" t="n">
        <v>-3760</v>
      </c>
      <c r="H14" s="21" t="n">
        <v>0</v>
      </c>
      <c r="L14" s="23" t="inlineStr">
        <is>
          <t>S1 p.K-34（2025 年 Kraft Heinz 3.76B + Occidental 4.50B）；2021-2024 无此项</t>
        </is>
      </c>
    </row>
    <row r="15">
      <c r="A15" s="24" t="inlineStr">
        <is>
          <t>归母净利润</t>
        </is>
      </c>
      <c r="B15" s="21" t="n">
        <v>89937</v>
      </c>
      <c r="C15" s="21" t="n">
        <v>-22759</v>
      </c>
      <c r="D15" s="21" t="n">
        <v>96223</v>
      </c>
      <c r="E15" s="21" t="n">
        <v>88995</v>
      </c>
      <c r="F15" s="21" t="n">
        <v>66968</v>
      </c>
      <c r="G15" s="21" t="n">
        <v>16973</v>
      </c>
      <c r="H15" s="21" t="n">
        <v>35773</v>
      </c>
      <c r="L15" s="23" t="inlineStr">
        <is>
          <t>S5 p.K-34（2021-2022）；S1 p.K-34（2023-2025）；S3（2026H1）</t>
        </is>
      </c>
    </row>
    <row r="16">
      <c r="A16" s="27" t="inlineStr">
        <is>
          <t>勾稽差异（合计+投资损益+OTTI-净利润）</t>
        </is>
      </c>
      <c r="B16" s="28">
        <f>B12+B13+B14-B15</f>
        <v/>
      </c>
      <c r="C16" s="28">
        <f>C12+C13+C14-C15</f>
        <v/>
      </c>
      <c r="D16" s="28">
        <f>D12+D13+D14-D15</f>
        <v/>
      </c>
      <c r="E16" s="28">
        <f>E12+E13+E14-E15</f>
        <v/>
      </c>
      <c r="F16" s="28">
        <f>F12+F13+F14-F15</f>
        <v/>
      </c>
      <c r="G16" s="28">
        <f>G12+G13+G14-G15</f>
        <v/>
      </c>
      <c r="H16" s="28">
        <f>H12+H13+H14-H15</f>
        <v/>
      </c>
      <c r="L16" s="23" t="inlineStr">
        <is>
          <t>计算：应为 0</t>
        </is>
      </c>
    </row>
    <row r="18" ht="34" customHeight="1">
      <c r="A18" s="29" t="inlineStr">
        <is>
          <t>读法：2021—2025 年营运利润从 276 亿美元增至 445 亿美元，四年复合增速 12.7%；2025 年同比下降 6.2%，2026H1 同比回升 17.0%。保险承保的占比从 2021 年的 3.2% 升至 2025 年的 16.3%，又在 2026H1 回落至 14.2%；制造、服务与零售始终是最大单一板块。</t>
        </is>
      </c>
    </row>
    <row r="19" ht="34" customHeight="1">
      <c r="A19" s="29" t="inlineStr">
        <is>
          <t>2021—2022 的「其他」= 2023 年 10-K 表中的「非控股业务」+「其他」；2023 年起「制造、服务与零售」含 Pilot（2023 年仅含 2—12 月，1 月按权益法计入其他）。2022 年保险承保为 -0.30 亿美元；2021 年基数较低，70% 的 2021-25 复合增速不宜外推。</t>
        </is>
      </c>
    </row>
    <row r="21" ht="22" customHeight="1">
      <c r="A21" s="30" t="inlineStr">
        <is>
          <t>占营运利润比重（公式）</t>
        </is>
      </c>
    </row>
    <row r="22" ht="30" customHeight="1">
      <c r="A22" s="18" t="inlineStr">
        <is>
          <t>项目</t>
        </is>
      </c>
      <c r="B22" s="18" t="inlineStr">
        <is>
          <t>2021</t>
        </is>
      </c>
      <c r="C22" s="18" t="inlineStr">
        <is>
          <t>2022</t>
        </is>
      </c>
      <c r="D22" s="18" t="inlineStr">
        <is>
          <t>2023</t>
        </is>
      </c>
      <c r="E22" s="18" t="inlineStr">
        <is>
          <t>2024</t>
        </is>
      </c>
      <c r="F22" s="18" t="inlineStr">
        <is>
          <t>2025</t>
        </is>
      </c>
      <c r="G22" s="18" t="inlineStr">
        <is>
          <t>2025H1</t>
        </is>
      </c>
      <c r="H22" s="18" t="inlineStr">
        <is>
          <t>2026H1</t>
        </is>
      </c>
      <c r="I22" s="18" t="inlineStr"/>
      <c r="J22" s="18" t="inlineStr"/>
      <c r="K22" s="18" t="inlineStr"/>
      <c r="L22" s="18" t="inlineStr"/>
    </row>
    <row r="23">
      <c r="A23" s="24" t="inlineStr">
        <is>
          <t>保险承保</t>
        </is>
      </c>
      <c r="B23" s="22">
        <f>IFERROR(B6/B$12,"")</f>
        <v/>
      </c>
      <c r="C23" s="22">
        <f>IFERROR(C6/C$12,"")</f>
        <v/>
      </c>
      <c r="D23" s="22">
        <f>IFERROR(D6/D$12,"")</f>
        <v/>
      </c>
      <c r="E23" s="22">
        <f>IFERROR(E6/E$12,"")</f>
        <v/>
      </c>
      <c r="F23" s="22">
        <f>IFERROR(F6/F$12,"")</f>
        <v/>
      </c>
      <c r="G23" s="22">
        <f>IFERROR(G6/G$12,"")</f>
        <v/>
      </c>
      <c r="H23" s="22">
        <f>IFERROR(H6/H$12,"")</f>
        <v/>
      </c>
      <c r="L23" s="23" t="inlineStr">
        <is>
          <t>计算：各分部 ÷ 营运利润合计</t>
        </is>
      </c>
    </row>
    <row r="24">
      <c r="A24" s="24" t="inlineStr">
        <is>
          <t>保险投资收益</t>
        </is>
      </c>
      <c r="B24" s="22">
        <f>IFERROR(B7/B$12,"")</f>
        <v/>
      </c>
      <c r="C24" s="22">
        <f>IFERROR(C7/C$12,"")</f>
        <v/>
      </c>
      <c r="D24" s="22">
        <f>IFERROR(D7/D$12,"")</f>
        <v/>
      </c>
      <c r="E24" s="22">
        <f>IFERROR(E7/E$12,"")</f>
        <v/>
      </c>
      <c r="F24" s="22">
        <f>IFERROR(F7/F$12,"")</f>
        <v/>
      </c>
      <c r="G24" s="22">
        <f>IFERROR(G7/G$12,"")</f>
        <v/>
      </c>
      <c r="H24" s="22">
        <f>IFERROR(H7/H$12,"")</f>
        <v/>
      </c>
    </row>
    <row r="25">
      <c r="A25" s="24" t="inlineStr">
        <is>
          <t>铁路（BNSF）</t>
        </is>
      </c>
      <c r="B25" s="22">
        <f>IFERROR(B8/B$12,"")</f>
        <v/>
      </c>
      <c r="C25" s="22">
        <f>IFERROR(C8/C$12,"")</f>
        <v/>
      </c>
      <c r="D25" s="22">
        <f>IFERROR(D8/D$12,"")</f>
        <v/>
      </c>
      <c r="E25" s="22">
        <f>IFERROR(E8/E$12,"")</f>
        <v/>
      </c>
      <c r="F25" s="22">
        <f>IFERROR(F8/F$12,"")</f>
        <v/>
      </c>
      <c r="G25" s="22">
        <f>IFERROR(G8/G$12,"")</f>
        <v/>
      </c>
      <c r="H25" s="22">
        <f>IFERROR(H8/H$12,"")</f>
        <v/>
      </c>
    </row>
    <row r="26">
      <c r="A26" s="24" t="inlineStr">
        <is>
          <t>能源（BHE）</t>
        </is>
      </c>
      <c r="B26" s="22">
        <f>IFERROR(B9/B$12,"")</f>
        <v/>
      </c>
      <c r="C26" s="22">
        <f>IFERROR(C9/C$12,"")</f>
        <v/>
      </c>
      <c r="D26" s="22">
        <f>IFERROR(D9/D$12,"")</f>
        <v/>
      </c>
      <c r="E26" s="22">
        <f>IFERROR(E9/E$12,"")</f>
        <v/>
      </c>
      <c r="F26" s="22">
        <f>IFERROR(F9/F$12,"")</f>
        <v/>
      </c>
      <c r="G26" s="22">
        <f>IFERROR(G9/G$12,"")</f>
        <v/>
      </c>
      <c r="H26" s="22">
        <f>IFERROR(H9/H$12,"")</f>
        <v/>
      </c>
    </row>
    <row r="27">
      <c r="A27" s="24" t="inlineStr">
        <is>
          <t>制造、服务与零售</t>
        </is>
      </c>
      <c r="B27" s="22">
        <f>IFERROR(B10/B$12,"")</f>
        <v/>
      </c>
      <c r="C27" s="22">
        <f>IFERROR(C10/C$12,"")</f>
        <v/>
      </c>
      <c r="D27" s="22">
        <f>IFERROR(D10/D$12,"")</f>
        <v/>
      </c>
      <c r="E27" s="22">
        <f>IFERROR(E10/E$12,"")</f>
        <v/>
      </c>
      <c r="F27" s="22">
        <f>IFERROR(F10/F$12,"")</f>
        <v/>
      </c>
      <c r="G27" s="22">
        <f>IFERROR(G10/G$12,"")</f>
        <v/>
      </c>
      <c r="H27" s="22">
        <f>IFERROR(H10/H$12,"")</f>
        <v/>
      </c>
    </row>
    <row r="28">
      <c r="A28" s="24" t="inlineStr">
        <is>
          <t>其他</t>
        </is>
      </c>
      <c r="B28" s="22">
        <f>IFERROR(B11/B$12,"")</f>
        <v/>
      </c>
      <c r="C28" s="22">
        <f>IFERROR(C11/C$12,"")</f>
        <v/>
      </c>
      <c r="D28" s="22">
        <f>IFERROR(D11/D$12,"")</f>
        <v/>
      </c>
      <c r="E28" s="22">
        <f>IFERROR(E11/E$12,"")</f>
        <v/>
      </c>
      <c r="F28" s="22">
        <f>IFERROR(F11/F$12,"")</f>
        <v/>
      </c>
      <c r="G28" s="22">
        <f>IFERROR(G11/G$12,"")</f>
        <v/>
      </c>
      <c r="H28" s="22">
        <f>IFERROR(H11/H$12,"")</f>
        <v/>
      </c>
    </row>
    <row r="29">
      <c r="A29" s="20" t="inlineStr">
        <is>
          <t>合计</t>
        </is>
      </c>
      <c r="B29" s="26">
        <f>SUM(B23:B28)</f>
        <v/>
      </c>
      <c r="C29" s="26">
        <f>SUM(C23:C28)</f>
        <v/>
      </c>
      <c r="D29" s="26">
        <f>SUM(D23:D28)</f>
        <v/>
      </c>
      <c r="E29" s="26">
        <f>SUM(E23:E28)</f>
        <v/>
      </c>
      <c r="F29" s="26">
        <f>SUM(F23:F28)</f>
        <v/>
      </c>
      <c r="G29" s="26">
        <f>SUM(G23:G28)</f>
        <v/>
      </c>
      <c r="H29" s="26">
        <f>SUM(H23:H28)</f>
        <v/>
      </c>
    </row>
    <row r="31" ht="22" customHeight="1">
      <c r="A31" s="30" t="inlineStr">
        <is>
          <t>补充：保险承保税前利润，按集团（百万美元）</t>
        </is>
      </c>
    </row>
    <row r="32" ht="30" customHeight="1">
      <c r="A32" s="18" t="inlineStr">
        <is>
          <t>集团</t>
        </is>
      </c>
      <c r="B32" s="18" t="inlineStr">
        <is>
          <t>2021</t>
        </is>
      </c>
      <c r="C32" s="18" t="inlineStr">
        <is>
          <t>2022</t>
        </is>
      </c>
      <c r="D32" s="18" t="inlineStr">
        <is>
          <t>2023</t>
        </is>
      </c>
      <c r="E32" s="18" t="inlineStr">
        <is>
          <t>2024</t>
        </is>
      </c>
      <c r="F32" s="18" t="inlineStr">
        <is>
          <t>2025</t>
        </is>
      </c>
      <c r="G32" s="18" t="inlineStr">
        <is>
          <t>2025H1</t>
        </is>
      </c>
      <c r="H32" s="18" t="inlineStr">
        <is>
          <t>2026H1</t>
        </is>
      </c>
      <c r="I32" s="18" t="inlineStr"/>
      <c r="J32" s="18" t="inlineStr"/>
      <c r="K32" s="18" t="inlineStr"/>
      <c r="L32" s="18" t="inlineStr"/>
    </row>
    <row r="33">
      <c r="A33" s="24" t="inlineStr">
        <is>
          <t>GEICO</t>
        </is>
      </c>
      <c r="B33" s="21" t="n">
        <v>1259</v>
      </c>
      <c r="C33" s="21" t="n">
        <v>-1880</v>
      </c>
      <c r="D33" s="21" t="n">
        <v>3635</v>
      </c>
      <c r="E33" s="21" t="n">
        <v>7813</v>
      </c>
      <c r="F33" s="21" t="n">
        <v>6824</v>
      </c>
      <c r="G33" s="21" t="n">
        <v>3994</v>
      </c>
      <c r="H33" s="21" t="n">
        <v>2410</v>
      </c>
      <c r="L33" s="23" t="inlineStr">
        <is>
          <t>S5 p.K-35（2021-2022）；S1 p.K-35（2023-2025）；S3（2026H1）</t>
        </is>
      </c>
    </row>
    <row r="34">
      <c r="A34" s="24" t="inlineStr">
        <is>
          <t>BH Primary</t>
        </is>
      </c>
      <c r="B34" s="21" t="n">
        <v>607</v>
      </c>
      <c r="C34" s="21" t="n">
        <v>393</v>
      </c>
      <c r="D34" s="21" t="n">
        <v>1374</v>
      </c>
      <c r="E34" s="21" t="n">
        <v>855</v>
      </c>
      <c r="F34" s="21" t="n">
        <v>785</v>
      </c>
      <c r="G34" s="21" t="n">
        <v>-81</v>
      </c>
      <c r="H34" s="21" t="n">
        <v>749</v>
      </c>
    </row>
    <row r="35">
      <c r="A35" s="24" t="inlineStr">
        <is>
          <t>BHRG</t>
        </is>
      </c>
      <c r="B35" s="21" t="n">
        <v>-930</v>
      </c>
      <c r="C35" s="21" t="n">
        <v>1389</v>
      </c>
      <c r="D35" s="21" t="n">
        <v>1904</v>
      </c>
      <c r="E35" s="21" t="n">
        <v>2737</v>
      </c>
      <c r="F35" s="21" t="n">
        <v>1851</v>
      </c>
      <c r="G35" s="21" t="n">
        <v>343</v>
      </c>
      <c r="H35" s="21" t="n">
        <v>1286</v>
      </c>
    </row>
    <row r="36">
      <c r="A36" s="20" t="inlineStr">
        <is>
          <t>合计</t>
        </is>
      </c>
      <c r="B36" s="25">
        <f>SUM(B33:B35)</f>
        <v/>
      </c>
      <c r="C36" s="25">
        <f>SUM(C33:C35)</f>
        <v/>
      </c>
      <c r="D36" s="25">
        <f>SUM(D33:D35)</f>
        <v/>
      </c>
      <c r="E36" s="25">
        <f>SUM(E33:E35)</f>
        <v/>
      </c>
      <c r="F36" s="25">
        <f>SUM(F33:F35)</f>
        <v/>
      </c>
      <c r="G36" s="25">
        <f>SUM(G33:G35)</f>
        <v/>
      </c>
      <c r="H36" s="25">
        <f>SUM(H33:H35)</f>
        <v/>
      </c>
    </row>
    <row r="38" ht="28" customHeight="1">
      <c r="A38" s="29" t="inlineStr">
        <is>
          <t>2025 年承保利润下降，主要因为 GEICO 费用率上升、BH Primary 与 BHRG 的赔付与既往年度准备金变动；2026H1 GEICO 承保利润下降，但 BH Primary 与 BHRG 回升。</t>
        </is>
      </c>
    </row>
  </sheetData>
  <mergeCells count="7">
    <mergeCell ref="A38:L38"/>
    <mergeCell ref="A2:L2"/>
    <mergeCell ref="A19:L19"/>
    <mergeCell ref="A1:L1"/>
    <mergeCell ref="A31:L31"/>
    <mergeCell ref="A18:L18"/>
    <mergeCell ref="A21:L21"/>
  </mergeCells>
  <pageMargins left="0.3" right="0.3" top="0.3" bottom="0.3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tabColor rgb="00F2B544"/>
    <outlinePr summaryBelow="1" summaryRight="1"/>
    <pageSetUpPr fitToPage="1"/>
  </sheetPr>
  <dimension ref="A1:J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64" customWidth="1" min="10" max="10"/>
  </cols>
  <sheetData>
    <row r="1" ht="34" customHeight="1">
      <c r="A1" s="16" t="inlineStr">
        <is>
          <t>02  保险与资产：钱放在哪里</t>
        </is>
      </c>
    </row>
    <row r="2" ht="30" customHeight="1">
      <c r="A2" s="17" t="inlineStr">
        <is>
          <t>单位：百万美元（股数除外）。现金与短期国债为「保险及其他」板块口径；合并口径另加 BNSF/BHE 的现金。</t>
        </is>
      </c>
    </row>
    <row r="4" ht="30" customHeight="1">
      <c r="A4" s="18" t="inlineStr">
        <is>
          <t>项目</t>
        </is>
      </c>
      <c r="B4" s="18" t="inlineStr">
        <is>
          <t>2021</t>
        </is>
      </c>
      <c r="C4" s="18" t="inlineStr">
        <is>
          <t>2022</t>
        </is>
      </c>
      <c r="D4" s="18" t="inlineStr">
        <is>
          <t>2023</t>
        </is>
      </c>
      <c r="E4" s="18" t="inlineStr">
        <is>
          <t>2024</t>
        </is>
      </c>
      <c r="F4" s="18" t="inlineStr">
        <is>
          <t>2025</t>
        </is>
      </c>
      <c r="G4" s="18" t="inlineStr">
        <is>
          <t>2026H1</t>
        </is>
      </c>
      <c r="H4" s="18" t="inlineStr">
        <is>
          <t>2025
同比</t>
        </is>
      </c>
      <c r="I4" s="18" t="inlineStr">
        <is>
          <t>2026H1
较2025末</t>
        </is>
      </c>
      <c r="J4" s="18" t="inlineStr">
        <is>
          <t>出处</t>
        </is>
      </c>
    </row>
    <row r="5" ht="15" customHeight="1">
      <c r="A5" s="31" t="inlineStr"/>
      <c r="B5" s="31" t="inlineStr">
        <is>
          <t>S6</t>
        </is>
      </c>
      <c r="C5" s="31" t="inlineStr">
        <is>
          <t>S5</t>
        </is>
      </c>
      <c r="D5" s="31" t="inlineStr">
        <is>
          <t>S4</t>
        </is>
      </c>
      <c r="E5" s="31" t="inlineStr">
        <is>
          <t>S1</t>
        </is>
      </c>
      <c r="F5" s="31" t="inlineStr">
        <is>
          <t>S1</t>
        </is>
      </c>
      <c r="G5" s="31" t="inlineStr">
        <is>
          <t>S2</t>
        </is>
      </c>
      <c r="H5" s="31" t="inlineStr"/>
      <c r="I5" s="31" t="inlineStr"/>
      <c r="J5" s="31" t="inlineStr"/>
    </row>
    <row r="6" ht="30" customHeight="1">
      <c r="A6" s="24" t="inlineStr">
        <is>
          <t>保险浮存金</t>
        </is>
      </c>
      <c r="B6" s="21" t="n">
        <v>147000</v>
      </c>
      <c r="C6" s="21" t="n">
        <v>164000</v>
      </c>
      <c r="D6" s="21" t="n">
        <v>169000</v>
      </c>
      <c r="E6" s="21" t="n">
        <v>171000</v>
      </c>
      <c r="F6" s="21" t="n">
        <v>176400</v>
      </c>
      <c r="G6" s="21" t="n">
        <v>177500</v>
      </c>
      <c r="H6" s="22">
        <f>IFERROR(F6/E6-1,"")</f>
        <v/>
      </c>
      <c r="I6" s="22">
        <f>IFERROR(G6/F6-1,"")</f>
        <v/>
      </c>
      <c r="J6" s="23" t="inlineStr">
        <is>
          <t>S6/S5/S1 MD&amp;A 浮存金；S3</t>
        </is>
      </c>
    </row>
    <row r="7" ht="30" customHeight="1">
      <c r="A7" s="24" t="inlineStr">
        <is>
          <t>现金及现金等价物（保险及其他）</t>
        </is>
      </c>
      <c r="B7" s="21" t="n">
        <v>85319</v>
      </c>
      <c r="C7" s="21" t="n">
        <v>32260</v>
      </c>
      <c r="D7" s="21" t="n">
        <v>34268</v>
      </c>
      <c r="E7" s="21" t="n">
        <v>44333</v>
      </c>
      <c r="F7" s="21" t="n">
        <v>47719</v>
      </c>
      <c r="G7" s="21" t="n">
        <v>35096</v>
      </c>
      <c r="H7" s="22">
        <f>IFERROR(F7/E7-1,"")</f>
        <v/>
      </c>
      <c r="I7" s="22">
        <f>IFERROR(G7/F7-1,"")</f>
        <v/>
      </c>
      <c r="J7" s="23" t="inlineStr">
        <is>
          <t>S6/S5/S4/S1/S2 合并资产负债表</t>
        </is>
      </c>
    </row>
    <row r="8" ht="30" customHeight="1">
      <c r="A8" s="24" t="inlineStr">
        <is>
          <t>短期国债（保险及其他）</t>
        </is>
      </c>
      <c r="B8" s="21" t="n">
        <v>58535</v>
      </c>
      <c r="C8" s="21" t="n">
        <v>92774</v>
      </c>
      <c r="D8" s="21" t="n">
        <v>129619</v>
      </c>
      <c r="E8" s="21" t="n">
        <v>286472</v>
      </c>
      <c r="F8" s="21" t="n">
        <v>321434</v>
      </c>
      <c r="G8" s="21" t="n">
        <v>324905</v>
      </c>
      <c r="H8" s="22">
        <f>IFERROR(F8/E8-1,"")</f>
        <v/>
      </c>
      <c r="I8" s="22">
        <f>IFERROR(G8/F8-1,"")</f>
        <v/>
      </c>
      <c r="J8" s="23" t="inlineStr">
        <is>
          <t>同上</t>
        </is>
      </c>
    </row>
    <row r="9" ht="30" customHeight="1">
      <c r="A9" s="24" t="inlineStr">
        <is>
          <t>现金 + 短期国债（保险及其他）</t>
        </is>
      </c>
      <c r="B9" s="32">
        <f>B7+B8</f>
        <v/>
      </c>
      <c r="C9" s="32">
        <f>C7+C8</f>
        <v/>
      </c>
      <c r="D9" s="32">
        <f>D7+D8</f>
        <v/>
      </c>
      <c r="E9" s="32">
        <f>E7+E8</f>
        <v/>
      </c>
      <c r="F9" s="32">
        <f>F7+F8</f>
        <v/>
      </c>
      <c r="G9" s="32">
        <f>G7+G8</f>
        <v/>
      </c>
      <c r="H9" s="22">
        <f>IFERROR(F9/E9-1,"")</f>
        <v/>
      </c>
      <c r="I9" s="22">
        <f>IFERROR(G9/F9-1,"")</f>
        <v/>
      </c>
      <c r="J9" s="23" t="inlineStr">
        <is>
          <t>计算</t>
        </is>
      </c>
    </row>
    <row r="10" ht="30" customHeight="1">
      <c r="A10" s="24" t="inlineStr">
        <is>
          <t>BNSF / BHE 现金</t>
        </is>
      </c>
      <c r="B10" s="21" t="n">
        <v>2865</v>
      </c>
      <c r="C10" s="21" t="n">
        <v>3551</v>
      </c>
      <c r="D10" s="21" t="n">
        <v>3754</v>
      </c>
      <c r="E10" s="21" t="n">
        <v>3396</v>
      </c>
      <c r="F10" s="21" t="n">
        <v>4158</v>
      </c>
      <c r="G10" s="21" t="n">
        <v>5513</v>
      </c>
      <c r="H10" s="22">
        <f>IFERROR(F10/E10-1,"")</f>
        <v/>
      </c>
      <c r="I10" s="22">
        <f>IFERROR(G10/F10-1,"")</f>
        <v/>
      </c>
      <c r="J10" s="23" t="inlineStr">
        <is>
          <t>S6/S5/S4/S1/S2 合并资产负债表</t>
        </is>
      </c>
    </row>
    <row r="11" ht="30" customHeight="1">
      <c r="A11" s="24" t="inlineStr">
        <is>
          <t>现金 + 短期国债（合并）</t>
        </is>
      </c>
      <c r="B11" s="32">
        <f>B9+B10</f>
        <v/>
      </c>
      <c r="C11" s="32">
        <f>C9+C10</f>
        <v/>
      </c>
      <c r="D11" s="32">
        <f>D9+D10</f>
        <v/>
      </c>
      <c r="E11" s="32">
        <f>E9+E10</f>
        <v/>
      </c>
      <c r="F11" s="32">
        <f>F9+F10</f>
        <v/>
      </c>
      <c r="G11" s="32">
        <f>G9+G10</f>
        <v/>
      </c>
      <c r="H11" s="22">
        <f>IFERROR(F11/E11-1,"")</f>
        <v/>
      </c>
      <c r="I11" s="22">
        <f>IFERROR(G11/F11-1,"")</f>
        <v/>
      </c>
      <c r="J11" s="23" t="inlineStr">
        <is>
          <t>计算</t>
        </is>
      </c>
    </row>
    <row r="12" ht="30" customHeight="1">
      <c r="A12" s="24" t="inlineStr">
        <is>
          <t>股票投资组合（公允价值）</t>
        </is>
      </c>
      <c r="B12" s="21" t="n">
        <v>350719</v>
      </c>
      <c r="C12" s="21" t="n">
        <v>308793</v>
      </c>
      <c r="D12" s="21" t="n">
        <v>353842</v>
      </c>
      <c r="E12" s="21" t="n">
        <v>271588</v>
      </c>
      <c r="F12" s="21" t="n">
        <v>297778</v>
      </c>
      <c r="G12" s="21" t="n">
        <v>323779</v>
      </c>
      <c r="H12" s="22">
        <f>IFERROR(F12/E12-1,"")</f>
        <v/>
      </c>
      <c r="I12" s="22">
        <f>IFERROR(G12/F12-1,"")</f>
        <v/>
      </c>
      <c r="J12" s="23" t="inlineStr">
        <is>
          <t>S6/S5/S4/S1/S2 Note 4</t>
        </is>
      </c>
    </row>
    <row r="13" ht="30" customHeight="1">
      <c r="A13" s="24" t="inlineStr">
        <is>
          <t>归母股东权益</t>
        </is>
      </c>
      <c r="B13" s="21" t="n">
        <v>506199</v>
      </c>
      <c r="C13" s="21" t="n">
        <v>473424</v>
      </c>
      <c r="D13" s="21" t="n">
        <v>561273</v>
      </c>
      <c r="E13" s="21" t="n">
        <v>649368</v>
      </c>
      <c r="F13" s="21" t="n">
        <v>717419</v>
      </c>
      <c r="G13" s="21" t="n">
        <v>747910</v>
      </c>
      <c r="H13" s="22">
        <f>IFERROR(F13/E13-1,"")</f>
        <v/>
      </c>
      <c r="I13" s="22">
        <f>IFERROR(G13/F13-1,"")</f>
        <v/>
      </c>
      <c r="J13" s="23" t="inlineStr">
        <is>
          <t>S6/S5/S4/S1/S2 合并资产负债表</t>
        </is>
      </c>
    </row>
    <row r="14" ht="30" customHeight="1">
      <c r="A14" s="24" t="inlineStr">
        <is>
          <t>A 等价股数（股）</t>
        </is>
      </c>
      <c r="B14" s="33" t="n">
        <v>1477429</v>
      </c>
      <c r="C14" s="33" t="n">
        <v>1459733</v>
      </c>
      <c r="D14" s="33" t="n">
        <v>1441483</v>
      </c>
      <c r="E14" s="33" t="n">
        <v>1438223</v>
      </c>
      <c r="F14" s="33" t="n">
        <v>1438223</v>
      </c>
      <c r="G14" s="33" t="n">
        <v>1431693</v>
      </c>
      <c r="H14" s="22">
        <f>IFERROR(F14/E14-1,"")</f>
        <v/>
      </c>
      <c r="I14" s="22">
        <f>IFERROR(G14/F14-1,"")</f>
        <v/>
      </c>
      <c r="J14" s="23" t="inlineStr">
        <is>
          <t>S6/S5/S4/S1 Note 22；S3</t>
        </is>
      </c>
    </row>
    <row r="15" ht="30" customHeight="1">
      <c r="A15" s="24" t="inlineStr">
        <is>
          <t>每股账面价值（Class A 等价，美元）</t>
        </is>
      </c>
      <c r="B15" s="34">
        <f>IFERROR(B13*1000000/B14,"")</f>
        <v/>
      </c>
      <c r="C15" s="34">
        <f>IFERROR(C13*1000000/C14,"")</f>
        <v/>
      </c>
      <c r="D15" s="34">
        <f>IFERROR(D13*1000000/D14,"")</f>
        <v/>
      </c>
      <c r="E15" s="34">
        <f>IFERROR(E13*1000000/E14,"")</f>
        <v/>
      </c>
      <c r="F15" s="34">
        <f>IFERROR(F13*1000000/F14,"")</f>
        <v/>
      </c>
      <c r="G15" s="34">
        <f>IFERROR(G13*1000000/G14,"")</f>
        <v/>
      </c>
      <c r="H15" s="22">
        <f>IFERROR(F15/E15-1,"")</f>
        <v/>
      </c>
      <c r="I15" s="22">
        <f>IFERROR(G15/F15-1,"")</f>
        <v/>
      </c>
      <c r="J15" s="23" t="inlineStr">
        <is>
          <t>计算</t>
        </is>
      </c>
    </row>
    <row r="16" ht="30" customHeight="1">
      <c r="A16" s="24" t="inlineStr">
        <is>
          <t>回购金额（现金流量表：购买库存股）</t>
        </is>
      </c>
      <c r="B16" s="21" t="n">
        <v>27061</v>
      </c>
      <c r="C16" s="21" t="n">
        <v>7854</v>
      </c>
      <c r="D16" s="21" t="n">
        <v>9171</v>
      </c>
      <c r="E16" s="21" t="n">
        <v>2918</v>
      </c>
      <c r="F16" s="21" t="n">
        <v>0</v>
      </c>
      <c r="G16" s="21" t="n">
        <v>4444</v>
      </c>
      <c r="H16" s="22">
        <f>IFERROR(F16/E16-1,"")</f>
        <v/>
      </c>
      <c r="I16" s="22">
        <f>IFERROR(G16/F16-1,"")</f>
        <v/>
      </c>
      <c r="J16" s="23" t="inlineStr">
        <is>
          <t>S6/S5/S4/S1 现金流量表；S2 4,444；S3 约4,800</t>
        </is>
      </c>
    </row>
    <row r="17" ht="30" customHeight="1">
      <c r="A17" s="24" t="inlineStr">
        <is>
          <t>回购 / 归母净利润</t>
        </is>
      </c>
      <c r="B17" s="22">
        <f>IFERROR(B16/'分部利润'!B15,"")</f>
        <v/>
      </c>
      <c r="C17" s="22">
        <f>IFERROR(C16/'分部利润'!C15,"")</f>
        <v/>
      </c>
      <c r="D17" s="22">
        <f>IFERROR(D16/'分部利润'!D15,"")</f>
        <v/>
      </c>
      <c r="E17" s="22">
        <f>IFERROR(E16/'分部利润'!E15,"")</f>
        <v/>
      </c>
      <c r="F17" s="22">
        <f>IFERROR(F16/'分部利润'!F15,"")</f>
        <v/>
      </c>
      <c r="G17" s="22">
        <f>IFERROR(G16/'分部利润'!H15,"")</f>
        <v/>
      </c>
      <c r="H17" s="22">
        <f>IFERROR(F17/E17-1,"")</f>
        <v/>
      </c>
      <c r="I17" s="22">
        <f>IFERROR(G17/F17-1,"")</f>
        <v/>
      </c>
      <c r="J17" s="23" t="inlineStr">
        <is>
          <t>计算</t>
        </is>
      </c>
    </row>
    <row r="18" ht="30" customHeight="1">
      <c r="A18" s="24" t="inlineStr">
        <is>
          <t>保险浮存金 / 归母股东权益</t>
        </is>
      </c>
      <c r="B18" s="22">
        <f>IFERROR(B6/B13,"")</f>
        <v/>
      </c>
      <c r="C18" s="22">
        <f>IFERROR(C6/C13,"")</f>
        <v/>
      </c>
      <c r="D18" s="22">
        <f>IFERROR(D6/D13,"")</f>
        <v/>
      </c>
      <c r="E18" s="22">
        <f>IFERROR(E6/E13,"")</f>
        <v/>
      </c>
      <c r="F18" s="22">
        <f>IFERROR(F6/F13,"")</f>
        <v/>
      </c>
      <c r="G18" s="22">
        <f>IFERROR(G6/G13,"")</f>
        <v/>
      </c>
      <c r="H18" s="22">
        <f>IFERROR(F18/E18-1,"")</f>
        <v/>
      </c>
      <c r="I18" s="22">
        <f>IFERROR(G18/F18-1,"")</f>
        <v/>
      </c>
      <c r="J18" s="23" t="inlineStr">
        <is>
          <t>计算</t>
        </is>
      </c>
    </row>
    <row r="19" ht="30" customHeight="1">
      <c r="A19" s="24" t="inlineStr">
        <is>
          <t>股票投资组合 / 归母股东权益</t>
        </is>
      </c>
      <c r="B19" s="22">
        <f>IFERROR(B12/B13,"")</f>
        <v/>
      </c>
      <c r="C19" s="22">
        <f>IFERROR(C12/C13,"")</f>
        <v/>
      </c>
      <c r="D19" s="22">
        <f>IFERROR(D12/D13,"")</f>
        <v/>
      </c>
      <c r="E19" s="22">
        <f>IFERROR(E12/E13,"")</f>
        <v/>
      </c>
      <c r="F19" s="22">
        <f>IFERROR(F12/F13,"")</f>
        <v/>
      </c>
      <c r="G19" s="22">
        <f>IFERROR(G12/G13,"")</f>
        <v/>
      </c>
      <c r="H19" s="22">
        <f>IFERROR(F19/E19-1,"")</f>
        <v/>
      </c>
      <c r="I19" s="22">
        <f>IFERROR(G19/F19-1,"")</f>
        <v/>
      </c>
      <c r="J19" s="23" t="inlineStr">
        <is>
          <t>计算</t>
        </is>
      </c>
    </row>
    <row r="20" ht="30" customHeight="1">
      <c r="A20" s="24" t="inlineStr">
        <is>
          <t>现金 + 短期国债 / 股票投资组合</t>
        </is>
      </c>
      <c r="B20" s="22">
        <f>IFERROR(B9/B12,"")</f>
        <v/>
      </c>
      <c r="C20" s="22">
        <f>IFERROR(C9/C12,"")</f>
        <v/>
      </c>
      <c r="D20" s="22">
        <f>IFERROR(D9/D12,"")</f>
        <v/>
      </c>
      <c r="E20" s="22">
        <f>IFERROR(E9/E12,"")</f>
        <v/>
      </c>
      <c r="F20" s="22">
        <f>IFERROR(F9/F12,"")</f>
        <v/>
      </c>
      <c r="G20" s="22">
        <f>IFERROR(G9/G12,"")</f>
        <v/>
      </c>
      <c r="H20" s="22">
        <f>IFERROR(F20/E20-1,"")</f>
        <v/>
      </c>
      <c r="I20" s="22">
        <f>IFERROR(G20/F20-1,"")</f>
        <v/>
      </c>
      <c r="J20" s="23" t="inlineStr">
        <is>
          <t>计算：保险及其他口径</t>
        </is>
      </c>
    </row>
    <row r="22" ht="34" customHeight="1">
      <c r="A22" s="29" t="inlineStr">
        <is>
          <t>每股账面价值：归母权益（百万美元）×1,000,000 ÷ A 等价股数；Class B 为 Class A 的 1/1,500。2022 年归母权益采用 2023 年 10-K 的追溯重述数 473,424（较 2022 年 10-K 的 472,360 高 1,064）；2021 年仍为 2022 年 10-K 原披露数 506,199。</t>
        </is>
      </c>
    </row>
    <row r="23" ht="30" customHeight="1">
      <c r="A23" s="29" t="inlineStr">
        <is>
          <t>2026H1 回购：10-Q 现金流量表列示「购买库存股」4,444；业绩公告称二季度约 45 亿、上半年约 48 亿（含期末未结算）。本表统一采用现金流量表口径，另在「来源」与 README 注明差异。</t>
        </is>
      </c>
    </row>
    <row r="24" ht="30" customHeight="1">
      <c r="A24" s="35" t="inlineStr">
        <is>
          <t>2025 年回购为 0：2025 年 10-K 明确「There were no share repurchases in 2025」。这是 2021 年 271 亿美元回购之后的急刹车，也是 2026 年重启回购（上半年约 48 亿美元）的起点。</t>
        </is>
      </c>
    </row>
    <row r="25" ht="30" customHeight="1">
      <c r="A25" s="29" t="inlineStr">
        <is>
          <t>浮存金：10-K 仅以十亿美元整数披露（2025 年末约 1,760 亿）；2026 年业绩公告称 2026H1 为 1,775 亿、较 2025 年末增加约 11 亿，故 2025 年末按 1,764 亿列示，以保持前后可比。</t>
        </is>
      </c>
    </row>
  </sheetData>
  <mergeCells count="6">
    <mergeCell ref="A1:J1"/>
    <mergeCell ref="A23:J23"/>
    <mergeCell ref="A22:J22"/>
    <mergeCell ref="A24:J24"/>
    <mergeCell ref="A2:J2"/>
    <mergeCell ref="A25:J25"/>
  </mergeCells>
  <pageMargins left="0.3" right="0.3" top="0.3" bottom="0.3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H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4" customWidth="1" min="8" max="8"/>
  </cols>
  <sheetData>
    <row r="1" ht="34" customHeight="1">
      <c r="A1" s="16" t="inlineStr">
        <is>
          <t>03  股票组合：按披露的行业与核心持仓</t>
        </is>
      </c>
    </row>
    <row r="2" ht="30" customHeight="1">
      <c r="A2" s="17" t="inlineStr">
        <is>
          <t>单位：百万美元。行业分类按年报 Note 4「primary industry of the investee」；不含 Kraft Heinz、Occidental 等权益法投资。</t>
        </is>
      </c>
    </row>
    <row r="4" ht="30" customHeight="1">
      <c r="A4" s="18" t="inlineStr">
        <is>
          <t>行业类别</t>
        </is>
      </c>
      <c r="B4" s="18" t="inlineStr">
        <is>
          <t>2021</t>
        </is>
      </c>
      <c r="C4" s="18" t="inlineStr">
        <is>
          <t>2022</t>
        </is>
      </c>
      <c r="D4" s="18" t="inlineStr">
        <is>
          <t>2023</t>
        </is>
      </c>
      <c r="E4" s="18" t="inlineStr">
        <is>
          <t>2024</t>
        </is>
      </c>
      <c r="F4" s="18" t="inlineStr">
        <is>
          <t>2025</t>
        </is>
      </c>
      <c r="G4" s="18" t="inlineStr">
        <is>
          <t>2026H1</t>
        </is>
      </c>
      <c r="H4" s="18" t="inlineStr">
        <is>
          <t>出处</t>
        </is>
      </c>
    </row>
    <row r="5" ht="15" customHeight="1">
      <c r="A5" s="31" t="inlineStr"/>
      <c r="B5" s="31" t="inlineStr">
        <is>
          <t>S6</t>
        </is>
      </c>
      <c r="C5" s="31" t="inlineStr">
        <is>
          <t>S5</t>
        </is>
      </c>
      <c r="D5" s="31" t="inlineStr">
        <is>
          <t>S4</t>
        </is>
      </c>
      <c r="E5" s="31" t="inlineStr">
        <is>
          <t>S1</t>
        </is>
      </c>
      <c r="F5" s="31" t="inlineStr">
        <is>
          <t>S1</t>
        </is>
      </c>
      <c r="G5" s="31" t="inlineStr">
        <is>
          <t>S2</t>
        </is>
      </c>
      <c r="H5" s="31" t="inlineStr"/>
    </row>
    <row r="6" ht="24" customHeight="1">
      <c r="A6" s="24" t="inlineStr">
        <is>
          <t>银行、保险与金融</t>
        </is>
      </c>
      <c r="B6" s="21" t="n">
        <v>89058</v>
      </c>
      <c r="C6" s="21" t="n">
        <v>69556</v>
      </c>
      <c r="D6" s="21" t="n">
        <v>78312</v>
      </c>
      <c r="E6" s="21" t="n">
        <v>91643</v>
      </c>
      <c r="F6" s="21" t="n">
        <v>104129</v>
      </c>
      <c r="G6" s="21" t="n">
        <v>94477</v>
      </c>
      <c r="H6" s="23" t="inlineStr">
        <is>
          <t>S6/S5/S4/S1/S2 Note 4</t>
        </is>
      </c>
    </row>
    <row r="7" ht="24" customHeight="1">
      <c r="A7" s="24" t="inlineStr">
        <is>
          <t>消费品</t>
        </is>
      </c>
      <c r="B7" s="21" t="n">
        <v>191021</v>
      </c>
      <c r="C7" s="21" t="n">
        <v>152892</v>
      </c>
      <c r="D7" s="21" t="n">
        <v>201143</v>
      </c>
      <c r="E7" s="21" t="n">
        <v>104749</v>
      </c>
      <c r="F7" s="21" t="n">
        <v>94954</v>
      </c>
      <c r="G7" s="21" t="n">
        <v>100486</v>
      </c>
      <c r="H7" s="23" t="inlineStr">
        <is>
          <t>S6/S5/S4/S1/S2 Note 4</t>
        </is>
      </c>
    </row>
    <row r="8" ht="24" customHeight="1">
      <c r="A8" s="24" t="inlineStr">
        <is>
          <t>商业、工业及其他</t>
        </is>
      </c>
      <c r="B8" s="21" t="n">
        <v>70640</v>
      </c>
      <c r="C8" s="21" t="n">
        <v>86345</v>
      </c>
      <c r="D8" s="21" t="n">
        <v>74387</v>
      </c>
      <c r="E8" s="21" t="n">
        <v>75196</v>
      </c>
      <c r="F8" s="21" t="n">
        <v>98695</v>
      </c>
      <c r="G8" s="21" t="n">
        <v>128816</v>
      </c>
      <c r="H8" s="23" t="inlineStr">
        <is>
          <t>S6/S5/S4/S1/S2 Note 4</t>
        </is>
      </c>
    </row>
    <row r="9" ht="22" customHeight="1">
      <c r="A9" s="20" t="inlineStr">
        <is>
          <t>合计</t>
        </is>
      </c>
      <c r="B9" s="25">
        <f>SUM(B6:B8)</f>
        <v/>
      </c>
      <c r="C9" s="25">
        <f>SUM(C6:C8)</f>
        <v/>
      </c>
      <c r="D9" s="25">
        <f>SUM(D6:D8)</f>
        <v/>
      </c>
      <c r="E9" s="25">
        <f>SUM(E6:E8)</f>
        <v/>
      </c>
      <c r="F9" s="25">
        <f>SUM(F6:F8)</f>
        <v/>
      </c>
      <c r="G9" s="25">
        <f>SUM(G6:G8)</f>
        <v/>
      </c>
      <c r="H9" s="23" t="inlineStr">
        <is>
          <t>计算</t>
        </is>
      </c>
    </row>
    <row r="11" ht="22" customHeight="1">
      <c r="A11" s="30" t="inlineStr">
        <is>
          <t>行业占比（公式）</t>
        </is>
      </c>
    </row>
    <row r="12" ht="30" customHeight="1">
      <c r="A12" s="18" t="inlineStr">
        <is>
          <t>行业类别</t>
        </is>
      </c>
      <c r="B12" s="18" t="inlineStr">
        <is>
          <t>2021</t>
        </is>
      </c>
      <c r="C12" s="18" t="inlineStr">
        <is>
          <t>2022</t>
        </is>
      </c>
      <c r="D12" s="18" t="inlineStr">
        <is>
          <t>2023</t>
        </is>
      </c>
      <c r="E12" s="18" t="inlineStr">
        <is>
          <t>2024</t>
        </is>
      </c>
      <c r="F12" s="18" t="inlineStr">
        <is>
          <t>2025</t>
        </is>
      </c>
      <c r="G12" s="18" t="inlineStr">
        <is>
          <t>2026H1</t>
        </is>
      </c>
      <c r="H12" s="18" t="inlineStr"/>
    </row>
    <row r="13">
      <c r="A13" s="24" t="inlineStr">
        <is>
          <t>银行、保险与金融</t>
        </is>
      </c>
      <c r="B13" s="22">
        <f>IFERROR(B6/B$9,"")</f>
        <v/>
      </c>
      <c r="C13" s="22">
        <f>IFERROR(C6/C$9,"")</f>
        <v/>
      </c>
      <c r="D13" s="22">
        <f>IFERROR(D6/D$9,"")</f>
        <v/>
      </c>
      <c r="E13" s="22">
        <f>IFERROR(E6/E$9,"")</f>
        <v/>
      </c>
      <c r="F13" s="22">
        <f>IFERROR(F6/F$9,"")</f>
        <v/>
      </c>
      <c r="G13" s="22">
        <f>IFERROR(G6/G$9,"")</f>
        <v/>
      </c>
      <c r="H13" s="23" t="inlineStr">
        <is>
          <t>计算</t>
        </is>
      </c>
    </row>
    <row r="14">
      <c r="A14" s="24" t="inlineStr">
        <is>
          <t>消费品</t>
        </is>
      </c>
      <c r="B14" s="22">
        <f>IFERROR(B7/B$9,"")</f>
        <v/>
      </c>
      <c r="C14" s="22">
        <f>IFERROR(C7/C$9,"")</f>
        <v/>
      </c>
      <c r="D14" s="22">
        <f>IFERROR(D7/D$9,"")</f>
        <v/>
      </c>
      <c r="E14" s="22">
        <f>IFERROR(E7/E$9,"")</f>
        <v/>
      </c>
      <c r="F14" s="22">
        <f>IFERROR(F7/F$9,"")</f>
        <v/>
      </c>
      <c r="G14" s="22">
        <f>IFERROR(G7/G$9,"")</f>
        <v/>
      </c>
    </row>
    <row r="15">
      <c r="A15" s="24" t="inlineStr">
        <is>
          <t>商业、工业及其他</t>
        </is>
      </c>
      <c r="B15" s="22">
        <f>IFERROR(B8/B$9,"")</f>
        <v/>
      </c>
      <c r="C15" s="22">
        <f>IFERROR(C8/C$9,"")</f>
        <v/>
      </c>
      <c r="D15" s="22">
        <f>IFERROR(D8/D$9,"")</f>
        <v/>
      </c>
      <c r="E15" s="22">
        <f>IFERROR(E8/E$9,"")</f>
        <v/>
      </c>
      <c r="F15" s="22">
        <f>IFERROR(F8/F$9,"")</f>
        <v/>
      </c>
      <c r="G15" s="22">
        <f>IFERROR(G8/G$9,"")</f>
        <v/>
      </c>
    </row>
    <row r="16">
      <c r="A16" s="20" t="inlineStr">
        <is>
          <t>合计</t>
        </is>
      </c>
      <c r="B16" s="26">
        <f>SUM(B13:B15)</f>
        <v/>
      </c>
      <c r="C16" s="26">
        <f>SUM(C13:C15)</f>
        <v/>
      </c>
      <c r="D16" s="26">
        <f>SUM(D13:D15)</f>
        <v/>
      </c>
      <c r="E16" s="26">
        <f>SUM(E13:E15)</f>
        <v/>
      </c>
      <c r="F16" s="26">
        <f>SUM(F13:F15)</f>
        <v/>
      </c>
      <c r="G16" s="26">
        <f>SUM(G13:G15)</f>
        <v/>
      </c>
    </row>
    <row r="18">
      <c r="A18" s="24" t="inlineStr">
        <is>
          <t>五大持仓占股票组合比重</t>
        </is>
      </c>
      <c r="B18" s="36" t="n">
        <v>0.73</v>
      </c>
      <c r="C18" s="36" t="n">
        <v>0.75</v>
      </c>
      <c r="D18" s="36" t="n">
        <v>0.79</v>
      </c>
      <c r="E18" s="36" t="n">
        <v>0.71</v>
      </c>
      <c r="F18" s="36" t="n">
        <v>0.65</v>
      </c>
      <c r="G18" s="36" t="n">
        <v>0.66</v>
      </c>
      <c r="H18" s="23" t="inlineStr">
        <is>
          <t>S6/S5/S4/S1/S2 Note 4；2021 为 4 家</t>
        </is>
      </c>
    </row>
    <row r="19" ht="26" customHeight="1">
      <c r="A19" s="29" t="inlineStr">
        <is>
          <t>集中度在 2023 年见顶（79%），随后因 Apple 持仓下降、其他持仓上升而回落至 65%—66%。2026H1 前五大为 Alphabet、American Express、Apple、Bank of America、Coca-Cola（S2 Note 4）。</t>
        </is>
      </c>
    </row>
    <row r="21" ht="22" customHeight="1">
      <c r="A21" s="30" t="inlineStr">
        <is>
          <t>2025 年末核心持仓（股东信披露；出处 L2025 p.15）</t>
        </is>
      </c>
    </row>
    <row r="22" ht="30" customHeight="1">
      <c r="A22" s="18" t="inlineStr">
        <is>
          <t>公司</t>
        </is>
      </c>
      <c r="B22" s="18" t="inlineStr">
        <is>
          <t>伯克希尔持股比例</t>
        </is>
      </c>
      <c r="C22" s="18" t="inlineStr">
        <is>
          <t>成本</t>
        </is>
      </c>
      <c r="D22" s="18" t="inlineStr">
        <is>
          <t>2025年末市值</t>
        </is>
      </c>
      <c r="E22" s="18" t="inlineStr">
        <is>
          <t>2025年分红</t>
        </is>
      </c>
      <c r="F22" s="18" t="inlineStr">
        <is>
          <t>备注</t>
        </is>
      </c>
      <c r="G22" s="18" t="inlineStr"/>
      <c r="H22" s="18" t="inlineStr"/>
    </row>
    <row r="23" ht="30" customHeight="1">
      <c r="A23" s="24" t="inlineStr">
        <is>
          <t>Apple Inc.</t>
        </is>
      </c>
      <c r="B23" s="36" t="n">
        <v>0.016</v>
      </c>
      <c r="C23" s="21" t="n">
        <v>6255</v>
      </c>
      <c r="D23" s="21" t="n">
        <v>61962</v>
      </c>
      <c r="E23" s="21" t="n">
        <v>280</v>
      </c>
      <c r="F23" s="37" t="inlineStr">
        <is>
          <t>最大单一持仓；2025 年末市值 619.6 亿美元</t>
        </is>
      </c>
    </row>
    <row r="24" ht="30" customHeight="1">
      <c r="A24" s="24" t="inlineStr">
        <is>
          <t>American Express Company</t>
        </is>
      </c>
      <c r="B24" s="36" t="n">
        <v>0.221</v>
      </c>
      <c r="C24" s="21" t="n">
        <v>1287</v>
      </c>
      <c r="D24" s="21" t="n">
        <v>56088</v>
      </c>
      <c r="E24" s="21" t="n">
        <v>479</v>
      </c>
      <c r="F24" s="37" t="inlineStr">
        <is>
          <t>持股比例 22.1%</t>
        </is>
      </c>
    </row>
    <row r="25" ht="30" customHeight="1">
      <c r="A25" s="24" t="inlineStr">
        <is>
          <t>The Coca-Cola Company</t>
        </is>
      </c>
      <c r="B25" s="36" t="n">
        <v>0.093</v>
      </c>
      <c r="C25" s="21" t="n">
        <v>1299</v>
      </c>
      <c r="D25" s="21" t="n">
        <v>27964</v>
      </c>
      <c r="E25" s="21" t="n">
        <v>816</v>
      </c>
      <c r="F25" s="37" t="inlineStr">
        <is>
          <t>分红最高</t>
        </is>
      </c>
    </row>
    <row r="26" ht="30" customHeight="1">
      <c r="A26" s="24" t="inlineStr">
        <is>
          <t>Moody's Corporation</t>
        </is>
      </c>
      <c r="B26" s="36" t="n">
        <v>0.139</v>
      </c>
      <c r="C26" s="21" t="n">
        <v>248</v>
      </c>
      <c r="D26" s="21" t="n">
        <v>12603</v>
      </c>
      <c r="E26" s="21" t="n">
        <v>93</v>
      </c>
      <c r="F26" s="37" t="inlineStr">
        <is>
          <t>持股比例 13.9%</t>
        </is>
      </c>
    </row>
    <row r="27" ht="30" customHeight="1">
      <c r="A27" s="24" t="inlineStr">
        <is>
          <t>日本五家商社合计</t>
        </is>
      </c>
      <c r="B27" s="38" t="n"/>
      <c r="C27" s="21" t="n">
        <v>15382</v>
      </c>
      <c r="D27" s="21" t="n">
        <v>35368</v>
      </c>
      <c r="E27" s="21" t="n">
        <v>862</v>
      </c>
      <c r="F27" s="37" t="inlineStr">
        <is>
          <t>Mitsubishi 9,207；ITOCHU 8,886；Mitsui 8,785；Marubeni 4,468；Sumitomo 4,022</t>
        </is>
      </c>
    </row>
    <row r="28">
      <c r="A28" s="20" t="inlineStr">
        <is>
          <t>核心持仓合计</t>
        </is>
      </c>
      <c r="B28" s="39" t="n"/>
      <c r="C28" s="25">
        <f>SUM(C23:C27)</f>
        <v/>
      </c>
      <c r="D28" s="25">
        <f>SUM(D23:D27)</f>
        <v/>
      </c>
      <c r="E28" s="25">
        <f>SUM(E23:E27)</f>
        <v/>
      </c>
      <c r="F28" s="37" t="inlineStr">
        <is>
          <t>成本/市值/分红为五项合计</t>
        </is>
      </c>
    </row>
    <row r="29">
      <c r="A29" s="24" t="inlineStr">
        <is>
          <t>占 2025 年末股票组合</t>
        </is>
      </c>
      <c r="B29" s="26">
        <f>IFERROR(D28/'股票组合'!F9,"")</f>
        <v/>
      </c>
      <c r="C29" s="40" t="n"/>
    </row>
    <row r="30" ht="28" customHeight="1">
      <c r="A30" s="29" t="inlineStr">
        <is>
          <t>核心持仓合计 1,940 亿美元，约占 2025 年末 2,977.8 亿美元股票组合的 65.1%。该表只列股东信点名的核心持仓，不等于全部持仓；五大持仓的完整名单以 10-K Note 4 为准。</t>
        </is>
      </c>
    </row>
    <row r="31" ht="30" customHeight="1">
      <c r="A31" s="29" t="inlineStr">
        <is>
          <t>2025 年末五大持仓（10-K）：American Express、Apple、Bank of America、Coca-Cola、Chevron，合计占 65%。2026H1 五大持仓变为 Alphabet、American Express、Apple、Bank of America、Coca-Cola，合计 66%。</t>
        </is>
      </c>
    </row>
  </sheetData>
  <mergeCells count="14">
    <mergeCell ref="F23:H23"/>
    <mergeCell ref="A21:H21"/>
    <mergeCell ref="A30:H30"/>
    <mergeCell ref="F28:H28"/>
    <mergeCell ref="B29:C29"/>
    <mergeCell ref="A2:H2"/>
    <mergeCell ref="F27:H27"/>
    <mergeCell ref="F26:H26"/>
    <mergeCell ref="A19:H19"/>
    <mergeCell ref="A11:H11"/>
    <mergeCell ref="A1:H1"/>
    <mergeCell ref="A31:H31"/>
    <mergeCell ref="F24:H24"/>
    <mergeCell ref="F25:H25"/>
  </mergeCells>
  <pageMargins left="0.3" right="0.3" top="0.3" bottom="0.3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B8B8B8"/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16" t="inlineStr">
        <is>
          <t>图表数据（全部为公式，供「变化」页图表引用）</t>
        </is>
      </c>
    </row>
    <row r="2" ht="30" customHeight="1">
      <c r="A2" s="17" t="inlineStr">
        <is>
          <t>单位：十亿美元（除注明外）。请勿手填。</t>
        </is>
      </c>
    </row>
    <row r="3" ht="30" customHeight="1">
      <c r="A3" s="18" t="inlineStr">
        <is>
          <t>年份</t>
        </is>
      </c>
      <c r="B3" s="18" t="inlineStr">
        <is>
          <t>保险承保</t>
        </is>
      </c>
      <c r="C3" s="18" t="inlineStr">
        <is>
          <t>保险投资收益</t>
        </is>
      </c>
      <c r="D3" s="18" t="inlineStr">
        <is>
          <t>铁路（BNSF）</t>
        </is>
      </c>
      <c r="E3" s="18" t="inlineStr">
        <is>
          <t>能源（BHE）</t>
        </is>
      </c>
      <c r="F3" s="18" t="inlineStr">
        <is>
          <t>制造、服务与零售</t>
        </is>
      </c>
      <c r="G3" s="18" t="inlineStr">
        <is>
          <t>其他</t>
        </is>
      </c>
    </row>
    <row r="4">
      <c r="A4" s="41" t="inlineStr">
        <is>
          <t>2021</t>
        </is>
      </c>
      <c r="B4" s="42">
        <f>'分部利润'!B6/1000</f>
        <v/>
      </c>
      <c r="C4" s="42">
        <f>'分部利润'!B7/1000</f>
        <v/>
      </c>
      <c r="D4" s="42">
        <f>'分部利润'!B8/1000</f>
        <v/>
      </c>
      <c r="E4" s="42">
        <f>'分部利润'!B9/1000</f>
        <v/>
      </c>
      <c r="F4" s="42">
        <f>'分部利润'!B10/1000</f>
        <v/>
      </c>
      <c r="G4" s="42">
        <f>'分部利润'!B11/1000</f>
        <v/>
      </c>
    </row>
    <row r="5">
      <c r="A5" s="41" t="inlineStr">
        <is>
          <t>2022</t>
        </is>
      </c>
      <c r="B5" s="42">
        <f>'分部利润'!C6/1000</f>
        <v/>
      </c>
      <c r="C5" s="42">
        <f>'分部利润'!C7/1000</f>
        <v/>
      </c>
      <c r="D5" s="42">
        <f>'分部利润'!C8/1000</f>
        <v/>
      </c>
      <c r="E5" s="42">
        <f>'分部利润'!C9/1000</f>
        <v/>
      </c>
      <c r="F5" s="42">
        <f>'分部利润'!C10/1000</f>
        <v/>
      </c>
      <c r="G5" s="42">
        <f>'分部利润'!C11/1000</f>
        <v/>
      </c>
    </row>
    <row r="6">
      <c r="A6" s="41" t="inlineStr">
        <is>
          <t>2023</t>
        </is>
      </c>
      <c r="B6" s="42">
        <f>'分部利润'!D6/1000</f>
        <v/>
      </c>
      <c r="C6" s="42">
        <f>'分部利润'!D7/1000</f>
        <v/>
      </c>
      <c r="D6" s="42">
        <f>'分部利润'!D8/1000</f>
        <v/>
      </c>
      <c r="E6" s="42">
        <f>'分部利润'!D9/1000</f>
        <v/>
      </c>
      <c r="F6" s="42">
        <f>'分部利润'!D10/1000</f>
        <v/>
      </c>
      <c r="G6" s="42">
        <f>'分部利润'!D11/1000</f>
        <v/>
      </c>
    </row>
    <row r="7">
      <c r="A7" s="41" t="inlineStr">
        <is>
          <t>2024</t>
        </is>
      </c>
      <c r="B7" s="42">
        <f>'分部利润'!E6/1000</f>
        <v/>
      </c>
      <c r="C7" s="42">
        <f>'分部利润'!E7/1000</f>
        <v/>
      </c>
      <c r="D7" s="42">
        <f>'分部利润'!E8/1000</f>
        <v/>
      </c>
      <c r="E7" s="42">
        <f>'分部利润'!E9/1000</f>
        <v/>
      </c>
      <c r="F7" s="42">
        <f>'分部利润'!E10/1000</f>
        <v/>
      </c>
      <c r="G7" s="42">
        <f>'分部利润'!E11/1000</f>
        <v/>
      </c>
    </row>
    <row r="8">
      <c r="A8" s="41" t="inlineStr">
        <is>
          <t>2025</t>
        </is>
      </c>
      <c r="B8" s="42">
        <f>'分部利润'!F6/1000</f>
        <v/>
      </c>
      <c r="C8" s="42">
        <f>'分部利润'!F7/1000</f>
        <v/>
      </c>
      <c r="D8" s="42">
        <f>'分部利润'!F8/1000</f>
        <v/>
      </c>
      <c r="E8" s="42">
        <f>'分部利润'!F9/1000</f>
        <v/>
      </c>
      <c r="F8" s="42">
        <f>'分部利润'!F10/1000</f>
        <v/>
      </c>
      <c r="G8" s="42">
        <f>'分部利润'!F11/1000</f>
        <v/>
      </c>
    </row>
    <row r="9">
      <c r="A9" s="41" t="inlineStr">
        <is>
          <t>2026H1</t>
        </is>
      </c>
      <c r="B9" s="42">
        <f>'分部利润'!H6/1000</f>
        <v/>
      </c>
      <c r="C9" s="42">
        <f>'分部利润'!H7/1000</f>
        <v/>
      </c>
      <c r="D9" s="42">
        <f>'分部利润'!H8/1000</f>
        <v/>
      </c>
      <c r="E9" s="42">
        <f>'分部利润'!H9/1000</f>
        <v/>
      </c>
      <c r="F9" s="42">
        <f>'分部利润'!H10/1000</f>
        <v/>
      </c>
      <c r="G9" s="42">
        <f>'分部利润'!H11/1000</f>
        <v/>
      </c>
    </row>
    <row r="13" ht="30" customHeight="1">
      <c r="A13" s="18" t="inlineStr">
        <is>
          <t>年份</t>
        </is>
      </c>
      <c r="B13" s="18" t="inlineStr">
        <is>
          <t>保险浮存金</t>
        </is>
      </c>
      <c r="C13" s="18" t="inlineStr">
        <is>
          <t>现金+短债（合并）</t>
        </is>
      </c>
      <c r="D13" s="18" t="inlineStr">
        <is>
          <t>股票投资组合</t>
        </is>
      </c>
      <c r="E13" s="18" t="inlineStr"/>
      <c r="F13" s="18" t="inlineStr"/>
      <c r="G13" s="18" t="inlineStr"/>
    </row>
    <row r="14">
      <c r="A14" s="41" t="inlineStr">
        <is>
          <t>2021</t>
        </is>
      </c>
      <c r="B14" s="42">
        <f>'保险与资产'!B6/1000</f>
        <v/>
      </c>
      <c r="C14" s="42">
        <f>'保险与资产'!B11/1000</f>
        <v/>
      </c>
      <c r="D14" s="42">
        <f>'保险与资产'!B12/1000</f>
        <v/>
      </c>
    </row>
    <row r="15">
      <c r="A15" s="41" t="inlineStr">
        <is>
          <t>2022</t>
        </is>
      </c>
      <c r="B15" s="42">
        <f>'保险与资产'!C6/1000</f>
        <v/>
      </c>
      <c r="C15" s="42">
        <f>'保险与资产'!C11/1000</f>
        <v/>
      </c>
      <c r="D15" s="42">
        <f>'保险与资产'!C12/1000</f>
        <v/>
      </c>
    </row>
    <row r="16">
      <c r="A16" s="41" t="inlineStr">
        <is>
          <t>2023</t>
        </is>
      </c>
      <c r="B16" s="42">
        <f>'保险与资产'!D6/1000</f>
        <v/>
      </c>
      <c r="C16" s="42">
        <f>'保险与资产'!D11/1000</f>
        <v/>
      </c>
      <c r="D16" s="42">
        <f>'保险与资产'!D12/1000</f>
        <v/>
      </c>
    </row>
    <row r="17">
      <c r="A17" s="41" t="inlineStr">
        <is>
          <t>2024</t>
        </is>
      </c>
      <c r="B17" s="42">
        <f>'保险与资产'!E6/1000</f>
        <v/>
      </c>
      <c r="C17" s="42">
        <f>'保险与资产'!E11/1000</f>
        <v/>
      </c>
      <c r="D17" s="42">
        <f>'保险与资产'!E12/1000</f>
        <v/>
      </c>
    </row>
    <row r="18">
      <c r="A18" s="41" t="inlineStr">
        <is>
          <t>2025</t>
        </is>
      </c>
      <c r="B18" s="42">
        <f>'保险与资产'!F6/1000</f>
        <v/>
      </c>
      <c r="C18" s="42">
        <f>'保险与资产'!F11/1000</f>
        <v/>
      </c>
      <c r="D18" s="42">
        <f>'保险与资产'!F12/1000</f>
        <v/>
      </c>
    </row>
    <row r="19">
      <c r="A19" s="41" t="inlineStr">
        <is>
          <t>2026H1</t>
        </is>
      </c>
      <c r="B19" s="42">
        <f>'保险与资产'!G6/1000</f>
        <v/>
      </c>
      <c r="C19" s="42">
        <f>'保险与资产'!G11/1000</f>
        <v/>
      </c>
      <c r="D19" s="42">
        <f>'保险与资产'!G12/1000</f>
        <v/>
      </c>
    </row>
    <row r="22" ht="30" customHeight="1">
      <c r="A22" s="18" t="inlineStr">
        <is>
          <t>板块</t>
        </is>
      </c>
      <c r="B22" s="18" t="inlineStr">
        <is>
          <t>2025年同比</t>
        </is>
      </c>
      <c r="C22" s="18" t="inlineStr"/>
      <c r="D22" s="18" t="inlineStr"/>
      <c r="E22" s="18" t="inlineStr"/>
      <c r="F22" s="18" t="inlineStr"/>
      <c r="G22" s="18" t="inlineStr"/>
    </row>
    <row r="23">
      <c r="A23" s="24" t="inlineStr">
        <is>
          <t>承保</t>
        </is>
      </c>
      <c r="B23" s="22">
        <f>'变化'!E22</f>
        <v/>
      </c>
    </row>
    <row r="24">
      <c r="A24" s="24" t="inlineStr">
        <is>
          <t>投资收益</t>
        </is>
      </c>
      <c r="B24" s="22">
        <f>'变化'!E23</f>
        <v/>
      </c>
    </row>
    <row r="25">
      <c r="A25" s="24" t="inlineStr">
        <is>
          <t>BNSF</t>
        </is>
      </c>
      <c r="B25" s="22">
        <f>'变化'!E24</f>
        <v/>
      </c>
    </row>
    <row r="26">
      <c r="A26" s="24" t="inlineStr">
        <is>
          <t>BHE</t>
        </is>
      </c>
      <c r="B26" s="22">
        <f>'变化'!E25</f>
        <v/>
      </c>
    </row>
    <row r="27">
      <c r="A27" s="24" t="inlineStr">
        <is>
          <t>制造/零售</t>
        </is>
      </c>
      <c r="B27" s="22">
        <f>'变化'!E26</f>
        <v/>
      </c>
    </row>
    <row r="28">
      <c r="A28" s="24" t="inlineStr">
        <is>
          <t>其他</t>
        </is>
      </c>
      <c r="B28" s="22">
        <f>'变化'!E27</f>
        <v/>
      </c>
    </row>
  </sheetData>
  <mergeCells count="2">
    <mergeCell ref="A2:G2"/>
    <mergeCell ref="A1:G1"/>
  </mergeCells>
  <pageMargins left="0.3" right="0.3" top="0.3" bottom="0.3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T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0.5" customWidth="1" min="4" max="4"/>
    <col width="11" customWidth="1" min="5" max="5"/>
    <col width="11" customWidth="1" min="6" max="6"/>
    <col width="10.5" customWidth="1" min="7" max="7"/>
    <col width="1.2" customWidth="1" min="8" max="8"/>
    <col width="11" customWidth="1" min="9" max="9"/>
    <col width="11" customWidth="1" min="10" max="10"/>
    <col width="11" customWidth="1" min="11" max="11"/>
    <col width="11" customWidth="1" min="12" max="12"/>
    <col width="1.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4" customHeight="1">
      <c r="A1" s="16" t="inlineStr">
        <is>
          <t>04  变化：一页看懂五年半</t>
        </is>
      </c>
    </row>
    <row r="2" ht="30" customHeight="1">
      <c r="A2" s="17" t="inlineStr">
        <is>
          <t>左表为公式联动；右侧四图。原始出处见各数据页行末与「来源」页；2026 年情景与可修改假设见「情景」页。单位：百万美元（图：十亿美元）。</t>
        </is>
      </c>
    </row>
    <row r="4" ht="22" customHeight="1">
      <c r="A4" s="30" t="inlineStr">
        <is>
          <t>A. 关键指标（公式）</t>
        </is>
      </c>
    </row>
    <row r="5" ht="30" customHeight="1">
      <c r="A5" s="18" t="inlineStr">
        <is>
          <t>指标</t>
        </is>
      </c>
      <c r="B5" s="18" t="inlineStr">
        <is>
          <t>2024</t>
        </is>
      </c>
      <c r="C5" s="18" t="inlineStr">
        <is>
          <t>2025</t>
        </is>
      </c>
      <c r="D5" s="18" t="inlineStr">
        <is>
          <t>2025同比</t>
        </is>
      </c>
      <c r="E5" s="18" t="inlineStr">
        <is>
          <t>2026H1</t>
        </is>
      </c>
      <c r="F5" s="18" t="inlineStr">
        <is>
          <t>2025H1 /
2025末</t>
        </is>
      </c>
      <c r="G5" s="18" t="inlineStr">
        <is>
          <t>2026H1
变化</t>
        </is>
      </c>
    </row>
    <row r="6">
      <c r="A6" s="24" t="inlineStr">
        <is>
          <t>营运利润</t>
        </is>
      </c>
      <c r="B6" s="32">
        <f>'分部利润'!E12</f>
        <v/>
      </c>
      <c r="C6" s="32">
        <f>'分部利润'!F12</f>
        <v/>
      </c>
      <c r="D6" s="22">
        <f>'分部利润'!J12</f>
        <v/>
      </c>
      <c r="E6" s="32">
        <f>'分部利润'!H12</f>
        <v/>
      </c>
      <c r="F6" s="32">
        <f>'分部利润'!G12</f>
        <v/>
      </c>
      <c r="G6" s="22">
        <f>'分部利润'!K12</f>
        <v/>
      </c>
    </row>
    <row r="7">
      <c r="A7" s="24" t="inlineStr">
        <is>
          <t>保险承保</t>
        </is>
      </c>
      <c r="B7" s="32">
        <f>'分部利润'!E6</f>
        <v/>
      </c>
      <c r="C7" s="32">
        <f>'分部利润'!F6</f>
        <v/>
      </c>
      <c r="D7" s="22">
        <f>'分部利润'!J6</f>
        <v/>
      </c>
      <c r="E7" s="32">
        <f>'分部利润'!H6</f>
        <v/>
      </c>
      <c r="F7" s="32">
        <f>'分部利润'!G6</f>
        <v/>
      </c>
      <c r="G7" s="22">
        <f>'分部利润'!K6</f>
        <v/>
      </c>
    </row>
    <row r="8">
      <c r="A8" s="24" t="inlineStr">
        <is>
          <t>保险投资收益</t>
        </is>
      </c>
      <c r="B8" s="32">
        <f>'分部利润'!E7</f>
        <v/>
      </c>
      <c r="C8" s="32">
        <f>'分部利润'!F7</f>
        <v/>
      </c>
      <c r="D8" s="22">
        <f>'分部利润'!J7</f>
        <v/>
      </c>
      <c r="E8" s="32">
        <f>'分部利润'!H7</f>
        <v/>
      </c>
      <c r="F8" s="32">
        <f>'分部利润'!G7</f>
        <v/>
      </c>
      <c r="G8" s="22">
        <f>'分部利润'!K7</f>
        <v/>
      </c>
    </row>
    <row r="9">
      <c r="A9" s="24" t="inlineStr">
        <is>
          <t>铁路（BNSF）</t>
        </is>
      </c>
      <c r="B9" s="32">
        <f>'分部利润'!E8</f>
        <v/>
      </c>
      <c r="C9" s="32">
        <f>'分部利润'!F8</f>
        <v/>
      </c>
      <c r="D9" s="22">
        <f>'分部利润'!J8</f>
        <v/>
      </c>
      <c r="E9" s="32">
        <f>'分部利润'!H8</f>
        <v/>
      </c>
      <c r="F9" s="32">
        <f>'分部利润'!G8</f>
        <v/>
      </c>
      <c r="G9" s="22">
        <f>'分部利润'!K8</f>
        <v/>
      </c>
    </row>
    <row r="10">
      <c r="A10" s="24" t="inlineStr">
        <is>
          <t>能源（BHE）</t>
        </is>
      </c>
      <c r="B10" s="32">
        <f>'分部利润'!E9</f>
        <v/>
      </c>
      <c r="C10" s="32">
        <f>'分部利润'!F9</f>
        <v/>
      </c>
      <c r="D10" s="22">
        <f>'分部利润'!J9</f>
        <v/>
      </c>
      <c r="E10" s="32">
        <f>'分部利润'!H9</f>
        <v/>
      </c>
      <c r="F10" s="32">
        <f>'分部利润'!G9</f>
        <v/>
      </c>
      <c r="G10" s="22">
        <f>'分部利润'!K9</f>
        <v/>
      </c>
    </row>
    <row r="11">
      <c r="A11" s="24" t="inlineStr">
        <is>
          <t>制造、服务与零售</t>
        </is>
      </c>
      <c r="B11" s="32">
        <f>'分部利润'!E10</f>
        <v/>
      </c>
      <c r="C11" s="32">
        <f>'分部利润'!F10</f>
        <v/>
      </c>
      <c r="D11" s="22">
        <f>'分部利润'!J10</f>
        <v/>
      </c>
      <c r="E11" s="32">
        <f>'分部利润'!H10</f>
        <v/>
      </c>
      <c r="F11" s="32">
        <f>'分部利润'!G10</f>
        <v/>
      </c>
      <c r="G11" s="22">
        <f>'分部利润'!K10</f>
        <v/>
      </c>
    </row>
    <row r="13">
      <c r="A13" s="24" t="inlineStr">
        <is>
          <t>保险浮存金</t>
        </is>
      </c>
      <c r="B13" s="32">
        <f>'保险与资产'!E6</f>
        <v/>
      </c>
      <c r="C13" s="32">
        <f>'保险与资产'!F6</f>
        <v/>
      </c>
      <c r="D13" s="22">
        <f>'保险与资产'!H6</f>
        <v/>
      </c>
      <c r="E13" s="32">
        <f>'保险与资产'!G6</f>
        <v/>
      </c>
      <c r="F13" s="43" t="inlineStr">
        <is>
          <t>—</t>
        </is>
      </c>
      <c r="G13" s="22">
        <f>'保险与资产'!I6</f>
        <v/>
      </c>
    </row>
    <row r="14">
      <c r="A14" s="24" t="inlineStr">
        <is>
          <t>现金+短债（合并）</t>
        </is>
      </c>
      <c r="B14" s="32">
        <f>'保险与资产'!E11</f>
        <v/>
      </c>
      <c r="C14" s="32">
        <f>'保险与资产'!F11</f>
        <v/>
      </c>
      <c r="D14" s="22">
        <f>'保险与资产'!H11</f>
        <v/>
      </c>
      <c r="E14" s="32">
        <f>'保险与资产'!G11</f>
        <v/>
      </c>
      <c r="F14" s="43" t="inlineStr">
        <is>
          <t>—</t>
        </is>
      </c>
      <c r="G14" s="22">
        <f>'保险与资产'!I11</f>
        <v/>
      </c>
    </row>
    <row r="15">
      <c r="A15" s="24" t="inlineStr">
        <is>
          <t>股票投资组合</t>
        </is>
      </c>
      <c r="B15" s="32">
        <f>'保险与资产'!E12</f>
        <v/>
      </c>
      <c r="C15" s="32">
        <f>'保险与资产'!F12</f>
        <v/>
      </c>
      <c r="D15" s="22">
        <f>'保险与资产'!H12</f>
        <v/>
      </c>
      <c r="E15" s="32">
        <f>'保险与资产'!G12</f>
        <v/>
      </c>
      <c r="F15" s="43" t="inlineStr">
        <is>
          <t>—</t>
        </is>
      </c>
      <c r="G15" s="22">
        <f>'保险与资产'!I12</f>
        <v/>
      </c>
    </row>
    <row r="16">
      <c r="A16" s="24" t="inlineStr">
        <is>
          <t>归母股东权益</t>
        </is>
      </c>
      <c r="B16" s="32">
        <f>'保险与资产'!E13</f>
        <v/>
      </c>
      <c r="C16" s="32">
        <f>'保险与资产'!F13</f>
        <v/>
      </c>
      <c r="D16" s="22">
        <f>'保险与资产'!H13</f>
        <v/>
      </c>
      <c r="E16" s="32">
        <f>'保险与资产'!G13</f>
        <v/>
      </c>
      <c r="F16" s="43" t="inlineStr">
        <is>
          <t>—</t>
        </is>
      </c>
      <c r="G16" s="22">
        <f>'保险与资产'!I13</f>
        <v/>
      </c>
    </row>
    <row r="17">
      <c r="A17" s="24" t="inlineStr">
        <is>
          <t>每股账面价值（美元）</t>
        </is>
      </c>
      <c r="B17" s="34">
        <f>'保险与资产'!E15</f>
        <v/>
      </c>
      <c r="C17" s="34">
        <f>'保险与资产'!F15</f>
        <v/>
      </c>
      <c r="D17" s="22">
        <f>'保险与资产'!H15</f>
        <v/>
      </c>
      <c r="E17" s="34">
        <f>'保险与资产'!G15</f>
        <v/>
      </c>
      <c r="F17" s="43" t="inlineStr">
        <is>
          <t>—</t>
        </is>
      </c>
      <c r="G17" s="22">
        <f>'保险与资产'!I15</f>
        <v/>
      </c>
    </row>
    <row r="18">
      <c r="A18" s="24" t="inlineStr">
        <is>
          <t>回购金额</t>
        </is>
      </c>
      <c r="B18" s="32">
        <f>'保险与资产'!E16</f>
        <v/>
      </c>
      <c r="C18" s="32">
        <f>'保险与资产'!F16</f>
        <v/>
      </c>
      <c r="D18" s="22">
        <f>'保险与资产'!H16</f>
        <v/>
      </c>
      <c r="E18" s="32">
        <f>'保险与资产'!G16</f>
        <v/>
      </c>
      <c r="F18" s="43" t="inlineStr">
        <is>
          <t>—</t>
        </is>
      </c>
      <c r="G18" s="43" t="inlineStr">
        <is>
          <t>n.m.</t>
        </is>
      </c>
    </row>
    <row r="20" ht="22" customHeight="1">
      <c r="A20" s="30" t="inlineStr">
        <is>
          <t>B. 各板块营运利润同比（公式）</t>
        </is>
      </c>
    </row>
    <row r="21" ht="30" customHeight="1">
      <c r="A21" s="18" t="inlineStr">
        <is>
          <t>板块</t>
        </is>
      </c>
      <c r="B21" s="18" t="inlineStr">
        <is>
          <t>2022 vs 2021</t>
        </is>
      </c>
      <c r="C21" s="18" t="inlineStr">
        <is>
          <t>2023 vs 2022</t>
        </is>
      </c>
      <c r="D21" s="18" t="inlineStr">
        <is>
          <t>2024 vs 2023</t>
        </is>
      </c>
      <c r="E21" s="18" t="inlineStr">
        <is>
          <t>2025 vs 2024</t>
        </is>
      </c>
      <c r="F21" s="18" t="inlineStr">
        <is>
          <t>2026H1 vs 2025H1</t>
        </is>
      </c>
    </row>
    <row r="22">
      <c r="A22" s="24" t="inlineStr">
        <is>
          <t>保险承保</t>
        </is>
      </c>
      <c r="B22" s="22">
        <f>IF(OR('分部利润'!B6&lt;=0,'分部利润'!C6&lt;=0),"n.m.",'分部利润'!C6/'分部利润'!B6-1)</f>
        <v/>
      </c>
      <c r="C22" s="22">
        <f>IF(OR('分部利润'!C6&lt;=0,'分部利润'!D6&lt;=0),"n.m.",'分部利润'!D6/'分部利润'!C6-1)</f>
        <v/>
      </c>
      <c r="D22" s="22">
        <f>IF(OR('分部利润'!D6&lt;=0,'分部利润'!E6&lt;=0),"n.m.",'分部利润'!E6/'分部利润'!D6-1)</f>
        <v/>
      </c>
      <c r="E22" s="22">
        <f>IF(OR('分部利润'!E6&lt;=0,'分部利润'!F6&lt;=0),"n.m.",'分部利润'!F6/'分部利润'!E6-1)</f>
        <v/>
      </c>
      <c r="F22" s="22">
        <f>IF(OR('分部利润'!G6&lt;=0,'分部利润'!H6&lt;=0),"n.m.",'分部利润'!H6/'分部利润'!G6-1)</f>
        <v/>
      </c>
    </row>
    <row r="23">
      <c r="A23" s="24" t="inlineStr">
        <is>
          <t>保险投资收益</t>
        </is>
      </c>
      <c r="B23" s="22">
        <f>IF(OR('分部利润'!B7&lt;=0,'分部利润'!C7&lt;=0),"n.m.",'分部利润'!C7/'分部利润'!B7-1)</f>
        <v/>
      </c>
      <c r="C23" s="22">
        <f>IF(OR('分部利润'!C7&lt;=0,'分部利润'!D7&lt;=0),"n.m.",'分部利润'!D7/'分部利润'!C7-1)</f>
        <v/>
      </c>
      <c r="D23" s="22">
        <f>IF(OR('分部利润'!D7&lt;=0,'分部利润'!E7&lt;=0),"n.m.",'分部利润'!E7/'分部利润'!D7-1)</f>
        <v/>
      </c>
      <c r="E23" s="22">
        <f>IF(OR('分部利润'!E7&lt;=0,'分部利润'!F7&lt;=0),"n.m.",'分部利润'!F7/'分部利润'!E7-1)</f>
        <v/>
      </c>
      <c r="F23" s="22">
        <f>IF(OR('分部利润'!G7&lt;=0,'分部利润'!H7&lt;=0),"n.m.",'分部利润'!H7/'分部利润'!G7-1)</f>
        <v/>
      </c>
    </row>
    <row r="24">
      <c r="A24" s="24" t="inlineStr">
        <is>
          <t>铁路（BNSF）</t>
        </is>
      </c>
      <c r="B24" s="22">
        <f>IF(OR('分部利润'!B8&lt;=0,'分部利润'!C8&lt;=0),"n.m.",'分部利润'!C8/'分部利润'!B8-1)</f>
        <v/>
      </c>
      <c r="C24" s="22">
        <f>IF(OR('分部利润'!C8&lt;=0,'分部利润'!D8&lt;=0),"n.m.",'分部利润'!D8/'分部利润'!C8-1)</f>
        <v/>
      </c>
      <c r="D24" s="22">
        <f>IF(OR('分部利润'!D8&lt;=0,'分部利润'!E8&lt;=0),"n.m.",'分部利润'!E8/'分部利润'!D8-1)</f>
        <v/>
      </c>
      <c r="E24" s="22">
        <f>IF(OR('分部利润'!E8&lt;=0,'分部利润'!F8&lt;=0),"n.m.",'分部利润'!F8/'分部利润'!E8-1)</f>
        <v/>
      </c>
      <c r="F24" s="22">
        <f>IF(OR('分部利润'!G8&lt;=0,'分部利润'!H8&lt;=0),"n.m.",'分部利润'!H8/'分部利润'!G8-1)</f>
        <v/>
      </c>
    </row>
    <row r="25">
      <c r="A25" s="24" t="inlineStr">
        <is>
          <t>能源（BHE）</t>
        </is>
      </c>
      <c r="B25" s="22">
        <f>IF(OR('分部利润'!B9&lt;=0,'分部利润'!C9&lt;=0),"n.m.",'分部利润'!C9/'分部利润'!B9-1)</f>
        <v/>
      </c>
      <c r="C25" s="22">
        <f>IF(OR('分部利润'!C9&lt;=0,'分部利润'!D9&lt;=0),"n.m.",'分部利润'!D9/'分部利润'!C9-1)</f>
        <v/>
      </c>
      <c r="D25" s="22">
        <f>IF(OR('分部利润'!D9&lt;=0,'分部利润'!E9&lt;=0),"n.m.",'分部利润'!E9/'分部利润'!D9-1)</f>
        <v/>
      </c>
      <c r="E25" s="22">
        <f>IF(OR('分部利润'!E9&lt;=0,'分部利润'!F9&lt;=0),"n.m.",'分部利润'!F9/'分部利润'!E9-1)</f>
        <v/>
      </c>
      <c r="F25" s="22">
        <f>IF(OR('分部利润'!G9&lt;=0,'分部利润'!H9&lt;=0),"n.m.",'分部利润'!H9/'分部利润'!G9-1)</f>
        <v/>
      </c>
    </row>
    <row r="26">
      <c r="A26" s="24" t="inlineStr">
        <is>
          <t>制造、服务与零售</t>
        </is>
      </c>
      <c r="B26" s="22">
        <f>IF(OR('分部利润'!B10&lt;=0,'分部利润'!C10&lt;=0),"n.m.",'分部利润'!C10/'分部利润'!B10-1)</f>
        <v/>
      </c>
      <c r="C26" s="22">
        <f>IF(OR('分部利润'!C10&lt;=0,'分部利润'!D10&lt;=0),"n.m.",'分部利润'!D10/'分部利润'!C10-1)</f>
        <v/>
      </c>
      <c r="D26" s="22">
        <f>IF(OR('分部利润'!D10&lt;=0,'分部利润'!E10&lt;=0),"n.m.",'分部利润'!E10/'分部利润'!D10-1)</f>
        <v/>
      </c>
      <c r="E26" s="22">
        <f>IF(OR('分部利润'!E10&lt;=0,'分部利润'!F10&lt;=0),"n.m.",'分部利润'!F10/'分部利润'!E10-1)</f>
        <v/>
      </c>
      <c r="F26" s="22">
        <f>IF(OR('分部利润'!G10&lt;=0,'分部利润'!H10&lt;=0),"n.m.",'分部利润'!H10/'分部利润'!G10-1)</f>
        <v/>
      </c>
    </row>
    <row r="27">
      <c r="A27" s="24" t="inlineStr">
        <is>
          <t>其他</t>
        </is>
      </c>
      <c r="B27" s="22">
        <f>IF(OR('分部利润'!B11&lt;=0,'分部利润'!C11&lt;=0),"n.m.",'分部利润'!C11/'分部利润'!B11-1)</f>
        <v/>
      </c>
      <c r="C27" s="22">
        <f>IF(OR('分部利润'!C11&lt;=0,'分部利润'!D11&lt;=0),"n.m.",'分部利润'!D11/'分部利润'!C11-1)</f>
        <v/>
      </c>
      <c r="D27" s="22">
        <f>IF(OR('分部利润'!D11&lt;=0,'分部利润'!E11&lt;=0),"n.m.",'分部利润'!E11/'分部利润'!D11-1)</f>
        <v/>
      </c>
      <c r="E27" s="22">
        <f>IF(OR('分部利润'!E11&lt;=0,'分部利润'!F11&lt;=0),"n.m.",'分部利润'!F11/'分部利润'!E11-1)</f>
        <v/>
      </c>
      <c r="F27" s="22">
        <f>IF(OR('分部利润'!G11&lt;=0,'分部利润'!H11&lt;=0),"n.m.",'分部利润'!H11/'分部利润'!G11-1)</f>
        <v/>
      </c>
    </row>
    <row r="28">
      <c r="A28" s="20" t="inlineStr">
        <is>
          <t>营运利润合计</t>
        </is>
      </c>
      <c r="B28" s="26">
        <f>IFERROR('分部利润'!C12/'分部利润'!B12-1,"")</f>
        <v/>
      </c>
      <c r="C28" s="26">
        <f>IFERROR('分部利润'!D12/'分部利润'!C12-1,"")</f>
        <v/>
      </c>
      <c r="D28" s="26">
        <f>IFERROR('分部利润'!E12/'分部利润'!D12-1,"")</f>
        <v/>
      </c>
      <c r="E28" s="26">
        <f>IFERROR('分部利润'!F12/'分部利润'!E12-1,"")</f>
        <v/>
      </c>
      <c r="F28" s="26">
        <f>IFERROR('分部利润'!H12/'分部利润'!G12-1,"")</f>
        <v/>
      </c>
    </row>
    <row r="30" ht="22" customHeight="1">
      <c r="A30" s="30" t="inlineStr">
        <is>
          <t>C. 各板块占营运利润比重（公式）</t>
        </is>
      </c>
    </row>
    <row r="31" ht="30" customHeight="1">
      <c r="A31" s="18" t="inlineStr">
        <is>
          <t>板块</t>
        </is>
      </c>
      <c r="B31" s="18" t="inlineStr">
        <is>
          <t>2021</t>
        </is>
      </c>
      <c r="C31" s="18" t="inlineStr">
        <is>
          <t>2022</t>
        </is>
      </c>
      <c r="D31" s="18" t="inlineStr">
        <is>
          <t>2023</t>
        </is>
      </c>
      <c r="E31" s="18" t="inlineStr">
        <is>
          <t>2024</t>
        </is>
      </c>
      <c r="F31" s="18" t="inlineStr">
        <is>
          <t>2025</t>
        </is>
      </c>
      <c r="G31" s="18" t="inlineStr">
        <is>
          <t>2026H1</t>
        </is>
      </c>
    </row>
    <row r="32">
      <c r="A32" s="24" t="inlineStr">
        <is>
          <t>保险承保</t>
        </is>
      </c>
      <c r="B32" s="22">
        <f>IFERROR('分部利润'!B6/'分部利润'!B12,"")</f>
        <v/>
      </c>
      <c r="C32" s="22">
        <f>IFERROR('分部利润'!C6/'分部利润'!C12,"")</f>
        <v/>
      </c>
      <c r="D32" s="22">
        <f>IFERROR('分部利润'!D6/'分部利润'!D12,"")</f>
        <v/>
      </c>
      <c r="E32" s="22">
        <f>IFERROR('分部利润'!E6/'分部利润'!E12,"")</f>
        <v/>
      </c>
      <c r="F32" s="22">
        <f>IFERROR('分部利润'!F6/'分部利润'!F12,"")</f>
        <v/>
      </c>
      <c r="G32" s="22">
        <f>IFERROR('分部利润'!H6/'分部利润'!H12,"")</f>
        <v/>
      </c>
    </row>
    <row r="33">
      <c r="A33" s="24" t="inlineStr">
        <is>
          <t>保险投资收益</t>
        </is>
      </c>
      <c r="B33" s="22">
        <f>IFERROR('分部利润'!B7/'分部利润'!B12,"")</f>
        <v/>
      </c>
      <c r="C33" s="22">
        <f>IFERROR('分部利润'!C7/'分部利润'!C12,"")</f>
        <v/>
      </c>
      <c r="D33" s="22">
        <f>IFERROR('分部利润'!D7/'分部利润'!D12,"")</f>
        <v/>
      </c>
      <c r="E33" s="22">
        <f>IFERROR('分部利润'!E7/'分部利润'!E12,"")</f>
        <v/>
      </c>
      <c r="F33" s="22">
        <f>IFERROR('分部利润'!F7/'分部利润'!F12,"")</f>
        <v/>
      </c>
      <c r="G33" s="22">
        <f>IFERROR('分部利润'!H7/'分部利润'!H12,"")</f>
        <v/>
      </c>
    </row>
    <row r="34">
      <c r="A34" s="24" t="inlineStr">
        <is>
          <t>铁路（BNSF）</t>
        </is>
      </c>
      <c r="B34" s="22">
        <f>IFERROR('分部利润'!B8/'分部利润'!B12,"")</f>
        <v/>
      </c>
      <c r="C34" s="22">
        <f>IFERROR('分部利润'!C8/'分部利润'!C12,"")</f>
        <v/>
      </c>
      <c r="D34" s="22">
        <f>IFERROR('分部利润'!D8/'分部利润'!D12,"")</f>
        <v/>
      </c>
      <c r="E34" s="22">
        <f>IFERROR('分部利润'!E8/'分部利润'!E12,"")</f>
        <v/>
      </c>
      <c r="F34" s="22">
        <f>IFERROR('分部利润'!F8/'分部利润'!F12,"")</f>
        <v/>
      </c>
      <c r="G34" s="22">
        <f>IFERROR('分部利润'!H8/'分部利润'!H12,"")</f>
        <v/>
      </c>
    </row>
    <row r="35">
      <c r="A35" s="24" t="inlineStr">
        <is>
          <t>能源（BHE）</t>
        </is>
      </c>
      <c r="B35" s="22">
        <f>IFERROR('分部利润'!B9/'分部利润'!B12,"")</f>
        <v/>
      </c>
      <c r="C35" s="22">
        <f>IFERROR('分部利润'!C9/'分部利润'!C12,"")</f>
        <v/>
      </c>
      <c r="D35" s="22">
        <f>IFERROR('分部利润'!D9/'分部利润'!D12,"")</f>
        <v/>
      </c>
      <c r="E35" s="22">
        <f>IFERROR('分部利润'!E9/'分部利润'!E12,"")</f>
        <v/>
      </c>
      <c r="F35" s="22">
        <f>IFERROR('分部利润'!F9/'分部利润'!F12,"")</f>
        <v/>
      </c>
      <c r="G35" s="22">
        <f>IFERROR('分部利润'!H9/'分部利润'!H12,"")</f>
        <v/>
      </c>
    </row>
    <row r="36">
      <c r="A36" s="24" t="inlineStr">
        <is>
          <t>制造、服务与零售</t>
        </is>
      </c>
      <c r="B36" s="22">
        <f>IFERROR('分部利润'!B10/'分部利润'!B12,"")</f>
        <v/>
      </c>
      <c r="C36" s="22">
        <f>IFERROR('分部利润'!C10/'分部利润'!C12,"")</f>
        <v/>
      </c>
      <c r="D36" s="22">
        <f>IFERROR('分部利润'!D10/'分部利润'!D12,"")</f>
        <v/>
      </c>
      <c r="E36" s="22">
        <f>IFERROR('分部利润'!E10/'分部利润'!E12,"")</f>
        <v/>
      </c>
      <c r="F36" s="22">
        <f>IFERROR('分部利润'!F10/'分部利润'!F12,"")</f>
        <v/>
      </c>
      <c r="G36" s="22">
        <f>IFERROR('分部利润'!H10/'分部利润'!H12,"")</f>
        <v/>
      </c>
    </row>
    <row r="37">
      <c r="A37" s="24" t="inlineStr">
        <is>
          <t>其他</t>
        </is>
      </c>
      <c r="B37" s="22">
        <f>IFERROR('分部利润'!B11/'分部利润'!B12,"")</f>
        <v/>
      </c>
      <c r="C37" s="22">
        <f>IFERROR('分部利润'!C11/'分部利润'!C12,"")</f>
        <v/>
      </c>
      <c r="D37" s="22">
        <f>IFERROR('分部利润'!D11/'分部利润'!D12,"")</f>
        <v/>
      </c>
      <c r="E37" s="22">
        <f>IFERROR('分部利润'!E11/'分部利润'!E12,"")</f>
        <v/>
      </c>
      <c r="F37" s="22">
        <f>IFERROR('分部利润'!F11/'分部利润'!F12,"")</f>
        <v/>
      </c>
      <c r="G37" s="22">
        <f>IFERROR('分部利润'!H11/'分部利润'!H12,"")</f>
        <v/>
      </c>
    </row>
    <row r="38">
      <c r="A38" s="20" t="inlineStr">
        <is>
          <t>合计</t>
        </is>
      </c>
      <c r="B38" s="26">
        <f>SUM(B32:B37)</f>
        <v/>
      </c>
      <c r="C38" s="26">
        <f>SUM(C32:C37)</f>
        <v/>
      </c>
      <c r="D38" s="26">
        <f>SUM(D32:D37)</f>
        <v/>
      </c>
      <c r="E38" s="26">
        <f>SUM(E32:E37)</f>
        <v/>
      </c>
      <c r="F38" s="26">
        <f>SUM(F32:F37)</f>
        <v/>
      </c>
      <c r="G38" s="26">
        <f>SUM(G32:G37)</f>
        <v/>
      </c>
    </row>
    <row r="40" ht="30" customHeight="1">
      <c r="A40" s="29" t="inlineStr">
        <is>
          <t>读法：2025 年营运利润同比下降 6.2%，但 2026H1 同比回升 17.0%；结构上，保险承保与投资收益的合计占比从 2021 年的 20.6% 升至 2025 年的 44.4%，2026H1 为 37.8%。「n.m.」表示基期或当期 ≤0，同比不具经济意义。2026 年情景与可修改假设见「情景」页。</t>
        </is>
      </c>
    </row>
  </sheetData>
  <mergeCells count="6">
    <mergeCell ref="A1:T1"/>
    <mergeCell ref="A40:T40"/>
    <mergeCell ref="A4:G4"/>
    <mergeCell ref="A20:G20"/>
    <mergeCell ref="A30:G30"/>
    <mergeCell ref="A2:T2"/>
  </mergeCells>
  <conditionalFormatting sqref="B22:F28">
    <cfRule type="colorScale" priority="1">
      <colorScale>
        <cfvo type="num" val="-0.5"/>
        <cfvo type="num" val="0"/>
        <cfvo type="num" val="0.5"/>
        <color rgb="00F4C7C3"/>
        <color rgb="00FFFFFF"/>
        <color rgb="00C6E0B4"/>
      </colorScale>
    </cfRule>
  </conditionalFormatting>
  <pageMargins left="0.3" right="0.3" top="0.3" bottom="0.3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98E73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54" customWidth="1" min="4" max="4"/>
    <col width="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4" customHeight="1">
      <c r="A1" s="16" t="inlineStr">
        <is>
          <t>05  2026 年情景：改一个假设，结果自动变</t>
        </is>
      </c>
    </row>
    <row r="2" ht="30" customHeight="1">
      <c r="A2" s="17" t="inlineStr">
        <is>
          <t>橙色格可修改；蓝色格为公式。2026H1 实际与 2025 基数来自「分部利润」「保险与资产」页，出处见「来源」页。所有结果都是机械情景，不是预测，也不是公司指引。单位：百万美元（另注者除外）。</t>
        </is>
      </c>
    </row>
    <row r="4" ht="22" customHeight="1">
      <c r="A4" s="30" t="inlineStr">
        <is>
          <t>可修改假设</t>
        </is>
      </c>
    </row>
    <row r="5" ht="30" customHeight="1">
      <c r="A5" s="18" t="inlineStr">
        <is>
          <t>假设</t>
        </is>
      </c>
      <c r="B5" s="18" t="inlineStr">
        <is>
          <t>值</t>
        </is>
      </c>
      <c r="C5" s="18" t="inlineStr">
        <is>
          <t>说明</t>
        </is>
      </c>
      <c r="D5" s="18" t="inlineStr"/>
    </row>
    <row r="6" ht="24" customHeight="1">
      <c r="A6" s="44" t="inlineStr">
        <is>
          <t>2026H1 年化系数</t>
        </is>
      </c>
      <c r="B6" s="45" t="n">
        <v>2</v>
      </c>
      <c r="C6" s="46" t="inlineStr">
        <is>
          <t>把 2026H1 营运利润简单年化；2.0 = 上下半年等量。</t>
        </is>
      </c>
    </row>
    <row r="7" ht="24" customHeight="1">
      <c r="A7" s="44" t="inlineStr">
        <is>
          <t>2026H2 回购金额</t>
        </is>
      </c>
      <c r="B7" s="47" t="n">
        <v>5000</v>
      </c>
      <c r="C7" s="46" t="inlineStr">
        <is>
          <t>在 H1 现金支付 4,444 基础上，假设下半年再回购 50 亿美元。</t>
        </is>
      </c>
    </row>
    <row r="8" ht="24" customHeight="1">
      <c r="A8" s="44" t="inlineStr">
        <is>
          <t>2026H2 浮存金环比增速</t>
        </is>
      </c>
      <c r="B8" s="48" t="n">
        <v>0.01</v>
      </c>
      <c r="C8" s="46" t="inlineStr">
        <is>
          <t>假设下半年浮存金增长 1.0%。</t>
        </is>
      </c>
    </row>
    <row r="9" ht="24" customHeight="1">
      <c r="A9" s="44" t="inlineStr">
        <is>
          <t>2026H2 每股账面价值增速</t>
        </is>
      </c>
      <c r="B9" s="48" t="n">
        <v>0.025</v>
      </c>
      <c r="C9" s="46" t="inlineStr">
        <is>
          <t>假设下半年 BVPS 增长 2.5%（含留存收益与投资市值变动）。</t>
        </is>
      </c>
    </row>
    <row r="11" ht="22" customHeight="1">
      <c r="A11" s="30" t="inlineStr">
        <is>
          <t>2026 全年估算（公式）</t>
        </is>
      </c>
    </row>
    <row r="12" ht="30" customHeight="1">
      <c r="A12" s="18" t="inlineStr">
        <is>
          <t>项目</t>
        </is>
      </c>
      <c r="B12" s="18" t="inlineStr">
        <is>
          <t>2026H1 实际</t>
        </is>
      </c>
      <c r="C12" s="18" t="inlineStr">
        <is>
          <t>2026 全年估算</t>
        </is>
      </c>
      <c r="D12" s="18" t="inlineStr">
        <is>
          <t>说明</t>
        </is>
      </c>
    </row>
    <row r="14" ht="22" customHeight="1">
      <c r="A14" s="24" t="inlineStr">
        <is>
          <t>营运利润</t>
        </is>
      </c>
      <c r="B14" s="32">
        <f>'分部利润'!H12</f>
        <v/>
      </c>
      <c r="C14" s="25">
        <f>B14*$B$6</f>
        <v/>
      </c>
      <c r="D14" s="49" t="inlineStr">
        <is>
          <t>H1 × 年化系数</t>
        </is>
      </c>
    </row>
    <row r="15" ht="22" customHeight="1">
      <c r="A15" s="24" t="inlineStr">
        <is>
          <t>回购金额</t>
        </is>
      </c>
      <c r="B15" s="32">
        <f>'保险与资产'!G16</f>
        <v/>
      </c>
      <c r="C15" s="25">
        <f>B15+$B$7</f>
        <v/>
      </c>
      <c r="D15" s="49" t="inlineStr">
        <is>
          <t>H1 + 假设 H2</t>
        </is>
      </c>
    </row>
    <row r="16" ht="22" customHeight="1">
      <c r="A16" s="24" t="inlineStr">
        <is>
          <t>保险浮存金</t>
        </is>
      </c>
      <c r="B16" s="32">
        <f>'保险与资产'!G6</f>
        <v/>
      </c>
      <c r="C16" s="25">
        <f>B16*(1+$B$8)</f>
        <v/>
      </c>
      <c r="D16" s="49" t="inlineStr">
        <is>
          <t>H1 × (1 + H2 增速)</t>
        </is>
      </c>
    </row>
    <row r="17" ht="22" customHeight="1">
      <c r="A17" s="24" t="inlineStr">
        <is>
          <t>每股账面价值（美元）</t>
        </is>
      </c>
      <c r="B17" s="34">
        <f>'保险与资产'!G15</f>
        <v/>
      </c>
      <c r="C17" s="50">
        <f>B17*(1+$B$9)</f>
        <v/>
      </c>
      <c r="D17" s="49" t="inlineStr">
        <is>
          <t>H1 × (1 + H2 增速)</t>
        </is>
      </c>
    </row>
    <row r="19" ht="22" customHeight="1">
      <c r="A19" s="30" t="inlineStr">
        <is>
          <t>敏感性：年化系数对 2026E 营运利润的影响（公式）</t>
        </is>
      </c>
    </row>
    <row r="20" ht="30" customHeight="1">
      <c r="A20" s="18" t="inlineStr">
        <is>
          <t>年化系数</t>
        </is>
      </c>
      <c r="B20" s="18" t="inlineStr">
        <is>
          <t>2026E 营运利润</t>
        </is>
      </c>
      <c r="C20" s="18" t="inlineStr">
        <is>
          <t>相对 2025 全年</t>
        </is>
      </c>
      <c r="D20" s="18" t="inlineStr">
        <is>
          <t>相对 2026H1</t>
        </is>
      </c>
    </row>
    <row r="21">
      <c r="A21" s="51" t="n">
        <v>1.6</v>
      </c>
      <c r="B21" s="32">
        <f>$B$14*A21</f>
        <v/>
      </c>
      <c r="C21" s="22">
        <f>IFERROR(B21/'分部利润'!F12-1,"")</f>
        <v/>
      </c>
      <c r="D21" s="22">
        <f>IFERROR(B21/$B$14-1,"")</f>
        <v/>
      </c>
    </row>
    <row r="22">
      <c r="A22" s="51" t="n">
        <v>1.8</v>
      </c>
      <c r="B22" s="32">
        <f>$B$14*A22</f>
        <v/>
      </c>
      <c r="C22" s="22">
        <f>IFERROR(B22/'分部利润'!F12-1,"")</f>
        <v/>
      </c>
      <c r="D22" s="22">
        <f>IFERROR(B22/$B$14-1,"")</f>
        <v/>
      </c>
    </row>
    <row r="23">
      <c r="A23" s="51" t="n">
        <v>2</v>
      </c>
      <c r="B23" s="32">
        <f>$B$14*A23</f>
        <v/>
      </c>
      <c r="C23" s="22">
        <f>IFERROR(B23/'分部利润'!F12-1,"")</f>
        <v/>
      </c>
      <c r="D23" s="22">
        <f>IFERROR(B23/$B$14-1,"")</f>
        <v/>
      </c>
    </row>
    <row r="24">
      <c r="A24" s="51" t="n">
        <v>2.2</v>
      </c>
      <c r="B24" s="32">
        <f>$B$14*A24</f>
        <v/>
      </c>
      <c r="C24" s="22">
        <f>IFERROR(B24/'分部利润'!F12-1,"")</f>
        <v/>
      </c>
      <c r="D24" s="22">
        <f>IFERROR(B24/$B$14-1,"")</f>
        <v/>
      </c>
    </row>
    <row r="25">
      <c r="A25" s="51" t="n">
        <v>2.4</v>
      </c>
      <c r="B25" s="32">
        <f>$B$14*A25</f>
        <v/>
      </c>
      <c r="C25" s="22">
        <f>IFERROR(B25/'分部利润'!F12-1,"")</f>
        <v/>
      </c>
      <c r="D25" s="22">
        <f>IFERROR(B25/$B$14-1,"")</f>
        <v/>
      </c>
    </row>
    <row r="26" ht="36" customHeight="1">
      <c r="A26" s="29" t="inlineStr">
        <is>
          <t>怎么用：把 B6 从 2.00 改成 1.80，C14 会立即变化；B21:B25 是并列列出的五个情景，用于对比。把 B7 改成 0，全年回购变为 4,444；把 B8/B9 改成 0，浮存金/BVPS 保持 H1 水平。这些只是把「如果下半年与上半年相同/不同」翻译成数字，不能当作对 2026 年真实结果的预测。</t>
        </is>
      </c>
    </row>
  </sheetData>
  <mergeCells count="10">
    <mergeCell ref="A26:L26"/>
    <mergeCell ref="A2:L2"/>
    <mergeCell ref="C8:L8"/>
    <mergeCell ref="C9:L9"/>
    <mergeCell ref="A4:D4"/>
    <mergeCell ref="A1:L1"/>
    <mergeCell ref="C7:L7"/>
    <mergeCell ref="A19:D19"/>
    <mergeCell ref="A11:D11"/>
    <mergeCell ref="C6:L6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B6D8D"/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34" customWidth="1" min="4" max="4"/>
    <col width="38" customWidth="1" min="5" max="5"/>
    <col width="22" customWidth="1" min="6" max="6"/>
  </cols>
  <sheetData>
    <row r="1" ht="34" customHeight="1">
      <c r="A1" s="16" t="inlineStr">
        <is>
          <t>06  历史决策：网页小游戏的 10 个关卡数据</t>
        </is>
      </c>
    </row>
    <row r="2" ht="30" customHeight="1">
      <c r="A2" s="17" t="inlineStr">
        <is>
          <t>这些数字同时用于「和巴菲特一起做决定」网页，保证网页与本工作簿一致。所有引用均来自致股东信；不涉及当下买卖任何股票。</t>
        </is>
      </c>
    </row>
    <row r="4" ht="30" customHeight="1">
      <c r="A4" s="18" t="inlineStr">
        <is>
          <t>年份</t>
        </is>
      </c>
      <c r="B4" s="18" t="inlineStr">
        <is>
          <t>决策</t>
        </is>
      </c>
      <c r="C4" s="18" t="inlineStr">
        <is>
          <t>关键数字</t>
        </is>
      </c>
      <c r="D4" s="18" t="inlineStr">
        <is>
          <t>巴菲特实际选择</t>
        </is>
      </c>
      <c r="E4" s="18" t="inlineStr">
        <is>
          <t>后见/结果</t>
        </is>
      </c>
      <c r="F4" s="18" t="inlineStr">
        <is>
          <t>出处</t>
        </is>
      </c>
    </row>
    <row r="5" ht="58" customHeight="1">
      <c r="A5" s="52" t="inlineStr">
        <is>
          <t>1967</t>
        </is>
      </c>
      <c r="B5" s="53" t="inlineStr">
        <is>
          <t>从纺织转向保险：收购 National Indemnity</t>
        </is>
      </c>
      <c r="C5" s="37" t="inlineStr">
        <is>
          <t>$8.6M 收购价</t>
        </is>
      </c>
      <c r="D5" s="37" t="inlineStr">
        <is>
          <t>买下这家奥马哈保险公司，把纺织产生的现金转向保险浮存金</t>
        </is>
      </c>
      <c r="E5" s="37" t="inlineStr">
        <is>
          <t>浮存金从 1967 年的起点增长到 2025 年的约 1,760 亿美元；保险成为伯克希尔的资本引擎</t>
        </is>
      </c>
      <c r="F5" s="54" t="inlineStr">
        <is>
          <t>L2021 p.5；L2022「58 Years」</t>
        </is>
      </c>
    </row>
    <row r="6" ht="58" customHeight="1">
      <c r="A6" s="52" t="inlineStr">
        <is>
          <t>1972</t>
        </is>
      </c>
      <c r="B6" s="53" t="inlineStr">
        <is>
          <t>收购喜诗糖果（See's Candies）</t>
        </is>
      </c>
      <c r="C6" s="37" t="inlineStr">
        <is>
          <t>$25M 收购价；有形资本 $8M；税前利润 &lt;$5M</t>
        </is>
      </c>
      <c r="D6" s="37" t="inlineStr">
        <is>
          <t>在卖家要价 $30M 时坚持不超过 $25M，最终以 $25M 买下</t>
        </is>
      </c>
      <c r="E6" s="37" t="inlineStr">
        <is>
          <t>2007 年销售额 $383M、税前利润 $82M；1972 年以来累计税前利润约 $13.5 亿，只需再投入 $32M</t>
        </is>
      </c>
      <c r="F6" s="54" t="inlineStr">
        <is>
          <t>L2007「See's Candy」</t>
        </is>
      </c>
    </row>
    <row r="7" ht="58" customHeight="1">
      <c r="A7" s="52" t="inlineStr">
        <is>
          <t>1976</t>
        </is>
      </c>
      <c r="B7" s="53" t="inlineStr">
        <is>
          <t>逆势买入 GEICO</t>
        </is>
      </c>
      <c r="C7" s="37" t="inlineStr">
        <is>
          <t>约 1/3 股权，总成本 $47M，其中约一半投于 1976 年</t>
        </is>
      </c>
      <c r="D7" s="37" t="inlineStr">
        <is>
          <t>在 GEICO 濒临破产、市场恐慌时买入，支持 Jack Byrne 的重整，但不干预经营</t>
        </is>
      </c>
      <c r="E7" s="37" t="inlineStr">
        <is>
          <t>1996 年以 $23 亿买下剩余 49%；GEICO 成为伯克希尔核心保险资产</t>
        </is>
      </c>
      <c r="F7" s="54" t="inlineStr">
        <is>
          <t>L1980 p.14；L2004「GEICO」；L1996</t>
        </is>
      </c>
    </row>
    <row r="8" ht="58" customHeight="1">
      <c r="A8" s="52" t="inlineStr">
        <is>
          <t>1985</t>
        </is>
      </c>
      <c r="B8" s="53" t="inlineStr">
        <is>
          <t>关闭纺织业务</t>
        </is>
      </c>
      <c r="C8" s="37" t="inlineStr">
        <is>
          <t>纺织资产账面价值 $22M；前九年销售额 $530M、累计亏损 $10M</t>
        </is>
      </c>
      <c r="D8" s="37" t="inlineStr">
        <is>
          <t>1985 年 7 月决定关闭纺织厂，把资本转向保险与其他业务</t>
        </is>
      </c>
      <c r="E8" s="37" t="inlineStr">
        <is>
          <t>巴菲特后来承认应更早退出；这次退出释放了后来收购所需的资本</t>
        </is>
      </c>
      <c r="F8" s="54" t="inlineStr">
        <is>
          <t>L1985「Shutdown of Textile Business」</t>
        </is>
      </c>
    </row>
    <row r="9" ht="58" customHeight="1">
      <c r="A9" s="52" t="inlineStr">
        <is>
          <t>1988</t>
        </is>
      </c>
      <c r="B9" s="53" t="inlineStr">
        <is>
          <t>重仓可口可乐</t>
        </is>
      </c>
      <c r="C9" s="37" t="inlineStr">
        <is>
          <t>1988 年末 1,417 万股；1989 年末 2,335 万股，成本 10.24 亿美元（$1.024B），市值 18.04 亿美元（$1.804B）</t>
        </is>
      </c>
      <c r="D9" s="37" t="inlineStr">
        <is>
          <t>在 1987 年股灾后大举买入，并长期持有</t>
        </is>
      </c>
      <c r="E9" s="37" t="inlineStr">
        <is>
          <t>成为伯克希尔「四大巨头」之一；2025 年末 4 亿股，成本 $12.99 亿，市值 $279.64 亿，年分红 $8.16 亿</t>
        </is>
      </c>
      <c r="F9" s="54" t="inlineStr">
        <is>
          <t>L1989 p.14；L2025 p.15</t>
        </is>
      </c>
    </row>
    <row r="10" ht="58" customHeight="1">
      <c r="A10" s="52" t="inlineStr">
        <is>
          <t>1998</t>
        </is>
      </c>
      <c r="B10" s="53" t="inlineStr">
        <is>
          <t>换股并购 General Re</t>
        </is>
      </c>
      <c r="C10" s="37" t="inlineStr">
        <is>
          <t>$220 亿，全部以伯克希尔股票支付</t>
        </is>
      </c>
      <c r="D10" s="37" t="inlineStr">
        <is>
          <t>完成对 General Re 的收购，把伯克希尔的资本实力与全球再保险网络结合</t>
        </is>
      </c>
      <c r="E10" s="37" t="inlineStr">
        <is>
          <t>整合初期承保与准备金问题频出，巴菲特一度自认「巨大错误」；2014 年称其已「成为宝石」</t>
        </is>
      </c>
      <c r="F10" s="54" t="inlineStr">
        <is>
          <t>L1998「General Re」；L2014</t>
        </is>
      </c>
    </row>
    <row r="11" ht="58" customHeight="1">
      <c r="A11" s="52" t="inlineStr">
        <is>
          <t>2008</t>
        </is>
      </c>
      <c r="B11" s="53" t="inlineStr">
        <is>
          <t>金融危机中的固定收益投资</t>
        </is>
      </c>
      <c r="C11" s="37" t="inlineStr">
        <is>
          <t>$145 亿，投向 Wrigley、Goldman Sachs、General Electric 的固定收益证券，并附带股权参与</t>
        </is>
      </c>
      <c r="D11" s="37" t="inlineStr">
        <is>
          <t>在市场冻结时提供资本，换取高 current yield + 股权上行</t>
        </is>
      </c>
      <c r="E11" s="37" t="inlineStr">
        <is>
          <t>三家后来均以溢价赎回；2011 年合计赎回 $128 亿，此前每年贡献约 $12 亿税前收益</t>
        </is>
      </c>
      <c r="F11" s="54" t="inlineStr">
        <is>
          <t>L2008 p.13；L2010 p.17；L2011 p.4</t>
        </is>
      </c>
    </row>
    <row r="12" ht="58" customHeight="1">
      <c r="A12" s="52" t="inlineStr">
        <is>
          <t>2009</t>
        </is>
      </c>
      <c r="B12" s="53" t="inlineStr">
        <is>
          <t>收购 BNSF 铁路</t>
        </is>
      </c>
      <c r="C12" s="37" t="inlineStr">
        <is>
          <t>$100/股；总对价中 40% 为伯克希尔股票；整体成本约 30% 用股票支付；部署 $220 亿现金</t>
        </is>
      </c>
      <c r="D12" s="37" t="inlineStr">
        <is>
          <t>买下尚未持有的 77.5%，把 BNSF 变成全资子公司</t>
        </is>
      </c>
      <c r="E12" s="37" t="inlineStr">
        <is>
          <t>BNSF 成为伯克希尔最大非保险业务之一；2025 年税后利润 $54.76 亿、营收 $233.50 亿</t>
        </is>
      </c>
      <c r="F12" s="54" t="inlineStr">
        <is>
          <t>L2009「BNSF」；S1 p.K-42</t>
        </is>
      </c>
    </row>
    <row r="13" ht="58" customHeight="1">
      <c r="A13" s="52" t="inlineStr">
        <is>
          <t>2011</t>
        </is>
      </c>
      <c r="B13" s="53" t="inlineStr">
        <is>
          <t>买入 IBM</t>
        </is>
      </c>
      <c r="C13" s="37" t="inlineStr">
        <is>
          <t>6,390 万股，成本 $109 亿，约 5.5% 股权</t>
        </is>
      </c>
      <c r="D13" s="37" t="inlineStr">
        <is>
          <t>在 IBM 回购与 enterprise 客户黏性上押注，公开表示「希望股价低迷五年」</t>
        </is>
      </c>
      <c r="E13" s="37" t="inlineStr">
        <is>
          <t>IBM 后来在云计算转型中增长乏力，这笔投资未达到信中设想；成为巴菲特少见的科技股失误</t>
        </is>
      </c>
      <c r="F13" s="54" t="inlineStr">
        <is>
          <t>L2011「IBM」</t>
        </is>
      </c>
    </row>
    <row r="14" ht="58" customHeight="1">
      <c r="A14" s="52" t="inlineStr">
        <is>
          <t>2019–2020</t>
        </is>
      </c>
      <c r="B14" s="53" t="inlineStr">
        <is>
          <t>买入日本五大商社</t>
        </is>
      </c>
      <c r="C14" s="37" t="inlineStr">
        <is>
          <t>2019 年 7 月 4 日开始买入；2023 年持股约 9%；成本 ¥1.6 万亿，2023 年末市值 ¥2.9 万亿</t>
        </is>
      </c>
      <c r="D14" s="37" t="inlineStr">
        <is>
          <t>用日元债融资，买入伊藤忠、丸红、三菱、三井、住友，并承诺不超过 9.9%</t>
        </is>
      </c>
      <c r="E14" s="37" t="inlineStr">
        <is>
          <t>2023 年末美元口径未实现收益约 61%（$80 亿）；2025 年末五家市值 $353.68 亿、年分红 $8.62 亿</t>
        </is>
      </c>
      <c r="F14" s="54" t="inlineStr">
        <is>
          <t>L2023「日本商社」；L2025 p.15</t>
        </is>
      </c>
    </row>
    <row r="16" ht="30" customHeight="1">
      <c r="A16" s="35" t="inlineStr">
        <is>
          <t>说明：本表只用于历史回顾与游戏计分，不构成对任何公司或证券的当前评价。2011 年 IBM 一栏的「后见」为公开史实概述；网页只要求引用股东信原文，不引用当前股价。</t>
        </is>
      </c>
    </row>
  </sheetData>
  <mergeCells count="3">
    <mergeCell ref="A2:F2"/>
    <mergeCell ref="A16:F16"/>
    <mergeCell ref="A1:F1"/>
  </mergeCells>
  <pageMargins left="0.3" right="0.3" top="0.3" bottom="0.3" header="0.5" footer="0.5"/>
  <pageSetup orientation="landscape" paperSize="8" fitToHeight="1" fitToWidth="1"/>
</worksheet>
</file>

<file path=xl/worksheets/sheet9.xml><?xml version="1.0" encoding="utf-8"?>
<worksheet xmlns="http://schemas.openxmlformats.org/spreadsheetml/2006/main">
  <sheetPr>
    <tabColor rgb="006B7B8C"/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34" customWidth="1" min="4" max="4"/>
    <col width="38" customWidth="1" min="5" max="5"/>
    <col width="62" customWidth="1" min="6" max="6"/>
    <col width="12" customWidth="1" min="7" max="7"/>
    <col width="44" customWidth="1" min="8" max="8"/>
  </cols>
  <sheetData>
    <row r="1" ht="34" customHeight="1">
      <c r="A1" s="16" t="inlineStr">
        <is>
          <t>07  来源登记表</t>
        </is>
      </c>
    </row>
    <row r="2" ht="30" customHeight="1">
      <c r="A2" s="17" t="inlineStr">
        <is>
          <t>本地文件均在「材料/」；SEC 补充文件为 2021—2023 年比较数据所必需，访问日期 2026-10-22。</t>
        </is>
      </c>
    </row>
    <row r="4" ht="30" customHeight="1">
      <c r="A4" s="18" t="inlineStr">
        <is>
          <t>编号</t>
        </is>
      </c>
      <c r="B4" s="18" t="inlineStr">
        <is>
          <t>类型</t>
        </is>
      </c>
      <c r="C4" s="18" t="inlineStr">
        <is>
          <t>文件 / 网页</t>
        </is>
      </c>
      <c r="D4" s="18" t="inlineStr">
        <is>
          <t>章节 / 表</t>
        </is>
      </c>
      <c r="E4" s="18" t="inlineStr">
        <is>
          <t>用途</t>
        </is>
      </c>
      <c r="F4" s="18" t="inlineStr">
        <is>
          <t>URL</t>
        </is>
      </c>
      <c r="G4" s="18" t="inlineStr">
        <is>
          <t>访问日期</t>
        </is>
      </c>
      <c r="H4" s="18" t="inlineStr">
        <is>
          <t>备注</t>
        </is>
      </c>
    </row>
    <row r="5" ht="58" customHeight="1">
      <c r="A5" s="37" t="inlineStr">
        <is>
          <t>S1</t>
        </is>
      </c>
      <c r="B5" s="37" t="inlineStr">
        <is>
          <t>本地 10-K</t>
        </is>
      </c>
      <c r="C5" s="54" t="inlineStr">
        <is>
          <t>材料/Berkshire_2025年报__brka-20251231.htm</t>
        </is>
      </c>
      <c r="D5" s="54" t="inlineStr">
        <is>
          <t>MD&amp;A Results of Operations p.K-34；合并资产负债表；Note 4 p.K-79；Note 22 p.K-102；MD&amp;A 浮存金；MD&amp;A 流动性；现金流量表</t>
        </is>
      </c>
      <c r="E5" s="54" t="inlineStr">
        <is>
          <t>2023—2025 分部利润、2024—2025 资产负债与股票组合、股数、回购、浮存金</t>
        </is>
      </c>
      <c r="F5" s="54" t="inlineStr">
        <is>
          <t>—（任务提供）</t>
        </is>
      </c>
      <c r="G5" s="37" t="inlineStr">
        <is>
          <t>2026-10-22</t>
        </is>
      </c>
      <c r="H5" s="54" t="inlineStr">
        <is>
          <t>主口径；2025 年回购为 0</t>
        </is>
      </c>
    </row>
    <row r="6" ht="58" customHeight="1">
      <c r="A6" s="37" t="inlineStr">
        <is>
          <t>S2</t>
        </is>
      </c>
      <c r="B6" s="37" t="inlineStr">
        <is>
          <t>本地 10-Q</t>
        </is>
      </c>
      <c r="C6" s="54" t="inlineStr">
        <is>
          <t>材料/Berkshire_2026Q2季报__brka-20260630.htm</t>
        </is>
      </c>
      <c r="D6" s="54" t="inlineStr">
        <is>
          <t>合并资产负债表 p.2；Note 4 p.9；现金流量表 p.7；MD&amp;A p.33—41</t>
        </is>
      </c>
      <c r="E6" s="54" t="inlineStr">
        <is>
          <t>2026H1 现金、股票组合、权益、回购现金支付、股数</t>
        </is>
      </c>
      <c r="F6" s="54" t="inlineStr">
        <is>
          <t>—（任务提供）</t>
        </is>
      </c>
      <c r="G6" s="37" t="inlineStr">
        <is>
          <t>2026-10-22</t>
        </is>
      </c>
      <c r="H6" s="54" t="inlineStr">
        <is>
          <t>未经审计</t>
        </is>
      </c>
    </row>
    <row r="7" ht="58" customHeight="1">
      <c r="A7" s="37" t="inlineStr">
        <is>
          <t>S3</t>
        </is>
      </c>
      <c r="B7" s="37" t="inlineStr">
        <is>
          <t>本地 8-K 附件</t>
        </is>
      </c>
      <c r="C7" s="54" t="inlineStr">
        <is>
          <t>材料/Berkshire_2026Q2业绩公告__d159922dex991.htm</t>
        </is>
      </c>
      <c r="D7" s="54" t="inlineStr">
        <is>
          <t>Operating earnings 表；float/buyback 段落</t>
        </is>
      </c>
      <c r="E7" s="54" t="inlineStr">
        <is>
          <t>2026H1 与 2025H1 分部利润、浮存金 1,775 亿、回购约 48 亿、A 等价股数 1,431,693</t>
        </is>
      </c>
      <c r="F7" s="54" t="inlineStr">
        <is>
          <t>—（任务提供）</t>
        </is>
      </c>
      <c r="G7" s="37" t="inlineStr">
        <is>
          <t>2026-10-22</t>
        </is>
      </c>
      <c r="H7" s="54" t="inlineStr">
        <is>
          <t>公司公告口径</t>
        </is>
      </c>
    </row>
    <row r="8" ht="58" customHeight="1">
      <c r="A8" s="37" t="inlineStr">
        <is>
          <t>S4</t>
        </is>
      </c>
      <c r="B8" s="37" t="inlineStr">
        <is>
          <t>SEC 10-K</t>
        </is>
      </c>
      <c r="C8" s="54" t="inlineStr">
        <is>
          <t>Berkshire Hathaway Inc. Form 10-K for FY2024</t>
        </is>
      </c>
      <c r="D8" s="54" t="inlineStr">
        <is>
          <t>MD&amp;A p.K-33；合并资产负债表；Note 4 p.K-81；Note 22；现金流量表</t>
        </is>
      </c>
      <c r="E8" s="54" t="inlineStr">
        <is>
          <t>2023 年资产负债与股票组合（经 Pilot 重分类）；2024 年回购 2,918；2023 年回购 9,171</t>
        </is>
      </c>
      <c r="F8" s="54" t="inlineStr">
        <is>
          <t>https://www.sec.gov/Archives/edgar/data/1067983/000095017025025210/brka-20241231.htm</t>
        </is>
      </c>
      <c r="G8" s="37" t="inlineStr">
        <is>
          <t>2026-10-22</t>
        </is>
      </c>
      <c r="H8" s="54" t="inlineStr">
        <is>
          <t>用于 2023 年可比口径</t>
        </is>
      </c>
    </row>
    <row r="9" ht="58" customHeight="1">
      <c r="A9" s="37" t="inlineStr">
        <is>
          <t>S5</t>
        </is>
      </c>
      <c r="B9" s="37" t="inlineStr">
        <is>
          <t>SEC 10-K</t>
        </is>
      </c>
      <c r="C9" s="54" t="inlineStr">
        <is>
          <t>Berkshire Hathaway Inc. Form 10-K for FY2023</t>
        </is>
      </c>
      <c r="D9" s="54" t="inlineStr">
        <is>
          <t>MD&amp;A p.K-34；合并资产负债表；Note 4；Note 22；现金流量表</t>
        </is>
      </c>
      <c r="E9" s="54" t="inlineStr">
        <is>
          <t>2021—2022 分部利润（追溯重述）；2022 年资产负债与股票组合；2022 年回购 7,854</t>
        </is>
      </c>
      <c r="F9" s="54" t="inlineStr">
        <is>
          <t>https://www.sec.gov/Archives/edgar/data/1067983/000095017024019719/brka-20231231.htm</t>
        </is>
      </c>
      <c r="G9" s="37" t="inlineStr">
        <is>
          <t>2026-10-22</t>
        </is>
      </c>
      <c r="H9" s="54" t="inlineStr">
        <is>
          <t>ASU 2018-12 追溯重述</t>
        </is>
      </c>
    </row>
    <row r="10" ht="58" customHeight="1">
      <c r="A10" s="37" t="inlineStr">
        <is>
          <t>S6</t>
        </is>
      </c>
      <c r="B10" s="37" t="inlineStr">
        <is>
          <t>SEC 10-K</t>
        </is>
      </c>
      <c r="C10" s="54" t="inlineStr">
        <is>
          <t>Berkshire Hathaway Inc. Form 10-K for FY2022</t>
        </is>
      </c>
      <c r="D10" s="54" t="inlineStr">
        <is>
          <t>合并资产负债表；Note 4；Note 22；现金流量表；MD&amp;A 浮存金</t>
        </is>
      </c>
      <c r="E10" s="54" t="inlineStr">
        <is>
          <t>2021 年现金、股票组合、权益、股数、回购 27,061、浮存金 1,470 亿</t>
        </is>
      </c>
      <c r="F10" s="54" t="inlineStr">
        <is>
          <t>https://www.sec.gov/Archives/edgar/data/1067983/000095017023004451/brka-20221231.htm</t>
        </is>
      </c>
      <c r="G10" s="37" t="inlineStr">
        <is>
          <t>2026-10-22</t>
        </is>
      </c>
      <c r="H10" s="54" t="inlineStr">
        <is>
          <t>2021 年为主</t>
        </is>
      </c>
    </row>
    <row r="11" ht="58" customHeight="1">
      <c r="A11" s="37" t="inlineStr">
        <is>
          <t>L1980</t>
        </is>
      </c>
      <c r="B11" s="37" t="inlineStr">
        <is>
          <t>股东信</t>
        </is>
      </c>
      <c r="C11" s="54" t="inlineStr">
        <is>
          <t>材料/股东信/1980ltr.html</t>
        </is>
      </c>
      <c r="D11" s="54" t="inlineStr">
        <is>
          <t>GEICO 部分</t>
        </is>
      </c>
      <c r="E11" s="54" t="inlineStr">
        <is>
          <t>1976 年 GEICO 投资成本与理由</t>
        </is>
      </c>
      <c r="F11" s="54" t="inlineStr">
        <is>
          <t>—</t>
        </is>
      </c>
      <c r="G11" s="37" t="inlineStr">
        <is>
          <t>2026-10-22</t>
        </is>
      </c>
      <c r="H11" s="54" t="inlineStr"/>
    </row>
    <row r="12" ht="58" customHeight="1">
      <c r="A12" s="37" t="inlineStr">
        <is>
          <t>L1985</t>
        </is>
      </c>
      <c r="B12" s="37" t="inlineStr">
        <is>
          <t>股东信</t>
        </is>
      </c>
      <c r="C12" s="54" t="inlineStr">
        <is>
          <t>材料/股东信/1985ltr.html</t>
        </is>
      </c>
      <c r="D12" s="54" t="inlineStr">
        <is>
          <t>Shutdown of Textile Business</t>
        </is>
      </c>
      <c r="E12" s="54" t="inlineStr">
        <is>
          <t>1985 年关闭纺织业务</t>
        </is>
      </c>
      <c r="F12" s="54" t="inlineStr">
        <is>
          <t>—</t>
        </is>
      </c>
      <c r="G12" s="37" t="inlineStr">
        <is>
          <t>2026-10-22</t>
        </is>
      </c>
      <c r="H12" s="54" t="inlineStr"/>
    </row>
    <row r="13" ht="58" customHeight="1">
      <c r="A13" s="37" t="inlineStr">
        <is>
          <t>L1989</t>
        </is>
      </c>
      <c r="B13" s="37" t="inlineStr">
        <is>
          <t>股东信</t>
        </is>
      </c>
      <c r="C13" s="54" t="inlineStr">
        <is>
          <t>材料/股东信/1989ltr.html</t>
        </is>
      </c>
      <c r="D13" s="54" t="inlineStr">
        <is>
          <t>Coca-Cola 部分</t>
        </is>
      </c>
      <c r="E13" s="54" t="inlineStr">
        <is>
          <t>1988—1989 年可口可乐持仓与成本</t>
        </is>
      </c>
      <c r="F13" s="54" t="inlineStr">
        <is>
          <t>—</t>
        </is>
      </c>
      <c r="G13" s="37" t="inlineStr">
        <is>
          <t>2026-10-22</t>
        </is>
      </c>
      <c r="H13" s="54" t="inlineStr"/>
    </row>
    <row r="14" ht="58" customHeight="1">
      <c r="A14" s="37" t="inlineStr">
        <is>
          <t>L1996</t>
        </is>
      </c>
      <c r="B14" s="37" t="inlineStr">
        <is>
          <t>股东信</t>
        </is>
      </c>
      <c r="C14" s="54" t="inlineStr">
        <is>
          <t>材料/股东信/1996ltr.pdf</t>
        </is>
      </c>
      <c r="D14" s="54" t="inlineStr">
        <is>
          <t>Insurance—GEICO</t>
        </is>
      </c>
      <c r="E14" s="54" t="inlineStr">
        <is>
          <t>1996 年买下 GEICO 剩余 49%</t>
        </is>
      </c>
      <c r="F14" s="54" t="inlineStr">
        <is>
          <t>—</t>
        </is>
      </c>
      <c r="G14" s="37" t="inlineStr">
        <is>
          <t>2026-10-22</t>
        </is>
      </c>
      <c r="H14" s="54" t="inlineStr"/>
    </row>
    <row r="15" ht="58" customHeight="1">
      <c r="A15" s="37" t="inlineStr">
        <is>
          <t>L1998</t>
        </is>
      </c>
      <c r="B15" s="37" t="inlineStr">
        <is>
          <t>股东信</t>
        </is>
      </c>
      <c r="C15" s="54" t="inlineStr">
        <is>
          <t>材料/股东信/1998ltr.pdf</t>
        </is>
      </c>
      <c r="D15" s="54" t="inlineStr">
        <is>
          <t>General Re</t>
        </is>
      </c>
      <c r="E15" s="54" t="inlineStr">
        <is>
          <t>1998 年 General Re 并购</t>
        </is>
      </c>
      <c r="F15" s="54" t="inlineStr">
        <is>
          <t>—</t>
        </is>
      </c>
      <c r="G15" s="37" t="inlineStr">
        <is>
          <t>2026-10-22</t>
        </is>
      </c>
      <c r="H15" s="54" t="inlineStr"/>
    </row>
    <row r="16" ht="58" customHeight="1">
      <c r="A16" s="37" t="inlineStr">
        <is>
          <t>L2007</t>
        </is>
      </c>
      <c r="B16" s="37" t="inlineStr">
        <is>
          <t>股东信</t>
        </is>
      </c>
      <c r="C16" s="54" t="inlineStr">
        <is>
          <t>材料/股东信/2007ltr.pdf</t>
        </is>
      </c>
      <c r="D16" s="54" t="inlineStr">
        <is>
          <t>See's Candy</t>
        </is>
      </c>
      <c r="E16" s="54" t="inlineStr">
        <is>
          <t>1972 年喜诗糖果收购与后续</t>
        </is>
      </c>
      <c r="F16" s="54" t="inlineStr">
        <is>
          <t>—</t>
        </is>
      </c>
      <c r="G16" s="37" t="inlineStr">
        <is>
          <t>2026-10-22</t>
        </is>
      </c>
      <c r="H16" s="54" t="inlineStr"/>
    </row>
    <row r="17" ht="58" customHeight="1">
      <c r="A17" s="37" t="inlineStr">
        <is>
          <t>L2008</t>
        </is>
      </c>
      <c r="B17" s="37" t="inlineStr">
        <is>
          <t>股东信</t>
        </is>
      </c>
      <c r="C17" s="54" t="inlineStr">
        <is>
          <t>材料/股东信/2008ltr.pdf</t>
        </is>
      </c>
      <c r="D17" s="54" t="inlineStr">
        <is>
          <t>Fixed-income investments</t>
        </is>
      </c>
      <c r="E17" s="54" t="inlineStr">
        <is>
          <t>2008 年 $145 亿固定收益投资</t>
        </is>
      </c>
      <c r="F17" s="54" t="inlineStr">
        <is>
          <t>—</t>
        </is>
      </c>
      <c r="G17" s="37" t="inlineStr">
        <is>
          <t>2026-10-22</t>
        </is>
      </c>
      <c r="H17" s="54" t="inlineStr"/>
    </row>
    <row r="18" ht="58" customHeight="1">
      <c r="A18" s="37" t="inlineStr">
        <is>
          <t>L2009</t>
        </is>
      </c>
      <c r="B18" s="37" t="inlineStr">
        <is>
          <t>股东信</t>
        </is>
      </c>
      <c r="C18" s="54" t="inlineStr">
        <is>
          <t>材料/股东信/2009ltr.pdf</t>
        </is>
      </c>
      <c r="D18" s="54" t="inlineStr">
        <is>
          <t>BNSF</t>
        </is>
      </c>
      <c r="E18" s="54" t="inlineStr">
        <is>
          <t>2009 年 BNSF 收购</t>
        </is>
      </c>
      <c r="F18" s="54" t="inlineStr">
        <is>
          <t>—</t>
        </is>
      </c>
      <c r="G18" s="37" t="inlineStr">
        <is>
          <t>2026-10-22</t>
        </is>
      </c>
      <c r="H18" s="54" t="inlineStr"/>
    </row>
    <row r="19" ht="58" customHeight="1">
      <c r="A19" s="37" t="inlineStr">
        <is>
          <t>L2011</t>
        </is>
      </c>
      <c r="B19" s="37" t="inlineStr">
        <is>
          <t>股东信</t>
        </is>
      </c>
      <c r="C19" s="54" t="inlineStr">
        <is>
          <t>材料/股东信/2011ltr.pdf</t>
        </is>
      </c>
      <c r="D19" s="54" t="inlineStr">
        <is>
          <t>IBM</t>
        </is>
      </c>
      <c r="E19" s="54" t="inlineStr">
        <is>
          <t>2011 年 IBM 投资</t>
        </is>
      </c>
      <c r="F19" s="54" t="inlineStr">
        <is>
          <t>—</t>
        </is>
      </c>
      <c r="G19" s="37" t="inlineStr">
        <is>
          <t>2026-10-22</t>
        </is>
      </c>
      <c r="H19" s="54" t="inlineStr"/>
    </row>
    <row r="20" ht="58" customHeight="1">
      <c r="A20" s="37" t="inlineStr">
        <is>
          <t>L2014</t>
        </is>
      </c>
      <c r="B20" s="37" t="inlineStr">
        <is>
          <t>股东信</t>
        </is>
      </c>
      <c r="C20" s="54" t="inlineStr">
        <is>
          <t>材料/股东信/2014ltr.pdf</t>
        </is>
      </c>
      <c r="D20" s="54" t="inlineStr">
        <is>
          <t>General Re</t>
        </is>
      </c>
      <c r="E20" s="54" t="inlineStr">
        <is>
          <t>General Re 后续反思</t>
        </is>
      </c>
      <c r="F20" s="54" t="inlineStr">
        <is>
          <t>—</t>
        </is>
      </c>
      <c r="G20" s="37" t="inlineStr">
        <is>
          <t>2026-10-22</t>
        </is>
      </c>
      <c r="H20" s="54" t="inlineStr"/>
    </row>
    <row r="21" ht="58" customHeight="1">
      <c r="A21" s="37" t="inlineStr">
        <is>
          <t>L2021</t>
        </is>
      </c>
      <c r="B21" s="37" t="inlineStr">
        <is>
          <t>股东信</t>
        </is>
      </c>
      <c r="C21" s="54" t="inlineStr">
        <is>
          <t>材料/股东信/2021ltr.pdf</t>
        </is>
      </c>
      <c r="D21" s="54" t="inlineStr">
        <is>
          <t>Insurance / Share Repurchases</t>
        </is>
      </c>
      <c r="E21" s="54" t="inlineStr">
        <is>
          <t>1967 年 National Indemnity 与 2021 年回购</t>
        </is>
      </c>
      <c r="F21" s="54" t="inlineStr">
        <is>
          <t>—</t>
        </is>
      </c>
      <c r="G21" s="37" t="inlineStr">
        <is>
          <t>2026-10-22</t>
        </is>
      </c>
      <c r="H21" s="54" t="inlineStr"/>
    </row>
    <row r="22" ht="58" customHeight="1">
      <c r="A22" s="37" t="inlineStr">
        <is>
          <t>L2022</t>
        </is>
      </c>
      <c r="B22" s="37" t="inlineStr">
        <is>
          <t>股东信</t>
        </is>
      </c>
      <c r="C22" s="54" t="inlineStr">
        <is>
          <t>材料/股东信/2022ltr.pdf</t>
        </is>
      </c>
      <c r="D22" s="54" t="inlineStr">
        <is>
          <t>58 Years</t>
        </is>
      </c>
      <c r="E22" s="54" t="inlineStr">
        <is>
          <t>1967 年转向保险的回顾</t>
        </is>
      </c>
      <c r="F22" s="54" t="inlineStr">
        <is>
          <t>—</t>
        </is>
      </c>
      <c r="G22" s="37" t="inlineStr">
        <is>
          <t>2026-10-22</t>
        </is>
      </c>
      <c r="H22" s="54" t="inlineStr"/>
    </row>
    <row r="23" ht="58" customHeight="1">
      <c r="A23" s="37" t="inlineStr">
        <is>
          <t>L2023</t>
        </is>
      </c>
      <c r="B23" s="37" t="inlineStr">
        <is>
          <t>股东信</t>
        </is>
      </c>
      <c r="C23" s="54" t="inlineStr">
        <is>
          <t>材料/股东信/2023ltr.pdf</t>
        </is>
      </c>
      <c r="D23" s="54" t="inlineStr">
        <is>
          <t>日本商社 / 营运利润表</t>
        </is>
      </c>
      <c r="E23" s="54" t="inlineStr">
        <is>
          <t>日本五家商社；2021—2023 营运利润</t>
        </is>
      </c>
      <c r="F23" s="54" t="inlineStr">
        <is>
          <t>—</t>
        </is>
      </c>
      <c r="G23" s="37" t="inlineStr">
        <is>
          <t>2026-10-22</t>
        </is>
      </c>
      <c r="H23" s="54" t="inlineStr"/>
    </row>
    <row r="24" ht="58" customHeight="1">
      <c r="A24" s="37" t="inlineStr">
        <is>
          <t>L2025</t>
        </is>
      </c>
      <c r="B24" s="37" t="inlineStr">
        <is>
          <t>股东信</t>
        </is>
      </c>
      <c r="C24" s="54" t="inlineStr">
        <is>
          <t>材料/股东信/2025ltr.pdf</t>
        </is>
      </c>
      <c r="D24" s="54" t="inlineStr">
        <is>
          <t>p.8, p.15</t>
        </is>
      </c>
      <c r="E24" s="54" t="inlineStr">
        <is>
          <t>2025 年经营回顾；核心持仓表；现金与国债</t>
        </is>
      </c>
      <c r="F24" s="54" t="inlineStr">
        <is>
          <t>—</t>
        </is>
      </c>
      <c r="G24" s="37" t="inlineStr">
        <is>
          <t>2026-10-22</t>
        </is>
      </c>
      <c r="H24" s="54" t="inlineStr">
        <is>
          <t>Abel 首封年度信</t>
        </is>
      </c>
    </row>
    <row r="26" ht="26" customHeight="1">
      <c r="A26" s="29" t="inlineStr">
        <is>
          <t>本地材料为任务提供，未做修改。SEC 文件仅用于补齐任务材料未覆盖的 2021—2022 年（及 2023 年重分类）比较数据；所有 SEC 数字均可在上述 URL 的对应表中复核。</t>
        </is>
      </c>
    </row>
  </sheetData>
  <mergeCells count="3">
    <mergeCell ref="A26:H26"/>
    <mergeCell ref="A2:H2"/>
    <mergeCell ref="A1:H1"/>
  </mergeCells>
  <pageMargins left="0.3" right="0.3" top="0.3" bottom="0.3" header="0.5" footer="0.5"/>
  <pageSetup orientation="landscape" paperSize="8" fitToHeight="1" fitToWidth="1"/>
</worksheet>
</file>

<file path=xl/worksheets/sheet10.xml><?xml version="1.0" encoding="utf-8"?>
<worksheet xmlns="http://schemas.openxmlformats.org/spreadsheetml/2006/main">
  <sheetPr>
    <tabColor rgb="00B8B8B8"/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1" ht="34" customHeight="1">
      <c r="A1" s="16" t="inlineStr">
        <is>
          <t>08  口径、假设与限制</t>
        </is>
      </c>
    </row>
    <row r="2" ht="30" customHeight="1">
      <c r="A2" s="17" t="inlineStr">
        <is>
          <t>读数字之前先读这一页。</t>
        </is>
      </c>
    </row>
    <row r="4" ht="46" customHeight="1">
      <c r="B4" s="55" t="inlineStr">
        <is>
          <t>单位</t>
        </is>
      </c>
      <c r="C4" s="7" t="inlineStr">
        <is>
          <t>除特别注明外，所有金额为百万美元；股数为股；每股账面价值为美元。</t>
        </is>
      </c>
    </row>
    <row r="5" ht="46" customHeight="1">
      <c r="B5" s="55" t="inlineStr">
        <is>
          <t>分部利润</t>
        </is>
      </c>
      <c r="C5" s="7" t="inlineStr">
        <is>
          <t>归属于伯克希尔股东的税后利润，取自各年年报 MD&amp;A「Results of Operations」分部表；不含投资损益、OTTI、商誉减值等。</t>
        </is>
      </c>
    </row>
    <row r="6" ht="46" customHeight="1">
      <c r="B6" s="55" t="inlineStr">
        <is>
          <t>2021—2022 重述</t>
        </is>
      </c>
      <c r="C6" s="7" t="inlineStr">
        <is>
          <t>采用 2023 年 10-K 追溯重述数（ASU 2018-12）。2021 年保险承保为 8.70 亿（2022 年 10-K 原披露 7.28 亿）；2022 年保险承保为 -0.30 亿（原披露 -0.90 亿）。</t>
        </is>
      </c>
    </row>
    <row r="7" ht="46" customHeight="1">
      <c r="B7" s="55" t="inlineStr">
        <is>
          <t>Pilot 口径</t>
        </is>
      </c>
      <c r="C7" s="7" t="inlineStr">
        <is>
          <t>2023 年 1 月 31 日取得控制并自 2 月 1 日合并。2021—2022 年 Pilot 按权益法计入「其他」；2023 年起并入「制造、服务与零售」（2023 年仅含 2—12 月）。2023 年该板块 133.62 亿 = 2023 年 10-K 的 127.59 亿 + Pilot 6.03 亿。</t>
        </is>
      </c>
    </row>
    <row r="8" ht="46" customHeight="1">
      <c r="B8" s="55" t="inlineStr">
        <is>
          <t>其他</t>
        </is>
      </c>
      <c r="C8" s="7" t="inlineStr">
        <is>
          <t>2021—2022 年「其他」= 2023 年 10-K 表中的「非控股业务」+「其他」；2023 年起 2025 年 10-K 将两者合并列示。</t>
        </is>
      </c>
    </row>
    <row r="9" ht="46" customHeight="1">
      <c r="B9" s="55" t="inlineStr">
        <is>
          <t>保险浮存金</t>
        </is>
      </c>
      <c r="C9" s="7" t="inlineStr">
        <is>
          <t>公司口径的近似净保单持有人资金；10-K 以十亿美元整数披露，2026H1 为 1,775 亿（业绩公告）。</t>
        </is>
      </c>
    </row>
    <row r="10" ht="46" customHeight="1">
      <c r="B10" s="55" t="inlineStr">
        <is>
          <t>现金与短期国债</t>
        </is>
      </c>
      <c r="C10" s="7" t="inlineStr">
        <is>
          <t>「保险及其他」板块的 Cash and cash equivalents + Short-term investments in U.S. Treasury Bills；合并口径另加 BNSF/BHE 的现金（两者无短期国债）。2026H1 公司另称净额 3,592 亿（扣除未结算购买）。</t>
        </is>
      </c>
    </row>
    <row r="11" ht="46" customHeight="1">
      <c r="B11" s="55" t="inlineStr">
        <is>
          <t>股票投资组合</t>
        </is>
      </c>
      <c r="C11" s="7" t="inlineStr">
        <is>
          <t>合并资产负债表「Investments in equity securities」公允价值，不含 Kraft Heinz、Occidental 等权益法投资；行业分类按 Note 4 的 primary industry。</t>
        </is>
      </c>
    </row>
    <row r="12" ht="46" customHeight="1">
      <c r="B12" s="55" t="inlineStr">
        <is>
          <t>每股账面价值</t>
        </is>
      </c>
      <c r="C12" s="7" t="inlineStr">
        <is>
          <t>计算值 = 归母股东权益 × 1,000,000 ÷ A 等价股数；A 等价股数 = Class A + Class B/1,500。不是公司披露指标，和股价无关。</t>
        </is>
      </c>
    </row>
    <row r="13" ht="46" customHeight="1">
      <c r="B13" s="55" t="inlineStr">
        <is>
          <t>回购金额</t>
        </is>
      </c>
      <c r="C13" s="7" t="inlineStr">
        <is>
          <t>现金流量表「Acquisitions of treasury stock」的现金支付额；2026H1 为 4,444，业绩公告称约 4,800（含期末未结算）。2025 年为 0。</t>
        </is>
      </c>
    </row>
    <row r="14" ht="46" customHeight="1">
      <c r="B14" s="55" t="inlineStr">
        <is>
          <t>核心持仓</t>
        </is>
      </c>
      <c r="C14" s="7" t="inlineStr">
        <is>
          <t>2025 年股东信 p.15 点名披露的 Apple、Amex、Coca-Cola、Moody's 与日本五家；不是全部持仓，也不是投资建议。</t>
        </is>
      </c>
    </row>
    <row r="15" ht="46" customHeight="1">
      <c r="B15" s="55" t="inlineStr">
        <is>
          <t>2026 全年估算</t>
        </is>
      </c>
      <c r="C15" s="7" t="inlineStr">
        <is>
          <t>「变化」页 D/E 两块的年化系数、H2 回购、浮存金增速、BVPS 增速均为假设，仅用于展示敏感性；不是公司指引或预测。</t>
        </is>
      </c>
    </row>
    <row r="16" ht="46" customHeight="1">
      <c r="B16" s="55" t="inlineStr">
        <is>
          <t>未核实/限制</t>
        </is>
      </c>
      <c r="C16" s="7" t="inlineStr">
        <is>
          <t>2021 年归母权益为 2022 年 10-K 原披露数，未按 2023 年 ASU 追溯重述；2023 年现金采用 2024 年 10-K 的 Pilot 重分类数（34,268），与 2023 年 10-K 原披露 33,672 有差异；分部利润为税后口径，不同年份的实际税率会影响可比性。</t>
        </is>
      </c>
    </row>
    <row r="17" ht="46" customHeight="1">
      <c r="B17" s="55" t="inlineStr">
        <is>
          <t>免责声明</t>
        </is>
      </c>
      <c r="C17" s="7" t="inlineStr">
        <is>
          <t>本工作簿为研究与展示用的历史财务分析，不构成投资建议；不提供买入、卖出、持有或目标价，不评价股价。</t>
        </is>
      </c>
    </row>
  </sheetData>
  <mergeCells count="16">
    <mergeCell ref="B8"/>
    <mergeCell ref="B4"/>
    <mergeCell ref="B17"/>
    <mergeCell ref="B9"/>
    <mergeCell ref="B12"/>
    <mergeCell ref="A1:C1"/>
    <mergeCell ref="B13"/>
    <mergeCell ref="B15"/>
    <mergeCell ref="B7"/>
    <mergeCell ref="B11"/>
    <mergeCell ref="B6"/>
    <mergeCell ref="B16"/>
    <mergeCell ref="B10"/>
    <mergeCell ref="B5"/>
    <mergeCell ref="B14"/>
    <mergeCell ref="A2:C2"/>
  </mergeCells>
  <pageMargins left="0.3" right="0.3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独立研究整理</dc:creator>
  <dc:title xmlns:dc="http://purl.org/dc/elements/1.1/">伯克希尔账本：2021—2026H1</dc:title>
  <dc:description xmlns:dc="http://purl.org/dc/elements/1.1/">数据来源见「来源」表；黄色为披露输入值，蓝色为公式计算，橙色为可修改假设。非投资建议。</dc:description>
  <dc:subject xmlns:dc="http://purl.org/dc/elements/1.1/">伯克希尔·哈撒韦分部利润、浮存金、现金、股票组合、回购与每股账面价值</dc:subject>
  <dcterms:created xmlns:dcterms="http://purl.org/dc/terms/" xmlns:xsi="http://www.w3.org/2001/XMLSchema-instance" xsi:type="dcterms:W3CDTF">2026-10-22T21:12:22Z</dcterms:created>
  <dcterms:modified xmlns:dcterms="http://purl.org/dc/terms/" xmlns:xsi="http://www.w3.org/2001/XMLSchema-instance" xsi:type="dcterms:W3CDTF">2026-10-22T21:12:22Z</dcterms:modified>
</cp:coreProperties>
</file>