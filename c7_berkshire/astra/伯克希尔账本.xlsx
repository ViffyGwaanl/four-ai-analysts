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阅读指南" sheetId="1" r:id="rId1"/>
    <sheet name="变化" sheetId="2" r:id="rId2"/>
    <sheet name="利润" sheetId="3" r:id="rId3"/>
    <sheet name="资本" sheetId="4" r:id="rId4"/>
    <sheet name="股票组合" sheetId="5" r:id="rId5"/>
    <sheet name="法定分部" sheetId="6" r:id="rId6"/>
    <sheet name="现金流" sheetId="7" r:id="rId7"/>
    <sheet name="对账" sheetId="8" r:id="rId8"/>
    <sheet name="假设" sheetId="9" r:id="rId9"/>
    <sheet name="变化明细" sheetId="10" r:id="rId10"/>
    <sheet name="来源" sheetId="11" r:id="rId11"/>
    <sheet name="历史决策" sheetId="12" r:id="rId12"/>
    <sheet name="取数索引" sheetId="13" r:id="rId13"/>
  </sheets>
  <definedNames>
    <definedName name="_xlnm._FilterDatabase" localSheetId="2" hidden="1">利润!$A$5:$I$5</definedName>
    <definedName name="_xlnm._FilterDatabase" localSheetId="12" hidden="1">取数索引!$A$1:$D$273</definedName>
    <definedName name="_xlnm._FilterDatabase" localSheetId="9" hidden="1">变化明细!$A$5:$J$36</definedName>
    <definedName name="_xlnm._FilterDatabase" localSheetId="5" hidden="1">法定分部!$A$5:$I$5</definedName>
    <definedName name="_xlnm._FilterDatabase" localSheetId="6" hidden="1">现金流!$A$5:$I$5</definedName>
    <definedName name="_xlnm._FilterDatabase" localSheetId="4" hidden="1">股票组合!$A$5:$I$5</definedName>
    <definedName name="_xlnm._FilterDatabase" localSheetId="3" hidden="1">资本!$A$5:$I$5</definedName>
    <definedName name="_xlnm.Print_Area" localSheetId="1">变化!$A$1:$I$51</definedName>
    <definedName name="_xlnm.Print_Area" localSheetId="0">阅读指南!$A$1:$I$16</definedName>
  </definedNames>
  <calcPr calcId="124519" fullCalcOnLoad="1"/>
</workbook>
</file>

<file path=xl/comments1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6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6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6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6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6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6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7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7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7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7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8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8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8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8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8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8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8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9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9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9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9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9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9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9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10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10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10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10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10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10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10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D11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11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11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11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11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14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14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14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14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14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14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14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B15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
口径：0表示该独立调整行在当期无披露金额，并非所有资产均无减值。</t>
        </r>
      </text>
    </comment>
    <comment ref="C15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
口径：0表示该独立调整行在当期无披露金额，并非所有资产均无减值。</t>
        </r>
      </text>
    </comment>
    <comment ref="D15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
口径：0表示该独立调整行在当期无披露金额，并非所有资产均无减值。</t>
        </r>
      </text>
    </comment>
    <comment ref="E15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
口径：0表示该独立调整行在当期无披露金额，并非所有资产均无减值。</t>
        </r>
      </text>
    </comment>
    <comment ref="F15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
口径：0表示该独立调整行在当期无披露金额，并非所有资产均无减值。</t>
        </r>
      </text>
    </comment>
    <comment ref="G15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
口径：0表示该独立调整行在当期无披露金额，并非所有资产均无减值。</t>
        </r>
      </text>
    </comment>
    <comment ref="H15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
口径：0表示该独立调整行在当期无披露金额，并非所有资产均无减值。</t>
        </r>
      </text>
    </comment>
    <comment ref="B17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C17" authorId="0">
      <text>
        <r>
          <rPr>
            <sz val="8"/>
            <color indexed="81"/>
            <rFont val="Tahoma"/>
            <family val="2"/>
          </rPr>
          <t>补充来源 E2：2023ar.pdf｜Item 7 Results of Operations，K-35（ASU 2018-12重述后）</t>
        </r>
      </text>
    </comment>
    <comment ref="D1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E1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F17" authorId="0">
      <text>
        <r>
          <rPr>
            <sz val="8"/>
            <color indexed="81"/>
            <rFont val="Tahoma"/>
            <family val="2"/>
          </rPr>
          <t>材料/Berkshire_2025年报__brka-20251231.htm｜Item 7 Results of Operations，K-34</t>
        </r>
      </text>
    </comment>
    <comment ref="G17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  <comment ref="H17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</t>
        </r>
      </text>
    </comment>
  </commentList>
</comments>
</file>

<file path=xl/comments2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材料/股东信/2022ltr.pdf｜The Past Year in Brief，印刷页6（2021为147、2022为164十亿美元，约数）
口径：浮存金为约数，年末176,000采用年报；2026季报称增加约1,100，不能与粗粒度年末数精确相减。</t>
        </r>
      </text>
    </comment>
    <comment ref="C6" authorId="0">
      <text>
        <r>
          <rPr>
            <sz val="8"/>
            <color indexed="81"/>
            <rFont val="Tahoma"/>
            <family val="2"/>
          </rPr>
          <t>材料/股东信/2022ltr.pdf｜The Past Year in Brief，印刷页6（2021为147、2022为164十亿美元，约数）
口径：浮存金为约数，年末176,000采用年报；2026季报称增加约1,100，不能与粗粒度年末数精确相减。</t>
        </r>
      </text>
    </comment>
    <comment ref="D6" authorId="0">
      <text>
        <r>
          <rPr>
            <sz val="8"/>
            <color indexed="81"/>
            <rFont val="Tahoma"/>
            <family val="2"/>
          </rPr>
          <t>材料/Berkshire_2025年报__brka-20251231.htm｜Item 7 Insurance—Investment Income，K-41
口径：浮存金为约数，年末176,000采用年报；2026季报称增加约1,100，不能与粗粒度年末数精确相减。</t>
        </r>
      </text>
    </comment>
    <comment ref="E6" authorId="0">
      <text>
        <r>
          <rPr>
            <sz val="8"/>
            <color indexed="81"/>
            <rFont val="Tahoma"/>
            <family val="2"/>
          </rPr>
          <t>材料/Berkshire_2025年报__brka-20251231.htm｜Item 7 Insurance—Investment Income，K-41
口径：浮存金为约数，年末176,000采用年报；2026季报称增加约1,100，不能与粗粒度年末数精确相减。</t>
        </r>
      </text>
    </comment>
    <comment ref="F6" authorId="0">
      <text>
        <r>
          <rPr>
            <sz val="8"/>
            <color indexed="81"/>
            <rFont val="Tahoma"/>
            <family val="2"/>
          </rPr>
          <t>材料/Berkshire_2025年报__brka-20251231.htm｜Item 7 Insurance—Investment Income，K-41
口径：浮存金为约数，年末176,000采用年报；2026季报称增加约1,100，不能与粗粒度年末数精确相减。</t>
        </r>
      </text>
    </comment>
    <comment ref="G6" authorId="0">
      <text>
        <r>
          <rPr>
            <sz val="8"/>
            <color indexed="81"/>
            <rFont val="Tahoma"/>
            <family val="2"/>
          </rPr>
          <t>补充来源 E3：2025二季报 2ndqtr25.pdf｜Item 2 Insurance—Investment Income，p35
口径：浮存金为约数，年末176,000采用年报；2026季报称增加约1,100，不能与粗粒度年末数精确相减。</t>
        </r>
      </text>
    </comment>
    <comment ref="H6" authorId="0">
      <text>
        <r>
          <rPr>
            <sz val="8"/>
            <color indexed="81"/>
            <rFont val="Tahoma"/>
            <family val="2"/>
          </rPr>
          <t>材料/Berkshire_2026Q2季报__brka-20260630.htm｜Item 2 Insurance—Investment Income，p38
口径：浮存金为约数，年末176,000采用年报；2026季报称增加约1,100，不能与粗粒度年末数精确相减。</t>
        </r>
      </text>
    </comment>
    <comment ref="B8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C8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D8" authorId="0">
      <text>
        <r>
          <rPr>
            <sz val="8"/>
            <color indexed="81"/>
            <rFont val="Tahoma"/>
            <family val="2"/>
          </rPr>
          <t>补充来源 E2：2023ar.pdf｜Consolidated Balance Sheets，K-70–71</t>
        </r>
      </text>
    </comment>
    <comment ref="E8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F8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G8" authorId="0">
      <text>
        <r>
          <rPr>
            <sz val="8"/>
            <color indexed="81"/>
            <rFont val="Tahoma"/>
            <family val="2"/>
          </rPr>
          <t>补充来源 E3：2025二季报 2ndqtr25.pdf｜Consolidated Balance Sheets，p2–3</t>
        </r>
      </text>
    </comment>
    <comment ref="H8" authorId="0">
      <text>
        <r>
          <rPr>
            <sz val="8"/>
            <color indexed="81"/>
            <rFont val="Tahoma"/>
            <family val="2"/>
          </rPr>
          <t>材料/Berkshire_2026Q2季报__brka-20260630.htm｜Consolidated Balance Sheets，p2–3</t>
        </r>
      </text>
    </comment>
    <comment ref="B9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C9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D9" authorId="0">
      <text>
        <r>
          <rPr>
            <sz val="8"/>
            <color indexed="81"/>
            <rFont val="Tahoma"/>
            <family val="2"/>
          </rPr>
          <t>补充来源 E2：2023ar.pdf｜Consolidated Balance Sheets，K-70–71</t>
        </r>
      </text>
    </comment>
    <comment ref="E9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F9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G9" authorId="0">
      <text>
        <r>
          <rPr>
            <sz val="8"/>
            <color indexed="81"/>
            <rFont val="Tahoma"/>
            <family val="2"/>
          </rPr>
          <t>补充来源 E3：2025二季报 2ndqtr25.pdf｜Consolidated Balance Sheets，p2–3</t>
        </r>
      </text>
    </comment>
    <comment ref="H9" authorId="0">
      <text>
        <r>
          <rPr>
            <sz val="8"/>
            <color indexed="81"/>
            <rFont val="Tahoma"/>
            <family val="2"/>
          </rPr>
          <t>材料/Berkshire_2026Q2季报__brka-20260630.htm｜Consolidated Balance Sheets，p2–3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补充来源 E1：2022ar.pdf｜Consolidated Balance Sheets，K-70，2021比较列</t>
        </r>
      </text>
    </comment>
    <comment ref="C11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D11" authorId="0">
      <text>
        <r>
          <rPr>
            <sz val="8"/>
            <color indexed="81"/>
            <rFont val="Tahoma"/>
            <family val="2"/>
          </rPr>
          <t>补充来源 E2：2023ar.pdf｜Consolidated Balance Sheets，K-70–71</t>
        </r>
      </text>
    </comment>
    <comment ref="E11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F11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G11" authorId="0">
      <text>
        <r>
          <rPr>
            <sz val="8"/>
            <color indexed="81"/>
            <rFont val="Tahoma"/>
            <family val="2"/>
          </rPr>
          <t>补充来源 E3：2025二季报 2ndqtr25.pdf｜Consolidated Balance Sheets，p2–3</t>
        </r>
      </text>
    </comment>
    <comment ref="H11" authorId="0">
      <text>
        <r>
          <rPr>
            <sz val="8"/>
            <color indexed="81"/>
            <rFont val="Tahoma"/>
            <family val="2"/>
          </rPr>
          <t>材料/Berkshire_2026Q2季报__brka-20260630.htm｜Consolidated Balance Sheets，p2–3</t>
        </r>
      </text>
    </comment>
    <comment ref="B15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C15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Equity，K-73；现金见Cash Flows K-74</t>
        </r>
      </text>
    </comment>
    <comment ref="D15" authorId="0">
      <text>
        <r>
          <rPr>
            <sz val="8"/>
            <color indexed="81"/>
            <rFont val="Tahoma"/>
            <family val="2"/>
          </rPr>
          <t>补充来源 E2：2023ar.pdf｜Consolidated Balance Sheets，K-70–71</t>
        </r>
      </text>
    </comment>
    <comment ref="E15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F15" authorId="0">
      <text>
        <r>
          <rPr>
            <sz val="8"/>
            <color indexed="81"/>
            <rFont val="Tahoma"/>
            <family val="2"/>
          </rPr>
          <t>材料/Berkshire_2025年报__brka-20251231.htm｜Consolidated Balance Sheets / Statements of Changes in Shareholders’ Equity</t>
        </r>
      </text>
    </comment>
    <comment ref="G15" authorId="0">
      <text>
        <r>
          <rPr>
            <sz val="8"/>
            <color indexed="81"/>
            <rFont val="Tahoma"/>
            <family val="2"/>
          </rPr>
          <t>补充来源 E3：2025二季报 2ndqtr25.pdf｜Consolidated Balance Sheets，p2–3</t>
        </r>
      </text>
    </comment>
    <comment ref="H15" authorId="0">
      <text>
        <r>
          <rPr>
            <sz val="8"/>
            <color indexed="81"/>
            <rFont val="Tahoma"/>
            <family val="2"/>
          </rPr>
          <t>材料/Berkshire_2026Q2季报__brka-20260630.htm｜Consolidated Balance Sheets，p2–3</t>
        </r>
      </text>
    </comment>
    <comment ref="B16" authorId="0">
      <text>
        <r>
          <rPr>
            <sz val="8"/>
            <color indexed="81"/>
            <rFont val="Tahoma"/>
            <family val="2"/>
          </rPr>
          <t>补充来源 E2：2023ar.pdf｜Note 22 Common stock，K-107</t>
        </r>
      </text>
    </comment>
    <comment ref="C16" authorId="0">
      <text>
        <r>
          <rPr>
            <sz val="8"/>
            <color indexed="81"/>
            <rFont val="Tahoma"/>
            <family val="2"/>
          </rPr>
          <t>补充来源 E2：2023ar.pdf｜Note 22 Common stock，K-107</t>
        </r>
      </text>
    </comment>
    <comment ref="D16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E16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F16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G16" authorId="0">
      <text>
        <r>
          <rPr>
            <sz val="8"/>
            <color indexed="81"/>
            <rFont val="Tahoma"/>
            <family val="2"/>
          </rPr>
          <t>补充来源 E3：2025二季报 2ndqtr25.pdf｜Note 18 Common stock，p19–20</t>
        </r>
      </text>
    </comment>
    <comment ref="H16" authorId="0">
      <text>
        <r>
          <rPr>
            <sz val="8"/>
            <color indexed="81"/>
            <rFont val="Tahoma"/>
            <family val="2"/>
          </rPr>
          <t>材料/Berkshire_2026Q2季报__brka-20260630.htm｜Note 18 Common stock</t>
        </r>
      </text>
    </comment>
    <comment ref="B17" authorId="0">
      <text>
        <r>
          <rPr>
            <sz val="8"/>
            <color indexed="81"/>
            <rFont val="Tahoma"/>
            <family val="2"/>
          </rPr>
          <t>补充来源 E2：2023ar.pdf｜Note 22 Common stock，K-107</t>
        </r>
      </text>
    </comment>
    <comment ref="C17" authorId="0">
      <text>
        <r>
          <rPr>
            <sz val="8"/>
            <color indexed="81"/>
            <rFont val="Tahoma"/>
            <family val="2"/>
          </rPr>
          <t>补充来源 E2：2023ar.pdf｜Note 22 Common stock，K-107</t>
        </r>
      </text>
    </comment>
    <comment ref="D17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E17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F17" authorId="0">
      <text>
        <r>
          <rPr>
            <sz val="8"/>
            <color indexed="81"/>
            <rFont val="Tahoma"/>
            <family val="2"/>
          </rPr>
          <t>材料/Berkshire_2025年报__brka-20251231.htm｜Note 22 Common stock，期末 Outstanding</t>
        </r>
      </text>
    </comment>
    <comment ref="G17" authorId="0">
      <text>
        <r>
          <rPr>
            <sz val="8"/>
            <color indexed="81"/>
            <rFont val="Tahoma"/>
            <family val="2"/>
          </rPr>
          <t>补充来源 E3：2025二季报 2ndqtr25.pdf｜Note 18 Common stock，p19–20</t>
        </r>
      </text>
    </comment>
    <comment ref="H17" authorId="0">
      <text>
        <r>
          <rPr>
            <sz val="8"/>
            <color indexed="81"/>
            <rFont val="Tahoma"/>
            <family val="2"/>
          </rPr>
          <t>材料/Berkshire_2026Q2季报__brka-20260630.htm｜Note 18 Common stock</t>
        </r>
      </text>
    </comment>
    <comment ref="B23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</t>
        </r>
      </text>
    </comment>
    <comment ref="C23" authorId="0">
      <text>
        <r>
          <rPr>
            <sz val="8"/>
            <color indexed="81"/>
            <rFont val="Tahoma"/>
            <family val="2"/>
          </rPr>
          <t>补充来源 E2：2023ar.pdf｜Consolidated Statements of Changes in Shareholders’ Equity，K-73</t>
        </r>
      </text>
    </comment>
    <comment ref="D23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Changes in Shareholders’ Equity</t>
        </r>
      </text>
    </comment>
    <comment ref="E23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Changes in Shareholders’ Equity</t>
        </r>
      </text>
    </comment>
    <comment ref="F23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Changes in Shareholders’ Equity</t>
        </r>
      </text>
    </comment>
    <comment ref="G23" authorId="0">
      <text>
        <r>
          <rPr>
            <sz val="8"/>
            <color indexed="81"/>
            <rFont val="Tahoma"/>
            <family val="2"/>
          </rPr>
          <t>补充来源 E3：2025二季报 2ndqtr25.pdf｜Note 18 Common stock，p20</t>
        </r>
      </text>
    </comment>
    <comment ref="H23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Changes in Shareholders’ Equity，p4</t>
        </r>
      </text>
    </comment>
    <comment ref="B24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24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24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24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24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24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24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</commentList>
</comments>
</file>

<file path=xl/comments3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补充来源 E1：2022ar.pdf｜Note 4 Investments in equity securities，K-84</t>
        </r>
      </text>
    </comment>
    <comment ref="C6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D6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E6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F6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G6" authorId="0">
      <text>
        <r>
          <rPr>
            <sz val="8"/>
            <color indexed="81"/>
            <rFont val="Tahoma"/>
            <family val="2"/>
          </rPr>
          <t>补充来源 E3：2025二季报 2ndqtr25.pdf｜Note 4 Investments in equity securities，p8</t>
        </r>
      </text>
    </comment>
    <comment ref="H6" authorId="0">
      <text>
        <r>
          <rPr>
            <sz val="8"/>
            <color indexed="81"/>
            <rFont val="Tahoma"/>
            <family val="2"/>
          </rPr>
          <t>材料/Berkshire_2026Q2季报__brka-20260630.htm｜Note 4 Investments in equity securities，p8</t>
        </r>
      </text>
    </comment>
    <comment ref="B7" authorId="0">
      <text>
        <r>
          <rPr>
            <sz val="8"/>
            <color indexed="81"/>
            <rFont val="Tahoma"/>
            <family val="2"/>
          </rPr>
          <t>补充来源 E1：2022ar.pdf｜Note 4 Investments in equity securities，K-84</t>
        </r>
      </text>
    </comment>
    <comment ref="C7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D7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E7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F7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G7" authorId="0">
      <text>
        <r>
          <rPr>
            <sz val="8"/>
            <color indexed="81"/>
            <rFont val="Tahoma"/>
            <family val="2"/>
          </rPr>
          <t>补充来源 E3：2025二季报 2ndqtr25.pdf｜Note 4 Investments in equity securities，p8</t>
        </r>
      </text>
    </comment>
    <comment ref="H7" authorId="0">
      <text>
        <r>
          <rPr>
            <sz val="8"/>
            <color indexed="81"/>
            <rFont val="Tahoma"/>
            <family val="2"/>
          </rPr>
          <t>材料/Berkshire_2026Q2季报__brka-20260630.htm｜Note 4 Investments in equity securities，p8</t>
        </r>
      </text>
    </comment>
    <comment ref="B8" authorId="0">
      <text>
        <r>
          <rPr>
            <sz val="8"/>
            <color indexed="81"/>
            <rFont val="Tahoma"/>
            <family val="2"/>
          </rPr>
          <t>补充来源 E1：2022ar.pdf｜Note 4 Investments in equity securities，K-84</t>
        </r>
      </text>
    </comment>
    <comment ref="C8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D8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E8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F8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G8" authorId="0">
      <text>
        <r>
          <rPr>
            <sz val="8"/>
            <color indexed="81"/>
            <rFont val="Tahoma"/>
            <family val="2"/>
          </rPr>
          <t>补充来源 E3：2025二季报 2ndqtr25.pdf｜Note 4 Investments in equity securities，p8</t>
        </r>
      </text>
    </comment>
    <comment ref="H8" authorId="0">
      <text>
        <r>
          <rPr>
            <sz val="8"/>
            <color indexed="81"/>
            <rFont val="Tahoma"/>
            <family val="2"/>
          </rPr>
          <t>材料/Berkshire_2026Q2季报__brka-20260630.htm｜Note 4 Investments in equity securities，p8</t>
        </r>
      </text>
    </comment>
    <comment ref="B10" authorId="0">
      <text>
        <r>
          <rPr>
            <sz val="8"/>
            <color indexed="81"/>
            <rFont val="Tahoma"/>
            <family val="2"/>
          </rPr>
          <t>补充来源 E1：2022ar.pdf｜Note 4 Investments in equity securities，K-84</t>
        </r>
      </text>
    </comment>
    <comment ref="C10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D10" authorId="0">
      <text>
        <r>
          <rPr>
            <sz val="8"/>
            <color indexed="81"/>
            <rFont val="Tahoma"/>
            <family val="2"/>
          </rPr>
          <t>补充来源 E2：2023ar.pdf｜Note 4 Investments in equity securities，K-85</t>
        </r>
      </text>
    </comment>
    <comment ref="E10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F10" authorId="0">
      <text>
        <r>
          <rPr>
            <sz val="8"/>
            <color indexed="81"/>
            <rFont val="Tahoma"/>
            <family val="2"/>
          </rPr>
          <t>材料/Berkshire_2025年报__brka-20251231.htm｜Note 4 Investments in equity securities</t>
        </r>
      </text>
    </comment>
    <comment ref="G10" authorId="0">
      <text>
        <r>
          <rPr>
            <sz val="8"/>
            <color indexed="81"/>
            <rFont val="Tahoma"/>
            <family val="2"/>
          </rPr>
          <t>补充来源 E3：2025二季报 2ndqtr25.pdf｜Note 4 Investments in equity securities，p8</t>
        </r>
      </text>
    </comment>
    <comment ref="H10" authorId="0">
      <text>
        <r>
          <rPr>
            <sz val="8"/>
            <color indexed="81"/>
            <rFont val="Tahoma"/>
            <family val="2"/>
          </rPr>
          <t>材料/Berkshire_2026Q2季报__brka-20260630.htm｜Note 4 Investments in equity securities，p8</t>
        </r>
      </text>
    </comment>
  </commentList>
</comments>
</file>

<file path=xl/comments4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6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6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6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6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6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6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7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7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7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7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7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7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7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8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8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8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8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8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8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8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9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9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9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9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9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9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9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10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10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10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10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10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10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10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11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11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11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11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11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11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12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C12" authorId="0">
      <text>
        <r>
          <rPr>
            <sz val="8"/>
            <color indexed="81"/>
            <rFont val="Tahoma"/>
            <family val="2"/>
          </rPr>
          <t>补充来源 E2：2023ar.pdf｜Note 26 Business segment data，K-113</t>
        </r>
      </text>
    </comment>
    <comment ref="D12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E12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F12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</t>
        </r>
      </text>
    </comment>
    <comment ref="G12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H12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</t>
        </r>
      </text>
    </comment>
    <comment ref="B13" authorId="0">
      <text>
        <r>
          <rPr>
            <sz val="8"/>
            <color indexed="81"/>
            <rFont val="Tahoma"/>
            <family val="2"/>
          </rPr>
          <t>补充来源 E2：2023ar.pdf｜Note 26 Business segment data，K-113
口径：2021–2022未并表Pilot，0为合并分部无该金额，其权益法收益在其他。</t>
        </r>
      </text>
    </comment>
    <comment ref="C13" authorId="0">
      <text>
        <r>
          <rPr>
            <sz val="8"/>
            <color indexed="81"/>
            <rFont val="Tahoma"/>
            <family val="2"/>
          </rPr>
          <t>补充来源 E2：2023ar.pdf｜Note 26 Business segment data，K-113
口径：2021–2022未并表Pilot，0为合并分部无该金额，其权益法收益在其他。</t>
        </r>
      </text>
    </comment>
    <comment ref="D13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
口径：2021–2022未并表Pilot，0为合并分部无该金额，其权益法收益在其他。</t>
        </r>
      </text>
    </comment>
    <comment ref="E13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
口径：2021–2022未并表Pilot，0为合并分部无该金额，其权益法收益在其他。</t>
        </r>
      </text>
    </comment>
    <comment ref="F13" authorId="0">
      <text>
        <r>
          <rPr>
            <sz val="8"/>
            <color indexed="81"/>
            <rFont val="Tahoma"/>
            <family val="2"/>
          </rPr>
          <t>材料/Berkshire_2025年报__brka-20251231.htm｜Note 26 Business segment data
口径：2021–2022未并表Pilot，0为合并分部无该金额，其权益法收益在其他。</t>
        </r>
      </text>
    </comment>
    <comment ref="G13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
口径：2021–2022未并表Pilot，0为合并分部无该金额，其权益法收益在其他。</t>
        </r>
      </text>
    </comment>
    <comment ref="H13" authorId="0">
      <text>
        <r>
          <rPr>
            <sz val="8"/>
            <color indexed="81"/>
            <rFont val="Tahoma"/>
            <family val="2"/>
          </rPr>
          <t>材料/Berkshire_2026Q2季报__brka-20260630.htm｜Note 24 Business segment data
口径：2021–2022未并表Pilot，0为合并分部无该金额，其权益法收益在其他。</t>
        </r>
      </text>
    </comment>
  </commentList>
</comments>
</file>

<file path=xl/comments5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6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6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6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6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6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6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B7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7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7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7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7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7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7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B9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9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9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9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9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9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9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B10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10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10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10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10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10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10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B12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C12" authorId="0">
      <text>
        <r>
          <rPr>
            <sz val="8"/>
            <color indexed="81"/>
            <rFont val="Tahoma"/>
            <family val="2"/>
          </rPr>
          <t>补充来源 E2：2023ar.pdf｜Consolidated Statements of Cash Flows，K-74</t>
        </r>
      </text>
    </comment>
    <comment ref="D12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E12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F12" authorId="0">
      <text>
        <r>
          <rPr>
            <sz val="8"/>
            <color indexed="81"/>
            <rFont val="Tahoma"/>
            <family val="2"/>
          </rPr>
          <t>材料/Berkshire_2025年报__brka-20251231.htm｜Consolidated Statements of Cash Flows</t>
        </r>
      </text>
    </comment>
    <comment ref="G12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  <comment ref="H12" authorId="0">
      <text>
        <r>
          <rPr>
            <sz val="8"/>
            <color indexed="81"/>
            <rFont val="Tahoma"/>
            <family val="2"/>
          </rPr>
          <t>材料/Berkshire_2026Q2季报__brka-20260630.htm｜Consolidated Statements of Cash Flows，p5</t>
        </r>
      </text>
    </comment>
  </commentList>
</comments>
</file>

<file path=xl/comments6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补充来源 E2：2023ar.pdf｜Item 7 Results of Operations，K-35</t>
        </r>
      </text>
    </comment>
    <comment ref="C6" authorId="0">
      <text>
        <r>
          <rPr>
            <sz val="8"/>
            <color indexed="81"/>
            <rFont val="Tahoma"/>
            <family val="2"/>
          </rPr>
          <t>补充来源 E2：2023ar.pdf｜Item 7 Results of Operations，K-35</t>
        </r>
      </text>
    </comment>
    <comment ref="B7" authorId="0">
      <text>
        <r>
          <rPr>
            <sz val="8"/>
            <color indexed="81"/>
            <rFont val="Tahoma"/>
            <family val="2"/>
          </rPr>
          <t>补充来源 E2：2023ar.pdf｜Item 7 Results of Operations，K-35</t>
        </r>
      </text>
    </comment>
    <comment ref="C7" authorId="0">
      <text>
        <r>
          <rPr>
            <sz val="8"/>
            <color indexed="81"/>
            <rFont val="Tahoma"/>
            <family val="2"/>
          </rPr>
          <t>补充来源 E2：2023ar.pdf｜Item 7 Results of Operations，K-35</t>
        </r>
      </text>
    </comment>
    <comment ref="B10" authorId="0">
      <text>
        <r>
          <rPr>
            <sz val="8"/>
            <color indexed="81"/>
            <rFont val="Tahoma"/>
            <family val="2"/>
          </rPr>
          <t>E2：2023ar.pdf｜Item 7 Results of Operations，K-35</t>
        </r>
      </text>
    </comment>
    <comment ref="B11" authorId="0">
      <text>
        <r>
          <rPr>
            <sz val="8"/>
            <color indexed="81"/>
            <rFont val="Tahoma"/>
            <family val="2"/>
          </rPr>
          <t>E2：2023ar.pdf｜Item 7 Results of Operations，K-35</t>
        </r>
      </text>
    </comment>
    <comment ref="B17" authorId="0">
      <text>
        <r>
          <rPr>
            <sz val="8"/>
            <color indexed="81"/>
            <rFont val="Tahoma"/>
            <family val="2"/>
          </rPr>
          <t>材料/Berkshire_2026Q2季报__brka-20260630.htm｜Item 2 Other，p47，税后外币债务汇兑</t>
        </r>
      </text>
    </comment>
    <comment ref="C17" authorId="0">
      <text>
        <r>
          <rPr>
            <sz val="8"/>
            <color indexed="81"/>
            <rFont val="Tahoma"/>
            <family val="2"/>
          </rPr>
          <t>材料/Berkshire_2026Q2季报__brka-20260630.htm｜Item 2 Other，p47，税后外币债务汇兑</t>
        </r>
      </text>
    </comment>
    <comment ref="B21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Operations，p33，税后重大灾害损失</t>
        </r>
      </text>
    </comment>
    <comment ref="C21" authorId="0">
      <text>
        <r>
          <rPr>
            <sz val="8"/>
            <color indexed="81"/>
            <rFont val="Tahoma"/>
            <family val="2"/>
          </rPr>
          <t>材料/Berkshire_2026Q2季报__brka-20260630.htm｜Item 2 Results of Operations，p33，税后重大灾害损失</t>
        </r>
      </text>
    </comment>
    <comment ref="B28" authorId="0">
      <text>
        <r>
          <rPr>
            <sz val="8"/>
            <color indexed="81"/>
            <rFont val="Tahoma"/>
            <family val="2"/>
          </rPr>
          <t>材料/Berkshire_2025年报__brka-20251231.htm｜Item 7 Financial Condition，净未结算国债应付款；约数</t>
        </r>
      </text>
    </comment>
    <comment ref="B29" authorId="0">
      <text>
        <r>
          <rPr>
            <sz val="8"/>
            <color indexed="81"/>
            <rFont val="Tahoma"/>
            <family val="2"/>
          </rPr>
          <t>材料/Berkshire_2026Q2季报__brka-20260630.htm｜Item 2 Financial Condition，p48；约数</t>
        </r>
      </text>
    </comment>
    <comment ref="B30" authorId="0">
      <text>
        <r>
          <rPr>
            <sz val="8"/>
            <color indexed="81"/>
            <rFont val="Tahoma"/>
            <family val="2"/>
          </rPr>
          <t>材料/Berkshire_2026Q2季报__brka-20260630.htm｜Item 2 Insurance—Investment Income，p38；约数</t>
        </r>
      </text>
    </comment>
  </commentList>
</comments>
</file>

<file path=xl/comments7.xml><?xml version="1.0" encoding="utf-8"?>
<comments xmlns="http://schemas.openxmlformats.org/spreadsheetml/2006/main">
  <authors>
    <author>来源索引</author>
  </authors>
  <commentList>
    <comment ref="B6" authorId="0">
      <text>
        <r>
          <rPr>
            <sz val="8"/>
            <color indexed="81"/>
            <rFont val="Tahoma"/>
            <family val="2"/>
          </rPr>
          <t>分析者假设，非公司披露</t>
        </r>
      </text>
    </comment>
    <comment ref="B7" authorId="0">
      <text>
        <r>
          <rPr>
            <sz val="8"/>
            <color indexed="81"/>
            <rFont val="Tahoma"/>
            <family val="2"/>
          </rPr>
          <t>分析者假设，非公司披露</t>
        </r>
      </text>
    </comment>
    <comment ref="B8" authorId="0">
      <text>
        <r>
          <rPr>
            <sz val="8"/>
            <color indexed="81"/>
            <rFont val="Tahoma"/>
            <family val="2"/>
          </rPr>
          <t>分析者假设，非公司披露</t>
        </r>
      </text>
    </comment>
    <comment ref="B9" authorId="0">
      <text>
        <r>
          <rPr>
            <sz val="8"/>
            <color indexed="81"/>
            <rFont val="Tahoma"/>
            <family val="2"/>
          </rPr>
          <t>分析者假设，非公司披露</t>
        </r>
      </text>
    </comment>
  </commentList>
</comments>
</file>

<file path=xl/comments8.xml><?xml version="1.0" encoding="utf-8"?>
<comments xmlns="http://schemas.openxmlformats.org/spreadsheetml/2006/main">
  <authors>
    <author>来源索引</author>
  </authors>
  <commentList>
    <comment ref="C19" authorId="0">
      <text>
        <r>
          <rPr>
            <sz val="8"/>
            <color indexed="81"/>
            <rFont val="Tahoma"/>
            <family val="2"/>
          </rPr>
          <t>材料/股东信/2007ltr.pdf · Businesses – The Great, the Good and the Gruesome，印刷页7
口径：百万美元</t>
        </r>
      </text>
    </comment>
    <comment ref="C20" authorId="0">
      <text>
        <r>
          <rPr>
            <sz val="8"/>
            <color indexed="81"/>
            <rFont val="Tahoma"/>
            <family val="2"/>
          </rPr>
          <t>材料/股东信/2007ltr.pdf · Businesses – The Great, the Good and the Gruesome，印刷页7
口径：百万美元</t>
        </r>
      </text>
    </comment>
    <comment ref="C21" authorId="0">
      <text>
        <r>
          <rPr>
            <sz val="8"/>
            <color indexed="81"/>
            <rFont val="Tahoma"/>
            <family val="2"/>
          </rPr>
          <t>材料/股东信/2007ltr.pdf · Businesses – The Great, the Good and the Gruesome，印刷页7
口径：百万美元；原文为小于，不是等于</t>
        </r>
      </text>
    </comment>
    <comment ref="C22" authorId="0">
      <text>
        <r>
          <rPr>
            <sz val="8"/>
            <color indexed="81"/>
            <rFont val="Tahoma"/>
            <family val="2"/>
          </rPr>
          <t>材料/股东信/1983ltr.html · Nebraska Furniture Mart
口径：比例</t>
        </r>
      </text>
    </comment>
    <comment ref="C23" authorId="0">
      <text>
        <r>
          <rPr>
            <sz val="8"/>
            <color indexed="81"/>
            <rFont val="Tahoma"/>
            <family val="2"/>
          </rPr>
          <t>材料/股东信/1983ltr.html · Nebraska Furniture Mart
口径：比例；另有10%期权安排</t>
        </r>
      </text>
    </comment>
    <comment ref="C24" authorId="0">
      <text>
        <r>
          <rPr>
            <sz val="8"/>
            <color indexed="81"/>
            <rFont val="Tahoma"/>
            <family val="2"/>
          </rPr>
          <t>材料/股东信/2022ltr.pdf · The Secret Sauce，印刷页4
口径：百万美元</t>
        </r>
      </text>
    </comment>
    <comment ref="C25" authorId="0">
      <text>
        <r>
          <rPr>
            <sz val="8"/>
            <color indexed="81"/>
            <rFont val="Tahoma"/>
            <family val="2"/>
          </rPr>
          <t>材料/股东信/2022ltr.pdf · The Secret Sauce，印刷页4
口径：股；不可当作1994年未复权实际股数</t>
        </r>
      </text>
    </comment>
    <comment ref="C26" authorId="0">
      <text>
        <r>
          <rPr>
            <sz val="8"/>
            <color indexed="81"/>
            <rFont val="Tahoma"/>
            <family val="2"/>
          </rPr>
          <t>材料/股东信/1995ltr.html · GEICO Corporation
口径：比例；1996年初完成</t>
        </r>
      </text>
    </comment>
    <comment ref="C27" authorId="0">
      <text>
        <r>
          <rPr>
            <sz val="8"/>
            <color indexed="81"/>
            <rFont val="Tahoma"/>
            <family val="2"/>
          </rPr>
          <t>材料/股东信/1995ltr.html · GEICO Corporation
口径：辆</t>
        </r>
      </text>
    </comment>
    <comment ref="C28" authorId="0">
      <text>
        <r>
          <rPr>
            <sz val="8"/>
            <color indexed="81"/>
            <rFont val="Tahoma"/>
            <family val="2"/>
          </rPr>
          <t>材料/股东信/1998ltr.pdf · General Re，印刷页9
口径：百万美元</t>
        </r>
      </text>
    </comment>
    <comment ref="C29" authorId="0">
      <text>
        <r>
          <rPr>
            <sz val="8"/>
            <color indexed="81"/>
            <rFont val="Tahoma"/>
            <family val="2"/>
          </rPr>
          <t>材料/股东信/2011ltr.pdf · Share Repurchases，印刷页6
口径：倍；仅为当年历史规则</t>
        </r>
      </text>
    </comment>
    <comment ref="C30" authorId="0">
      <text>
        <r>
          <rPr>
            <sz val="8"/>
            <color indexed="81"/>
            <rFont val="Tahoma"/>
            <family val="2"/>
          </rPr>
          <t>材料/股东信/2011ltr.pdf · Share Repurchases，印刷页6
口径：百万美元</t>
        </r>
      </text>
    </comment>
  </commentList>
</comments>
</file>

<file path=xl/sharedStrings.xml><?xml version="1.0" encoding="utf-8"?>
<sst xmlns="http://schemas.openxmlformats.org/spreadsheetml/2006/main" count="988" uniqueCount="598">
  <si>
    <t>伯克希尔的账本</t>
  </si>
  <si>
    <t>2021—2025 年度 · 2025H1 同期基准 · 2026H1｜金额默认：百万美元；股数：股；每股：美元</t>
  </si>
  <si>
    <t>先看什么</t>
  </si>
  <si>
    <t>「变化」是一页分析；「变化明细」列出同比、期末变化和占比。各输入格均有来源批注，亦可在「取数索引」集中检索。</t>
  </si>
  <si>
    <t>颜色说明</t>
  </si>
  <si>
    <t>浅蓝＝披露事实输入；浅绿＝公式；浅橙＝可修改的假设。原始输入也可编辑，但将偏离披露事实。数字格式“–”表示0。</t>
  </si>
  <si>
    <t>利润口径</t>
  </si>
  <si>
    <t>主表使用MD&amp;A归属股东的税后分项；「法定分部」另列税前分部利润，保留制造、服务零售、McLane、Pilot。税前与税后不可直接混加。</t>
  </si>
  <si>
    <t>历史重述与归类</t>
  </si>
  <si>
    <t>2021–2022采用2023年报ASU 2018-12重述数据。原Non-controlled businesses并入其他，2023 Pilot并入制造服务零售，与2025口径衔接；桥接见「对账」。</t>
  </si>
  <si>
    <t>时间口径</t>
  </si>
  <si>
    <t>利润、回购和现金流为期间数；浮存金、现金、组合、权益和每股账面价值为期末数。2026H1同比只对2025H1；不年化。</t>
  </si>
  <si>
    <t>现金口径</t>
  </si>
  <si>
    <t>主表＝合并现金及现金等价物＋资产负债表单列短期国债，含铁路能源，未扣未结算国债应付款，不含受限现金。不重复加入现金等价物中的国债。</t>
  </si>
  <si>
    <t>组合与浮存金</t>
  </si>
  <si>
    <t>组合按Note 4的公允价值行业分类，包含权益证券中的优先股及认股权证，不含权益法投资。浮存金是约数负债资金，不是额外现金或股东权益。</t>
  </si>
  <si>
    <t>每股账面价值</t>
  </si>
  <si>
    <t>归属伯克希尔股东权益÷期末等值A股数；等值A＝A股＋B股/1500。采用期末数量而非EPS加权平均股数，不等于内在价值。</t>
  </si>
  <si>
    <t>资料优先级</t>
  </si>
  <si>
    <t>用户提供材料优先。其未覆盖的2021–2022明细、2023部分期末数和2025H1期末数，补充官方2022/2023年报及2025二季报，访问日2026-10-22。</t>
  </si>
  <si>
    <t>边界</t>
  </si>
  <si>
    <t>只研究账本与历史决策；不提供投资建议。2025股东信署名Gregory E. Abel，小游戏巴菲特原文均取自更早股东信。</t>
  </si>
  <si>
    <t>交班后的半年：增长从哪里来？</t>
  </si>
  <si>
    <t>2026H1 对 2025H1；存量另看较2025年末变化｜所有展示数与下表公式联动，不将半年业绩年化</t>
  </si>
  <si>
    <t>经营利润与归母净利润</t>
  </si>
  <si>
    <t>税后、归属伯克希尔股东；百万美元。主表按2025年报MD&amp;A聚合口径。</t>
  </si>
  <si>
    <t>指标</t>
  </si>
  <si>
    <t>2021</t>
  </si>
  <si>
    <t>2022</t>
  </si>
  <si>
    <t>2023</t>
  </si>
  <si>
    <t>2024</t>
  </si>
  <si>
    <t>2025</t>
  </si>
  <si>
    <t>2025H1</t>
  </si>
  <si>
    <t>2026H1</t>
  </si>
  <si>
    <t>口径与来源提示</t>
  </si>
  <si>
    <t>保险承保</t>
  </si>
  <si>
    <t>详见本格批注 / 取数索引</t>
  </si>
  <si>
    <t>保险投资收益</t>
  </si>
  <si>
    <t>铁路 BNSF</t>
  </si>
  <si>
    <t>能源 BHE</t>
  </si>
  <si>
    <t>制造、服务和零售（含Pilot、McLane）</t>
  </si>
  <si>
    <t>其他（含权益法收益及汇兑）</t>
  </si>
  <si>
    <t>2021–22其他已作分类桥接，详见对账。</t>
  </si>
  <si>
    <t>经营分项合计</t>
  </si>
  <si>
    <t>投资损益（含早年衍生合约）</t>
  </si>
  <si>
    <t>权益法投资减值（税后）</t>
  </si>
  <si>
    <t>披露归母净利润</t>
  </si>
  <si>
    <t>公式归母净利润</t>
  </si>
  <si>
    <t>净利润对账差（应为0）</t>
  </si>
  <si>
    <t>注：此处经营分项合计为MD&amp;A六项合计。其他中仍可能包含商誉等经营层面的减值；不把它误称为剔除所有一次性因素的“核心利润”。2023年报将Pilot及Non-controlled businesses单列，桥接见对账。</t>
  </si>
  <si>
    <t>浮存金、现金与每股账面价值</t>
  </si>
  <si>
    <t>期末存量与期间回购分区列示；合并现金口径含铁路能源，不扣国债未结算应付款。</t>
  </si>
  <si>
    <t>保险浮存金（约数）</t>
  </si>
  <si>
    <t>现金及等价物：保险及其他</t>
  </si>
  <si>
    <t>现金及等价物：铁路能源</t>
  </si>
  <si>
    <t>单列短期美国国债</t>
  </si>
  <si>
    <t>归属伯克希尔股东权益</t>
  </si>
  <si>
    <t>期末A股数量</t>
  </si>
  <si>
    <t>期末B股数量</t>
  </si>
  <si>
    <t>回购入账金额（期间数）</t>
  </si>
  <si>
    <t>回购现金支付（期间数）</t>
  </si>
  <si>
    <t>合并现金及现金等价物</t>
  </si>
  <si>
    <t>现金＋单列短期国债</t>
  </si>
  <si>
    <t>期末等值A股数量（精确换算）</t>
  </si>
  <si>
    <t>每股账面价值 A（美元）</t>
  </si>
  <si>
    <t>每股账面价值 B（美元）</t>
  </si>
  <si>
    <t>回购入账减现金支付</t>
  </si>
  <si>
    <t>2026H1回购：权益变动表4,762；现金流量表4,444，差318。两表记录基础不同，本模型保留差额，不在没有明细时把它全部断言为某一种结算差异。期末等值A股由两类股精确换算，与公告四舍五入后的1,431,693股略有差别。</t>
  </si>
  <si>
    <t>股票组合：从消费品转向更广的行业</t>
  </si>
  <si>
    <t>Note 4 权益证券公允价值；百万美元。行业分类不是各只股票的交易归因，市值变化同时受交易与估值影响。</t>
  </si>
  <si>
    <t>银行、保险与金融</t>
  </si>
  <si>
    <t>消费品</t>
  </si>
  <si>
    <t>商业、工业及其他</t>
  </si>
  <si>
    <t>披露权益证券总额</t>
  </si>
  <si>
    <t>三类公允价值合计</t>
  </si>
  <si>
    <t>分类对账差（应为0）</t>
  </si>
  <si>
    <t>银行、保险与金融占比</t>
  </si>
  <si>
    <t>消费品占比</t>
  </si>
  <si>
    <t>商业、工业及其他占比</t>
  </si>
  <si>
    <t>排除权益法：Kraft Heinz、Occidental普通股等权益法投资不在本行业表内。2022年Occidental普通股转入权益法，使行业组合跨年可比性受到影响。2026H1商业工业类市值增加不等同于全部来自新买入，不能用市值变化代替现金流。</t>
  </si>
  <si>
    <t>法定分部利润：保留业务颗粒度</t>
  </si>
  <si>
    <t>税前利润、百万美元；2021–22来自2023年报Note 26，2023–25来自2025年报Note 26，半年来自2026Q2 Note 24。</t>
  </si>
  <si>
    <t>BNSF</t>
  </si>
  <si>
    <t>BHE</t>
  </si>
  <si>
    <t>制造</t>
  </si>
  <si>
    <t>服务和零售</t>
  </si>
  <si>
    <t>McLane</t>
  </si>
  <si>
    <t>Pilot</t>
  </si>
  <si>
    <t>经营分部税前合计</t>
  </si>
  <si>
    <t>BHE税前利润不能直接与主表税后归属股东利润比较：生产税收抵免可形成所得税收益，且存在少数股东权益。制造服务零售主表聚合了制造、服务零售、McLane及Pilot，并作税项和归属处理。</t>
  </si>
  <si>
    <t>资金用途：把交易与市值变化分开</t>
  </si>
  <si>
    <t>期间现金流；购入、资本支出、收购和回购使用正数表示资金用途。百万美元。</t>
  </si>
  <si>
    <t>经营现金净流入</t>
  </si>
  <si>
    <t>资本支出（含租赁设备）</t>
  </si>
  <si>
    <t>购入权益证券</t>
  </si>
  <si>
    <t>出售权益证券所得</t>
  </si>
  <si>
    <t>企业收购净支付</t>
  </si>
  <si>
    <t>经营现金流减资本支出</t>
  </si>
  <si>
    <t>权益证券净买入（负数为净卖出）</t>
  </si>
  <si>
    <t>回购现金支付</t>
  </si>
  <si>
    <t>经营现金流减资本支出只是简化的现金余量，不等于可全部分配的自由现金流；尚有保险赔付准备、债务和监管约束。权益证券净买入不含权益法投资与企业收购，亦不能解释全部股票公允价值变化。</t>
  </si>
  <si>
    <t>口径桥接与增长归因</t>
  </si>
  <si>
    <t>所有相加、扣除和贡献度均用公式；观察性调整不是预测，也不是公司披露的新经营指标。</t>
  </si>
  <si>
    <t>2023年报旧口径 / 百万美元</t>
  </si>
  <si>
    <t>原其他</t>
  </si>
  <si>
    <t>原非控制业务</t>
  </si>
  <si>
    <t>重分类后其他</t>
  </si>
  <si>
    <t>2023原制造服务零售</t>
  </si>
  <si>
    <t>2023原Pilot</t>
  </si>
  <si>
    <t>合并后制造服务零售</t>
  </si>
  <si>
    <t>2026H1增长拆解</t>
  </si>
  <si>
    <t>差额 / 贡献</t>
  </si>
  <si>
    <t>其中：债务汇兑损益</t>
  </si>
  <si>
    <t>扣除上述汇兑后的经营分项</t>
  </si>
  <si>
    <t>披露承保利润</t>
  </si>
  <si>
    <t>加回当期重大灾害损失</t>
  </si>
  <si>
    <t>仅剔除重大灾害的观察数</t>
  </si>
  <si>
    <t>汇兑贡献＝汇兑损益变化÷经营分项增量。只剔除汇兑后的增幅约6.1%，不代表有机增长率；灾害观察数未调整准备金变化、业务组合或其他影响，不能当成正常化利润。</t>
  </si>
  <si>
    <t>2025年末保险及其他净现金口径</t>
  </si>
  <si>
    <t>2026H1保险及其他净现金口径</t>
  </si>
  <si>
    <t>2026H1浮存金披露增量</t>
  </si>
  <si>
    <t>主表2025浮存金176,000为粗粒度披露。177,500−176,000＝1,500仅是两期约数差；季报披露实际增量约1,100。由177,500−1,100反推176,400只是近似推导，模型不把它替换为披露年末数。</t>
  </si>
  <si>
    <t>一个可调的假设：短期利率敏感性</t>
  </si>
  <si>
    <t>浅橙格可修改；这里只展示静态机械敏感性，所有披露事实保持独立。不是盈利预测。</t>
  </si>
  <si>
    <t>假设：短期收益率变动</t>
  </si>
  <si>
    <t>假设：适用现金与国债比例</t>
  </si>
  <si>
    <t>假设：边际税率</t>
  </si>
  <si>
    <t>假设：年内作用时间比例</t>
  </si>
  <si>
    <t>2026H1现金＋国债（百万美元）</t>
  </si>
  <si>
    <t>假设：税前利息变化</t>
  </si>
  <si>
    <t>假设：税后利息变化</t>
  </si>
  <si>
    <t>占披露2026H1经营分项合计</t>
  </si>
  <si>
    <t>假设将6月末余额视作固定基数，80%资金同步重定价，利率下降100基点，持续半年，税率21%。忽略资金流、资产负债期限结构、海外税差、收入归属变化与管理层应对。调整B6–B9后，B12–B14与「变化」的敏感性显示自动更新。</t>
  </si>
  <si>
    <t>同比、期末变化、占比：完整公式清单</t>
  </si>
  <si>
    <t>同比基数≤0时显示“不适用”，另给绝对变动；2021缺2020可比基期，不强行填0%。2026H1与2025H1同口径比较。</t>
  </si>
  <si>
    <t>2022同比</t>
  </si>
  <si>
    <t>2023同比</t>
  </si>
  <si>
    <t>2024同比</t>
  </si>
  <si>
    <t>2025同比</t>
  </si>
  <si>
    <t>2026H1同比</t>
  </si>
  <si>
    <t>H1同比绝对变化</t>
  </si>
  <si>
    <t>较2025年末变化</t>
  </si>
  <si>
    <t>2026H1占比 / 分母</t>
  </si>
  <si>
    <t>占比分母 / 说明</t>
  </si>
  <si>
    <t>期间数不比较</t>
  </si>
  <si>
    <t>—</t>
  </si>
  <si>
    <t>归母净利润</t>
  </si>
  <si>
    <t>浮存金（约数）</t>
  </si>
  <si>
    <t>保险及其他现金</t>
  </si>
  <si>
    <t>现金＋国债</t>
  </si>
  <si>
    <t>铁路能源现金</t>
  </si>
  <si>
    <t>合并现金及等价物</t>
  </si>
  <si>
    <t>单列短期国债</t>
  </si>
  <si>
    <t>股东权益</t>
  </si>
  <si>
    <t>期末等值A股数</t>
  </si>
  <si>
    <t>每股账面价值A</t>
  </si>
  <si>
    <t>每股账面价值B</t>
  </si>
  <si>
    <t>回购入账额</t>
  </si>
  <si>
    <t>银行保险金融</t>
  </si>
  <si>
    <t>权益证券组合</t>
  </si>
  <si>
    <t>商业工业及其他</t>
  </si>
  <si>
    <t>权益证券总额</t>
  </si>
  <si>
    <t>经营现金流</t>
  </si>
  <si>
    <t>资本支出</t>
  </si>
  <si>
    <t>买入权益证券</t>
  </si>
  <si>
    <t>出售权益证券</t>
  </si>
  <si>
    <t>净买入权益证券</t>
  </si>
  <si>
    <t>经营分项合计同比</t>
  </si>
  <si>
    <t>现金＋国债 / 十亿美元</t>
  </si>
  <si>
    <t>税后敏感性 / 百万美元</t>
  </si>
  <si>
    <t>2026H1：24,329 百万美元</t>
  </si>
  <si>
    <t>合并口径；较2025年末下降约2.1%</t>
  </si>
  <si>
    <t>假设利率−100bp；详见假设页</t>
  </si>
  <si>
    <t>业务</t>
  </si>
  <si>
    <t>变化</t>
  </si>
  <si>
    <t>同比</t>
  </si>
  <si>
    <t>H1占比</t>
  </si>
  <si>
    <t>增量贡献</t>
  </si>
  <si>
    <t>制造服务零售</t>
  </si>
  <si>
    <t>其他</t>
  </si>
  <si>
    <t>其他增长含汇兑反转；其增量贡献不代表业务自然增长。</t>
  </si>
  <si>
    <t>读法：汇兑变化贡献经营增量约61.4%；仅剔除该汇兑影响后经营分项增幅约6.1%。现金口径、浮存金约数与回购差额见资本/对账；完整同比及组合占比见变化明细。</t>
  </si>
  <si>
    <t>事实：股票净买入11,625，较2025H1净卖出4,500发生方向变化；企业收购净支付9,704。OxyChem协议签于2025年、交割于2026年，不宜全部归因于新任CEO。研究截至所给2026Q2报告；不构成投资建议。</t>
  </si>
  <si>
    <t>资料谱系与可比性</t>
  </si>
  <si>
    <t>本地材料优先；补充网页的访问日期均为2026-10-22。URL是纯文本来源，不产生外部数据连接。</t>
  </si>
  <si>
    <t>L1</t>
  </si>
  <si>
    <t>材料/Berkshire_2025年报__brka-20251231.htm</t>
  </si>
  <si>
    <t>2023–2025税后/税前利润、2024–2025期末余额、2023–2025现金流；以文件披露为准。</t>
  </si>
  <si>
    <t>L2</t>
  </si>
  <si>
    <t>材料/Berkshire_2026Q2季报__brka-20260630.htm</t>
  </si>
  <si>
    <t>2026H1及2025H1损益/现金流；2026期末余额、企业收购及期后事项。</t>
  </si>
  <si>
    <t>L3</t>
  </si>
  <si>
    <t>材料/Berkshire_2026Q2业绩公告__d159922dex991.htm</t>
  </si>
  <si>
    <t>交叉核对经营利润24,329、回购约4,800、浮存金177,500及等值A股数。</t>
  </si>
  <si>
    <t>E1</t>
  </si>
  <si>
    <t>https://www.berkshirehathaway.com/2022ar/2022ar.pdf</t>
  </si>
  <si>
    <t>2021年末权益证券行业公允价值。访问日2026-10-22；其他历史数字优先采用后续重述。</t>
  </si>
  <si>
    <t>E2</t>
  </si>
  <si>
    <t>https://www.berkshirehathaway.com/2023ar/2023ar.pdf</t>
  </si>
  <si>
    <t>2021–2022重述后利润/权益、2021–2023股数及现金流、2022–2023组合。访问日2026-10-22。</t>
  </si>
  <si>
    <t>E3</t>
  </si>
  <si>
    <t>https://www.berkshirehathaway.com/qtrly/2ndqtr25.pdf</t>
  </si>
  <si>
    <t>2025H1期末现金、短期国债、权益证券行业、浮存金、股数。访问日2026-10-22。</t>
  </si>
  <si>
    <t>L4</t>
  </si>
  <si>
    <t>材料/股东信/2022ltr.pdf</t>
  </si>
  <si>
    <t>2021/2022浮存金约147/164十亿美元。</t>
  </si>
  <si>
    <t>L5</t>
  </si>
  <si>
    <t>材料/股东信/2025ltr.pdf</t>
  </si>
  <si>
    <t>交接语境；署名Gregory E. Abel。未用于巴菲特游戏引文。</t>
  </si>
  <si>
    <t>未独立审计或验证所给2025/2026材料的真实性，研究按材料内部披露构建。未把网页更新后的数字覆盖用户材料。原始材料存在部分早年HTML不可读的情况，游戏仅采用已能逐字核验的文件。</t>
  </si>
  <si>
    <t>十次决定｜游戏与账本共用档案</t>
  </si>
  <si>
    <t>年份为决定发生年，股东信年份可能是事后回顾；匹配度每题10分，只表示与实际选择一致，不表示优劣。</t>
  </si>
  <si>
    <t>决定年份</t>
  </si>
  <si>
    <t>题目</t>
  </si>
  <si>
    <t>实际决定</t>
  </si>
  <si>
    <t>原文（每处不超过两句）</t>
  </si>
  <si>
    <t>来源</t>
  </si>
  <si>
    <t>纺织厂的现金，下一站在哪里？</t>
  </si>
  <si>
    <t>收购 National Indemnity，进入保险业。</t>
  </si>
  <si>
    <t>In early 1967 cash generated by the textile operation was used to fund our entry into insurance via the purchase of National Indemnity Company.</t>
  </si>
  <si>
    <t>材料/股东信/1985ltr.html · Shutdown of Textile Business</t>
  </si>
  <si>
    <t>一盒巧克力，值什么？</t>
  </si>
  <si>
    <t>通过当时控制的 Blue Chip Stamps 收购 See’s。</t>
  </si>
  <si>
    <t>We bought See’s for $25 million when its sales were $30 million and pre-tax earnings were less than $5 million.</t>
  </si>
  <si>
    <t>材料/股东信/2007ltr.pdf · Businesses – The Great, the Good and the Gruesome，印刷页7</t>
  </si>
  <si>
    <t>一家家具店，怎样成为合伙人？</t>
  </si>
  <si>
    <t>买下 90% 股权，家族保留一部分权益并继续经营。</t>
  </si>
  <si>
    <t>We purchased 90% of the business - leaving 10% with members of the family who are involved in management - and have optioned 10% to certain key young family managers.</t>
  </si>
  <si>
    <t>材料/股东信/1983ltr.html · Nebraska Furniture Mart</t>
  </si>
  <si>
    <t>起家的纺织业务，还要继续吗？</t>
  </si>
  <si>
    <t>在当年 7 月决定关闭纺织业务。</t>
  </si>
  <si>
    <t>In July we decided to close our textile operation, and by yearend this unpleasant job was largely completed.</t>
  </si>
  <si>
    <t>一笔消费品投资的下一步</t>
  </si>
  <si>
    <t>在 1994 年完成持续七年的买入，长期保有这份企业权益。</t>
  </si>
  <si>
    <t>In August 1994 – yes, 1994 – Berkshire completed its seven-year purchase of the 400 million shares of Coca-Cola we now own. The total cost was $1.3 billion – then a very meaningful sum at Berkshire.</t>
  </si>
  <si>
    <t>材料/股东信/2022ltr.pdf · The Secret Sauce，印刷页4</t>
  </si>
  <si>
    <t>熟悉的保险公司，又一个选择</t>
  </si>
  <si>
    <t>1995 年谈妥交易，1996 年初完成全资收购。</t>
  </si>
  <si>
    <t>Right after yearend, we completed the purchase of 100% of GEICO, the seventh largest auto insurer in the United States, with about 3.7 million cars insured.</t>
  </si>
  <si>
    <t>材料/股东信/1995ltr.html · GEICO Corporation</t>
  </si>
  <si>
    <t>再保险，值得做一笔大交易吗？</t>
  </si>
  <si>
    <t>收购 General Re，并保留专业团队的经营自主权。</t>
  </si>
  <si>
    <t>On December 21, we completed our $22 billion acquisition of General Re Corp.</t>
  </si>
  <si>
    <t>材料/股东信/1998ltr.pdf · General Re，印刷页9</t>
  </si>
  <si>
    <t>能源繁荣时，怎样面对价格？</t>
  </si>
  <si>
    <t>在油气价格接近高峰时大量买入。</t>
  </si>
  <si>
    <t>Without urging from Charlie or anyone else, I bought a large amount of ConocoPhillips stock when oil and gas prices were near their peak.</t>
  </si>
  <si>
    <t>材料/股东信/2008ltr.pdf · Investments，印刷页16</t>
  </si>
  <si>
    <t>在衰退里，如何看待铁路？</t>
  </si>
  <si>
    <t>提出收购方案并明确最高愿付价格，2009 年达成协议。</t>
  </si>
  <si>
    <t>On the following day, I again got together with Matt and suggested that Berkshire would offer the railroad a better long-term home than it could expect as a public company. I also told him the maximum price that Berkshire would pay.</t>
  </si>
  <si>
    <t>材料/股东信/2021ltr.pdf · BNSF 收购回顾，印刷页11</t>
  </si>
  <si>
    <t>公司有了钱，回购怎么做？</t>
  </si>
  <si>
    <t>宣布以不超过账面价值 110% 的价格回购，超过上限后停止。</t>
  </si>
  <si>
    <t>Last September, we announced that Berkshire would repurchase its shares at a price of up to 110% of book value. We were in the market for only a few days – buying $67 million of stock – before the price advanced beyond our limit.</t>
  </si>
  <si>
    <t>材料/股东信/2011ltr.pdf · Share Repurchases，印刷页6</t>
  </si>
  <si>
    <t>历史数值</t>
  </si>
  <si>
    <t>数值</t>
  </si>
  <si>
    <t>单位 / 注意</t>
  </si>
  <si>
    <t>See’s收购价</t>
  </si>
  <si>
    <t>百万美元</t>
  </si>
  <si>
    <t>See’s当时销售额</t>
  </si>
  <si>
    <t>See’s当时税前利润上限</t>
  </si>
  <si>
    <t>百万美元；原文为小于，不是等于</t>
  </si>
  <si>
    <t>收购NFM比例</t>
  </si>
  <si>
    <t>比例</t>
  </si>
  <si>
    <t>家族保留比例</t>
  </si>
  <si>
    <t>比例；另有10%期权安排</t>
  </si>
  <si>
    <t>Coca-Cola累计成本</t>
  </si>
  <si>
    <t>Coca-Cola股数（2022回顾口径）</t>
  </si>
  <si>
    <t>股；不可当作1994年未复权实际股数</t>
  </si>
  <si>
    <t>GEICO最终持有比例</t>
  </si>
  <si>
    <t>比例；1996年初完成</t>
  </si>
  <si>
    <t>GEICO承保车辆约数</t>
  </si>
  <si>
    <t>辆</t>
  </si>
  <si>
    <t>General Re交易额</t>
  </si>
  <si>
    <t>回购账面价值上限</t>
  </si>
  <si>
    <t>倍；仅为当年历史规则</t>
  </si>
  <si>
    <t>实际回购金额</t>
  </si>
  <si>
    <t>工作表单元格</t>
  </si>
  <si>
    <t>披露值 / 假设值</t>
  </si>
  <si>
    <t>文件名 + 章节 / 补充来源ID</t>
  </si>
  <si>
    <t>口径说明</t>
  </si>
  <si>
    <t>利润!B6</t>
  </si>
  <si>
    <t>补充来源 E2：2023ar.pdf｜Item 7 Results of Operations，K-35（ASU 2018-12重述后）</t>
  </si>
  <si>
    <t>利润!C6</t>
  </si>
  <si>
    <t>利润!D6</t>
  </si>
  <si>
    <t>材料/Berkshire_2025年报__brka-20251231.htm｜Item 7 Results of Operations，K-34</t>
  </si>
  <si>
    <t>利润!E6</t>
  </si>
  <si>
    <t>利润!F6</t>
  </si>
  <si>
    <t>利润!G6</t>
  </si>
  <si>
    <t>材料/Berkshire_2026Q2季报__brka-20260630.htm｜Item 2 Results of Operations，p33</t>
  </si>
  <si>
    <t>利润!H6</t>
  </si>
  <si>
    <t>利润!B7</t>
  </si>
  <si>
    <t>利润!C7</t>
  </si>
  <si>
    <t>利润!D7</t>
  </si>
  <si>
    <t>利润!E7</t>
  </si>
  <si>
    <t>利润!F7</t>
  </si>
  <si>
    <t>利润!G7</t>
  </si>
  <si>
    <t>利润!H7</t>
  </si>
  <si>
    <t>利润!B8</t>
  </si>
  <si>
    <t>利润!C8</t>
  </si>
  <si>
    <t>利润!D8</t>
  </si>
  <si>
    <t>利润!E8</t>
  </si>
  <si>
    <t>利润!F8</t>
  </si>
  <si>
    <t>利润!G8</t>
  </si>
  <si>
    <t>利润!H8</t>
  </si>
  <si>
    <t>利润!B9</t>
  </si>
  <si>
    <t>利润!C9</t>
  </si>
  <si>
    <t>利润!D9</t>
  </si>
  <si>
    <t>利润!E9</t>
  </si>
  <si>
    <t>利润!F9</t>
  </si>
  <si>
    <t>利润!G9</t>
  </si>
  <si>
    <t>利润!H9</t>
  </si>
  <si>
    <t>利润!B10</t>
  </si>
  <si>
    <t>利润!C10</t>
  </si>
  <si>
    <t>利润!D10</t>
  </si>
  <si>
    <t>利润!E10</t>
  </si>
  <si>
    <t>利润!F10</t>
  </si>
  <si>
    <t>利润!G10</t>
  </si>
  <si>
    <t>利润!H10</t>
  </si>
  <si>
    <t>利润!D11</t>
  </si>
  <si>
    <t>利润!E11</t>
  </si>
  <si>
    <t>利润!F11</t>
  </si>
  <si>
    <t>利润!G11</t>
  </si>
  <si>
    <t>利润!H11</t>
  </si>
  <si>
    <t>利润!B14</t>
  </si>
  <si>
    <t>利润!C14</t>
  </si>
  <si>
    <t>利润!D14</t>
  </si>
  <si>
    <t>利润!E14</t>
  </si>
  <si>
    <t>利润!F14</t>
  </si>
  <si>
    <t>利润!G14</t>
  </si>
  <si>
    <t>利润!H14</t>
  </si>
  <si>
    <t>利润!B15</t>
  </si>
  <si>
    <t>0表示该独立调整行在当期无披露金额，并非所有资产均无减值。</t>
  </si>
  <si>
    <t>利润!C15</t>
  </si>
  <si>
    <t>利润!D15</t>
  </si>
  <si>
    <t>利润!E15</t>
  </si>
  <si>
    <t>利润!F15</t>
  </si>
  <si>
    <t>利润!G15</t>
  </si>
  <si>
    <t>利润!H15</t>
  </si>
  <si>
    <t>利润!B17</t>
  </si>
  <si>
    <t>利润!C17</t>
  </si>
  <si>
    <t>利润!D17</t>
  </si>
  <si>
    <t>利润!E17</t>
  </si>
  <si>
    <t>利润!F17</t>
  </si>
  <si>
    <t>利润!G17</t>
  </si>
  <si>
    <t>利润!H17</t>
  </si>
  <si>
    <t>资本!B6</t>
  </si>
  <si>
    <t>材料/股东信/2022ltr.pdf｜The Past Year in Brief，印刷页6（2021为147、2022为164十亿美元，约数）</t>
  </si>
  <si>
    <t>浮存金为约数，年末176,000采用年报；2026季报称增加约1,100，不能与粗粒度年末数精确相减。</t>
  </si>
  <si>
    <t>资本!C6</t>
  </si>
  <si>
    <t>资本!D6</t>
  </si>
  <si>
    <t>材料/Berkshire_2025年报__brka-20251231.htm｜Item 7 Insurance—Investment Income，K-41</t>
  </si>
  <si>
    <t>资本!E6</t>
  </si>
  <si>
    <t>资本!F6</t>
  </si>
  <si>
    <t>资本!G6</t>
  </si>
  <si>
    <t>补充来源 E3：2025二季报 2ndqtr25.pdf｜Item 2 Insurance—Investment Income，p35</t>
  </si>
  <si>
    <t>资本!H6</t>
  </si>
  <si>
    <t>材料/Berkshire_2026Q2季报__brka-20260630.htm｜Item 2 Insurance—Investment Income，p38</t>
  </si>
  <si>
    <t>资本!B8</t>
  </si>
  <si>
    <t>补充来源 E2：2023ar.pdf｜Consolidated Statements of Changes in Shareholders’ Equity，K-73；现金见Cash Flows K-74</t>
  </si>
  <si>
    <t>资本!C8</t>
  </si>
  <si>
    <t>资本!D8</t>
  </si>
  <si>
    <t>补充来源 E2：2023ar.pdf｜Consolidated Balance Sheets，K-70–71</t>
  </si>
  <si>
    <t>资本!E8</t>
  </si>
  <si>
    <t>材料/Berkshire_2025年报__brka-20251231.htm｜Consolidated Balance Sheets / Statements of Changes in Shareholders’ Equity</t>
  </si>
  <si>
    <t>资本!F8</t>
  </si>
  <si>
    <t>资本!G8</t>
  </si>
  <si>
    <t>补充来源 E3：2025二季报 2ndqtr25.pdf｜Consolidated Balance Sheets，p2–3</t>
  </si>
  <si>
    <t>资本!H8</t>
  </si>
  <si>
    <t>材料/Berkshire_2026Q2季报__brka-20260630.htm｜Consolidated Balance Sheets，p2–3</t>
  </si>
  <si>
    <t>资本!B9</t>
  </si>
  <si>
    <t>资本!C9</t>
  </si>
  <si>
    <t>资本!D9</t>
  </si>
  <si>
    <t>资本!E9</t>
  </si>
  <si>
    <t>资本!F9</t>
  </si>
  <si>
    <t>资本!G9</t>
  </si>
  <si>
    <t>资本!H9</t>
  </si>
  <si>
    <t>资本!B11</t>
  </si>
  <si>
    <t>补充来源 E1：2022ar.pdf｜Consolidated Balance Sheets，K-70，2021比较列</t>
  </si>
  <si>
    <t>资本!C11</t>
  </si>
  <si>
    <t>资本!D11</t>
  </si>
  <si>
    <t>资本!E11</t>
  </si>
  <si>
    <t>资本!F11</t>
  </si>
  <si>
    <t>资本!G11</t>
  </si>
  <si>
    <t>资本!H11</t>
  </si>
  <si>
    <t>资本!B15</t>
  </si>
  <si>
    <t>资本!C15</t>
  </si>
  <si>
    <t>资本!D15</t>
  </si>
  <si>
    <t>资本!E15</t>
  </si>
  <si>
    <t>资本!F15</t>
  </si>
  <si>
    <t>资本!G15</t>
  </si>
  <si>
    <t>资本!H15</t>
  </si>
  <si>
    <t>资本!B16</t>
  </si>
  <si>
    <t>补充来源 E2：2023ar.pdf｜Note 22 Common stock，K-107</t>
  </si>
  <si>
    <t>资本!C16</t>
  </si>
  <si>
    <t>资本!D16</t>
  </si>
  <si>
    <t>材料/Berkshire_2025年报__brka-20251231.htm｜Note 22 Common stock，期末 Outstanding</t>
  </si>
  <si>
    <t>资本!E16</t>
  </si>
  <si>
    <t>资本!F16</t>
  </si>
  <si>
    <t>资本!G16</t>
  </si>
  <si>
    <t>补充来源 E3：2025二季报 2ndqtr25.pdf｜Note 18 Common stock，p19–20</t>
  </si>
  <si>
    <t>资本!H16</t>
  </si>
  <si>
    <t>材料/Berkshire_2026Q2季报__brka-20260630.htm｜Note 18 Common stock</t>
  </si>
  <si>
    <t>资本!B17</t>
  </si>
  <si>
    <t>资本!C17</t>
  </si>
  <si>
    <t>资本!D17</t>
  </si>
  <si>
    <t>资本!E17</t>
  </si>
  <si>
    <t>资本!F17</t>
  </si>
  <si>
    <t>资本!G17</t>
  </si>
  <si>
    <t>资本!H17</t>
  </si>
  <si>
    <t>资本!B23</t>
  </si>
  <si>
    <t>补充来源 E2：2023ar.pdf｜Consolidated Statements of Changes in Shareholders’ Equity，K-73</t>
  </si>
  <si>
    <t>资本!C23</t>
  </si>
  <si>
    <t>资本!D23</t>
  </si>
  <si>
    <t>材料/Berkshire_2025年报__brka-20251231.htm｜Consolidated Statements of Changes in Shareholders’ Equity</t>
  </si>
  <si>
    <t>资本!E23</t>
  </si>
  <si>
    <t>资本!F23</t>
  </si>
  <si>
    <t>资本!G23</t>
  </si>
  <si>
    <t>补充来源 E3：2025二季报 2ndqtr25.pdf｜Note 18 Common stock，p20</t>
  </si>
  <si>
    <t>资本!H23</t>
  </si>
  <si>
    <t>材料/Berkshire_2026Q2季报__brka-20260630.htm｜Consolidated Statements of Changes in Shareholders’ Equity，p4</t>
  </si>
  <si>
    <t>资本!B24</t>
  </si>
  <si>
    <t>补充来源 E2：2023ar.pdf｜Consolidated Statements of Cash Flows，K-74</t>
  </si>
  <si>
    <t>资本!C24</t>
  </si>
  <si>
    <t>资本!D24</t>
  </si>
  <si>
    <t>材料/Berkshire_2025年报__brka-20251231.htm｜Consolidated Statements of Cash Flows</t>
  </si>
  <si>
    <t>资本!E24</t>
  </si>
  <si>
    <t>资本!F24</t>
  </si>
  <si>
    <t>资本!G24</t>
  </si>
  <si>
    <t>材料/Berkshire_2026Q2季报__brka-20260630.htm｜Consolidated Statements of Cash Flows，p5</t>
  </si>
  <si>
    <t>资本!H24</t>
  </si>
  <si>
    <t>股票组合!B6</t>
  </si>
  <si>
    <t>补充来源 E1：2022ar.pdf｜Note 4 Investments in equity securities，K-84</t>
  </si>
  <si>
    <t>股票组合!C6</t>
  </si>
  <si>
    <t>补充来源 E2：2023ar.pdf｜Note 4 Investments in equity securities，K-85</t>
  </si>
  <si>
    <t>股票组合!D6</t>
  </si>
  <si>
    <t>股票组合!E6</t>
  </si>
  <si>
    <t>材料/Berkshire_2025年报__brka-20251231.htm｜Note 4 Investments in equity securities</t>
  </si>
  <si>
    <t>股票组合!F6</t>
  </si>
  <si>
    <t>股票组合!G6</t>
  </si>
  <si>
    <t>补充来源 E3：2025二季报 2ndqtr25.pdf｜Note 4 Investments in equity securities，p8</t>
  </si>
  <si>
    <t>股票组合!H6</t>
  </si>
  <si>
    <t>材料/Berkshire_2026Q2季报__brka-20260630.htm｜Note 4 Investments in equity securities，p8</t>
  </si>
  <si>
    <t>股票组合!B7</t>
  </si>
  <si>
    <t>股票组合!C7</t>
  </si>
  <si>
    <t>股票组合!D7</t>
  </si>
  <si>
    <t>股票组合!E7</t>
  </si>
  <si>
    <t>股票组合!F7</t>
  </si>
  <si>
    <t>股票组合!G7</t>
  </si>
  <si>
    <t>股票组合!H7</t>
  </si>
  <si>
    <t>股票组合!B8</t>
  </si>
  <si>
    <t>股票组合!C8</t>
  </si>
  <si>
    <t>股票组合!D8</t>
  </si>
  <si>
    <t>股票组合!E8</t>
  </si>
  <si>
    <t>股票组合!F8</t>
  </si>
  <si>
    <t>股票组合!G8</t>
  </si>
  <si>
    <t>股票组合!H8</t>
  </si>
  <si>
    <t>股票组合!B10</t>
  </si>
  <si>
    <t>股票组合!C10</t>
  </si>
  <si>
    <t>股票组合!D10</t>
  </si>
  <si>
    <t>股票组合!E10</t>
  </si>
  <si>
    <t>股票组合!F10</t>
  </si>
  <si>
    <t>股票组合!G10</t>
  </si>
  <si>
    <t>股票组合!H10</t>
  </si>
  <si>
    <t>法定分部!B6</t>
  </si>
  <si>
    <t>补充来源 E2：2023ar.pdf｜Note 26 Business segment data，K-113</t>
  </si>
  <si>
    <t>法定分部!C6</t>
  </si>
  <si>
    <t>法定分部!D6</t>
  </si>
  <si>
    <t>材料/Berkshire_2025年报__brka-20251231.htm｜Note 26 Business segment data</t>
  </si>
  <si>
    <t>法定分部!E6</t>
  </si>
  <si>
    <t>法定分部!F6</t>
  </si>
  <si>
    <t>法定分部!G6</t>
  </si>
  <si>
    <t>材料/Berkshire_2026Q2季报__brka-20260630.htm｜Note 24 Business segment data</t>
  </si>
  <si>
    <t>法定分部!H6</t>
  </si>
  <si>
    <t>法定分部!B7</t>
  </si>
  <si>
    <t>法定分部!C7</t>
  </si>
  <si>
    <t>法定分部!D7</t>
  </si>
  <si>
    <t>法定分部!E7</t>
  </si>
  <si>
    <t>法定分部!F7</t>
  </si>
  <si>
    <t>法定分部!G7</t>
  </si>
  <si>
    <t>法定分部!H7</t>
  </si>
  <si>
    <t>法定分部!B8</t>
  </si>
  <si>
    <t>法定分部!C8</t>
  </si>
  <si>
    <t>法定分部!D8</t>
  </si>
  <si>
    <t>法定分部!E8</t>
  </si>
  <si>
    <t>法定分部!F8</t>
  </si>
  <si>
    <t>法定分部!G8</t>
  </si>
  <si>
    <t>法定分部!H8</t>
  </si>
  <si>
    <t>法定分部!B9</t>
  </si>
  <si>
    <t>法定分部!C9</t>
  </si>
  <si>
    <t>法定分部!D9</t>
  </si>
  <si>
    <t>法定分部!E9</t>
  </si>
  <si>
    <t>法定分部!F9</t>
  </si>
  <si>
    <t>法定分部!G9</t>
  </si>
  <si>
    <t>法定分部!H9</t>
  </si>
  <si>
    <t>法定分部!B10</t>
  </si>
  <si>
    <t>法定分部!C10</t>
  </si>
  <si>
    <t>法定分部!D10</t>
  </si>
  <si>
    <t>法定分部!E10</t>
  </si>
  <si>
    <t>法定分部!F10</t>
  </si>
  <si>
    <t>法定分部!G10</t>
  </si>
  <si>
    <t>法定分部!H10</t>
  </si>
  <si>
    <t>法定分部!B11</t>
  </si>
  <si>
    <t>法定分部!C11</t>
  </si>
  <si>
    <t>法定分部!D11</t>
  </si>
  <si>
    <t>法定分部!E11</t>
  </si>
  <si>
    <t>法定分部!F11</t>
  </si>
  <si>
    <t>法定分部!G11</t>
  </si>
  <si>
    <t>法定分部!H11</t>
  </si>
  <si>
    <t>法定分部!B12</t>
  </si>
  <si>
    <t>法定分部!C12</t>
  </si>
  <si>
    <t>法定分部!D12</t>
  </si>
  <si>
    <t>法定分部!E12</t>
  </si>
  <si>
    <t>法定分部!F12</t>
  </si>
  <si>
    <t>法定分部!G12</t>
  </si>
  <si>
    <t>法定分部!H12</t>
  </si>
  <si>
    <t>法定分部!B13</t>
  </si>
  <si>
    <t>2021–2022未并表Pilot，0为合并分部无该金额，其权益法收益在其他。</t>
  </si>
  <si>
    <t>法定分部!C13</t>
  </si>
  <si>
    <t>法定分部!D13</t>
  </si>
  <si>
    <t>法定分部!E13</t>
  </si>
  <si>
    <t>法定分部!F13</t>
  </si>
  <si>
    <t>法定分部!G13</t>
  </si>
  <si>
    <t>法定分部!H13</t>
  </si>
  <si>
    <t>现金流!B6</t>
  </si>
  <si>
    <t>现金流!C6</t>
  </si>
  <si>
    <t>现金流!D6</t>
  </si>
  <si>
    <t>现金流!E6</t>
  </si>
  <si>
    <t>现金流!F6</t>
  </si>
  <si>
    <t>现金流!G6</t>
  </si>
  <si>
    <t>现金流!H6</t>
  </si>
  <si>
    <t>现金流!B7</t>
  </si>
  <si>
    <t>现金流!C7</t>
  </si>
  <si>
    <t>现金流!D7</t>
  </si>
  <si>
    <t>现金流!E7</t>
  </si>
  <si>
    <t>现金流!F7</t>
  </si>
  <si>
    <t>现金流!G7</t>
  </si>
  <si>
    <t>现金流!H7</t>
  </si>
  <si>
    <t>现金流!B9</t>
  </si>
  <si>
    <t>现金流!C9</t>
  </si>
  <si>
    <t>现金流!D9</t>
  </si>
  <si>
    <t>现金流!E9</t>
  </si>
  <si>
    <t>现金流!F9</t>
  </si>
  <si>
    <t>现金流!G9</t>
  </si>
  <si>
    <t>现金流!H9</t>
  </si>
  <si>
    <t>现金流!B10</t>
  </si>
  <si>
    <t>现金流!C10</t>
  </si>
  <si>
    <t>现金流!D10</t>
  </si>
  <si>
    <t>现金流!E10</t>
  </si>
  <si>
    <t>现金流!F10</t>
  </si>
  <si>
    <t>现金流!G10</t>
  </si>
  <si>
    <t>现金流!H10</t>
  </si>
  <si>
    <t>现金流!B12</t>
  </si>
  <si>
    <t>现金流!C12</t>
  </si>
  <si>
    <t>现金流!D12</t>
  </si>
  <si>
    <t>现金流!E12</t>
  </si>
  <si>
    <t>现金流!F12</t>
  </si>
  <si>
    <t>现金流!G12</t>
  </si>
  <si>
    <t>现金流!H12</t>
  </si>
  <si>
    <t>对账!B6</t>
  </si>
  <si>
    <t>补充来源 E2：2023ar.pdf｜Item 7 Results of Operations，K-35</t>
  </si>
  <si>
    <t>对账!C6</t>
  </si>
  <si>
    <t>对账!B7</t>
  </si>
  <si>
    <t>对账!C7</t>
  </si>
  <si>
    <t>对账!B10</t>
  </si>
  <si>
    <t>E2：2023ar.pdf｜Item 7 Results of Operations，K-35</t>
  </si>
  <si>
    <t>对账!B11</t>
  </si>
  <si>
    <t>对账!B17</t>
  </si>
  <si>
    <t>材料/Berkshire_2026Q2季报__brka-20260630.htm｜Item 2 Other，p47，税后外币债务汇兑</t>
  </si>
  <si>
    <t>对账!B21</t>
  </si>
  <si>
    <t>材料/Berkshire_2026Q2季报__brka-20260630.htm｜Item 2 Results of Operations，p33，税后重大灾害损失</t>
  </si>
  <si>
    <t>对账!C17</t>
  </si>
  <si>
    <t>对账!C21</t>
  </si>
  <si>
    <t>对账!B28</t>
  </si>
  <si>
    <t>材料/Berkshire_2025年报__brka-20251231.htm｜Item 7 Financial Condition，净未结算国债应付款；约数</t>
  </si>
  <si>
    <t>对账!B29</t>
  </si>
  <si>
    <t>材料/Berkshire_2026Q2季报__brka-20260630.htm｜Item 2 Financial Condition，p48；约数</t>
  </si>
  <si>
    <t>对账!B30</t>
  </si>
  <si>
    <t>材料/Berkshire_2026Q2季报__brka-20260630.htm｜Item 2 Insurance—Investment Income，p38；约数</t>
  </si>
  <si>
    <t>假设!B6</t>
  </si>
  <si>
    <t>分析者假设，非公司披露</t>
  </si>
  <si>
    <t>假设!B7</t>
  </si>
  <si>
    <t>假设!B8</t>
  </si>
  <si>
    <t>假设!B9</t>
  </si>
  <si>
    <t>历史决策!C19</t>
  </si>
  <si>
    <t>历史决策!C20</t>
  </si>
  <si>
    <t>历史决策!C21</t>
  </si>
  <si>
    <t>历史决策!C22</t>
  </si>
  <si>
    <t>历史决策!C23</t>
  </si>
  <si>
    <t>历史决策!C24</t>
  </si>
  <si>
    <t>历史决策!C25</t>
  </si>
  <si>
    <t>历史决策!C26</t>
  </si>
  <si>
    <t>历史决策!C27</t>
  </si>
  <si>
    <t>历史决策!C28</t>
  </si>
  <si>
    <t>历史决策!C29</t>
  </si>
  <si>
    <t>历史决策!C30</t>
  </si>
</sst>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#,##0;[Red](#,##0);–"/>
    <numFmt numFmtId="167" formatCode="0.0%;[Red](0.0%);–"/>
    <numFmt numFmtId="168" formatCode="#,##0.00;[Red](#,##0.00);–"/>
    <numFmt numFmtId="169" formatCode="0%"/>
    <numFmt numFmtId="170" formatCode="0.00"/>
  </numFmts>
  <fonts count="14">
    <font>
      <sz val="11"/>
      <color theme="1"/>
      <name val="Calibri"/>
      <family val="2"/>
      <scheme val="minor"/>
    </font>
    <font>
      <b/>
      <sz val="23"/>
      <color rgb="FF183D46"/>
      <name val="等线"/>
      <family val="2"/>
    </font>
    <font>
      <sz val="10"/>
      <color rgb="FF677C80"/>
      <name val="等线"/>
      <family val="2"/>
    </font>
    <font>
      <b/>
      <sz val="11"/>
      <color rgb="FFFFFFFF"/>
      <name val="等线"/>
      <family val="2"/>
    </font>
    <font>
      <sz val="11"/>
      <color rgb="FF28434A"/>
      <name val="等线"/>
      <family val="2"/>
    </font>
    <font>
      <b/>
      <sz val="28"/>
      <color rgb="FF138B83"/>
      <name val="等线"/>
      <family val="2"/>
    </font>
    <font>
      <b/>
      <sz val="28"/>
      <color rgb="FF183D46"/>
      <name val="等线"/>
      <family val="2"/>
    </font>
    <font>
      <sz val="9"/>
      <color rgb="FF677C80"/>
      <name val="等线"/>
      <family val="2"/>
    </font>
    <font>
      <sz val="9"/>
      <color rgb="FF28434A"/>
      <name val="等线"/>
      <family val="2"/>
    </font>
    <font>
      <sz val="11"/>
      <color rgb="FF23694E"/>
      <name val="等线"/>
      <family val="2"/>
    </font>
    <font>
      <sz val="11"/>
      <color rgb="FF16587E"/>
      <name val="等线"/>
      <family val="2"/>
    </font>
    <font>
      <sz val="11"/>
      <color theme="1"/>
      <name val="等线"/>
      <family val="2"/>
    </font>
    <font>
      <sz val="11"/>
      <color rgb="FF9F6014"/>
      <name val="等线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83D46"/>
        <bgColor indexed="64"/>
      </patternFill>
    </fill>
    <fill>
      <patternFill patternType="solid">
        <fgColor rgb="FFEAF5EC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FFF0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66" fontId="9" fillId="3" borderId="0" xfId="0" applyNumberFormat="1" applyFont="1" applyFill="1" applyAlignment="1">
      <alignment vertical="center"/>
    </xf>
    <xf numFmtId="167" fontId="9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 wrapText="1"/>
    </xf>
    <xf numFmtId="166" fontId="10" fillId="4" borderId="0" xfId="0" applyNumberFormat="1" applyFont="1" applyFill="1" applyAlignment="1">
      <alignment vertical="center"/>
    </xf>
    <xf numFmtId="168" fontId="11" fillId="3" borderId="0" xfId="0" applyNumberFormat="1" applyFont="1" applyFill="1" applyAlignment="1">
      <alignment vertical="center"/>
    </xf>
    <xf numFmtId="164" fontId="12" fillId="5" borderId="0" xfId="0" applyNumberFormat="1" applyFont="1" applyFill="1" applyAlignment="1">
      <alignment vertical="center"/>
    </xf>
    <xf numFmtId="169" fontId="10" fillId="4" borderId="0" xfId="0" applyNumberFormat="1" applyFont="1" applyFill="1"/>
    <xf numFmtId="170" fontId="10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业务利润｜百万美元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2025H1</c:v>
          </c:tx>
          <c:spPr>
            <a:solidFill>
              <a:srgbClr val="A8CFCB"/>
            </a:solidFill>
            <a:ln>
              <a:noFill/>
            </a:ln>
          </c:spPr>
          <c:cat>
            <c:strRef>
              <c:f>'变化'!$A$11:$A$16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BNSF</c:v>
                </c:pt>
                <c:pt idx="3">
                  <c:v>BHE</c:v>
                </c:pt>
                <c:pt idx="4">
                  <c:v>制造服务零售</c:v>
                </c:pt>
                <c:pt idx="5">
                  <c:v>其他</c:v>
                </c:pt>
              </c:strCache>
            </c:strRef>
          </c:cat>
          <c:val>
            <c:numRef>
              <c:f>'变化'!$B$11:$B$16</c:f>
              <c:numCache>
                <c:formatCode>General</c:formatCode>
                <c:ptCount val="6"/>
                <c:pt idx="0">
                  <c:v>3328</c:v>
                </c:pt>
                <c:pt idx="1">
                  <c:v>6260</c:v>
                </c:pt>
                <c:pt idx="2">
                  <c:v>2680</c:v>
                </c:pt>
                <c:pt idx="3">
                  <c:v>1799</c:v>
                </c:pt>
                <c:pt idx="4">
                  <c:v>6661</c:v>
                </c:pt>
                <c:pt idx="5">
                  <c:v>73</c:v>
                </c:pt>
              </c:numCache>
            </c:numRef>
          </c:val>
        </c:ser>
        <c:ser>
          <c:idx val="1"/>
          <c:order val="1"/>
          <c:tx>
            <c:v>2026H1</c:v>
          </c:tx>
          <c:spPr>
            <a:solidFill>
              <a:srgbClr val="138B83"/>
            </a:solidFill>
            <a:ln>
              <a:noFill/>
            </a:ln>
          </c:spPr>
          <c:cat>
            <c:strRef>
              <c:f>'变化'!$A$11:$A$16</c:f>
              <c:strCache>
                <c:ptCount val="6"/>
                <c:pt idx="0">
                  <c:v>保险承保</c:v>
                </c:pt>
                <c:pt idx="1">
                  <c:v>保险投资收益</c:v>
                </c:pt>
                <c:pt idx="2">
                  <c:v>BNSF</c:v>
                </c:pt>
                <c:pt idx="3">
                  <c:v>BHE</c:v>
                </c:pt>
                <c:pt idx="4">
                  <c:v>制造服务零售</c:v>
                </c:pt>
                <c:pt idx="5">
                  <c:v>其他</c:v>
                </c:pt>
              </c:strCache>
            </c:strRef>
          </c:cat>
          <c:val>
            <c:numRef>
              <c:f>'变化'!$C$11:$C$16</c:f>
              <c:numCache>
                <c:formatCode>General</c:formatCode>
                <c:ptCount val="6"/>
                <c:pt idx="0">
                  <c:v>3448</c:v>
                </c:pt>
                <c:pt idx="1">
                  <c:v>5738</c:v>
                </c:pt>
                <c:pt idx="2">
                  <c:v>2935</c:v>
                </c:pt>
                <c:pt idx="3">
                  <c:v>2005</c:v>
                </c:pt>
                <c:pt idx="4">
                  <c:v>7669</c:v>
                </c:pt>
                <c:pt idx="5">
                  <c:v>2534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AF0EF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2026H1 权益证券组合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组合</c:v>
          </c:tx>
          <c:dPt>
            <c:idx val="0"/>
            <c:spPr>
              <a:solidFill>
                <a:srgbClr val="138B83"/>
              </a:solidFill>
            </c:spPr>
          </c:dPt>
          <c:dPt>
            <c:idx val="1"/>
            <c:spPr>
              <a:solidFill>
                <a:srgbClr val="EDB95F"/>
              </a:solidFill>
            </c:spPr>
          </c:dPt>
          <c:dPt>
            <c:idx val="2"/>
            <c:spPr>
              <a:solidFill>
                <a:srgbClr val="437DAB"/>
              </a:solidFill>
            </c:spPr>
          </c:dPt>
          <c:dLbls>
            <c:showPercent val="1"/>
          </c:dLbls>
          <c:cat>
            <c:strRef>
              <c:f>'股票组合'!$A$6:$A$8</c:f>
              <c:strCache>
                <c:ptCount val="3"/>
                <c:pt idx="0">
                  <c:v>银行、保险与金融</c:v>
                </c:pt>
                <c:pt idx="1">
                  <c:v>消费品</c:v>
                </c:pt>
                <c:pt idx="2">
                  <c:v>商业、工业及其他</c:v>
                </c:pt>
              </c:strCache>
            </c:strRef>
          </c:cat>
          <c:val>
            <c:numRef>
              <c:f>'股票组合'!$H$6:$H$8</c:f>
              <c:numCache>
                <c:formatCode>General</c:formatCode>
                <c:ptCount val="3"/>
                <c:pt idx="0">
                  <c:v>94477</c:v>
                </c:pt>
                <c:pt idx="1">
                  <c:v>100486</c:v>
                </c:pt>
                <c:pt idx="2">
                  <c:v>128816</c:v>
                </c:pt>
              </c:numCache>
            </c:numRef>
          </c:val>
        </c:ser>
        <c:firstSliceAng val="0"/>
        <c:holeSize val="65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2021–2025 年末资金｜百万美元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现金＋短期国债</c:v>
          </c:tx>
          <c:spPr>
            <a:ln w="31750">
              <a:solidFill>
                <a:srgbClr val="138B83"/>
              </a:solidFill>
            </a:ln>
          </c:spPr>
          <c:marker>
            <c:symbol val="circle"/>
            <c:size val="5"/>
          </c:marker>
          <c:cat>
            <c:numRef>
              <c:f>'资本'!$B$5:$F$5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'资本'!$B$12:$F$12</c:f>
              <c:numCache>
                <c:formatCode>General</c:formatCode>
                <c:ptCount val="5"/>
                <c:pt idx="0">
                  <c:v>146719</c:v>
                </c:pt>
                <c:pt idx="1">
                  <c:v>128585</c:v>
                </c:pt>
                <c:pt idx="2">
                  <c:v>167641</c:v>
                </c:pt>
                <c:pt idx="3">
                  <c:v>334201</c:v>
                </c:pt>
                <c:pt idx="4">
                  <c:v>373311</c:v>
                </c:pt>
              </c:numCache>
            </c:numRef>
          </c:val>
        </c:ser>
        <c:ser>
          <c:idx val="1"/>
          <c:order val="1"/>
          <c:tx>
            <c:v>浮存金（约数）</c:v>
          </c:tx>
          <c:spPr>
            <a:ln w="31750">
              <a:solidFill>
                <a:srgbClr val="EDB95F"/>
              </a:solidFill>
            </a:ln>
          </c:spPr>
          <c:marker>
            <c:symbol val="circle"/>
            <c:size val="5"/>
          </c:marker>
          <c:cat>
            <c:numRef>
              <c:f>'资本'!$B$5:$F$5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'资本'!$B$6:$F$6</c:f>
              <c:numCache>
                <c:formatCode>General</c:formatCode>
                <c:ptCount val="5"/>
                <c:pt idx="0">
                  <c:v>147000</c:v>
                </c:pt>
                <c:pt idx="1">
                  <c:v>164000</c:v>
                </c:pt>
                <c:pt idx="2">
                  <c:v>169000</c:v>
                </c:pt>
                <c:pt idx="3">
                  <c:v>171000</c:v>
                </c:pt>
                <c:pt idx="4">
                  <c:v>176000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回购｜全年与半年分列，百万美元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回购入账额</c:v>
          </c:tx>
          <c:spPr>
            <a:solidFill>
              <a:srgbClr val="EDB95F"/>
            </a:solidFill>
            <a:ln>
              <a:noFill/>
            </a:ln>
          </c:spPr>
          <c:cat>
            <c:strRef>
              <c:f>'资本'!$B$5:$H$5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2025H1</c:v>
                </c:pt>
                <c:pt idx="6">
                  <c:v>2026H1</c:v>
                </c:pt>
              </c:strCache>
            </c:strRef>
          </c:cat>
          <c:val>
            <c:numRef>
              <c:f>'资本'!$B$23:$H$23</c:f>
              <c:numCache>
                <c:formatCode>General</c:formatCode>
                <c:ptCount val="7"/>
                <c:pt idx="0">
                  <c:v>26942</c:v>
                </c:pt>
                <c:pt idx="1">
                  <c:v>8031</c:v>
                </c:pt>
                <c:pt idx="2">
                  <c:v>8976</c:v>
                </c:pt>
                <c:pt idx="3">
                  <c:v>2918</c:v>
                </c:pt>
                <c:pt idx="4">
                  <c:v>0</c:v>
                </c:pt>
                <c:pt idx="5">
                  <c:v>0</c:v>
                </c:pt>
                <c:pt idx="6">
                  <c:v>4762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638175</xdr:colOff>
      <xdr:row>29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8</xdr:col>
      <xdr:colOff>742950</xdr:colOff>
      <xdr:row>29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4</xdr:col>
      <xdr:colOff>638175</xdr:colOff>
      <xdr:row>43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8</xdr:col>
      <xdr:colOff>742950</xdr:colOff>
      <xdr:row>43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15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1</v>
      </c>
      <c r="B3" s="2"/>
      <c r="C3" s="2"/>
      <c r="D3" s="2"/>
      <c r="E3" s="2"/>
      <c r="F3" s="2"/>
      <c r="G3" s="2"/>
      <c r="H3" s="2"/>
      <c r="I3" s="2"/>
    </row>
    <row r="6" spans="1:9" ht="48.75" customHeight="1">
      <c r="A6" s="3" t="s">
        <v>2</v>
      </c>
      <c r="B6" s="4" t="s">
        <v>3</v>
      </c>
      <c r="C6" s="4"/>
      <c r="D6" s="4"/>
      <c r="E6" s="4"/>
      <c r="F6" s="4"/>
      <c r="G6" s="4"/>
      <c r="H6" s="4"/>
      <c r="I6" s="4"/>
    </row>
    <row r="7" spans="1:9" ht="48.75" customHeight="1">
      <c r="A7" s="3" t="s">
        <v>4</v>
      </c>
      <c r="B7" s="4" t="s">
        <v>5</v>
      </c>
      <c r="C7" s="4"/>
      <c r="D7" s="4"/>
      <c r="E7" s="4"/>
      <c r="F7" s="4"/>
      <c r="G7" s="4"/>
      <c r="H7" s="4"/>
      <c r="I7" s="4"/>
    </row>
    <row r="8" spans="1:9" ht="48.75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</row>
    <row r="9" spans="1:9" ht="48.75" customHeight="1">
      <c r="A9" s="3" t="s">
        <v>8</v>
      </c>
      <c r="B9" s="4" t="s">
        <v>9</v>
      </c>
      <c r="C9" s="4"/>
      <c r="D9" s="4"/>
      <c r="E9" s="4"/>
      <c r="F9" s="4"/>
      <c r="G9" s="4"/>
      <c r="H9" s="4"/>
      <c r="I9" s="4"/>
    </row>
    <row r="10" spans="1:9" ht="48.75" customHeight="1">
      <c r="A10" s="3" t="s">
        <v>10</v>
      </c>
      <c r="B10" s="4" t="s">
        <v>11</v>
      </c>
      <c r="C10" s="4"/>
      <c r="D10" s="4"/>
      <c r="E10" s="4"/>
      <c r="F10" s="4"/>
      <c r="G10" s="4"/>
      <c r="H10" s="4"/>
      <c r="I10" s="4"/>
    </row>
    <row r="11" spans="1:9" ht="48.75" customHeight="1">
      <c r="A11" s="3" t="s">
        <v>12</v>
      </c>
      <c r="B11" s="4" t="s">
        <v>13</v>
      </c>
      <c r="C11" s="4"/>
      <c r="D11" s="4"/>
      <c r="E11" s="4"/>
      <c r="F11" s="4"/>
      <c r="G11" s="4"/>
      <c r="H11" s="4"/>
      <c r="I11" s="4"/>
    </row>
    <row r="12" spans="1:9" ht="48.75" customHeight="1">
      <c r="A12" s="3" t="s">
        <v>14</v>
      </c>
      <c r="B12" s="4" t="s">
        <v>15</v>
      </c>
      <c r="C12" s="4"/>
      <c r="D12" s="4"/>
      <c r="E12" s="4"/>
      <c r="F12" s="4"/>
      <c r="G12" s="4"/>
      <c r="H12" s="4"/>
      <c r="I12" s="4"/>
    </row>
    <row r="13" spans="1:9" ht="48.75" customHeight="1">
      <c r="A13" s="3" t="s">
        <v>16</v>
      </c>
      <c r="B13" s="4" t="s">
        <v>17</v>
      </c>
      <c r="C13" s="4"/>
      <c r="D13" s="4"/>
      <c r="E13" s="4"/>
      <c r="F13" s="4"/>
      <c r="G13" s="4"/>
      <c r="H13" s="4"/>
      <c r="I13" s="4"/>
    </row>
    <row r="14" spans="1:9" ht="48.75" customHeight="1">
      <c r="A14" s="3" t="s">
        <v>18</v>
      </c>
      <c r="B14" s="4" t="s">
        <v>19</v>
      </c>
      <c r="C14" s="4"/>
      <c r="D14" s="4"/>
      <c r="E14" s="4"/>
      <c r="F14" s="4"/>
      <c r="G14" s="4"/>
      <c r="H14" s="4"/>
      <c r="I14" s="4"/>
    </row>
    <row r="15" spans="1:9" ht="48.75" customHeight="1">
      <c r="A15" s="3" t="s">
        <v>20</v>
      </c>
      <c r="B15" s="4" t="s">
        <v>21</v>
      </c>
      <c r="C15" s="4"/>
      <c r="D15" s="4"/>
      <c r="E15" s="4"/>
      <c r="F15" s="4"/>
      <c r="G15" s="4"/>
      <c r="H15" s="4"/>
      <c r="I15" s="4"/>
    </row>
  </sheetData>
  <mergeCells count="12">
    <mergeCell ref="A1:I2"/>
    <mergeCell ref="A3:I3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5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.75" customHeight="1"/>
  <cols>
    <col min="1" max="1" width="23.7109375" customWidth="1"/>
    <col min="2" max="9" width="12.7109375" customWidth="1"/>
  </cols>
  <sheetData>
    <row r="1" spans="1:9" ht="21.75" customHeight="1">
      <c r="A1" s="1" t="s">
        <v>22</v>
      </c>
      <c r="B1" s="1"/>
      <c r="C1" s="1"/>
      <c r="D1" s="1"/>
      <c r="E1" s="1"/>
      <c r="F1" s="1"/>
      <c r="G1" s="1"/>
      <c r="H1" s="1"/>
      <c r="I1" s="1"/>
    </row>
    <row r="2" spans="1:9" ht="21.75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23</v>
      </c>
      <c r="B3" s="2"/>
      <c r="C3" s="2"/>
      <c r="D3" s="2"/>
      <c r="E3" s="2"/>
      <c r="F3" s="2"/>
      <c r="G3" s="2"/>
      <c r="H3" s="2"/>
      <c r="I3" s="2"/>
    </row>
    <row r="5" spans="1:9" ht="21.75" customHeight="1">
      <c r="A5" s="3" t="s">
        <v>167</v>
      </c>
      <c r="B5" s="3"/>
      <c r="C5" s="3"/>
      <c r="D5" s="3" t="s">
        <v>168</v>
      </c>
      <c r="E5" s="3"/>
      <c r="F5" s="3"/>
      <c r="G5" s="3" t="s">
        <v>169</v>
      </c>
      <c r="H5" s="3"/>
      <c r="I5" s="3"/>
    </row>
    <row r="6" spans="1:9" ht="21.75" customHeight="1">
      <c r="A6" s="5">
        <f>'利润'!H12/'利润'!G12-1</f>
        <v>0.1696072304216143</v>
      </c>
      <c r="B6" s="5"/>
      <c r="C6" s="5"/>
      <c r="D6" s="6">
        <f>'资本'!H12/1000</f>
        <v>365.514</v>
      </c>
      <c r="E6" s="6"/>
      <c r="F6" s="6"/>
      <c r="G6" s="6">
        <f>'假设'!B13</f>
        <v>-1155.0242400000002</v>
      </c>
      <c r="H6" s="6"/>
      <c r="I6" s="6"/>
    </row>
    <row r="7" spans="1:9" ht="21.75" customHeight="1">
      <c r="A7" s="5"/>
      <c r="B7" s="5"/>
      <c r="C7" s="5"/>
      <c r="D7" s="6"/>
      <c r="E7" s="6"/>
      <c r="F7" s="6"/>
      <c r="G7" s="6"/>
      <c r="H7" s="6"/>
      <c r="I7" s="6"/>
    </row>
    <row r="8" spans="1:9" ht="21.75" customHeight="1">
      <c r="A8" s="7" t="s">
        <v>170</v>
      </c>
      <c r="B8" s="7"/>
      <c r="C8" s="7"/>
      <c r="D8" s="7" t="s">
        <v>171</v>
      </c>
      <c r="E8" s="7"/>
      <c r="F8" s="7"/>
      <c r="G8" s="7" t="s">
        <v>172</v>
      </c>
      <c r="H8" s="7"/>
      <c r="I8" s="7"/>
    </row>
    <row r="10" spans="1:9" ht="21.75" customHeight="1">
      <c r="A10" s="3" t="s">
        <v>173</v>
      </c>
      <c r="B10" s="3" t="s">
        <v>32</v>
      </c>
      <c r="C10" s="3" t="s">
        <v>33</v>
      </c>
      <c r="D10" s="3" t="s">
        <v>174</v>
      </c>
      <c r="E10" s="3" t="s">
        <v>175</v>
      </c>
      <c r="F10" s="3" t="s">
        <v>176</v>
      </c>
      <c r="G10" s="3" t="s">
        <v>177</v>
      </c>
      <c r="H10" s="3"/>
    </row>
    <row r="11" spans="1:9" ht="21.75" customHeight="1">
      <c r="A11" s="8" t="s">
        <v>35</v>
      </c>
      <c r="B11" s="9">
        <f>'利润'!G6</f>
        <v>3328</v>
      </c>
      <c r="C11" s="9">
        <f>'利润'!H6</f>
        <v>3448</v>
      </c>
      <c r="D11" s="9">
        <f>C11-B11</f>
        <v>120</v>
      </c>
      <c r="E11" s="10">
        <f>C11/B11-1</f>
        <v>0.03605769230769229</v>
      </c>
      <c r="F11" s="10">
        <f>C11/'利润'!H12</f>
        <v>0.14172386863414033</v>
      </c>
      <c r="G11" s="10">
        <f>D11/('利润'!H12-'利润'!G12)</f>
        <v>0.034013605442176874</v>
      </c>
      <c r="H11" s="7" t="s">
        <v>180</v>
      </c>
      <c r="I11" s="7"/>
    </row>
    <row r="12" spans="1:9" ht="21.75" customHeight="1">
      <c r="A12" s="8" t="s">
        <v>37</v>
      </c>
      <c r="B12" s="9">
        <f>'利润'!G7</f>
        <v>6260</v>
      </c>
      <c r="C12" s="9">
        <f>'利润'!H7</f>
        <v>5738</v>
      </c>
      <c r="D12" s="9">
        <f>C12-B12</f>
        <v>-522</v>
      </c>
      <c r="E12" s="10">
        <f>C12/B12-1</f>
        <v>-0.08338658146964861</v>
      </c>
      <c r="F12" s="10">
        <f>C12/'利润'!H12</f>
        <v>0.23585021990217436</v>
      </c>
      <c r="G12" s="10">
        <f>D12/('利润'!H12-'利润'!G12)</f>
        <v>-0.14795918367346939</v>
      </c>
      <c r="H12" s="7"/>
      <c r="I12" s="7"/>
    </row>
    <row r="13" spans="1:9" ht="21.75" customHeight="1">
      <c r="A13" s="8" t="s">
        <v>82</v>
      </c>
      <c r="B13" s="9">
        <f>'利润'!G8</f>
        <v>2680</v>
      </c>
      <c r="C13" s="9">
        <f>'利润'!H8</f>
        <v>2935</v>
      </c>
      <c r="D13" s="9">
        <f>C13-B13</f>
        <v>255</v>
      </c>
      <c r="E13" s="10">
        <f>C13/B13-1</f>
        <v>0.0951492537313432</v>
      </c>
      <c r="F13" s="10">
        <f>C13/'利润'!H12</f>
        <v>0.12063792182169428</v>
      </c>
      <c r="G13" s="10">
        <f>D13/('利润'!H12-'利润'!G12)</f>
        <v>0.07227891156462585</v>
      </c>
      <c r="H13" s="7"/>
      <c r="I13" s="7"/>
    </row>
    <row r="14" spans="1:9" ht="21.75" customHeight="1">
      <c r="A14" s="8" t="s">
        <v>83</v>
      </c>
      <c r="B14" s="9">
        <f>'利润'!G9</f>
        <v>1799</v>
      </c>
      <c r="C14" s="9">
        <f>'利润'!H9</f>
        <v>2005</v>
      </c>
      <c r="D14" s="9">
        <f>C14-B14</f>
        <v>206</v>
      </c>
      <c r="E14" s="10">
        <f>C14/B14-1</f>
        <v>0.1145080600333519</v>
      </c>
      <c r="F14" s="10">
        <f>C14/'利润'!H12</f>
        <v>0.08241193637223067</v>
      </c>
      <c r="G14" s="10">
        <f>D14/('利润'!H12-'利润'!G12)</f>
        <v>0.05839002267573696</v>
      </c>
      <c r="H14" s="7"/>
      <c r="I14" s="7"/>
    </row>
    <row r="15" spans="1:9" ht="21.75" customHeight="1">
      <c r="A15" s="8" t="s">
        <v>178</v>
      </c>
      <c r="B15" s="9">
        <f>'利润'!G10</f>
        <v>6661</v>
      </c>
      <c r="C15" s="9">
        <f>'利润'!H10</f>
        <v>7669</v>
      </c>
      <c r="D15" s="9">
        <f>C15-B15</f>
        <v>1008</v>
      </c>
      <c r="E15" s="10">
        <f>C15/B15-1</f>
        <v>0.15132862933493474</v>
      </c>
      <c r="F15" s="10">
        <f>C15/'利润'!H12</f>
        <v>0.3152205187225122</v>
      </c>
      <c r="G15" s="10">
        <f>D15/('利润'!H12-'利润'!G12)</f>
        <v>0.2857142857142857</v>
      </c>
      <c r="H15" s="7"/>
      <c r="I15" s="7"/>
    </row>
    <row r="16" spans="1:9" ht="21.75" customHeight="1">
      <c r="A16" s="8" t="s">
        <v>179</v>
      </c>
      <c r="B16" s="9">
        <f>'利润'!G11</f>
        <v>73</v>
      </c>
      <c r="C16" s="9">
        <f>'利润'!H11</f>
        <v>2534</v>
      </c>
      <c r="D16" s="9">
        <f>C16-B16</f>
        <v>2461</v>
      </c>
      <c r="E16" s="10">
        <f>C16/B16-1</f>
        <v>33.71232876712329</v>
      </c>
      <c r="F16" s="10">
        <f>C16/'利润'!H12</f>
        <v>0.10415553454724814</v>
      </c>
      <c r="G16" s="10">
        <f>D16/('利润'!H12-'利润'!G12)</f>
        <v>0.697562358276644</v>
      </c>
      <c r="H16" s="7"/>
      <c r="I16" s="7"/>
    </row>
    <row r="18" spans="1:9" ht="21.75" customHeight="1">
      <c r="A18" s="7" t="s">
        <v>181</v>
      </c>
      <c r="B18" s="7"/>
      <c r="C18" s="7"/>
      <c r="D18" s="7"/>
      <c r="E18" s="7"/>
      <c r="F18" s="7"/>
      <c r="G18" s="7"/>
      <c r="H18" s="7"/>
      <c r="I18" s="7"/>
    </row>
    <row r="19" spans="1:9" ht="21.75" customHeight="1">
      <c r="A19" s="7"/>
      <c r="B19" s="7"/>
      <c r="C19" s="7"/>
      <c r="D19" s="7"/>
      <c r="E19" s="7"/>
      <c r="F19" s="7"/>
      <c r="G19" s="7"/>
      <c r="H19" s="7"/>
      <c r="I19" s="7"/>
    </row>
    <row r="49" spans="1:9" ht="21.75" customHeight="1">
      <c r="A49" s="7" t="s">
        <v>182</v>
      </c>
      <c r="B49" s="7"/>
      <c r="C49" s="7"/>
      <c r="D49" s="7"/>
      <c r="E49" s="7"/>
      <c r="F49" s="7"/>
      <c r="G49" s="7"/>
      <c r="H49" s="7"/>
      <c r="I49" s="7"/>
    </row>
    <row r="50" spans="1:9" ht="21.75" customHeight="1">
      <c r="A50" s="7"/>
      <c r="B50" s="7"/>
      <c r="C50" s="7"/>
      <c r="D50" s="7"/>
      <c r="E50" s="7"/>
      <c r="F50" s="7"/>
      <c r="G50" s="7"/>
      <c r="H50" s="7"/>
      <c r="I50" s="7"/>
    </row>
    <row r="51" spans="1:9" ht="21.75" customHeight="1">
      <c r="A51" s="7"/>
      <c r="B51" s="7"/>
      <c r="C51" s="7"/>
      <c r="D51" s="7"/>
      <c r="E51" s="7"/>
      <c r="F51" s="7"/>
      <c r="G51" s="7"/>
      <c r="H51" s="7"/>
      <c r="I51" s="7"/>
    </row>
  </sheetData>
  <mergeCells count="14">
    <mergeCell ref="A1:I2"/>
    <mergeCell ref="A3:I3"/>
    <mergeCell ref="A5:C5"/>
    <mergeCell ref="D5:F5"/>
    <mergeCell ref="G5:I5"/>
    <mergeCell ref="A6:C7"/>
    <mergeCell ref="D6:F7"/>
    <mergeCell ref="G6:I7"/>
    <mergeCell ref="A8:C8"/>
    <mergeCell ref="D8:F8"/>
    <mergeCell ref="G8:I8"/>
    <mergeCell ref="H11:I16"/>
    <mergeCell ref="A18:I19"/>
    <mergeCell ref="A49:I51"/>
  </mergeCells>
  <pageMargins left="0.25" right="0.25" top="0.3" bottom="0.3" header="0.3" footer="0.3"/>
  <pageSetup paperSize="8" orientation="landscape"/>
  <headerFooter>
    <oddFooter>&amp;L伯克希尔账本 · 研究展示&amp;C不构成投资建议&amp;R第 &amp;P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2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25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30" customHeight="1">
      <c r="A6" s="11" t="s">
        <v>35</v>
      </c>
      <c r="B6" s="12">
        <v>870</v>
      </c>
      <c r="C6" s="12">
        <v>-30</v>
      </c>
      <c r="D6" s="12">
        <v>5428</v>
      </c>
      <c r="E6" s="12">
        <v>9020</v>
      </c>
      <c r="F6" s="12">
        <v>7258</v>
      </c>
      <c r="G6" s="12">
        <v>3328</v>
      </c>
      <c r="H6" s="12">
        <v>3448</v>
      </c>
      <c r="I6" s="7" t="s">
        <v>36</v>
      </c>
    </row>
    <row r="7" spans="1:9" ht="30" customHeight="1">
      <c r="A7" s="11" t="s">
        <v>37</v>
      </c>
      <c r="B7" s="12">
        <v>4807</v>
      </c>
      <c r="C7" s="12">
        <v>6484</v>
      </c>
      <c r="D7" s="12">
        <v>9567</v>
      </c>
      <c r="E7" s="12">
        <v>13670</v>
      </c>
      <c r="F7" s="12">
        <v>12513</v>
      </c>
      <c r="G7" s="12">
        <v>6260</v>
      </c>
      <c r="H7" s="12">
        <v>5738</v>
      </c>
      <c r="I7" s="7" t="s">
        <v>36</v>
      </c>
    </row>
    <row r="8" spans="1:9" ht="30" customHeight="1">
      <c r="A8" s="11" t="s">
        <v>38</v>
      </c>
      <c r="B8" s="12">
        <v>5990</v>
      </c>
      <c r="C8" s="12">
        <v>5946</v>
      </c>
      <c r="D8" s="12">
        <v>5087</v>
      </c>
      <c r="E8" s="12">
        <v>5031</v>
      </c>
      <c r="F8" s="12">
        <v>5476</v>
      </c>
      <c r="G8" s="12">
        <v>2680</v>
      </c>
      <c r="H8" s="12">
        <v>2935</v>
      </c>
      <c r="I8" s="7" t="s">
        <v>36</v>
      </c>
    </row>
    <row r="9" spans="1:9" ht="30" customHeight="1">
      <c r="A9" s="11" t="s">
        <v>39</v>
      </c>
      <c r="B9" s="12">
        <v>3572</v>
      </c>
      <c r="C9" s="12">
        <v>3904</v>
      </c>
      <c r="D9" s="12">
        <v>2331</v>
      </c>
      <c r="E9" s="12">
        <v>3730</v>
      </c>
      <c r="F9" s="12">
        <v>3979</v>
      </c>
      <c r="G9" s="12">
        <v>1799</v>
      </c>
      <c r="H9" s="12">
        <v>2005</v>
      </c>
      <c r="I9" s="7" t="s">
        <v>36</v>
      </c>
    </row>
    <row r="10" spans="1:9" ht="30" customHeight="1">
      <c r="A10" s="11" t="s">
        <v>40</v>
      </c>
      <c r="B10" s="12">
        <v>11120</v>
      </c>
      <c r="C10" s="12">
        <v>12512</v>
      </c>
      <c r="D10" s="12">
        <v>13362</v>
      </c>
      <c r="E10" s="12">
        <v>13072</v>
      </c>
      <c r="F10" s="12">
        <v>13647</v>
      </c>
      <c r="G10" s="12">
        <v>6661</v>
      </c>
      <c r="H10" s="12">
        <v>7669</v>
      </c>
      <c r="I10" s="7" t="s">
        <v>36</v>
      </c>
    </row>
    <row r="11" spans="1:9" ht="30" customHeight="1">
      <c r="A11" s="11" t="s">
        <v>41</v>
      </c>
      <c r="B11" s="9">
        <f>'对账'!B8</f>
        <v>1238</v>
      </c>
      <c r="C11" s="9">
        <f>'对账'!C8</f>
        <v>2037</v>
      </c>
      <c r="D11" s="12">
        <v>1575</v>
      </c>
      <c r="E11" s="12">
        <v>2914</v>
      </c>
      <c r="F11" s="12">
        <v>1613</v>
      </c>
      <c r="G11" s="12">
        <v>73</v>
      </c>
      <c r="H11" s="12">
        <v>2534</v>
      </c>
      <c r="I11" s="7" t="s">
        <v>42</v>
      </c>
    </row>
    <row r="12" spans="1:9" ht="30" customHeight="1">
      <c r="A12" s="11" t="s">
        <v>43</v>
      </c>
      <c r="B12" s="9">
        <f>SUM(B6:B11)</f>
        <v>27597</v>
      </c>
      <c r="C12" s="9">
        <f>SUM(C6:C11)</f>
        <v>30853</v>
      </c>
      <c r="D12" s="9">
        <f>SUM(D6:D11)</f>
        <v>37350</v>
      </c>
      <c r="E12" s="9">
        <f>SUM(E6:E11)</f>
        <v>47437</v>
      </c>
      <c r="F12" s="9">
        <f>SUM(F6:F11)</f>
        <v>44486</v>
      </c>
      <c r="G12" s="9">
        <f>SUM(G6:G11)</f>
        <v>20801</v>
      </c>
      <c r="H12" s="9">
        <f>SUM(H6:H11)</f>
        <v>24329</v>
      </c>
    </row>
    <row r="14" spans="1:9" ht="30" customHeight="1">
      <c r="A14" s="11" t="s">
        <v>44</v>
      </c>
      <c r="B14" s="12">
        <v>62340</v>
      </c>
      <c r="C14" s="12">
        <v>-53612</v>
      </c>
      <c r="D14" s="12">
        <v>58873</v>
      </c>
      <c r="E14" s="12">
        <v>41558</v>
      </c>
      <c r="F14" s="12">
        <v>30737</v>
      </c>
      <c r="G14" s="12">
        <v>-68</v>
      </c>
      <c r="H14" s="12">
        <v>11444</v>
      </c>
    </row>
    <row r="15" spans="1:9" ht="30" customHeight="1">
      <c r="A15" s="11" t="s">
        <v>45</v>
      </c>
      <c r="B15" s="12">
        <v>0</v>
      </c>
      <c r="C15" s="12">
        <v>0</v>
      </c>
      <c r="D15" s="12">
        <v>0</v>
      </c>
      <c r="E15" s="12">
        <v>0</v>
      </c>
      <c r="F15" s="12">
        <v>-8255</v>
      </c>
      <c r="G15" s="12">
        <v>-3760</v>
      </c>
      <c r="H15" s="12">
        <v>0</v>
      </c>
    </row>
    <row r="16" spans="1:9" ht="30" customHeight="1">
      <c r="A16" s="11" t="s">
        <v>47</v>
      </c>
      <c r="B16" s="9">
        <f>B12+B14+B15</f>
        <v>89937</v>
      </c>
      <c r="C16" s="9">
        <f>C12+C14+C15</f>
        <v>-22759</v>
      </c>
      <c r="D16" s="9">
        <f>D12+D14+D15</f>
        <v>96223</v>
      </c>
      <c r="E16" s="9">
        <f>E12+E14+E15</f>
        <v>88995</v>
      </c>
      <c r="F16" s="9">
        <f>F12+F14+F15</f>
        <v>66968</v>
      </c>
      <c r="G16" s="9">
        <f>G12+G14+G15</f>
        <v>16973</v>
      </c>
      <c r="H16" s="9">
        <f>H12+H14+H15</f>
        <v>35773</v>
      </c>
    </row>
    <row r="17" spans="1:9" ht="30" customHeight="1">
      <c r="A17" s="11" t="s">
        <v>46</v>
      </c>
      <c r="B17" s="12">
        <v>89937</v>
      </c>
      <c r="C17" s="12">
        <v>-22759</v>
      </c>
      <c r="D17" s="12">
        <v>96223</v>
      </c>
      <c r="E17" s="12">
        <v>88995</v>
      </c>
      <c r="F17" s="12">
        <v>66968</v>
      </c>
      <c r="G17" s="12">
        <v>16973</v>
      </c>
      <c r="H17" s="12">
        <v>35773</v>
      </c>
    </row>
    <row r="18" spans="1:9" ht="30" customHeight="1">
      <c r="A18" s="11" t="s">
        <v>48</v>
      </c>
      <c r="B18" s="9">
        <f>B16-B17</f>
        <v>0</v>
      </c>
      <c r="C18" s="9">
        <f>C16-C17</f>
        <v>0</v>
      </c>
      <c r="D18" s="9">
        <f>D16-D17</f>
        <v>0</v>
      </c>
      <c r="E18" s="9">
        <f>E16-E17</f>
        <v>0</v>
      </c>
      <c r="F18" s="9">
        <f>F16-F17</f>
        <v>0</v>
      </c>
      <c r="G18" s="9">
        <f>G16-G17</f>
        <v>0</v>
      </c>
      <c r="H18" s="9">
        <f>H16-H17</f>
        <v>0</v>
      </c>
    </row>
    <row r="20" spans="1:9" ht="30" customHeight="1">
      <c r="A20" s="7" t="s">
        <v>49</v>
      </c>
      <c r="B20" s="7"/>
      <c r="C20" s="7"/>
      <c r="D20" s="7"/>
      <c r="E20" s="7"/>
      <c r="F20" s="7"/>
      <c r="G20" s="7"/>
      <c r="H20" s="7"/>
      <c r="I20" s="7"/>
    </row>
    <row r="21" spans="1:9" ht="30" customHeight="1">
      <c r="A21" s="7"/>
      <c r="B21" s="7"/>
      <c r="C21" s="7"/>
      <c r="D21" s="7"/>
      <c r="E21" s="7"/>
      <c r="F21" s="7"/>
      <c r="G21" s="7"/>
      <c r="H21" s="7"/>
      <c r="I21" s="7"/>
    </row>
  </sheetData>
  <autoFilter ref="A5:I5"/>
  <mergeCells count="3">
    <mergeCell ref="A1:I2"/>
    <mergeCell ref="A3:I3"/>
    <mergeCell ref="A20:I21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2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50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51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30" customHeight="1">
      <c r="A6" s="11" t="s">
        <v>52</v>
      </c>
      <c r="B6" s="12">
        <v>147000</v>
      </c>
      <c r="C6" s="12">
        <v>164000</v>
      </c>
      <c r="D6" s="12">
        <v>169000</v>
      </c>
      <c r="E6" s="12">
        <v>171000</v>
      </c>
      <c r="F6" s="12">
        <v>176000</v>
      </c>
      <c r="G6" s="12">
        <v>174000</v>
      </c>
      <c r="H6" s="12">
        <v>177500</v>
      </c>
    </row>
    <row r="8" spans="1:9" ht="30" customHeight="1">
      <c r="A8" s="11" t="s">
        <v>53</v>
      </c>
      <c r="B8" s="12">
        <v>85319</v>
      </c>
      <c r="C8" s="12">
        <v>32260</v>
      </c>
      <c r="D8" s="12">
        <v>33672</v>
      </c>
      <c r="E8" s="12">
        <v>44333</v>
      </c>
      <c r="F8" s="12">
        <v>47719</v>
      </c>
      <c r="G8" s="12">
        <v>96193</v>
      </c>
      <c r="H8" s="12">
        <v>35096</v>
      </c>
    </row>
    <row r="9" spans="1:9" ht="30" customHeight="1">
      <c r="A9" s="11" t="s">
        <v>54</v>
      </c>
      <c r="B9" s="12">
        <v>2865</v>
      </c>
      <c r="C9" s="12">
        <v>3551</v>
      </c>
      <c r="D9" s="12">
        <v>4350</v>
      </c>
      <c r="E9" s="12">
        <v>3396</v>
      </c>
      <c r="F9" s="12">
        <v>4158</v>
      </c>
      <c r="G9" s="12">
        <v>4293</v>
      </c>
      <c r="H9" s="12">
        <v>5513</v>
      </c>
    </row>
    <row r="10" spans="1:9" ht="30" customHeight="1">
      <c r="A10" s="11" t="s">
        <v>61</v>
      </c>
      <c r="B10" s="9">
        <f>B8+B9</f>
        <v>88184</v>
      </c>
      <c r="C10" s="9">
        <f>C8+C9</f>
        <v>35811</v>
      </c>
      <c r="D10" s="9">
        <f>D8+D9</f>
        <v>38022</v>
      </c>
      <c r="E10" s="9">
        <f>E8+E9</f>
        <v>47729</v>
      </c>
      <c r="F10" s="9">
        <f>F8+F9</f>
        <v>51877</v>
      </c>
      <c r="G10" s="9">
        <f>G8+G9</f>
        <v>100486</v>
      </c>
      <c r="H10" s="9">
        <f>H8+H9</f>
        <v>40609</v>
      </c>
    </row>
    <row r="11" spans="1:9" ht="30" customHeight="1">
      <c r="A11" s="11" t="s">
        <v>55</v>
      </c>
      <c r="B11" s="12">
        <v>58535</v>
      </c>
      <c r="C11" s="12">
        <v>92774</v>
      </c>
      <c r="D11" s="12">
        <v>129619</v>
      </c>
      <c r="E11" s="12">
        <v>286472</v>
      </c>
      <c r="F11" s="12">
        <v>321434</v>
      </c>
      <c r="G11" s="12">
        <v>243605</v>
      </c>
      <c r="H11" s="12">
        <v>324905</v>
      </c>
    </row>
    <row r="12" spans="1:9" ht="30" customHeight="1">
      <c r="A12" s="11" t="s">
        <v>62</v>
      </c>
      <c r="B12" s="9">
        <f>B10+B11</f>
        <v>146719</v>
      </c>
      <c r="C12" s="9">
        <f>C10+C11</f>
        <v>128585</v>
      </c>
      <c r="D12" s="9">
        <f>D10+D11</f>
        <v>167641</v>
      </c>
      <c r="E12" s="9">
        <f>E10+E11</f>
        <v>334201</v>
      </c>
      <c r="F12" s="9">
        <f>F10+F11</f>
        <v>373311</v>
      </c>
      <c r="G12" s="9">
        <f>G10+G11</f>
        <v>344091</v>
      </c>
      <c r="H12" s="9">
        <f>H10+H11</f>
        <v>365514</v>
      </c>
    </row>
    <row r="15" spans="1:9" ht="30" customHeight="1">
      <c r="A15" s="11" t="s">
        <v>56</v>
      </c>
      <c r="B15" s="12">
        <v>501568</v>
      </c>
      <c r="C15" s="12">
        <v>473424</v>
      </c>
      <c r="D15" s="12">
        <v>561273</v>
      </c>
      <c r="E15" s="12">
        <v>649368</v>
      </c>
      <c r="F15" s="12">
        <v>717419</v>
      </c>
      <c r="G15" s="12">
        <v>667989</v>
      </c>
      <c r="H15" s="12">
        <v>747910</v>
      </c>
    </row>
    <row r="16" spans="1:9" ht="30" customHeight="1">
      <c r="A16" s="11" t="s">
        <v>57</v>
      </c>
      <c r="B16" s="12">
        <v>617113</v>
      </c>
      <c r="C16" s="12">
        <v>591564</v>
      </c>
      <c r="D16" s="12">
        <v>567775</v>
      </c>
      <c r="E16" s="12">
        <v>547562</v>
      </c>
      <c r="F16" s="12">
        <v>515835</v>
      </c>
      <c r="G16" s="12">
        <v>531469</v>
      </c>
      <c r="H16" s="12">
        <v>501101</v>
      </c>
    </row>
    <row r="17" spans="1:9" ht="30" customHeight="1">
      <c r="A17" s="11" t="s">
        <v>58</v>
      </c>
      <c r="B17" s="12">
        <v>1290474503</v>
      </c>
      <c r="C17" s="12">
        <v>1302254076</v>
      </c>
      <c r="D17" s="12">
        <v>1310561508</v>
      </c>
      <c r="E17" s="12">
        <v>1335992139</v>
      </c>
      <c r="F17" s="12">
        <v>1383582639</v>
      </c>
      <c r="G17" s="12">
        <v>1360131639</v>
      </c>
      <c r="H17" s="12">
        <v>1395887484</v>
      </c>
    </row>
    <row r="18" spans="1:9" ht="30" customHeight="1">
      <c r="A18" s="11" t="s">
        <v>63</v>
      </c>
      <c r="B18" s="13">
        <f>B16+B17/1500</f>
        <v>1477429.3353333334</v>
      </c>
      <c r="C18" s="13">
        <f>C16+C17/1500</f>
        <v>1459733.384</v>
      </c>
      <c r="D18" s="13">
        <f>D16+D17/1500</f>
        <v>1441482.672</v>
      </c>
      <c r="E18" s="13">
        <f>E16+E17/1500</f>
        <v>1438223.426</v>
      </c>
      <c r="F18" s="13">
        <f>F16+F17/1500</f>
        <v>1438223.426</v>
      </c>
      <c r="G18" s="13">
        <f>G16+G17/1500</f>
        <v>1438223.426</v>
      </c>
      <c r="H18" s="13">
        <f>H16+H17/1500</f>
        <v>1431692.656</v>
      </c>
    </row>
    <row r="19" spans="1:9" ht="30" customHeight="1">
      <c r="A19" s="11" t="s">
        <v>64</v>
      </c>
      <c r="B19" s="13">
        <f>B15*1000000/B18</f>
        <v>339486.9642864088</v>
      </c>
      <c r="C19" s="13">
        <f>C15*1000000/C18</f>
        <v>324322.23938231176</v>
      </c>
      <c r="D19" s="13">
        <f>D15*1000000/D18</f>
        <v>389372.00626994425</v>
      </c>
      <c r="E19" s="13">
        <f>E15*1000000/E18</f>
        <v>451507.03865673236</v>
      </c>
      <c r="F19" s="13">
        <f>F15*1000000/F18</f>
        <v>498823.0528237829</v>
      </c>
      <c r="G19" s="13">
        <f>G15*1000000/G18</f>
        <v>464454.2620598366</v>
      </c>
      <c r="H19" s="13">
        <f>H15*1000000/H18</f>
        <v>522395.639081912</v>
      </c>
    </row>
    <row r="20" spans="1:9" ht="30" customHeight="1">
      <c r="A20" s="11" t="s">
        <v>65</v>
      </c>
      <c r="B20" s="13">
        <f>B19/1500</f>
        <v>226.32464285760585</v>
      </c>
      <c r="C20" s="13">
        <f>C19/1500</f>
        <v>216.2148262548745</v>
      </c>
      <c r="D20" s="13">
        <f>D19/1500</f>
        <v>259.58133751329615</v>
      </c>
      <c r="E20" s="13">
        <f>E19/1500</f>
        <v>301.0046924378216</v>
      </c>
      <c r="F20" s="13">
        <f>F19/1500</f>
        <v>332.5487018825219</v>
      </c>
      <c r="G20" s="13">
        <f>G19/1500</f>
        <v>309.6361747065577</v>
      </c>
      <c r="H20" s="13">
        <f>H19/1500</f>
        <v>348.2637593879413</v>
      </c>
    </row>
    <row r="23" spans="1:9" ht="30" customHeight="1">
      <c r="A23" s="11" t="s">
        <v>59</v>
      </c>
      <c r="B23" s="12">
        <v>26942</v>
      </c>
      <c r="C23" s="12">
        <v>8031</v>
      </c>
      <c r="D23" s="12">
        <v>8976</v>
      </c>
      <c r="E23" s="12">
        <v>2918</v>
      </c>
      <c r="F23" s="12">
        <v>0</v>
      </c>
      <c r="G23" s="12">
        <v>0</v>
      </c>
      <c r="H23" s="12">
        <v>4762</v>
      </c>
    </row>
    <row r="24" spans="1:9" ht="30" customHeight="1">
      <c r="A24" s="11" t="s">
        <v>60</v>
      </c>
      <c r="B24" s="12">
        <v>27061</v>
      </c>
      <c r="C24" s="12">
        <v>7854</v>
      </c>
      <c r="D24" s="12">
        <v>9171</v>
      </c>
      <c r="E24" s="12">
        <v>2918</v>
      </c>
      <c r="F24" s="12">
        <v>0</v>
      </c>
      <c r="G24" s="12">
        <v>0</v>
      </c>
      <c r="H24" s="12">
        <v>4444</v>
      </c>
    </row>
    <row r="25" spans="1:9" ht="30" customHeight="1">
      <c r="A25" s="11" t="s">
        <v>66</v>
      </c>
      <c r="B25" s="9">
        <f>B23-B24</f>
        <v>-119</v>
      </c>
      <c r="C25" s="9">
        <f>C23-C24</f>
        <v>177</v>
      </c>
      <c r="D25" s="9">
        <f>D23-D24</f>
        <v>-195</v>
      </c>
      <c r="E25" s="9">
        <f>E23-E24</f>
        <v>0</v>
      </c>
      <c r="F25" s="9">
        <f>F23-F24</f>
        <v>0</v>
      </c>
      <c r="G25" s="9">
        <f>G23-G24</f>
        <v>0</v>
      </c>
      <c r="H25" s="9">
        <f>H23-H24</f>
        <v>318</v>
      </c>
    </row>
    <row r="27" spans="1:9" ht="30" customHeight="1">
      <c r="A27" s="7" t="s">
        <v>67</v>
      </c>
      <c r="B27" s="7"/>
      <c r="C27" s="7"/>
      <c r="D27" s="7"/>
      <c r="E27" s="7"/>
      <c r="F27" s="7"/>
      <c r="G27" s="7"/>
      <c r="H27" s="7"/>
      <c r="I27" s="7"/>
    </row>
    <row r="28" spans="1:9" ht="30" customHeight="1">
      <c r="A28" s="7"/>
      <c r="B28" s="7"/>
      <c r="C28" s="7"/>
      <c r="D28" s="7"/>
      <c r="E28" s="7"/>
      <c r="F28" s="7"/>
      <c r="G28" s="7"/>
      <c r="H28" s="7"/>
      <c r="I28" s="7"/>
    </row>
  </sheetData>
  <autoFilter ref="A5:I5"/>
  <mergeCells count="3">
    <mergeCell ref="A1:I2"/>
    <mergeCell ref="A3:I3"/>
    <mergeCell ref="A27:I28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2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68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69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30" customHeight="1">
      <c r="A6" s="11" t="s">
        <v>70</v>
      </c>
      <c r="B6" s="12">
        <v>89058</v>
      </c>
      <c r="C6" s="12">
        <v>69556</v>
      </c>
      <c r="D6" s="12">
        <v>78312</v>
      </c>
      <c r="E6" s="12">
        <v>91643</v>
      </c>
      <c r="F6" s="12">
        <v>104129</v>
      </c>
      <c r="G6" s="12">
        <v>93424</v>
      </c>
      <c r="H6" s="12">
        <v>94477</v>
      </c>
    </row>
    <row r="7" spans="1:9" ht="30" customHeight="1">
      <c r="A7" s="11" t="s">
        <v>71</v>
      </c>
      <c r="B7" s="12">
        <v>191021</v>
      </c>
      <c r="C7" s="12">
        <v>152892</v>
      </c>
      <c r="D7" s="12">
        <v>201143</v>
      </c>
      <c r="E7" s="12">
        <v>104749</v>
      </c>
      <c r="F7" s="12">
        <v>94954</v>
      </c>
      <c r="G7" s="12">
        <v>91475</v>
      </c>
      <c r="H7" s="12">
        <v>100486</v>
      </c>
    </row>
    <row r="8" spans="1:9" ht="30" customHeight="1">
      <c r="A8" s="11" t="s">
        <v>72</v>
      </c>
      <c r="B8" s="12">
        <v>70640</v>
      </c>
      <c r="C8" s="12">
        <v>86345</v>
      </c>
      <c r="D8" s="12">
        <v>74387</v>
      </c>
      <c r="E8" s="12">
        <v>75196</v>
      </c>
      <c r="F8" s="12">
        <v>98695</v>
      </c>
      <c r="G8" s="12">
        <v>83024</v>
      </c>
      <c r="H8" s="12">
        <v>128816</v>
      </c>
    </row>
    <row r="9" spans="1:9" ht="30" customHeight="1">
      <c r="A9" s="11" t="s">
        <v>74</v>
      </c>
      <c r="B9" s="9">
        <f>SUM(B6:B8)</f>
        <v>350719</v>
      </c>
      <c r="C9" s="9">
        <f>SUM(C6:C8)</f>
        <v>308793</v>
      </c>
      <c r="D9" s="9">
        <f>SUM(D6:D8)</f>
        <v>353842</v>
      </c>
      <c r="E9" s="9">
        <f>SUM(E6:E8)</f>
        <v>271588</v>
      </c>
      <c r="F9" s="9">
        <f>SUM(F6:F8)</f>
        <v>297778</v>
      </c>
      <c r="G9" s="9">
        <f>SUM(G6:G8)</f>
        <v>267923</v>
      </c>
      <c r="H9" s="9">
        <f>SUM(H6:H8)</f>
        <v>323779</v>
      </c>
    </row>
    <row r="10" spans="1:9" ht="30" customHeight="1">
      <c r="A10" s="11" t="s">
        <v>73</v>
      </c>
      <c r="B10" s="12">
        <v>350719</v>
      </c>
      <c r="C10" s="12">
        <v>308793</v>
      </c>
      <c r="D10" s="12">
        <v>353842</v>
      </c>
      <c r="E10" s="12">
        <v>271588</v>
      </c>
      <c r="F10" s="12">
        <v>297778</v>
      </c>
      <c r="G10" s="12">
        <v>267923</v>
      </c>
      <c r="H10" s="12">
        <v>323779</v>
      </c>
    </row>
    <row r="11" spans="1:9" ht="30" customHeight="1">
      <c r="A11" s="11" t="s">
        <v>75</v>
      </c>
      <c r="B11" s="9">
        <f>B9-B10</f>
        <v>0</v>
      </c>
      <c r="C11" s="9">
        <f>C9-C10</f>
        <v>0</v>
      </c>
      <c r="D11" s="9">
        <f>D9-D10</f>
        <v>0</v>
      </c>
      <c r="E11" s="9">
        <f>E9-E10</f>
        <v>0</v>
      </c>
      <c r="F11" s="9">
        <f>F9-F10</f>
        <v>0</v>
      </c>
      <c r="G11" s="9">
        <f>G9-G10</f>
        <v>0</v>
      </c>
      <c r="H11" s="9">
        <f>H9-H10</f>
        <v>0</v>
      </c>
    </row>
    <row r="14" spans="1:9" ht="30" customHeight="1">
      <c r="A14" s="11" t="s">
        <v>76</v>
      </c>
      <c r="B14" s="10">
        <f>B6/B9</f>
        <v>0.25392978424322604</v>
      </c>
      <c r="C14" s="10">
        <f>C6/C9</f>
        <v>0.2252512200729939</v>
      </c>
      <c r="D14" s="10">
        <f>D6/D9</f>
        <v>0.22131911983314587</v>
      </c>
      <c r="E14" s="10">
        <f>E6/E9</f>
        <v>0.3374339072418516</v>
      </c>
      <c r="F14" s="10">
        <f>F6/F9</f>
        <v>0.349686679338299</v>
      </c>
      <c r="G14" s="10">
        <f>G6/G9</f>
        <v>0.3486972003150159</v>
      </c>
      <c r="H14" s="10">
        <f>H6/H9</f>
        <v>0.29179471182504113</v>
      </c>
    </row>
    <row r="15" spans="1:9" ht="30" customHeight="1">
      <c r="A15" s="11" t="s">
        <v>77</v>
      </c>
      <c r="B15" s="10">
        <f>B7/B9</f>
        <v>0.5446554078906475</v>
      </c>
      <c r="C15" s="10">
        <f>C7/C9</f>
        <v>0.49512780406291595</v>
      </c>
      <c r="D15" s="10">
        <f>D7/D9</f>
        <v>0.5684542818546131</v>
      </c>
      <c r="E15" s="10">
        <f>E7/E9</f>
        <v>0.38569082580968234</v>
      </c>
      <c r="F15" s="10">
        <f>F7/F9</f>
        <v>0.3188751351678096</v>
      </c>
      <c r="G15" s="10">
        <f>G7/G9</f>
        <v>0.3414227222000351</v>
      </c>
      <c r="H15" s="10">
        <f>H7/H9</f>
        <v>0.3103536671618604</v>
      </c>
    </row>
    <row r="16" spans="1:9" ht="30" customHeight="1">
      <c r="A16" s="11" t="s">
        <v>78</v>
      </c>
      <c r="B16" s="10">
        <f>B8/B9</f>
        <v>0.20141480786612645</v>
      </c>
      <c r="C16" s="10">
        <f>C8/C9</f>
        <v>0.2796209758640902</v>
      </c>
      <c r="D16" s="10">
        <f>D8/D9</f>
        <v>0.21022659831224105</v>
      </c>
      <c r="E16" s="10">
        <f>E8/E9</f>
        <v>0.27687526694846604</v>
      </c>
      <c r="F16" s="10">
        <f>F8/F9</f>
        <v>0.3314381854938914</v>
      </c>
      <c r="G16" s="10">
        <f>G8/G9</f>
        <v>0.30988007748494906</v>
      </c>
      <c r="H16" s="10">
        <f>H8/H9</f>
        <v>0.39785162101309846</v>
      </c>
    </row>
    <row r="18" spans="1:9" ht="30" customHeight="1">
      <c r="A18" s="7" t="s">
        <v>79</v>
      </c>
      <c r="B18" s="7"/>
      <c r="C18" s="7"/>
      <c r="D18" s="7"/>
      <c r="E18" s="7"/>
      <c r="F18" s="7"/>
      <c r="G18" s="7"/>
      <c r="H18" s="7"/>
      <c r="I18" s="7"/>
    </row>
    <row r="19" spans="1:9" ht="30" customHeight="1">
      <c r="A19" s="7"/>
      <c r="B19" s="7"/>
      <c r="C19" s="7"/>
      <c r="D19" s="7"/>
      <c r="E19" s="7"/>
      <c r="F19" s="7"/>
      <c r="G19" s="7"/>
      <c r="H19" s="7"/>
      <c r="I19" s="7"/>
    </row>
    <row r="20" spans="1:9" ht="30" customHeight="1">
      <c r="A20" s="7"/>
      <c r="B20" s="7"/>
      <c r="C20" s="7"/>
      <c r="D20" s="7"/>
      <c r="E20" s="7"/>
      <c r="F20" s="7"/>
      <c r="G20" s="7"/>
      <c r="H20" s="7"/>
      <c r="I20" s="7"/>
    </row>
  </sheetData>
  <autoFilter ref="A5:I5"/>
  <mergeCells count="3">
    <mergeCell ref="A1:I2"/>
    <mergeCell ref="A3:I3"/>
    <mergeCell ref="A18:I20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18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80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81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30" customHeight="1">
      <c r="A6" s="11" t="s">
        <v>35</v>
      </c>
      <c r="B6" s="12">
        <v>1111</v>
      </c>
      <c r="C6" s="12">
        <v>-22</v>
      </c>
      <c r="D6" s="12">
        <v>6913</v>
      </c>
      <c r="E6" s="12">
        <v>11405</v>
      </c>
      <c r="F6" s="12">
        <v>9460</v>
      </c>
      <c r="G6" s="12">
        <v>4256</v>
      </c>
      <c r="H6" s="12">
        <v>4445</v>
      </c>
    </row>
    <row r="7" spans="1:9" ht="30" customHeight="1">
      <c r="A7" s="11" t="s">
        <v>37</v>
      </c>
      <c r="B7" s="12">
        <v>5649</v>
      </c>
      <c r="C7" s="12">
        <v>7724</v>
      </c>
      <c r="D7" s="12">
        <v>11581</v>
      </c>
      <c r="E7" s="12">
        <v>16748</v>
      </c>
      <c r="F7" s="12">
        <v>15261</v>
      </c>
      <c r="G7" s="12">
        <v>7564</v>
      </c>
      <c r="H7" s="12">
        <v>6989</v>
      </c>
    </row>
    <row r="8" spans="1:9" ht="30" customHeight="1">
      <c r="A8" s="11" t="s">
        <v>82</v>
      </c>
      <c r="B8" s="12">
        <v>7861</v>
      </c>
      <c r="C8" s="12">
        <v>7708</v>
      </c>
      <c r="D8" s="12">
        <v>6614</v>
      </c>
      <c r="E8" s="12">
        <v>6648</v>
      </c>
      <c r="F8" s="12">
        <v>7175</v>
      </c>
      <c r="G8" s="12">
        <v>3412</v>
      </c>
      <c r="H8" s="12">
        <v>3881</v>
      </c>
    </row>
    <row r="9" spans="1:9" ht="30" customHeight="1">
      <c r="A9" s="11" t="s">
        <v>83</v>
      </c>
      <c r="B9" s="12">
        <v>3293</v>
      </c>
      <c r="C9" s="12">
        <v>3146</v>
      </c>
      <c r="D9" s="12">
        <v>940</v>
      </c>
      <c r="E9" s="12">
        <v>2292</v>
      </c>
      <c r="F9" s="12">
        <v>2342</v>
      </c>
      <c r="G9" s="12">
        <v>1108</v>
      </c>
      <c r="H9" s="12">
        <v>1348</v>
      </c>
    </row>
    <row r="10" spans="1:9" ht="30" customHeight="1">
      <c r="A10" s="11" t="s">
        <v>84</v>
      </c>
      <c r="B10" s="12">
        <v>9841</v>
      </c>
      <c r="C10" s="12">
        <v>11177</v>
      </c>
      <c r="D10" s="12">
        <v>11445</v>
      </c>
      <c r="E10" s="12">
        <v>11895</v>
      </c>
      <c r="F10" s="12">
        <v>12571</v>
      </c>
      <c r="G10" s="12">
        <v>5963</v>
      </c>
      <c r="H10" s="12">
        <v>7176</v>
      </c>
    </row>
    <row r="11" spans="1:9" ht="30" customHeight="1">
      <c r="A11" s="11" t="s">
        <v>85</v>
      </c>
      <c r="B11" s="12">
        <v>4481</v>
      </c>
      <c r="C11" s="12">
        <v>4771</v>
      </c>
      <c r="D11" s="12">
        <v>4721</v>
      </c>
      <c r="E11" s="12">
        <v>3700</v>
      </c>
      <c r="F11" s="12">
        <v>4039</v>
      </c>
      <c r="G11" s="12">
        <v>2046</v>
      </c>
      <c r="H11" s="12">
        <v>2347</v>
      </c>
    </row>
    <row r="12" spans="1:9" ht="30" customHeight="1">
      <c r="A12" s="11" t="s">
        <v>86</v>
      </c>
      <c r="B12" s="12">
        <v>230</v>
      </c>
      <c r="C12" s="12">
        <v>271</v>
      </c>
      <c r="D12" s="12">
        <v>455</v>
      </c>
      <c r="E12" s="12">
        <v>634</v>
      </c>
      <c r="F12" s="12">
        <v>676</v>
      </c>
      <c r="G12" s="12">
        <v>357</v>
      </c>
      <c r="H12" s="12">
        <v>317</v>
      </c>
    </row>
    <row r="13" spans="1:9" ht="30" customHeight="1">
      <c r="A13" s="11" t="s">
        <v>87</v>
      </c>
      <c r="B13" s="12">
        <v>0</v>
      </c>
      <c r="C13" s="12">
        <v>0</v>
      </c>
      <c r="D13" s="12">
        <v>968</v>
      </c>
      <c r="E13" s="12">
        <v>614</v>
      </c>
      <c r="F13" s="12">
        <v>190</v>
      </c>
      <c r="G13" s="12">
        <v>287</v>
      </c>
      <c r="H13" s="12">
        <v>240</v>
      </c>
    </row>
    <row r="14" spans="1:9" ht="30" customHeight="1">
      <c r="A14" s="11" t="s">
        <v>88</v>
      </c>
      <c r="B14" s="9">
        <f>SUM(B6:B13)</f>
        <v>32466</v>
      </c>
      <c r="C14" s="9">
        <f>SUM(C6:C13)</f>
        <v>34775</v>
      </c>
      <c r="D14" s="9">
        <f>SUM(D6:D13)</f>
        <v>43637</v>
      </c>
      <c r="E14" s="9">
        <f>SUM(E6:E13)</f>
        <v>53936</v>
      </c>
      <c r="F14" s="9">
        <f>SUM(F6:F13)</f>
        <v>51714</v>
      </c>
      <c r="G14" s="9">
        <f>SUM(G6:G13)</f>
        <v>24993</v>
      </c>
      <c r="H14" s="9">
        <f>SUM(H6:H13)</f>
        <v>26743</v>
      </c>
    </row>
    <row r="16" spans="1:9" ht="30" customHeight="1">
      <c r="A16" s="7" t="s">
        <v>89</v>
      </c>
      <c r="B16" s="7"/>
      <c r="C16" s="7"/>
      <c r="D16" s="7"/>
      <c r="E16" s="7"/>
      <c r="F16" s="7"/>
      <c r="G16" s="7"/>
      <c r="H16" s="7"/>
      <c r="I16" s="7"/>
    </row>
    <row r="17" spans="1:9" ht="30" customHeight="1">
      <c r="A17" s="7"/>
      <c r="B17" s="7"/>
      <c r="C17" s="7"/>
      <c r="D17" s="7"/>
      <c r="E17" s="7"/>
      <c r="F17" s="7"/>
      <c r="G17" s="7"/>
      <c r="H17" s="7"/>
      <c r="I17" s="7"/>
    </row>
    <row r="18" spans="1:9" ht="30" customHeight="1">
      <c r="A18" s="7"/>
      <c r="B18" s="7"/>
      <c r="C18" s="7"/>
      <c r="D18" s="7"/>
      <c r="E18" s="7"/>
      <c r="F18" s="7"/>
      <c r="G18" s="7"/>
      <c r="H18" s="7"/>
      <c r="I18" s="7"/>
    </row>
  </sheetData>
  <autoFilter ref="A5:I5"/>
  <mergeCells count="3">
    <mergeCell ref="A1:I2"/>
    <mergeCell ref="A3:I3"/>
    <mergeCell ref="A16:I18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1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90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91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30" customHeight="1">
      <c r="A6" s="11" t="s">
        <v>92</v>
      </c>
      <c r="B6" s="12">
        <v>39427</v>
      </c>
      <c r="C6" s="12">
        <v>37350</v>
      </c>
      <c r="D6" s="12">
        <v>49196</v>
      </c>
      <c r="E6" s="12">
        <v>30592</v>
      </c>
      <c r="F6" s="12">
        <v>45969</v>
      </c>
      <c r="G6" s="12">
        <v>20988</v>
      </c>
      <c r="H6" s="12">
        <v>21653</v>
      </c>
    </row>
    <row r="7" spans="1:9" ht="30" customHeight="1">
      <c r="A7" s="11" t="s">
        <v>93</v>
      </c>
      <c r="B7" s="12">
        <v>13276</v>
      </c>
      <c r="C7" s="12">
        <v>15464</v>
      </c>
      <c r="D7" s="12">
        <v>19409</v>
      </c>
      <c r="E7" s="12">
        <v>18976</v>
      </c>
      <c r="F7" s="12">
        <v>20927</v>
      </c>
      <c r="G7" s="12">
        <v>9139</v>
      </c>
      <c r="H7" s="12">
        <v>10631</v>
      </c>
    </row>
    <row r="8" spans="1:9" ht="30" customHeight="1">
      <c r="A8" s="11" t="s">
        <v>97</v>
      </c>
      <c r="B8" s="9">
        <f>B6-B7</f>
        <v>26151</v>
      </c>
      <c r="C8" s="9">
        <f>C6-C7</f>
        <v>21886</v>
      </c>
      <c r="D8" s="9">
        <f>D6-D7</f>
        <v>29787</v>
      </c>
      <c r="E8" s="9">
        <f>E6-E7</f>
        <v>11616</v>
      </c>
      <c r="F8" s="9">
        <f>F6-F7</f>
        <v>25042</v>
      </c>
      <c r="G8" s="9">
        <f>G6-G7</f>
        <v>11849</v>
      </c>
      <c r="H8" s="9">
        <f>H6-H7</f>
        <v>11022</v>
      </c>
    </row>
    <row r="9" spans="1:9" ht="30" customHeight="1">
      <c r="A9" s="11" t="s">
        <v>94</v>
      </c>
      <c r="B9" s="12">
        <v>8448</v>
      </c>
      <c r="C9" s="12">
        <v>67930</v>
      </c>
      <c r="D9" s="12">
        <v>16462</v>
      </c>
      <c r="E9" s="12">
        <v>9237</v>
      </c>
      <c r="F9" s="12">
        <v>16923</v>
      </c>
      <c r="G9" s="12">
        <v>7092</v>
      </c>
      <c r="H9" s="12">
        <v>39405</v>
      </c>
    </row>
    <row r="10" spans="1:9" ht="30" customHeight="1">
      <c r="A10" s="11" t="s">
        <v>95</v>
      </c>
      <c r="B10" s="12">
        <v>15849</v>
      </c>
      <c r="C10" s="12">
        <v>33664</v>
      </c>
      <c r="D10" s="12">
        <v>40631</v>
      </c>
      <c r="E10" s="12">
        <v>143359</v>
      </c>
      <c r="F10" s="12">
        <v>30686</v>
      </c>
      <c r="G10" s="12">
        <v>11592</v>
      </c>
      <c r="H10" s="12">
        <v>27780</v>
      </c>
    </row>
    <row r="11" spans="1:9" ht="30" customHeight="1">
      <c r="A11" s="11" t="s">
        <v>98</v>
      </c>
      <c r="B11" s="9">
        <f>B9-B10</f>
        <v>-7401</v>
      </c>
      <c r="C11" s="9">
        <f>C9-C10</f>
        <v>34266</v>
      </c>
      <c r="D11" s="9">
        <f>D9-D10</f>
        <v>-24169</v>
      </c>
      <c r="E11" s="9">
        <f>E9-E10</f>
        <v>-134122</v>
      </c>
      <c r="F11" s="9">
        <f>F9-F10</f>
        <v>-13763</v>
      </c>
      <c r="G11" s="9">
        <f>G9-G10</f>
        <v>-4500</v>
      </c>
      <c r="H11" s="9">
        <f>H9-H10</f>
        <v>11625</v>
      </c>
    </row>
    <row r="12" spans="1:9" ht="30" customHeight="1">
      <c r="A12" s="11" t="s">
        <v>96</v>
      </c>
      <c r="B12" s="12">
        <v>456</v>
      </c>
      <c r="C12" s="12">
        <v>10594</v>
      </c>
      <c r="D12" s="12">
        <v>8604</v>
      </c>
      <c r="E12" s="12">
        <v>396</v>
      </c>
      <c r="F12" s="12">
        <v>1074</v>
      </c>
      <c r="G12" s="12">
        <v>101</v>
      </c>
      <c r="H12" s="12">
        <v>9704</v>
      </c>
    </row>
    <row r="13" spans="1:9" ht="30" customHeight="1">
      <c r="A13" s="11" t="s">
        <v>99</v>
      </c>
      <c r="B13" s="9">
        <f>'资本'!B24</f>
        <v>27061</v>
      </c>
      <c r="C13" s="9">
        <f>'资本'!C24</f>
        <v>7854</v>
      </c>
      <c r="D13" s="9">
        <f>'资本'!D24</f>
        <v>9171</v>
      </c>
      <c r="E13" s="9">
        <f>'资本'!E24</f>
        <v>2918</v>
      </c>
      <c r="F13" s="9">
        <f>'资本'!F24</f>
        <v>0</v>
      </c>
      <c r="G13" s="9">
        <f>'资本'!G24</f>
        <v>0</v>
      </c>
      <c r="H13" s="9">
        <f>'资本'!H24</f>
        <v>4444</v>
      </c>
    </row>
    <row r="15" spans="1:9" ht="30" customHeight="1">
      <c r="A15" s="7" t="s">
        <v>100</v>
      </c>
      <c r="B15" s="7"/>
      <c r="C15" s="7"/>
      <c r="D15" s="7"/>
      <c r="E15" s="7"/>
      <c r="F15" s="7"/>
      <c r="G15" s="7"/>
      <c r="H15" s="7"/>
      <c r="I15" s="7"/>
    </row>
    <row r="16" spans="1:9" ht="30" customHeight="1">
      <c r="A16" s="7"/>
      <c r="B16" s="7"/>
      <c r="C16" s="7"/>
      <c r="D16" s="7"/>
      <c r="E16" s="7"/>
      <c r="F16" s="7"/>
      <c r="G16" s="7"/>
      <c r="H16" s="7"/>
      <c r="I16" s="7"/>
    </row>
    <row r="17" spans="1:9" ht="30" customHeight="1">
      <c r="A17" s="7"/>
      <c r="B17" s="7"/>
      <c r="C17" s="7"/>
      <c r="D17" s="7"/>
      <c r="E17" s="7"/>
      <c r="F17" s="7"/>
      <c r="G17" s="7"/>
      <c r="H17" s="7"/>
      <c r="I17" s="7"/>
    </row>
  </sheetData>
  <autoFilter ref="A5:I5"/>
  <mergeCells count="3">
    <mergeCell ref="A1:I2"/>
    <mergeCell ref="A3:I3"/>
    <mergeCell ref="A15:I17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3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101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102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103</v>
      </c>
      <c r="B5" s="3" t="s">
        <v>27</v>
      </c>
      <c r="C5" s="3" t="s">
        <v>28</v>
      </c>
    </row>
    <row r="6" spans="1:9" ht="30" customHeight="1">
      <c r="A6" s="11" t="s">
        <v>104</v>
      </c>
      <c r="B6" s="12">
        <v>434</v>
      </c>
      <c r="C6" s="12">
        <v>509</v>
      </c>
    </row>
    <row r="7" spans="1:9" ht="30" customHeight="1">
      <c r="A7" s="11" t="s">
        <v>105</v>
      </c>
      <c r="B7" s="12">
        <v>804</v>
      </c>
      <c r="C7" s="12">
        <v>1528</v>
      </c>
    </row>
    <row r="8" spans="1:9" ht="30" customHeight="1">
      <c r="A8" s="11" t="s">
        <v>106</v>
      </c>
      <c r="B8" s="9">
        <f>SUM(B6:B7)</f>
        <v>1238</v>
      </c>
      <c r="C8" s="9">
        <f>SUM(C6:C7)</f>
        <v>2037</v>
      </c>
    </row>
    <row r="10" spans="1:9" ht="30" customHeight="1">
      <c r="A10" s="11" t="s">
        <v>107</v>
      </c>
      <c r="B10" s="12">
        <v>12759</v>
      </c>
    </row>
    <row r="11" spans="1:9" ht="30" customHeight="1">
      <c r="A11" s="11" t="s">
        <v>108</v>
      </c>
      <c r="B11" s="12">
        <v>603</v>
      </c>
    </row>
    <row r="12" spans="1:9" ht="30" customHeight="1">
      <c r="A12" s="11" t="s">
        <v>109</v>
      </c>
      <c r="B12" s="9">
        <f>B10+B11</f>
        <v>13362</v>
      </c>
    </row>
    <row r="15" spans="1:9" ht="30" customHeight="1">
      <c r="A15" s="3" t="s">
        <v>110</v>
      </c>
      <c r="B15" s="3" t="s">
        <v>32</v>
      </c>
      <c r="C15" s="3" t="s">
        <v>33</v>
      </c>
      <c r="D15" s="3" t="s">
        <v>111</v>
      </c>
    </row>
    <row r="16" spans="1:9" ht="30" customHeight="1">
      <c r="A16" s="11" t="s">
        <v>43</v>
      </c>
      <c r="B16" s="9">
        <f>'利润'!G12</f>
        <v>20801</v>
      </c>
      <c r="C16" s="9">
        <f>'利润'!H12</f>
        <v>24329</v>
      </c>
      <c r="D16" s="9">
        <f>C16-B16</f>
        <v>3528</v>
      </c>
    </row>
    <row r="17" spans="1:9" ht="30" customHeight="1">
      <c r="A17" s="11" t="s">
        <v>112</v>
      </c>
      <c r="B17" s="12">
        <v>-1590</v>
      </c>
      <c r="C17" s="12">
        <v>575</v>
      </c>
      <c r="D17" s="10">
        <f>(C17-B17)/D16</f>
        <v>0.6136621315192744</v>
      </c>
    </row>
    <row r="18" spans="1:9" ht="30" customHeight="1">
      <c r="A18" s="11" t="s">
        <v>113</v>
      </c>
      <c r="B18" s="9">
        <f>B16-B17</f>
        <v>22391</v>
      </c>
      <c r="C18" s="9">
        <f>C16-C17</f>
        <v>23754</v>
      </c>
      <c r="D18" s="10">
        <f>C18/B18-1</f>
        <v>0.060872672055736654</v>
      </c>
    </row>
    <row r="20" spans="1:9" ht="30" customHeight="1">
      <c r="A20" s="11" t="s">
        <v>114</v>
      </c>
      <c r="B20" s="9">
        <f>'利润'!G6</f>
        <v>3328</v>
      </c>
      <c r="C20" s="9">
        <f>'利润'!H6</f>
        <v>3448</v>
      </c>
    </row>
    <row r="21" spans="1:9" ht="30" customHeight="1">
      <c r="A21" s="11" t="s">
        <v>115</v>
      </c>
      <c r="B21" s="12">
        <v>850</v>
      </c>
      <c r="C21" s="12">
        <v>0</v>
      </c>
    </row>
    <row r="22" spans="1:9" ht="30" customHeight="1">
      <c r="A22" s="11" t="s">
        <v>116</v>
      </c>
      <c r="B22" s="9">
        <f>B20+B21</f>
        <v>4178</v>
      </c>
      <c r="C22" s="9">
        <f>C20+C21</f>
        <v>3448</v>
      </c>
      <c r="D22" s="9">
        <f>C22-B22</f>
        <v>-730</v>
      </c>
    </row>
    <row r="24" spans="1:9" ht="30" customHeight="1">
      <c r="A24" s="7" t="s">
        <v>117</v>
      </c>
      <c r="B24" s="7"/>
      <c r="C24" s="7"/>
      <c r="D24" s="7"/>
      <c r="E24" s="7"/>
      <c r="F24" s="7"/>
      <c r="G24" s="7"/>
      <c r="H24" s="7"/>
      <c r="I24" s="7"/>
    </row>
    <row r="25" spans="1:9" ht="30" customHeight="1">
      <c r="A25" s="7"/>
      <c r="B25" s="7"/>
      <c r="C25" s="7"/>
      <c r="D25" s="7"/>
      <c r="E25" s="7"/>
      <c r="F25" s="7"/>
      <c r="G25" s="7"/>
      <c r="H25" s="7"/>
      <c r="I25" s="7"/>
    </row>
    <row r="28" spans="1:9" ht="30" customHeight="1">
      <c r="A28" s="11" t="s">
        <v>118</v>
      </c>
      <c r="B28" s="12">
        <v>369000</v>
      </c>
    </row>
    <row r="29" spans="1:9" ht="30" customHeight="1">
      <c r="A29" s="11" t="s">
        <v>119</v>
      </c>
      <c r="B29" s="12">
        <v>359200</v>
      </c>
    </row>
    <row r="30" spans="1:9" ht="30" customHeight="1">
      <c r="A30" s="11" t="s">
        <v>120</v>
      </c>
      <c r="B30" s="12">
        <v>1100</v>
      </c>
    </row>
    <row r="32" spans="1:9" ht="30" customHeight="1">
      <c r="A32" s="7" t="s">
        <v>121</v>
      </c>
      <c r="B32" s="7"/>
      <c r="C32" s="7"/>
      <c r="D32" s="7"/>
      <c r="E32" s="7"/>
      <c r="F32" s="7"/>
      <c r="G32" s="7"/>
      <c r="H32" s="7"/>
      <c r="I32" s="7"/>
    </row>
    <row r="33" spans="1:9" ht="30" customHeight="1">
      <c r="A33" s="7"/>
      <c r="B33" s="7"/>
      <c r="C33" s="7"/>
      <c r="D33" s="7"/>
      <c r="E33" s="7"/>
      <c r="F33" s="7"/>
      <c r="G33" s="7"/>
      <c r="H33" s="7"/>
      <c r="I33" s="7"/>
    </row>
    <row r="34" spans="1:9" ht="30" customHeight="1">
      <c r="A34" s="7"/>
      <c r="B34" s="7"/>
      <c r="C34" s="7"/>
      <c r="D34" s="7"/>
      <c r="E34" s="7"/>
      <c r="F34" s="7"/>
      <c r="G34" s="7"/>
      <c r="H34" s="7"/>
      <c r="I34" s="7"/>
    </row>
  </sheetData>
  <mergeCells count="4">
    <mergeCell ref="A1:I2"/>
    <mergeCell ref="A3:I3"/>
    <mergeCell ref="A24:I25"/>
    <mergeCell ref="A32:I34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2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122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123</v>
      </c>
      <c r="B3" s="2"/>
      <c r="C3" s="2"/>
      <c r="D3" s="2"/>
      <c r="E3" s="2"/>
      <c r="F3" s="2"/>
      <c r="G3" s="2"/>
      <c r="H3" s="2"/>
      <c r="I3" s="2"/>
    </row>
    <row r="6" spans="1:9" ht="30" customHeight="1">
      <c r="A6" s="11" t="s">
        <v>124</v>
      </c>
      <c r="B6" s="14">
        <v>-0.01</v>
      </c>
    </row>
    <row r="7" spans="1:9" ht="30" customHeight="1">
      <c r="A7" s="11" t="s">
        <v>125</v>
      </c>
      <c r="B7" s="14">
        <v>0.8</v>
      </c>
    </row>
    <row r="8" spans="1:9" ht="30" customHeight="1">
      <c r="A8" s="11" t="s">
        <v>126</v>
      </c>
      <c r="B8" s="14">
        <v>0.21</v>
      </c>
    </row>
    <row r="9" spans="1:9" ht="30" customHeight="1">
      <c r="A9" s="11" t="s">
        <v>127</v>
      </c>
      <c r="B9" s="14">
        <v>0.5</v>
      </c>
    </row>
    <row r="11" spans="1:9" ht="30" customHeight="1">
      <c r="A11" s="11" t="s">
        <v>128</v>
      </c>
      <c r="B11" s="9">
        <f>'资本'!H12</f>
        <v>365514</v>
      </c>
    </row>
    <row r="12" spans="1:9" ht="30" customHeight="1">
      <c r="A12" s="11" t="s">
        <v>129</v>
      </c>
      <c r="B12" s="9">
        <f>B11*B6*B7*B9</f>
        <v>-1462.056</v>
      </c>
    </row>
    <row r="13" spans="1:9" ht="30" customHeight="1">
      <c r="A13" s="11" t="s">
        <v>130</v>
      </c>
      <c r="B13" s="9">
        <f>B12*(1-B8)</f>
        <v>-1155.0242400000002</v>
      </c>
    </row>
    <row r="14" spans="1:9" ht="30" customHeight="1">
      <c r="A14" s="11" t="s">
        <v>131</v>
      </c>
      <c r="B14" s="10">
        <f>B13/'利润'!H12</f>
        <v>-0.04747520407743846</v>
      </c>
    </row>
    <row r="17" spans="1:9" ht="30" customHeight="1">
      <c r="A17" s="4" t="s">
        <v>132</v>
      </c>
      <c r="B17" s="4"/>
      <c r="C17" s="4"/>
      <c r="D17" s="4"/>
      <c r="E17" s="4"/>
      <c r="F17" s="4"/>
      <c r="G17" s="4"/>
      <c r="H17" s="4"/>
      <c r="I17" s="4"/>
    </row>
    <row r="18" spans="1:9" ht="30" customHeight="1">
      <c r="A18" s="4"/>
      <c r="B18" s="4"/>
      <c r="C18" s="4"/>
      <c r="D18" s="4"/>
      <c r="E18" s="4"/>
      <c r="F18" s="4"/>
      <c r="G18" s="4"/>
      <c r="H18" s="4"/>
      <c r="I18" s="4"/>
    </row>
    <row r="19" spans="1:9" ht="30" customHeight="1">
      <c r="A19" s="4"/>
      <c r="B19" s="4"/>
      <c r="C19" s="4"/>
      <c r="D19" s="4"/>
      <c r="E19" s="4"/>
      <c r="F19" s="4"/>
      <c r="G19" s="4"/>
      <c r="H19" s="4"/>
      <c r="I19" s="4"/>
    </row>
    <row r="20" spans="1:9" ht="30" customHeight="1">
      <c r="A20" s="4"/>
      <c r="B20" s="4"/>
      <c r="C20" s="4"/>
      <c r="D20" s="4"/>
      <c r="E20" s="4"/>
      <c r="F20" s="4"/>
      <c r="G20" s="4"/>
      <c r="H20" s="4"/>
      <c r="I20" s="4"/>
    </row>
  </sheetData>
  <mergeCells count="3">
    <mergeCell ref="A1:I2"/>
    <mergeCell ref="A3:I3"/>
    <mergeCell ref="A17:I20"/>
  </mergeCells>
  <dataValidations count="4">
    <dataValidation type="decimal" allowBlank="1" showInputMessage="1" showErrorMessage="1" sqref="B6">
      <formula1>-0.1</formula1>
      <formula2>0.1</formula2>
    </dataValidation>
    <dataValidation type="decimal" allowBlank="1" showInputMessage="1" showErrorMessage="1" sqref="B7">
      <formula1>0</formula1>
      <formula2>1</formula2>
    </dataValidation>
    <dataValidation type="decimal" allowBlank="1" showInputMessage="1" showErrorMessage="1" sqref="B8">
      <formula1>0</formula1>
      <formula2>1</formula2>
    </dataValidation>
    <dataValidation type="decimal" allowBlank="1" showInputMessage="1" showErrorMessage="1" sqref="B9">
      <formula1>0</formula1>
      <formula2>1</formula2>
    </dataValidation>
  </dataValidation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J3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25.7109375" customWidth="1"/>
    <col min="10" max="10" width="35.7109375" customWidth="1"/>
  </cols>
  <sheetData>
    <row r="1" spans="1:10" ht="30" customHeight="1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spans="1:10" ht="30" customHeight="1">
      <c r="A2" s="1"/>
      <c r="B2" s="1"/>
      <c r="C2" s="1"/>
      <c r="D2" s="1"/>
      <c r="E2" s="1"/>
      <c r="F2" s="1"/>
      <c r="G2" s="1"/>
      <c r="H2" s="1"/>
      <c r="I2" s="1"/>
    </row>
    <row r="3" spans="1:10" ht="36.75" customHeight="1">
      <c r="A3" s="2" t="s">
        <v>134</v>
      </c>
      <c r="B3" s="2"/>
      <c r="C3" s="2"/>
      <c r="D3" s="2"/>
      <c r="E3" s="2"/>
      <c r="F3" s="2"/>
      <c r="G3" s="2"/>
      <c r="H3" s="2"/>
      <c r="I3" s="2"/>
    </row>
    <row r="5" spans="1:10" ht="30" customHeight="1">
      <c r="A5" s="3" t="s">
        <v>26</v>
      </c>
      <c r="B5" s="3" t="s">
        <v>135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140</v>
      </c>
      <c r="H5" s="3" t="s">
        <v>141</v>
      </c>
      <c r="I5" s="3" t="s">
        <v>142</v>
      </c>
      <c r="J5" s="3" t="s">
        <v>143</v>
      </c>
    </row>
    <row r="6" spans="1:10" ht="30" customHeight="1">
      <c r="A6" s="11" t="s">
        <v>35</v>
      </c>
      <c r="B6" s="10">
        <f>IF('利润'!B6&gt;0,'利润'!C6/'利润'!B6-1,"不适用")</f>
        <v>-1.0344827586206897</v>
      </c>
      <c r="C6" s="10" t="str">
        <f>IF('利润'!C6&gt;0,'利润'!D6/'利润'!C6-1,"不适用")</f>
        <v>不适用</v>
      </c>
      <c r="D6" s="10">
        <f>IF('利润'!D6&gt;0,'利润'!E6/'利润'!D6-1,"不适用")</f>
        <v>0.6617538688282978</v>
      </c>
      <c r="E6" s="10">
        <f>IF('利润'!E6&gt;0,'利润'!F6/'利润'!E6-1,"不适用")</f>
        <v>-0.19534368070953434</v>
      </c>
      <c r="F6" s="10">
        <f>IF('利润'!G6&gt;0,'利润'!H6/'利润'!G6-1,"不适用")</f>
        <v>0.03605769230769229</v>
      </c>
      <c r="G6" s="9">
        <f>'利润'!H6-'利润'!G6</f>
        <v>120</v>
      </c>
      <c r="H6" s="7" t="s">
        <v>144</v>
      </c>
      <c r="I6" s="10">
        <f>'利润'!H6/'利润'!H12</f>
        <v>0.14172386863414033</v>
      </c>
      <c r="J6" s="7" t="s">
        <v>43</v>
      </c>
    </row>
    <row r="7" spans="1:10" ht="30" customHeight="1">
      <c r="A7" s="11" t="s">
        <v>37</v>
      </c>
      <c r="B7" s="10">
        <f>IF('利润'!B7&gt;0,'利润'!C7/'利润'!B7-1,"不适用")</f>
        <v>0.34886623673809036</v>
      </c>
      <c r="C7" s="10">
        <f>IF('利润'!C7&gt;0,'利润'!D7/'利润'!C7-1,"不适用")</f>
        <v>0.4754780999383097</v>
      </c>
      <c r="D7" s="10">
        <f>IF('利润'!D7&gt;0,'利润'!E7/'利润'!D7-1,"不适用")</f>
        <v>0.42887007421344214</v>
      </c>
      <c r="E7" s="10">
        <f>IF('利润'!E7&gt;0,'利润'!F7/'利润'!E7-1,"不适用")</f>
        <v>-0.08463789319678128</v>
      </c>
      <c r="F7" s="10">
        <f>IF('利润'!G7&gt;0,'利润'!H7/'利润'!G7-1,"不适用")</f>
        <v>-0.08338658146964861</v>
      </c>
      <c r="G7" s="9">
        <f>'利润'!H7-'利润'!G7</f>
        <v>-522</v>
      </c>
      <c r="H7" s="7" t="s">
        <v>144</v>
      </c>
      <c r="I7" s="10">
        <f>'利润'!H7/'利润'!H12</f>
        <v>0.23585021990217436</v>
      </c>
      <c r="J7" s="7" t="s">
        <v>43</v>
      </c>
    </row>
    <row r="8" spans="1:10" ht="30" customHeight="1">
      <c r="A8" s="11" t="s">
        <v>38</v>
      </c>
      <c r="B8" s="10">
        <f>IF('利润'!B8&gt;0,'利润'!C8/'利润'!B8-1,"不适用")</f>
        <v>-0.007345575959933237</v>
      </c>
      <c r="C8" s="10">
        <f>IF('利润'!C8&gt;0,'利润'!D8/'利润'!C8-1,"不适用")</f>
        <v>-0.14446686848301382</v>
      </c>
      <c r="D8" s="10">
        <f>IF('利润'!D8&gt;0,'利润'!E8/'利润'!D8-1,"不适用")</f>
        <v>-0.011008452919205824</v>
      </c>
      <c r="E8" s="10">
        <f>IF('利润'!E8&gt;0,'利润'!F8/'利润'!E8-1,"不适用")</f>
        <v>0.08845160007950703</v>
      </c>
      <c r="F8" s="10">
        <f>IF('利润'!G8&gt;0,'利润'!H8/'利润'!G8-1,"不适用")</f>
        <v>0.0951492537313432</v>
      </c>
      <c r="G8" s="9">
        <f>'利润'!H8-'利润'!G8</f>
        <v>255</v>
      </c>
      <c r="H8" s="7" t="s">
        <v>144</v>
      </c>
      <c r="I8" s="10">
        <f>'利润'!H8/'利润'!H12</f>
        <v>0.12063792182169428</v>
      </c>
      <c r="J8" s="7" t="s">
        <v>43</v>
      </c>
    </row>
    <row r="9" spans="1:10" ht="30" customHeight="1">
      <c r="A9" s="11" t="s">
        <v>39</v>
      </c>
      <c r="B9" s="10">
        <f>IF('利润'!B9&gt;0,'利润'!C9/'利润'!B9-1,"不适用")</f>
        <v>0.0929451287793952</v>
      </c>
      <c r="C9" s="10">
        <f>IF('利润'!C9&gt;0,'利润'!D9/'利润'!C9-1,"不适用")</f>
        <v>-0.4029200819672131</v>
      </c>
      <c r="D9" s="10">
        <f>IF('利润'!D9&gt;0,'利润'!E9/'利润'!D9-1,"不适用")</f>
        <v>0.6001716001716002</v>
      </c>
      <c r="E9" s="10">
        <f>IF('利润'!E9&gt;0,'利润'!F9/'利润'!E9-1,"不适用")</f>
        <v>0.06675603217158166</v>
      </c>
      <c r="F9" s="10">
        <f>IF('利润'!G9&gt;0,'利润'!H9/'利润'!G9-1,"不适用")</f>
        <v>0.1145080600333519</v>
      </c>
      <c r="G9" s="9">
        <f>'利润'!H9-'利润'!G9</f>
        <v>206</v>
      </c>
      <c r="H9" s="7" t="s">
        <v>144</v>
      </c>
      <c r="I9" s="10">
        <f>'利润'!H9/'利润'!H12</f>
        <v>0.08241193637223067</v>
      </c>
      <c r="J9" s="7" t="s">
        <v>43</v>
      </c>
    </row>
    <row r="10" spans="1:10" ht="30" customHeight="1">
      <c r="A10" s="11" t="s">
        <v>40</v>
      </c>
      <c r="B10" s="10">
        <f>IF('利润'!B10&gt;0,'利润'!C10/'利润'!B10-1,"不适用")</f>
        <v>0.12517985611510785</v>
      </c>
      <c r="C10" s="10">
        <f>IF('利润'!C10&gt;0,'利润'!D10/'利润'!C10-1,"不适用")</f>
        <v>0.06793478260869557</v>
      </c>
      <c r="D10" s="10">
        <f>IF('利润'!D10&gt;0,'利润'!E10/'利润'!D10-1,"不适用")</f>
        <v>-0.02170333782367906</v>
      </c>
      <c r="E10" s="10">
        <f>IF('利润'!E10&gt;0,'利润'!F10/'利润'!E10-1,"不适用")</f>
        <v>0.04398714810281512</v>
      </c>
      <c r="F10" s="10">
        <f>IF('利润'!G10&gt;0,'利润'!H10/'利润'!G10-1,"不适用")</f>
        <v>0.15132862933493474</v>
      </c>
      <c r="G10" s="9">
        <f>'利润'!H10-'利润'!G10</f>
        <v>1008</v>
      </c>
      <c r="H10" s="7" t="s">
        <v>144</v>
      </c>
      <c r="I10" s="10">
        <f>'利润'!H10/'利润'!H12</f>
        <v>0.3152205187225122</v>
      </c>
      <c r="J10" s="7" t="s">
        <v>43</v>
      </c>
    </row>
    <row r="11" spans="1:10" ht="30" customHeight="1">
      <c r="A11" s="11" t="s">
        <v>41</v>
      </c>
      <c r="B11" s="10">
        <f>IF('利润'!B11&gt;0,'利润'!C11/'利润'!B11-1,"不适用")</f>
        <v>0.6453957996768982</v>
      </c>
      <c r="C11" s="10">
        <f>IF('利润'!C11&gt;0,'利润'!D11/'利润'!C11-1,"不适用")</f>
        <v>-0.22680412371134018</v>
      </c>
      <c r="D11" s="10">
        <f>IF('利润'!D11&gt;0,'利润'!E11/'利润'!D11-1,"不适用")</f>
        <v>0.8501587301587301</v>
      </c>
      <c r="E11" s="10">
        <f>IF('利润'!E11&gt;0,'利润'!F11/'利润'!E11-1,"不适用")</f>
        <v>-0.4464653397391901</v>
      </c>
      <c r="F11" s="10">
        <f>IF('利润'!G11&gt;0,'利润'!H11/'利润'!G11-1,"不适用")</f>
        <v>33.71232876712329</v>
      </c>
      <c r="G11" s="9">
        <f>'利润'!H11-'利润'!G11</f>
        <v>2461</v>
      </c>
      <c r="H11" s="7" t="s">
        <v>144</v>
      </c>
      <c r="I11" s="10">
        <f>'利润'!H11/'利润'!H12</f>
        <v>0.10415553454724814</v>
      </c>
      <c r="J11" s="7" t="s">
        <v>43</v>
      </c>
    </row>
    <row r="12" spans="1:10" ht="30" customHeight="1">
      <c r="A12" s="11" t="s">
        <v>43</v>
      </c>
      <c r="B12" s="10">
        <f>IF('利润'!B12&gt;0,'利润'!C12/'利润'!B12-1,"不适用")</f>
        <v>0.11798383882306052</v>
      </c>
      <c r="C12" s="10">
        <f>IF('利润'!C12&gt;0,'利润'!D12/'利润'!C12-1,"不适用")</f>
        <v>0.21057919813308268</v>
      </c>
      <c r="D12" s="10">
        <f>IF('利润'!D12&gt;0,'利润'!E12/'利润'!D12-1,"不适用")</f>
        <v>0.27006693440428386</v>
      </c>
      <c r="E12" s="10">
        <f>IF('利润'!E12&gt;0,'利润'!F12/'利润'!E12-1,"不适用")</f>
        <v>-0.0622088243354344</v>
      </c>
      <c r="F12" s="10">
        <f>IF('利润'!G12&gt;0,'利润'!H12/'利润'!G12-1,"不适用")</f>
        <v>0.1696072304216143</v>
      </c>
      <c r="G12" s="9">
        <f>'利润'!H12-'利润'!G12</f>
        <v>3528</v>
      </c>
      <c r="H12" s="7" t="s">
        <v>144</v>
      </c>
      <c r="I12" s="7" t="s">
        <v>145</v>
      </c>
      <c r="J12" s="7"/>
    </row>
    <row r="13" spans="1:10" ht="30" customHeight="1">
      <c r="A13" s="11" t="s">
        <v>146</v>
      </c>
      <c r="B13" s="10">
        <f>IF('利润'!B17&gt;0,'利润'!C17/'利润'!B17-1,"不适用")</f>
        <v>-1.2530549162191311</v>
      </c>
      <c r="C13" s="10" t="str">
        <f>IF('利润'!C17&gt;0,'利润'!D17/'利润'!C17-1,"不适用")</f>
        <v>不适用</v>
      </c>
      <c r="D13" s="10">
        <f>IF('利润'!D17&gt;0,'利润'!E17/'利润'!D17-1,"不适用")</f>
        <v>-0.07511717572721699</v>
      </c>
      <c r="E13" s="10">
        <f>IF('利润'!E17&gt;0,'利润'!F17/'利润'!E17-1,"不适用")</f>
        <v>-0.24750828698241478</v>
      </c>
      <c r="F13" s="10">
        <f>IF('利润'!G17&gt;0,'利润'!H17/'利润'!G17-1,"不适用")</f>
        <v>1.1076415483414834</v>
      </c>
      <c r="G13" s="9">
        <f>'利润'!H17-'利润'!G17</f>
        <v>18800</v>
      </c>
      <c r="H13" s="7" t="s">
        <v>144</v>
      </c>
      <c r="I13" s="7" t="s">
        <v>145</v>
      </c>
      <c r="J13" s="7"/>
    </row>
    <row r="14" spans="1:10" ht="30" customHeight="1">
      <c r="A14" s="11" t="s">
        <v>147</v>
      </c>
      <c r="B14" s="10">
        <f>IF('资本'!B6&gt;0,'资本'!C6/'资本'!B6-1,"不适用")</f>
        <v>0.11564625850340127</v>
      </c>
      <c r="C14" s="10">
        <f>IF('资本'!C6&gt;0,'资本'!D6/'资本'!C6-1,"不适用")</f>
        <v>0.030487804878048808</v>
      </c>
      <c r="D14" s="10">
        <f>IF('资本'!D6&gt;0,'资本'!E6/'资本'!D6-1,"不适用")</f>
        <v>0.01183431952662728</v>
      </c>
      <c r="E14" s="10">
        <f>IF('资本'!E6&gt;0,'资本'!F6/'资本'!E6-1,"不适用")</f>
        <v>0.029239766081871288</v>
      </c>
      <c r="F14" s="10">
        <f>IF('资本'!G6&gt;0,'资本'!H6/'资本'!G6-1,"不适用")</f>
        <v>0.02011494252873569</v>
      </c>
      <c r="G14" s="9">
        <f>'资本'!H6-'资本'!G6</f>
        <v>3500</v>
      </c>
      <c r="H14" s="10">
        <f>'资本'!H6/'资本'!F6-1</f>
        <v>0.008522727272727293</v>
      </c>
      <c r="I14" s="7" t="s">
        <v>145</v>
      </c>
      <c r="J14" s="7"/>
    </row>
    <row r="15" spans="1:10" ht="30" customHeight="1">
      <c r="A15" s="11" t="s">
        <v>148</v>
      </c>
      <c r="B15" s="10">
        <f>IF('资本'!B8&gt;0,'资本'!C8/'资本'!B8-1,"不适用")</f>
        <v>-0.6218896142711471</v>
      </c>
      <c r="C15" s="10">
        <f>IF('资本'!C8&gt;0,'资本'!D8/'资本'!C8-1,"不适用")</f>
        <v>0.043769373837569736</v>
      </c>
      <c r="D15" s="10">
        <f>IF('资本'!D8&gt;0,'资本'!E8/'资本'!D8-1,"不适用")</f>
        <v>0.31661320978854834</v>
      </c>
      <c r="E15" s="10">
        <f>IF('资本'!E8&gt;0,'资本'!F8/'资本'!E8-1,"不适用")</f>
        <v>0.0763765141091286</v>
      </c>
      <c r="F15" s="10">
        <f>IF('资本'!G8&gt;0,'资本'!H8/'资本'!G8-1,"不适用")</f>
        <v>-0.6351501668520578</v>
      </c>
      <c r="G15" s="9">
        <f>'资本'!H8-'资本'!G8</f>
        <v>-61097</v>
      </c>
      <c r="H15" s="10">
        <f>'资本'!H8/'资本'!F8-1</f>
        <v>-0.26452775623965297</v>
      </c>
      <c r="I15" s="10">
        <f>'资本'!H8/'资本'!H12</f>
        <v>0.09601820997280541</v>
      </c>
      <c r="J15" s="7" t="s">
        <v>149</v>
      </c>
    </row>
    <row r="16" spans="1:10" ht="30" customHeight="1">
      <c r="A16" s="11" t="s">
        <v>150</v>
      </c>
      <c r="B16" s="10">
        <f>IF('资本'!B9&gt;0,'资本'!C9/'资本'!B9-1,"不适用")</f>
        <v>0.2394415357766142</v>
      </c>
      <c r="C16" s="10">
        <f>IF('资本'!C9&gt;0,'资本'!D9/'资本'!C9-1,"不适用")</f>
        <v>0.22500704027034635</v>
      </c>
      <c r="D16" s="10">
        <f>IF('资本'!D9&gt;0,'资本'!E9/'资本'!D9-1,"不适用")</f>
        <v>-0.21931034482758616</v>
      </c>
      <c r="E16" s="10">
        <f>IF('资本'!E9&gt;0,'资本'!F9/'资本'!E9-1,"不适用")</f>
        <v>0.22438162544169615</v>
      </c>
      <c r="F16" s="10">
        <f>IF('资本'!G9&gt;0,'资本'!H9/'资本'!G9-1,"不适用")</f>
        <v>0.2841835546238063</v>
      </c>
      <c r="G16" s="9">
        <f>'资本'!H9-'资本'!G9</f>
        <v>1220</v>
      </c>
      <c r="H16" s="10">
        <f>'资本'!H9/'资本'!F9-1</f>
        <v>0.3258778258778259</v>
      </c>
      <c r="I16" s="10">
        <f>'资本'!H9/'资本'!H12</f>
        <v>0.015082869602805912</v>
      </c>
      <c r="J16" s="7" t="s">
        <v>149</v>
      </c>
    </row>
    <row r="17" spans="1:10" ht="30" customHeight="1">
      <c r="A17" s="11" t="s">
        <v>151</v>
      </c>
      <c r="B17" s="10">
        <f>IF('资本'!B10&gt;0,'资本'!C10/'资本'!B10-1,"不适用")</f>
        <v>-0.5939059239771387</v>
      </c>
      <c r="C17" s="10">
        <f>IF('资本'!C10&gt;0,'资本'!D10/'资本'!C10-1,"不适用")</f>
        <v>0.0617408058976292</v>
      </c>
      <c r="D17" s="10">
        <f>IF('资本'!D10&gt;0,'资本'!E10/'资本'!D10-1,"不适用")</f>
        <v>0.25529956341065696</v>
      </c>
      <c r="E17" s="10">
        <f>IF('资本'!E10&gt;0,'资本'!F10/'资本'!E10-1,"不适用")</f>
        <v>0.08690733097278391</v>
      </c>
      <c r="F17" s="10">
        <f>IF('资本'!G10&gt;0,'资本'!H10/'资本'!G10-1,"不适用")</f>
        <v>-0.5958740521067611</v>
      </c>
      <c r="G17" s="9">
        <f>'资本'!H10-'资本'!G10</f>
        <v>-59877</v>
      </c>
      <c r="H17" s="10">
        <f>'资本'!H10/'资本'!F10-1</f>
        <v>-0.21720608362087246</v>
      </c>
      <c r="I17" s="10">
        <f>'资本'!H10/'资本'!H12</f>
        <v>0.11110107957561133</v>
      </c>
      <c r="J17" s="7" t="s">
        <v>149</v>
      </c>
    </row>
    <row r="18" spans="1:10" ht="30" customHeight="1">
      <c r="A18" s="11" t="s">
        <v>152</v>
      </c>
      <c r="B18" s="10">
        <f>IF('资本'!B11&gt;0,'资本'!C11/'资本'!B11-1,"不适用")</f>
        <v>0.5849320919108225</v>
      </c>
      <c r="C18" s="10">
        <f>IF('资本'!C11&gt;0,'资本'!D11/'资本'!C11-1,"不适用")</f>
        <v>0.397147907819001</v>
      </c>
      <c r="D18" s="10">
        <f>IF('资本'!D11&gt;0,'资本'!E11/'资本'!D11-1,"不适用")</f>
        <v>1.2101080860059095</v>
      </c>
      <c r="E18" s="10">
        <f>IF('资本'!E11&gt;0,'资本'!F11/'资本'!E11-1,"不适用")</f>
        <v>0.12204334105951009</v>
      </c>
      <c r="F18" s="10">
        <f>IF('资本'!G11&gt;0,'资本'!H11/'资本'!G11-1,"不适用")</f>
        <v>0.33373699226206366</v>
      </c>
      <c r="G18" s="9">
        <f>'资本'!H11-'资本'!G11</f>
        <v>81300</v>
      </c>
      <c r="H18" s="10">
        <f>'资本'!H11/'资本'!F11-1</f>
        <v>0.010798484292265265</v>
      </c>
      <c r="I18" s="10">
        <f>'资本'!H11/'资本'!H12</f>
        <v>0.8888989204243887</v>
      </c>
      <c r="J18" s="7" t="s">
        <v>149</v>
      </c>
    </row>
    <row r="19" spans="1:10" ht="30" customHeight="1">
      <c r="A19" s="11" t="s">
        <v>149</v>
      </c>
      <c r="B19" s="10">
        <f>IF('资本'!B12&gt;0,'资本'!C12/'资本'!B12-1,"不适用")</f>
        <v>-0.12359680750277746</v>
      </c>
      <c r="C19" s="10">
        <f>IF('资本'!C12&gt;0,'资本'!D12/'资本'!C12-1,"不适用")</f>
        <v>0.30373682777929</v>
      </c>
      <c r="D19" s="10">
        <f>IF('资本'!D12&gt;0,'资本'!E12/'资本'!D12-1,"不适用")</f>
        <v>0.9935516967806204</v>
      </c>
      <c r="E19" s="10">
        <f>IF('资本'!E12&gt;0,'资本'!F12/'资本'!E12-1,"不适用")</f>
        <v>0.11702538292823772</v>
      </c>
      <c r="F19" s="10">
        <f>IF('资本'!G12&gt;0,'资本'!H12/'资本'!G12-1,"不适用")</f>
        <v>0.062259692930067834</v>
      </c>
      <c r="G19" s="9">
        <f>'资本'!H12-'资本'!G12</f>
        <v>21423</v>
      </c>
      <c r="H19" s="10">
        <f>'资本'!H12/'资本'!F12-1</f>
        <v>-0.02088607086316774</v>
      </c>
      <c r="I19" s="7" t="s">
        <v>145</v>
      </c>
      <c r="J19" s="7"/>
    </row>
    <row r="20" spans="1:10" ht="30" customHeight="1">
      <c r="A20" s="11" t="s">
        <v>153</v>
      </c>
      <c r="B20" s="10">
        <f>IF('资本'!B15&gt;0,'资本'!C15/'资本'!B15-1,"不适用")</f>
        <v>-0.05611203266556075</v>
      </c>
      <c r="C20" s="10">
        <f>IF('资本'!C15&gt;0,'资本'!D15/'资本'!C15-1,"不适用")</f>
        <v>0.18556093480685387</v>
      </c>
      <c r="D20" s="10">
        <f>IF('资本'!D15&gt;0,'资本'!E15/'资本'!D15-1,"不适用")</f>
        <v>0.1569557060467901</v>
      </c>
      <c r="E20" s="10">
        <f>IF('资本'!E15&gt;0,'资本'!F15/'资本'!E15-1,"不适用")</f>
        <v>0.10479573985783097</v>
      </c>
      <c r="F20" s="10">
        <f>IF('资本'!G15&gt;0,'资本'!H15/'资本'!G15-1,"不适用")</f>
        <v>0.11964418575754987</v>
      </c>
      <c r="G20" s="9">
        <f>'资本'!H15-'资本'!G15</f>
        <v>79921</v>
      </c>
      <c r="H20" s="10">
        <f>'资本'!H15/'资本'!F15-1</f>
        <v>0.0425009652657653</v>
      </c>
      <c r="I20" s="7" t="s">
        <v>145</v>
      </c>
      <c r="J20" s="7"/>
    </row>
    <row r="21" spans="1:10" ht="30" customHeight="1">
      <c r="A21" s="11" t="s">
        <v>154</v>
      </c>
      <c r="B21" s="10">
        <f>IF('资本'!B18&gt;0,'资本'!C18/'资本'!B18-1,"不适用")</f>
        <v>-0.011977528068603527</v>
      </c>
      <c r="C21" s="10">
        <f>IF('资本'!C18&gt;0,'资本'!D18/'资本'!C18-1,"不适用")</f>
        <v>-0.012502770848460631</v>
      </c>
      <c r="D21" s="10">
        <f>IF('资本'!D18&gt;0,'资本'!E18/'资本'!D18-1,"不适用")</f>
        <v>-0.0022610372384691546</v>
      </c>
      <c r="E21" s="10">
        <f>IF('资本'!E18&gt;0,'资本'!F18/'资本'!E18-1,"不适用")</f>
        <v>0.0</v>
      </c>
      <c r="F21" s="10">
        <f>IF('资本'!G18&gt;0,'资本'!H18/'资本'!G18-1,"不适用")</f>
        <v>-0.004540859147429854</v>
      </c>
      <c r="G21" s="9">
        <f>'资本'!H18-'资本'!G18</f>
        <v>-6530.770000000019</v>
      </c>
      <c r="H21" s="10">
        <f>'资本'!H18/'资本'!F18-1</f>
        <v>-0.004540859147429854</v>
      </c>
      <c r="I21" s="7" t="s">
        <v>145</v>
      </c>
      <c r="J21" s="7"/>
    </row>
    <row r="22" spans="1:10" ht="30" customHeight="1">
      <c r="A22" s="11" t="s">
        <v>155</v>
      </c>
      <c r="B22" s="10">
        <f>IF('资本'!B19&gt;0,'资本'!C19/'资本'!B19-1,"不适用")</f>
        <v>-0.04466953520873129</v>
      </c>
      <c r="C22" s="10">
        <f>IF('资本'!C19&gt;0,'资本'!D19/'资本'!C19-1,"不适用")</f>
        <v>0.2005714039577522</v>
      </c>
      <c r="D22" s="10">
        <f>IF('资本'!D19&gt;0,'资本'!E19/'资本'!D19-1,"不适用")</f>
        <v>0.15957755407745222</v>
      </c>
      <c r="E22" s="10">
        <f>IF('资本'!E19&gt;0,'资本'!F19/'资本'!E19-1,"不适用")</f>
        <v>0.10479573985783097</v>
      </c>
      <c r="F22" s="10">
        <f>IF('资本'!G19&gt;0,'资本'!H19/'资本'!G19-1,"不适用")</f>
        <v>0.12475152400390876</v>
      </c>
      <c r="G22" s="9">
        <f>'资本'!H19-'资本'!G19</f>
        <v>57941.37702207541</v>
      </c>
      <c r="H22" s="10">
        <f>'资本'!H19/'资本'!F19-1</f>
        <v>0.04725640911078033</v>
      </c>
      <c r="I22" s="7" t="s">
        <v>145</v>
      </c>
      <c r="J22" s="7"/>
    </row>
    <row r="23" spans="1:10" ht="30" customHeight="1">
      <c r="A23" s="11" t="s">
        <v>156</v>
      </c>
      <c r="B23" s="10">
        <f>IF('资本'!B20&gt;0,'资本'!C20/'资本'!B20-1,"不适用")</f>
        <v>-0.04466953520873118</v>
      </c>
      <c r="C23" s="10">
        <f>IF('资本'!C20&gt;0,'资本'!D20/'资本'!C20-1,"不适用")</f>
        <v>0.2005714039577522</v>
      </c>
      <c r="D23" s="10">
        <f>IF('资本'!D20&gt;0,'资本'!E20/'资本'!D20-1,"不适用")</f>
        <v>0.15957755407745244</v>
      </c>
      <c r="E23" s="10">
        <f>IF('资本'!E20&gt;0,'资本'!F20/'资本'!E20-1,"不适用")</f>
        <v>0.10479573985783097</v>
      </c>
      <c r="F23" s="10">
        <f>IF('资本'!G20&gt;0,'资本'!H20/'资本'!G20-1,"不适用")</f>
        <v>0.12475152400390876</v>
      </c>
      <c r="G23" s="9">
        <f>'资本'!H20-'资本'!G20</f>
        <v>38.62758468138361</v>
      </c>
      <c r="H23" s="10">
        <f>'资本'!H20/'资本'!F20-1</f>
        <v>0.04725640911078033</v>
      </c>
      <c r="I23" s="7" t="s">
        <v>145</v>
      </c>
      <c r="J23" s="7"/>
    </row>
    <row r="24" spans="1:10" ht="30" customHeight="1">
      <c r="A24" s="11" t="s">
        <v>157</v>
      </c>
      <c r="B24" s="10">
        <f>IF('资本'!B23&gt;0,'资本'!C23/'资本'!B23-1,"不适用")</f>
        <v>-0.7019152252987899</v>
      </c>
      <c r="C24" s="10">
        <f>IF('资本'!C23&gt;0,'资本'!D23/'资本'!C23-1,"不适用")</f>
        <v>0.11766903249906613</v>
      </c>
      <c r="D24" s="10">
        <f>IF('资本'!D23&gt;0,'资本'!E23/'资本'!D23-1,"不适用")</f>
        <v>-0.6749108734402852</v>
      </c>
      <c r="E24" s="10">
        <f>IF('资本'!E23&gt;0,'资本'!F23/'资本'!E23-1,"不适用")</f>
        <v>-1.0</v>
      </c>
      <c r="F24" s="10" t="str">
        <f>IF('资本'!G23&gt;0,'资本'!H23/'资本'!G23-1,"不适用")</f>
        <v>不适用</v>
      </c>
      <c r="G24" s="9">
        <f>'资本'!H23-'资本'!G23</f>
        <v>4762</v>
      </c>
      <c r="H24" s="7" t="s">
        <v>144</v>
      </c>
      <c r="I24" s="7" t="s">
        <v>145</v>
      </c>
      <c r="J24" s="7"/>
    </row>
    <row r="25" spans="1:10" ht="30" customHeight="1">
      <c r="A25" s="11" t="s">
        <v>99</v>
      </c>
      <c r="B25" s="10">
        <f>IF('资本'!B24&gt;0,'资本'!C24/'资本'!B24-1,"不适用")</f>
        <v>-0.7097668231033591</v>
      </c>
      <c r="C25" s="10">
        <f>IF('资本'!C24&gt;0,'资本'!D24/'资本'!C24-1,"不适用")</f>
        <v>0.16768525592054995</v>
      </c>
      <c r="D25" s="10">
        <f>IF('资本'!D24&gt;0,'资本'!E24/'资本'!D24-1,"不适用")</f>
        <v>-0.6818231381528732</v>
      </c>
      <c r="E25" s="10">
        <f>IF('资本'!E24&gt;0,'资本'!F24/'资本'!E24-1,"不适用")</f>
        <v>-1.0</v>
      </c>
      <c r="F25" s="10" t="str">
        <f>IF('资本'!G24&gt;0,'资本'!H24/'资本'!G24-1,"不适用")</f>
        <v>不适用</v>
      </c>
      <c r="G25" s="9">
        <f>'资本'!H24-'资本'!G24</f>
        <v>4444</v>
      </c>
      <c r="H25" s="7" t="s">
        <v>144</v>
      </c>
      <c r="I25" s="7" t="s">
        <v>145</v>
      </c>
      <c r="J25" s="7"/>
    </row>
    <row r="26" spans="1:10" ht="30" customHeight="1">
      <c r="A26" s="11" t="s">
        <v>158</v>
      </c>
      <c r="B26" s="10">
        <f>IF('股票组合'!B6&gt;0,'股票组合'!C6/'股票组合'!B6-1,"不适用")</f>
        <v>-0.21898088885894584</v>
      </c>
      <c r="C26" s="10">
        <f>IF('股票组合'!C6&gt;0,'股票组合'!D6/'股票组合'!C6-1,"不适用")</f>
        <v>0.12588417965380416</v>
      </c>
      <c r="D26" s="10">
        <f>IF('股票组合'!D6&gt;0,'股票组合'!E6/'股票组合'!D6-1,"不适用")</f>
        <v>0.17022933905404014</v>
      </c>
      <c r="E26" s="10">
        <f>IF('股票组合'!E6&gt;0,'股票组合'!F6/'股票组合'!E6-1,"不适用")</f>
        <v>0.1362460853529457</v>
      </c>
      <c r="F26" s="10">
        <f>IF('股票组合'!G6&gt;0,'股票组合'!H6/'股票组合'!G6-1,"不适用")</f>
        <v>0.011271193697550919</v>
      </c>
      <c r="G26" s="9">
        <f>'股票组合'!H6-'股票组合'!G6</f>
        <v>1053</v>
      </c>
      <c r="H26" s="10">
        <f>'股票组合'!H6/'股票组合'!F6-1</f>
        <v>-0.0926927176867155</v>
      </c>
      <c r="I26" s="10">
        <f>'股票组合'!H6/'股票组合'!H9</f>
        <v>0.29179471182504113</v>
      </c>
      <c r="J26" s="7" t="s">
        <v>159</v>
      </c>
    </row>
    <row r="27" spans="1:10" ht="30" customHeight="1">
      <c r="A27" s="11" t="s">
        <v>71</v>
      </c>
      <c r="B27" s="10">
        <f>IF('股票组合'!B7&gt;0,'股票组合'!C7/'股票组合'!B7-1,"不适用")</f>
        <v>-0.19960632600604122</v>
      </c>
      <c r="C27" s="10">
        <f>IF('股票组合'!C7&gt;0,'股票组合'!D7/'股票组合'!C7-1,"不适用")</f>
        <v>0.3155887816236298</v>
      </c>
      <c r="D27" s="10">
        <f>IF('股票组合'!D7&gt;0,'股票组合'!E7/'股票组合'!D7-1,"不适用")</f>
        <v>-0.4792311937278454</v>
      </c>
      <c r="E27" s="10">
        <f>IF('股票组合'!E7&gt;0,'股票组合'!F7/'股票组合'!E7-1,"不适用")</f>
        <v>-0.09350924591165544</v>
      </c>
      <c r="F27" s="10">
        <f>IF('股票组合'!G7&gt;0,'股票组合'!H7/'股票组合'!G7-1,"不适用")</f>
        <v>0.09850778901339163</v>
      </c>
      <c r="G27" s="9">
        <f>'股票组合'!H7-'股票组合'!G7</f>
        <v>9011</v>
      </c>
      <c r="H27" s="10">
        <f>'股票组合'!H7/'股票组合'!F7-1</f>
        <v>0.05825978895043926</v>
      </c>
      <c r="I27" s="10">
        <f>'股票组合'!H7/'股票组合'!H9</f>
        <v>0.3103536671618604</v>
      </c>
      <c r="J27" s="7" t="s">
        <v>159</v>
      </c>
    </row>
    <row r="28" spans="1:10" ht="30" customHeight="1">
      <c r="A28" s="11" t="s">
        <v>160</v>
      </c>
      <c r="B28" s="10">
        <f>IF('股票组合'!B8&gt;0,'股票组合'!C8/'股票组合'!B8-1,"不适用")</f>
        <v>0.22232446206115508</v>
      </c>
      <c r="C28" s="10">
        <f>IF('股票组合'!C8&gt;0,'股票组合'!D8/'股票组合'!C8-1,"不适用")</f>
        <v>-0.13849093751809605</v>
      </c>
      <c r="D28" s="10">
        <f>IF('股票组合'!D8&gt;0,'股票组合'!E8/'股票组合'!D8-1,"不适用")</f>
        <v>0.010875556212779136</v>
      </c>
      <c r="E28" s="10">
        <f>IF('股票组合'!E8&gt;0,'股票组合'!F8/'股票组合'!E8-1,"不适用")</f>
        <v>0.312503324644928</v>
      </c>
      <c r="F28" s="10">
        <f>IF('股票组合'!G8&gt;0,'股票组合'!H8/'股票组合'!G8-1,"不适用")</f>
        <v>0.5515513586432839</v>
      </c>
      <c r="G28" s="9">
        <f>'股票组合'!H8-'股票组合'!G8</f>
        <v>45792</v>
      </c>
      <c r="H28" s="10">
        <f>'股票组合'!H8/'股票组合'!F8-1</f>
        <v>0.3051927655909621</v>
      </c>
      <c r="I28" s="10">
        <f>'股票组合'!H8/'股票组合'!H9</f>
        <v>0.39785162101309846</v>
      </c>
      <c r="J28" s="7" t="s">
        <v>159</v>
      </c>
    </row>
    <row r="29" spans="1:10" ht="30" customHeight="1">
      <c r="A29" s="11" t="s">
        <v>161</v>
      </c>
      <c r="B29" s="10">
        <f>IF('股票组合'!B9&gt;0,'股票组合'!C9/'股票组合'!B9-1,"不适用")</f>
        <v>-0.1195429959597284</v>
      </c>
      <c r="C29" s="10">
        <f>IF('股票组合'!C9&gt;0,'股票组合'!D9/'股票组合'!C9-1,"不适用")</f>
        <v>0.14588737438996358</v>
      </c>
      <c r="D29" s="10">
        <f>IF('股票组合'!D9&gt;0,'股票组合'!E9/'股票组合'!D9-1,"不适用")</f>
        <v>-0.2324596853963068</v>
      </c>
      <c r="E29" s="10">
        <f>IF('股票组合'!E9&gt;0,'股票组合'!F9/'股票组合'!E9-1,"不适用")</f>
        <v>0.09643283208389186</v>
      </c>
      <c r="F29" s="10">
        <f>IF('股票组合'!G9&gt;0,'股票组合'!H9/'股票组合'!G9-1,"不适用")</f>
        <v>0.20847780892271284</v>
      </c>
      <c r="G29" s="9">
        <f>'股票组合'!H9-'股票组合'!G9</f>
        <v>55856</v>
      </c>
      <c r="H29" s="10">
        <f>'股票组合'!H9/'股票组合'!F9-1</f>
        <v>0.08731672588304029</v>
      </c>
      <c r="I29" s="7" t="s">
        <v>145</v>
      </c>
      <c r="J29" s="7"/>
    </row>
    <row r="30" spans="1:10" ht="30" customHeight="1">
      <c r="A30" s="11" t="s">
        <v>162</v>
      </c>
      <c r="B30" s="10">
        <f>IF('现金流'!B6&gt;0,'现金流'!C6/'现金流'!B6-1,"不适用")</f>
        <v>-0.0526796357825855</v>
      </c>
      <c r="C30" s="10">
        <f>IF('现金流'!C6&gt;0,'现金流'!D6/'现金流'!C6-1,"不适用")</f>
        <v>0.3171619812583668</v>
      </c>
      <c r="D30" s="10">
        <f>IF('现金流'!D6&gt;0,'现金流'!E6/'现金流'!D6-1,"不适用")</f>
        <v>-0.3781608260834214</v>
      </c>
      <c r="E30" s="10">
        <f>IF('现金流'!E6&gt;0,'现金流'!F6/'现金流'!E6-1,"不适用")</f>
        <v>0.5026477510460252</v>
      </c>
      <c r="F30" s="10">
        <f>IF('现金流'!G6&gt;0,'现金流'!H6/'现金流'!G6-1,"不适用")</f>
        <v>0.03168477225081001</v>
      </c>
      <c r="G30" s="9">
        <f>'现金流'!H6-'现金流'!G6</f>
        <v>665</v>
      </c>
      <c r="H30" s="7" t="s">
        <v>144</v>
      </c>
      <c r="I30" s="7" t="s">
        <v>145</v>
      </c>
      <c r="J30" s="7"/>
    </row>
    <row r="31" spans="1:10" ht="30" customHeight="1">
      <c r="A31" s="11" t="s">
        <v>163</v>
      </c>
      <c r="B31" s="10">
        <f>IF('现金流'!B7&gt;0,'现金流'!C7/'现金流'!B7-1,"不适用")</f>
        <v>0.16480867731244353</v>
      </c>
      <c r="C31" s="10">
        <f>IF('现金流'!C7&gt;0,'现金流'!D7/'现金流'!C7-1,"不适用")</f>
        <v>0.2551086394205897</v>
      </c>
      <c r="D31" s="10">
        <f>IF('现金流'!D7&gt;0,'现金流'!E7/'现金流'!D7-1,"不适用")</f>
        <v>-0.02230923798237927</v>
      </c>
      <c r="E31" s="10">
        <f>IF('现金流'!E7&gt;0,'现金流'!F7/'现金流'!E7-1,"不适用")</f>
        <v>0.10281408094435074</v>
      </c>
      <c r="F31" s="10">
        <f>IF('现金流'!G7&gt;0,'现金流'!H7/'现金流'!G7-1,"不适用")</f>
        <v>0.16325637378268953</v>
      </c>
      <c r="G31" s="9">
        <f>'现金流'!H7-'现金流'!G7</f>
        <v>1492</v>
      </c>
      <c r="H31" s="7" t="s">
        <v>144</v>
      </c>
      <c r="I31" s="7" t="s">
        <v>145</v>
      </c>
      <c r="J31" s="7"/>
    </row>
    <row r="32" spans="1:10" ht="30" customHeight="1">
      <c r="A32" s="11" t="s">
        <v>97</v>
      </c>
      <c r="B32" s="10">
        <f>IF('现金流'!B8&gt;0,'现金流'!C8/'现金流'!B8-1,"不适用")</f>
        <v>-0.16309127758020725</v>
      </c>
      <c r="C32" s="10">
        <f>IF('现金流'!C8&gt;0,'现金流'!D8/'现金流'!C8-1,"不适用")</f>
        <v>0.3610070364616651</v>
      </c>
      <c r="D32" s="10">
        <f>IF('现金流'!D8&gt;0,'现金流'!E8/'现金流'!D8-1,"不适用")</f>
        <v>-0.6100312216738846</v>
      </c>
      <c r="E32" s="10">
        <f>IF('现金流'!E8&gt;0,'现金流'!F8/'现金流'!E8-1,"不适用")</f>
        <v>1.1558195592286502</v>
      </c>
      <c r="F32" s="10">
        <f>IF('现金流'!G8&gt;0,'现金流'!H8/'现金流'!G8-1,"不适用")</f>
        <v>-0.06979491940248117</v>
      </c>
      <c r="G32" s="9">
        <f>'现金流'!H8-'现金流'!G8</f>
        <v>-827</v>
      </c>
      <c r="H32" s="7" t="s">
        <v>144</v>
      </c>
      <c r="I32" s="7" t="s">
        <v>145</v>
      </c>
      <c r="J32" s="7"/>
    </row>
    <row r="33" spans="1:10" ht="30" customHeight="1">
      <c r="A33" s="11" t="s">
        <v>164</v>
      </c>
      <c r="B33" s="10">
        <f>IF('现金流'!B9&gt;0,'现金流'!C9/'现金流'!B9-1,"不适用")</f>
        <v>7.0409564393939394</v>
      </c>
      <c r="C33" s="10">
        <f>IF('现金流'!C9&gt;0,'现金流'!D9/'现金流'!C9-1,"不适用")</f>
        <v>-0.7576622994258796</v>
      </c>
      <c r="D33" s="10">
        <f>IF('现金流'!D9&gt;0,'现金流'!E9/'现金流'!D9-1,"不适用")</f>
        <v>-0.43888956384400435</v>
      </c>
      <c r="E33" s="10">
        <f>IF('现金流'!E9&gt;0,'现金流'!F9/'现金流'!E9-1,"不适用")</f>
        <v>0.8320883403702501</v>
      </c>
      <c r="F33" s="10">
        <f>IF('现金流'!G9&gt;0,'现金流'!H9/'现金流'!G9-1,"不适用")</f>
        <v>4.5562605752961085</v>
      </c>
      <c r="G33" s="9">
        <f>'现金流'!H9-'现金流'!G9</f>
        <v>32313</v>
      </c>
      <c r="H33" s="7" t="s">
        <v>144</v>
      </c>
      <c r="I33" s="7" t="s">
        <v>145</v>
      </c>
      <c r="J33" s="7"/>
    </row>
    <row r="34" spans="1:10" ht="30" customHeight="1">
      <c r="A34" s="11" t="s">
        <v>165</v>
      </c>
      <c r="B34" s="10">
        <f>IF('现金流'!B10&gt;0,'现金流'!C10/'现金流'!B10-1,"不适用")</f>
        <v>1.1240456811155277</v>
      </c>
      <c r="C34" s="10">
        <f>IF('现金流'!C10&gt;0,'现金流'!D10/'现金流'!C10-1,"不适用")</f>
        <v>0.20695698669201512</v>
      </c>
      <c r="D34" s="10">
        <f>IF('现金流'!D10&gt;0,'现金流'!E10/'现金流'!D10-1,"不适用")</f>
        <v>2.5283158179714995</v>
      </c>
      <c r="E34" s="10">
        <f>IF('现金流'!E10&gt;0,'现金流'!F10/'现金流'!E10-1,"不适用")</f>
        <v>-0.7859499577982547</v>
      </c>
      <c r="F34" s="10">
        <f>IF('现金流'!G10&gt;0,'现金流'!H10/'现金流'!G10-1,"不适用")</f>
        <v>1.3964803312629401</v>
      </c>
      <c r="G34" s="9">
        <f>'现金流'!H10-'现金流'!G10</f>
        <v>16188</v>
      </c>
      <c r="H34" s="7" t="s">
        <v>144</v>
      </c>
      <c r="I34" s="7" t="s">
        <v>145</v>
      </c>
      <c r="J34" s="7"/>
    </row>
    <row r="35" spans="1:10" ht="30" customHeight="1">
      <c r="A35" s="11" t="s">
        <v>166</v>
      </c>
      <c r="B35" s="10" t="str">
        <f>IF('现金流'!B11&gt;0,'现金流'!C11/'现金流'!B11-1,"不适用")</f>
        <v>不适用</v>
      </c>
      <c r="C35" s="10">
        <f>IF('现金流'!C11&gt;0,'现金流'!D11/'现金流'!C11-1,"不适用")</f>
        <v>-1.7053347341387965</v>
      </c>
      <c r="D35" s="10" t="str">
        <f>IF('现金流'!D11&gt;0,'现金流'!E11/'现金流'!D11-1,"不适用")</f>
        <v>不适用</v>
      </c>
      <c r="E35" s="10" t="str">
        <f>IF('现金流'!E11&gt;0,'现金流'!F11/'现金流'!E11-1,"不适用")</f>
        <v>不适用</v>
      </c>
      <c r="F35" s="10" t="str">
        <f>IF('现金流'!G11&gt;0,'现金流'!H11/'现金流'!G11-1,"不适用")</f>
        <v>不适用</v>
      </c>
      <c r="G35" s="9">
        <f>'现金流'!H11-'现金流'!G11</f>
        <v>16125</v>
      </c>
      <c r="H35" s="7" t="s">
        <v>144</v>
      </c>
      <c r="I35" s="7" t="s">
        <v>145</v>
      </c>
      <c r="J35" s="7"/>
    </row>
    <row r="36" spans="1:10" ht="30" customHeight="1">
      <c r="A36" s="11" t="s">
        <v>96</v>
      </c>
      <c r="B36" s="10">
        <f>IF('现金流'!B12&gt;0,'现金流'!C12/'现金流'!B12-1,"不适用")</f>
        <v>22.232456140350877</v>
      </c>
      <c r="C36" s="10">
        <f>IF('现金流'!C12&gt;0,'现金流'!D12/'现金流'!C12-1,"不适用")</f>
        <v>-0.18784217481593357</v>
      </c>
      <c r="D36" s="10">
        <f>IF('现金流'!D12&gt;0,'现金流'!E12/'现金流'!D12-1,"不适用")</f>
        <v>-0.9539748953974896</v>
      </c>
      <c r="E36" s="10">
        <f>IF('现金流'!E12&gt;0,'现金流'!F12/'现金流'!E12-1,"不适用")</f>
        <v>1.712121212121212</v>
      </c>
      <c r="F36" s="10">
        <f>IF('现金流'!G12&gt;0,'现金流'!H12/'现金流'!G12-1,"不适用")</f>
        <v>95.07920792079207</v>
      </c>
      <c r="G36" s="9">
        <f>'现金流'!H12-'现金流'!G12</f>
        <v>9603</v>
      </c>
      <c r="H36" s="7" t="s">
        <v>144</v>
      </c>
      <c r="I36" s="7" t="s">
        <v>145</v>
      </c>
      <c r="J36" s="7"/>
    </row>
  </sheetData>
  <autoFilter ref="A5:J36"/>
  <mergeCells count="2">
    <mergeCell ref="A1:I2"/>
    <mergeCell ref="A3:I3"/>
  </mergeCells>
  <conditionalFormatting sqref="B6:F37">
    <cfRule type="colorScale" priority="1">
      <colorScale>
        <cfvo type="min" val="0"/>
        <cfvo type="percentile" val="50"/>
        <cfvo type="max" val="0"/>
        <color rgb="FFF5C8A8"/>
        <color rgb="FFFFFFFF"/>
        <color rgb="FF9AD8C9"/>
      </colorScale>
    </cfRule>
  </conditionalFormatting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1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38.7109375" customWidth="1"/>
    <col min="2" max="8" width="16.7109375" customWidth="1"/>
    <col min="9" max="9" width="60.7109375" customWidth="1"/>
  </cols>
  <sheetData>
    <row r="1" spans="1:9" ht="30" customHeight="1">
      <c r="A1" s="1" t="s">
        <v>183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184</v>
      </c>
      <c r="B3" s="2"/>
      <c r="C3" s="2"/>
      <c r="D3" s="2"/>
      <c r="E3" s="2"/>
      <c r="F3" s="2"/>
      <c r="G3" s="2"/>
      <c r="H3" s="2"/>
      <c r="I3" s="2"/>
    </row>
    <row r="6" spans="1:9" ht="65.25" customHeight="1">
      <c r="A6" s="3" t="s">
        <v>185</v>
      </c>
      <c r="B6" s="4" t="s">
        <v>186</v>
      </c>
      <c r="C6" s="4"/>
      <c r="D6" s="4"/>
      <c r="E6" s="4"/>
      <c r="F6" s="4" t="s">
        <v>187</v>
      </c>
      <c r="G6" s="4"/>
      <c r="H6" s="4"/>
      <c r="I6" s="4"/>
    </row>
    <row r="7" spans="1:9" ht="65.25" customHeight="1">
      <c r="A7" s="3" t="s">
        <v>188</v>
      </c>
      <c r="B7" s="4" t="s">
        <v>189</v>
      </c>
      <c r="C7" s="4"/>
      <c r="D7" s="4"/>
      <c r="E7" s="4"/>
      <c r="F7" s="4" t="s">
        <v>190</v>
      </c>
      <c r="G7" s="4"/>
      <c r="H7" s="4"/>
      <c r="I7" s="4"/>
    </row>
    <row r="8" spans="1:9" ht="65.25" customHeight="1">
      <c r="A8" s="3" t="s">
        <v>191</v>
      </c>
      <c r="B8" s="4" t="s">
        <v>192</v>
      </c>
      <c r="C8" s="4"/>
      <c r="D8" s="4"/>
      <c r="E8" s="4"/>
      <c r="F8" s="4" t="s">
        <v>193</v>
      </c>
      <c r="G8" s="4"/>
      <c r="H8" s="4"/>
      <c r="I8" s="4"/>
    </row>
    <row r="9" spans="1:9" ht="65.25" customHeight="1">
      <c r="A9" s="3" t="s">
        <v>194</v>
      </c>
      <c r="B9" s="4" t="s">
        <v>195</v>
      </c>
      <c r="C9" s="4"/>
      <c r="D9" s="4"/>
      <c r="E9" s="4"/>
      <c r="F9" s="4" t="s">
        <v>196</v>
      </c>
      <c r="G9" s="4"/>
      <c r="H9" s="4"/>
      <c r="I9" s="4"/>
    </row>
    <row r="10" spans="1:9" ht="65.25" customHeight="1">
      <c r="A10" s="3" t="s">
        <v>197</v>
      </c>
      <c r="B10" s="4" t="s">
        <v>198</v>
      </c>
      <c r="C10" s="4"/>
      <c r="D10" s="4"/>
      <c r="E10" s="4"/>
      <c r="F10" s="4" t="s">
        <v>199</v>
      </c>
      <c r="G10" s="4"/>
      <c r="H10" s="4"/>
      <c r="I10" s="4"/>
    </row>
    <row r="11" spans="1:9" ht="65.25" customHeight="1">
      <c r="A11" s="3" t="s">
        <v>200</v>
      </c>
      <c r="B11" s="4" t="s">
        <v>201</v>
      </c>
      <c r="C11" s="4"/>
      <c r="D11" s="4"/>
      <c r="E11" s="4"/>
      <c r="F11" s="4" t="s">
        <v>202</v>
      </c>
      <c r="G11" s="4"/>
      <c r="H11" s="4"/>
      <c r="I11" s="4"/>
    </row>
    <row r="12" spans="1:9" ht="65.25" customHeight="1">
      <c r="A12" s="3" t="s">
        <v>203</v>
      </c>
      <c r="B12" s="4" t="s">
        <v>204</v>
      </c>
      <c r="C12" s="4"/>
      <c r="D12" s="4"/>
      <c r="E12" s="4"/>
      <c r="F12" s="4" t="s">
        <v>205</v>
      </c>
      <c r="G12" s="4"/>
      <c r="H12" s="4"/>
      <c r="I12" s="4"/>
    </row>
    <row r="13" spans="1:9" ht="65.25" customHeight="1">
      <c r="A13" s="3" t="s">
        <v>206</v>
      </c>
      <c r="B13" s="4" t="s">
        <v>207</v>
      </c>
      <c r="C13" s="4"/>
      <c r="D13" s="4"/>
      <c r="E13" s="4"/>
      <c r="F13" s="4" t="s">
        <v>208</v>
      </c>
      <c r="G13" s="4"/>
      <c r="H13" s="4"/>
      <c r="I13" s="4"/>
    </row>
    <row r="15" spans="1:9" ht="30" customHeight="1">
      <c r="A15" s="7" t="s">
        <v>209</v>
      </c>
      <c r="B15" s="7"/>
      <c r="C15" s="7"/>
      <c r="D15" s="7"/>
      <c r="E15" s="7"/>
      <c r="F15" s="7"/>
      <c r="G15" s="7"/>
      <c r="H15" s="7"/>
      <c r="I15" s="7"/>
    </row>
    <row r="16" spans="1:9" ht="30" customHeight="1">
      <c r="A16" s="7"/>
      <c r="B16" s="7"/>
      <c r="C16" s="7"/>
      <c r="D16" s="7"/>
      <c r="E16" s="7"/>
      <c r="F16" s="7"/>
      <c r="G16" s="7"/>
      <c r="H16" s="7"/>
      <c r="I16" s="7"/>
    </row>
    <row r="17" spans="1:9" ht="30" customHeight="1">
      <c r="A17" s="7"/>
      <c r="B17" s="7"/>
      <c r="C17" s="7"/>
      <c r="D17" s="7"/>
      <c r="E17" s="7"/>
      <c r="F17" s="7"/>
      <c r="G17" s="7"/>
      <c r="H17" s="7"/>
      <c r="I17" s="7"/>
    </row>
  </sheetData>
  <mergeCells count="19">
    <mergeCell ref="A1:I2"/>
    <mergeCell ref="A3:I3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E12"/>
    <mergeCell ref="F12:I12"/>
    <mergeCell ref="B13:E13"/>
    <mergeCell ref="F13:I13"/>
    <mergeCell ref="A15:I17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38B83"/>
    <pageSetUpPr fitToPage="1"/>
  </sheetPr>
  <dimension ref="A1:I3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30" customHeight="1"/>
  <cols>
    <col min="1" max="1" width="10.7109375" customWidth="1"/>
    <col min="2" max="2" width="28.7109375" customWidth="1"/>
    <col min="3" max="3" width="60.7109375" customWidth="1"/>
    <col min="4" max="4" width="80.7109375" customWidth="1"/>
    <col min="5" max="5" width="65.7109375" customWidth="1"/>
    <col min="6" max="8" width="16.7109375" customWidth="1"/>
    <col min="9" max="9" width="60.7109375" customWidth="1"/>
  </cols>
  <sheetData>
    <row r="1" spans="1:9" ht="30" customHeight="1">
      <c r="A1" s="1" t="s">
        <v>210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 ht="36.75" customHeight="1">
      <c r="A3" s="2" t="s">
        <v>211</v>
      </c>
      <c r="B3" s="2"/>
      <c r="C3" s="2"/>
      <c r="D3" s="2"/>
      <c r="E3" s="2"/>
      <c r="F3" s="2"/>
      <c r="G3" s="2"/>
      <c r="H3" s="2"/>
      <c r="I3" s="2"/>
    </row>
    <row r="5" spans="1:9" ht="30" customHeight="1">
      <c r="A5" s="3" t="s">
        <v>212</v>
      </c>
      <c r="B5" s="3" t="s">
        <v>213</v>
      </c>
      <c r="C5" s="3" t="s">
        <v>214</v>
      </c>
      <c r="D5" s="3" t="s">
        <v>215</v>
      </c>
      <c r="E5" s="3" t="s">
        <v>216</v>
      </c>
    </row>
    <row r="6" spans="1:9" ht="129.75" customHeight="1">
      <c r="A6" s="4">
        <v>1967</v>
      </c>
      <c r="B6" s="4" t="s">
        <v>217</v>
      </c>
      <c r="C6" s="4" t="s">
        <v>218</v>
      </c>
      <c r="D6" s="4" t="s">
        <v>219</v>
      </c>
      <c r="E6" s="4" t="s">
        <v>220</v>
      </c>
    </row>
    <row r="7" spans="1:9" ht="129.75" customHeight="1">
      <c r="A7" s="4">
        <v>1972</v>
      </c>
      <c r="B7" s="4" t="s">
        <v>221</v>
      </c>
      <c r="C7" s="4" t="s">
        <v>222</v>
      </c>
      <c r="D7" s="4" t="s">
        <v>223</v>
      </c>
      <c r="E7" s="4" t="s">
        <v>224</v>
      </c>
    </row>
    <row r="8" spans="1:9" ht="129.75" customHeight="1">
      <c r="A8" s="4">
        <v>1983</v>
      </c>
      <c r="B8" s="4" t="s">
        <v>225</v>
      </c>
      <c r="C8" s="4" t="s">
        <v>226</v>
      </c>
      <c r="D8" s="4" t="s">
        <v>227</v>
      </c>
      <c r="E8" s="4" t="s">
        <v>228</v>
      </c>
    </row>
    <row r="9" spans="1:9" ht="129.75" customHeight="1">
      <c r="A9" s="4">
        <v>1985</v>
      </c>
      <c r="B9" s="4" t="s">
        <v>229</v>
      </c>
      <c r="C9" s="4" t="s">
        <v>230</v>
      </c>
      <c r="D9" s="4" t="s">
        <v>231</v>
      </c>
      <c r="E9" s="4" t="s">
        <v>220</v>
      </c>
    </row>
    <row r="10" spans="1:9" ht="129.75" customHeight="1">
      <c r="A10" s="4">
        <v>1994</v>
      </c>
      <c r="B10" s="4" t="s">
        <v>232</v>
      </c>
      <c r="C10" s="4" t="s">
        <v>233</v>
      </c>
      <c r="D10" s="4" t="s">
        <v>234</v>
      </c>
      <c r="E10" s="4" t="s">
        <v>235</v>
      </c>
    </row>
    <row r="11" spans="1:9" ht="129.75" customHeight="1">
      <c r="A11" s="4">
        <v>1995</v>
      </c>
      <c r="B11" s="4" t="s">
        <v>236</v>
      </c>
      <c r="C11" s="4" t="s">
        <v>237</v>
      </c>
      <c r="D11" s="4" t="s">
        <v>238</v>
      </c>
      <c r="E11" s="4" t="s">
        <v>239</v>
      </c>
    </row>
    <row r="12" spans="1:9" ht="129.75" customHeight="1">
      <c r="A12" s="4">
        <v>1998</v>
      </c>
      <c r="B12" s="4" t="s">
        <v>240</v>
      </c>
      <c r="C12" s="4" t="s">
        <v>241</v>
      </c>
      <c r="D12" s="4" t="s">
        <v>242</v>
      </c>
      <c r="E12" s="4" t="s">
        <v>243</v>
      </c>
    </row>
    <row r="13" spans="1:9" ht="129.75" customHeight="1">
      <c r="A13" s="4">
        <v>2008</v>
      </c>
      <c r="B13" s="4" t="s">
        <v>244</v>
      </c>
      <c r="C13" s="4" t="s">
        <v>245</v>
      </c>
      <c r="D13" s="4" t="s">
        <v>246</v>
      </c>
      <c r="E13" s="4" t="s">
        <v>247</v>
      </c>
    </row>
    <row r="14" spans="1:9" ht="129.75" customHeight="1">
      <c r="A14" s="4">
        <v>2009</v>
      </c>
      <c r="B14" s="4" t="s">
        <v>248</v>
      </c>
      <c r="C14" s="4" t="s">
        <v>249</v>
      </c>
      <c r="D14" s="4" t="s">
        <v>250</v>
      </c>
      <c r="E14" s="4" t="s">
        <v>251</v>
      </c>
    </row>
    <row r="15" spans="1:9" ht="129.75" customHeight="1">
      <c r="A15" s="4">
        <v>2011</v>
      </c>
      <c r="B15" s="4" t="s">
        <v>252</v>
      </c>
      <c r="C15" s="4" t="s">
        <v>253</v>
      </c>
      <c r="D15" s="4" t="s">
        <v>254</v>
      </c>
      <c r="E15" s="4" t="s">
        <v>255</v>
      </c>
    </row>
    <row r="18" spans="1:5" ht="30" customHeight="1">
      <c r="A18" s="3" t="s">
        <v>256</v>
      </c>
      <c r="B18" s="3" t="s">
        <v>26</v>
      </c>
      <c r="C18" s="3" t="s">
        <v>257</v>
      </c>
      <c r="D18" s="3" t="s">
        <v>258</v>
      </c>
    </row>
    <row r="19" spans="1:5" ht="42" customHeight="1">
      <c r="A19" s="12">
        <v>1972</v>
      </c>
      <c r="B19" s="12" t="s">
        <v>259</v>
      </c>
      <c r="C19" s="12">
        <v>25</v>
      </c>
      <c r="D19" s="12" t="s">
        <v>260</v>
      </c>
      <c r="E19" s="7" t="s">
        <v>224</v>
      </c>
    </row>
    <row r="20" spans="1:5" ht="42" customHeight="1">
      <c r="A20" s="12">
        <v>1972</v>
      </c>
      <c r="B20" s="12" t="s">
        <v>261</v>
      </c>
      <c r="C20" s="12">
        <v>30</v>
      </c>
      <c r="D20" s="12" t="s">
        <v>260</v>
      </c>
      <c r="E20" s="7" t="s">
        <v>224</v>
      </c>
    </row>
    <row r="21" spans="1:5" ht="42" customHeight="1">
      <c r="A21" s="12">
        <v>1972</v>
      </c>
      <c r="B21" s="12" t="s">
        <v>262</v>
      </c>
      <c r="C21" s="12">
        <v>5</v>
      </c>
      <c r="D21" s="12" t="s">
        <v>263</v>
      </c>
      <c r="E21" s="7" t="s">
        <v>224</v>
      </c>
    </row>
    <row r="22" spans="1:5" ht="42" customHeight="1">
      <c r="A22" s="12">
        <v>1983</v>
      </c>
      <c r="B22" s="12" t="s">
        <v>264</v>
      </c>
      <c r="C22" s="15">
        <v>0.9</v>
      </c>
      <c r="D22" s="12" t="s">
        <v>265</v>
      </c>
      <c r="E22" s="7" t="s">
        <v>228</v>
      </c>
    </row>
    <row r="23" spans="1:5" ht="42" customHeight="1">
      <c r="A23" s="12">
        <v>1983</v>
      </c>
      <c r="B23" s="12" t="s">
        <v>266</v>
      </c>
      <c r="C23" s="15">
        <v>0.1</v>
      </c>
      <c r="D23" s="12" t="s">
        <v>267</v>
      </c>
      <c r="E23" s="7" t="s">
        <v>228</v>
      </c>
    </row>
    <row r="24" spans="1:5" ht="42" customHeight="1">
      <c r="A24" s="12">
        <v>1994</v>
      </c>
      <c r="B24" s="12" t="s">
        <v>268</v>
      </c>
      <c r="C24" s="12">
        <v>1300</v>
      </c>
      <c r="D24" s="12" t="s">
        <v>260</v>
      </c>
      <c r="E24" s="7" t="s">
        <v>235</v>
      </c>
    </row>
    <row r="25" spans="1:5" ht="42" customHeight="1">
      <c r="A25" s="12">
        <v>1994</v>
      </c>
      <c r="B25" s="12" t="s">
        <v>269</v>
      </c>
      <c r="C25" s="12">
        <v>400000000</v>
      </c>
      <c r="D25" s="12" t="s">
        <v>270</v>
      </c>
      <c r="E25" s="7" t="s">
        <v>235</v>
      </c>
    </row>
    <row r="26" spans="1:5" ht="42" customHeight="1">
      <c r="A26" s="12">
        <v>1995</v>
      </c>
      <c r="B26" s="12" t="s">
        <v>271</v>
      </c>
      <c r="C26" s="15">
        <v>1</v>
      </c>
      <c r="D26" s="12" t="s">
        <v>272</v>
      </c>
      <c r="E26" s="7" t="s">
        <v>239</v>
      </c>
    </row>
    <row r="27" spans="1:5" ht="42" customHeight="1">
      <c r="A27" s="12">
        <v>1995</v>
      </c>
      <c r="B27" s="12" t="s">
        <v>273</v>
      </c>
      <c r="C27" s="12">
        <v>3700000</v>
      </c>
      <c r="D27" s="12" t="s">
        <v>274</v>
      </c>
      <c r="E27" s="7" t="s">
        <v>239</v>
      </c>
    </row>
    <row r="28" spans="1:5" ht="42" customHeight="1">
      <c r="A28" s="12">
        <v>1998</v>
      </c>
      <c r="B28" s="12" t="s">
        <v>275</v>
      </c>
      <c r="C28" s="12">
        <v>22000</v>
      </c>
      <c r="D28" s="12" t="s">
        <v>260</v>
      </c>
      <c r="E28" s="7" t="s">
        <v>243</v>
      </c>
    </row>
    <row r="29" spans="1:5" ht="42" customHeight="1">
      <c r="A29" s="12">
        <v>2011</v>
      </c>
      <c r="B29" s="12" t="s">
        <v>276</v>
      </c>
      <c r="C29" s="16">
        <v>1.1</v>
      </c>
      <c r="D29" s="12" t="s">
        <v>277</v>
      </c>
      <c r="E29" s="7" t="s">
        <v>255</v>
      </c>
    </row>
    <row r="30" spans="1:5" ht="42" customHeight="1">
      <c r="A30" s="12">
        <v>2011</v>
      </c>
      <c r="B30" s="12" t="s">
        <v>278</v>
      </c>
      <c r="C30" s="12">
        <v>67</v>
      </c>
      <c r="D30" s="12" t="s">
        <v>260</v>
      </c>
      <c r="E30" s="7" t="s">
        <v>255</v>
      </c>
    </row>
  </sheetData>
  <mergeCells count="2">
    <mergeCell ref="A1:I2"/>
    <mergeCell ref="A3:I3"/>
  </mergeCells>
  <pageMargins left="0.7" right="0.7" top="0.75" bottom="0.75" header="0.3" footer="0.3"/>
  <pageSetup fitToHeight="0" orientation="landscape"/>
  <headerFooter>
    <oddFooter>&amp;L伯克希尔账本 · 研究展示&amp;C不构成投资建议&amp;R第 &amp;P 页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110.7109375" customWidth="1"/>
    <col min="4" max="4" width="65.7109375" customWidth="1"/>
  </cols>
  <sheetData>
    <row r="1" spans="1:4">
      <c r="A1" s="3" t="s">
        <v>279</v>
      </c>
      <c r="B1" s="3" t="s">
        <v>280</v>
      </c>
      <c r="C1" s="3" t="s">
        <v>281</v>
      </c>
      <c r="D1" s="3" t="s">
        <v>282</v>
      </c>
    </row>
    <row r="2" spans="1:4" ht="45" customHeight="1">
      <c r="A2" s="4" t="s">
        <v>283</v>
      </c>
      <c r="B2" s="4">
        <v>870</v>
      </c>
      <c r="C2" s="4" t="s">
        <v>284</v>
      </c>
      <c r="D2" s="4"/>
    </row>
    <row r="3" spans="1:4" ht="45" customHeight="1">
      <c r="A3" s="4" t="s">
        <v>285</v>
      </c>
      <c r="B3" s="4">
        <v>-30</v>
      </c>
      <c r="C3" s="4" t="s">
        <v>284</v>
      </c>
      <c r="D3" s="4"/>
    </row>
    <row r="4" spans="1:4" ht="45" customHeight="1">
      <c r="A4" s="4" t="s">
        <v>286</v>
      </c>
      <c r="B4" s="4">
        <v>5428</v>
      </c>
      <c r="C4" s="4" t="s">
        <v>287</v>
      </c>
      <c r="D4" s="4"/>
    </row>
    <row r="5" spans="1:4" ht="45" customHeight="1">
      <c r="A5" s="4" t="s">
        <v>288</v>
      </c>
      <c r="B5" s="4">
        <v>9020</v>
      </c>
      <c r="C5" s="4" t="s">
        <v>287</v>
      </c>
      <c r="D5" s="4"/>
    </row>
    <row r="6" spans="1:4" ht="45" customHeight="1">
      <c r="A6" s="4" t="s">
        <v>289</v>
      </c>
      <c r="B6" s="4">
        <v>7258</v>
      </c>
      <c r="C6" s="4" t="s">
        <v>287</v>
      </c>
      <c r="D6" s="4"/>
    </row>
    <row r="7" spans="1:4" ht="45" customHeight="1">
      <c r="A7" s="4" t="s">
        <v>290</v>
      </c>
      <c r="B7" s="4">
        <v>3328</v>
      </c>
      <c r="C7" s="4" t="s">
        <v>291</v>
      </c>
      <c r="D7" s="4"/>
    </row>
    <row r="8" spans="1:4" ht="45" customHeight="1">
      <c r="A8" s="4" t="s">
        <v>292</v>
      </c>
      <c r="B8" s="4">
        <v>3448</v>
      </c>
      <c r="C8" s="4" t="s">
        <v>291</v>
      </c>
      <c r="D8" s="4"/>
    </row>
    <row r="9" spans="1:4" ht="45" customHeight="1">
      <c r="A9" s="4" t="s">
        <v>293</v>
      </c>
      <c r="B9" s="4">
        <v>4807</v>
      </c>
      <c r="C9" s="4" t="s">
        <v>284</v>
      </c>
      <c r="D9" s="4"/>
    </row>
    <row r="10" spans="1:4" ht="45" customHeight="1">
      <c r="A10" s="4" t="s">
        <v>294</v>
      </c>
      <c r="B10" s="4">
        <v>6484</v>
      </c>
      <c r="C10" s="4" t="s">
        <v>284</v>
      </c>
      <c r="D10" s="4"/>
    </row>
    <row r="11" spans="1:4" ht="45" customHeight="1">
      <c r="A11" s="4" t="s">
        <v>295</v>
      </c>
      <c r="B11" s="4">
        <v>9567</v>
      </c>
      <c r="C11" s="4" t="s">
        <v>287</v>
      </c>
      <c r="D11" s="4"/>
    </row>
    <row r="12" spans="1:4" ht="45" customHeight="1">
      <c r="A12" s="4" t="s">
        <v>296</v>
      </c>
      <c r="B12" s="4">
        <v>13670</v>
      </c>
      <c r="C12" s="4" t="s">
        <v>287</v>
      </c>
      <c r="D12" s="4"/>
    </row>
    <row r="13" spans="1:4" ht="45" customHeight="1">
      <c r="A13" s="4" t="s">
        <v>297</v>
      </c>
      <c r="B13" s="4">
        <v>12513</v>
      </c>
      <c r="C13" s="4" t="s">
        <v>287</v>
      </c>
      <c r="D13" s="4"/>
    </row>
    <row r="14" spans="1:4" ht="45" customHeight="1">
      <c r="A14" s="4" t="s">
        <v>298</v>
      </c>
      <c r="B14" s="4">
        <v>6260</v>
      </c>
      <c r="C14" s="4" t="s">
        <v>291</v>
      </c>
      <c r="D14" s="4"/>
    </row>
    <row r="15" spans="1:4" ht="45" customHeight="1">
      <c r="A15" s="4" t="s">
        <v>299</v>
      </c>
      <c r="B15" s="4">
        <v>5738</v>
      </c>
      <c r="C15" s="4" t="s">
        <v>291</v>
      </c>
      <c r="D15" s="4"/>
    </row>
    <row r="16" spans="1:4" ht="45" customHeight="1">
      <c r="A16" s="4" t="s">
        <v>300</v>
      </c>
      <c r="B16" s="4">
        <v>5990</v>
      </c>
      <c r="C16" s="4" t="s">
        <v>284</v>
      </c>
      <c r="D16" s="4"/>
    </row>
    <row r="17" spans="1:4" ht="45" customHeight="1">
      <c r="A17" s="4" t="s">
        <v>301</v>
      </c>
      <c r="B17" s="4">
        <v>5946</v>
      </c>
      <c r="C17" s="4" t="s">
        <v>284</v>
      </c>
      <c r="D17" s="4"/>
    </row>
    <row r="18" spans="1:4" ht="45" customHeight="1">
      <c r="A18" s="4" t="s">
        <v>302</v>
      </c>
      <c r="B18" s="4">
        <v>5087</v>
      </c>
      <c r="C18" s="4" t="s">
        <v>287</v>
      </c>
      <c r="D18" s="4"/>
    </row>
    <row r="19" spans="1:4" ht="45" customHeight="1">
      <c r="A19" s="4" t="s">
        <v>303</v>
      </c>
      <c r="B19" s="4">
        <v>5031</v>
      </c>
      <c r="C19" s="4" t="s">
        <v>287</v>
      </c>
      <c r="D19" s="4"/>
    </row>
    <row r="20" spans="1:4" ht="45" customHeight="1">
      <c r="A20" s="4" t="s">
        <v>304</v>
      </c>
      <c r="B20" s="4">
        <v>5476</v>
      </c>
      <c r="C20" s="4" t="s">
        <v>287</v>
      </c>
      <c r="D20" s="4"/>
    </row>
    <row r="21" spans="1:4" ht="45" customHeight="1">
      <c r="A21" s="4" t="s">
        <v>305</v>
      </c>
      <c r="B21" s="4">
        <v>2680</v>
      </c>
      <c r="C21" s="4" t="s">
        <v>291</v>
      </c>
      <c r="D21" s="4"/>
    </row>
    <row r="22" spans="1:4" ht="45" customHeight="1">
      <c r="A22" s="4" t="s">
        <v>306</v>
      </c>
      <c r="B22" s="4">
        <v>2935</v>
      </c>
      <c r="C22" s="4" t="s">
        <v>291</v>
      </c>
      <c r="D22" s="4"/>
    </row>
    <row r="23" spans="1:4" ht="45" customHeight="1">
      <c r="A23" s="4" t="s">
        <v>307</v>
      </c>
      <c r="B23" s="4">
        <v>3572</v>
      </c>
      <c r="C23" s="4" t="s">
        <v>284</v>
      </c>
      <c r="D23" s="4"/>
    </row>
    <row r="24" spans="1:4" ht="45" customHeight="1">
      <c r="A24" s="4" t="s">
        <v>308</v>
      </c>
      <c r="B24" s="4">
        <v>3904</v>
      </c>
      <c r="C24" s="4" t="s">
        <v>284</v>
      </c>
      <c r="D24" s="4"/>
    </row>
    <row r="25" spans="1:4" ht="45" customHeight="1">
      <c r="A25" s="4" t="s">
        <v>309</v>
      </c>
      <c r="B25" s="4">
        <v>2331</v>
      </c>
      <c r="C25" s="4" t="s">
        <v>287</v>
      </c>
      <c r="D25" s="4"/>
    </row>
    <row r="26" spans="1:4" ht="45" customHeight="1">
      <c r="A26" s="4" t="s">
        <v>310</v>
      </c>
      <c r="B26" s="4">
        <v>3730</v>
      </c>
      <c r="C26" s="4" t="s">
        <v>287</v>
      </c>
      <c r="D26" s="4"/>
    </row>
    <row r="27" spans="1:4" ht="45" customHeight="1">
      <c r="A27" s="4" t="s">
        <v>311</v>
      </c>
      <c r="B27" s="4">
        <v>3979</v>
      </c>
      <c r="C27" s="4" t="s">
        <v>287</v>
      </c>
      <c r="D27" s="4"/>
    </row>
    <row r="28" spans="1:4" ht="45" customHeight="1">
      <c r="A28" s="4" t="s">
        <v>312</v>
      </c>
      <c r="B28" s="4">
        <v>1799</v>
      </c>
      <c r="C28" s="4" t="s">
        <v>291</v>
      </c>
      <c r="D28" s="4"/>
    </row>
    <row r="29" spans="1:4" ht="45" customHeight="1">
      <c r="A29" s="4" t="s">
        <v>313</v>
      </c>
      <c r="B29" s="4">
        <v>2005</v>
      </c>
      <c r="C29" s="4" t="s">
        <v>291</v>
      </c>
      <c r="D29" s="4"/>
    </row>
    <row r="30" spans="1:4" ht="45" customHeight="1">
      <c r="A30" s="4" t="s">
        <v>314</v>
      </c>
      <c r="B30" s="4">
        <v>11120</v>
      </c>
      <c r="C30" s="4" t="s">
        <v>284</v>
      </c>
      <c r="D30" s="4"/>
    </row>
    <row r="31" spans="1:4" ht="45" customHeight="1">
      <c r="A31" s="4" t="s">
        <v>315</v>
      </c>
      <c r="B31" s="4">
        <v>12512</v>
      </c>
      <c r="C31" s="4" t="s">
        <v>284</v>
      </c>
      <c r="D31" s="4"/>
    </row>
    <row r="32" spans="1:4" ht="45" customHeight="1">
      <c r="A32" s="4" t="s">
        <v>316</v>
      </c>
      <c r="B32" s="4">
        <v>13362</v>
      </c>
      <c r="C32" s="4" t="s">
        <v>287</v>
      </c>
      <c r="D32" s="4"/>
    </row>
    <row r="33" spans="1:4" ht="45" customHeight="1">
      <c r="A33" s="4" t="s">
        <v>317</v>
      </c>
      <c r="B33" s="4">
        <v>13072</v>
      </c>
      <c r="C33" s="4" t="s">
        <v>287</v>
      </c>
      <c r="D33" s="4"/>
    </row>
    <row r="34" spans="1:4" ht="45" customHeight="1">
      <c r="A34" s="4" t="s">
        <v>318</v>
      </c>
      <c r="B34" s="4">
        <v>13647</v>
      </c>
      <c r="C34" s="4" t="s">
        <v>287</v>
      </c>
      <c r="D34" s="4"/>
    </row>
    <row r="35" spans="1:4" ht="45" customHeight="1">
      <c r="A35" s="4" t="s">
        <v>319</v>
      </c>
      <c r="B35" s="4">
        <v>6661</v>
      </c>
      <c r="C35" s="4" t="s">
        <v>291</v>
      </c>
      <c r="D35" s="4"/>
    </row>
    <row r="36" spans="1:4" ht="45" customHeight="1">
      <c r="A36" s="4" t="s">
        <v>320</v>
      </c>
      <c r="B36" s="4">
        <v>7669</v>
      </c>
      <c r="C36" s="4" t="s">
        <v>291</v>
      </c>
      <c r="D36" s="4"/>
    </row>
    <row r="37" spans="1:4" ht="45" customHeight="1">
      <c r="A37" s="4" t="s">
        <v>321</v>
      </c>
      <c r="B37" s="4">
        <v>1575</v>
      </c>
      <c r="C37" s="4" t="s">
        <v>287</v>
      </c>
      <c r="D37" s="4"/>
    </row>
    <row r="38" spans="1:4" ht="45" customHeight="1">
      <c r="A38" s="4" t="s">
        <v>322</v>
      </c>
      <c r="B38" s="4">
        <v>2914</v>
      </c>
      <c r="C38" s="4" t="s">
        <v>287</v>
      </c>
      <c r="D38" s="4"/>
    </row>
    <row r="39" spans="1:4" ht="45" customHeight="1">
      <c r="A39" s="4" t="s">
        <v>323</v>
      </c>
      <c r="B39" s="4">
        <v>1613</v>
      </c>
      <c r="C39" s="4" t="s">
        <v>287</v>
      </c>
      <c r="D39" s="4"/>
    </row>
    <row r="40" spans="1:4" ht="45" customHeight="1">
      <c r="A40" s="4" t="s">
        <v>324</v>
      </c>
      <c r="B40" s="4">
        <v>73</v>
      </c>
      <c r="C40" s="4" t="s">
        <v>291</v>
      </c>
      <c r="D40" s="4"/>
    </row>
    <row r="41" spans="1:4" ht="45" customHeight="1">
      <c r="A41" s="4" t="s">
        <v>325</v>
      </c>
      <c r="B41" s="4">
        <v>2534</v>
      </c>
      <c r="C41" s="4" t="s">
        <v>291</v>
      </c>
      <c r="D41" s="4"/>
    </row>
    <row r="42" spans="1:4" ht="45" customHeight="1">
      <c r="A42" s="4" t="s">
        <v>326</v>
      </c>
      <c r="B42" s="4">
        <v>62340</v>
      </c>
      <c r="C42" s="4" t="s">
        <v>284</v>
      </c>
      <c r="D42" s="4"/>
    </row>
    <row r="43" spans="1:4" ht="45" customHeight="1">
      <c r="A43" s="4" t="s">
        <v>327</v>
      </c>
      <c r="B43" s="4">
        <v>-53612</v>
      </c>
      <c r="C43" s="4" t="s">
        <v>284</v>
      </c>
      <c r="D43" s="4"/>
    </row>
    <row r="44" spans="1:4" ht="45" customHeight="1">
      <c r="A44" s="4" t="s">
        <v>328</v>
      </c>
      <c r="B44" s="4">
        <v>58873</v>
      </c>
      <c r="C44" s="4" t="s">
        <v>287</v>
      </c>
      <c r="D44" s="4"/>
    </row>
    <row r="45" spans="1:4" ht="45" customHeight="1">
      <c r="A45" s="4" t="s">
        <v>329</v>
      </c>
      <c r="B45" s="4">
        <v>41558</v>
      </c>
      <c r="C45" s="4" t="s">
        <v>287</v>
      </c>
      <c r="D45" s="4"/>
    </row>
    <row r="46" spans="1:4" ht="45" customHeight="1">
      <c r="A46" s="4" t="s">
        <v>330</v>
      </c>
      <c r="B46" s="4">
        <v>30737</v>
      </c>
      <c r="C46" s="4" t="s">
        <v>287</v>
      </c>
      <c r="D46" s="4"/>
    </row>
    <row r="47" spans="1:4" ht="45" customHeight="1">
      <c r="A47" s="4" t="s">
        <v>331</v>
      </c>
      <c r="B47" s="4">
        <v>-68</v>
      </c>
      <c r="C47" s="4" t="s">
        <v>291</v>
      </c>
      <c r="D47" s="4"/>
    </row>
    <row r="48" spans="1:4" ht="45" customHeight="1">
      <c r="A48" s="4" t="s">
        <v>332</v>
      </c>
      <c r="B48" s="4">
        <v>11444</v>
      </c>
      <c r="C48" s="4" t="s">
        <v>291</v>
      </c>
      <c r="D48" s="4"/>
    </row>
    <row r="49" spans="1:4" ht="45" customHeight="1">
      <c r="A49" s="4" t="s">
        <v>333</v>
      </c>
      <c r="B49" s="4">
        <v>0</v>
      </c>
      <c r="C49" s="4" t="s">
        <v>284</v>
      </c>
      <c r="D49" s="4" t="s">
        <v>334</v>
      </c>
    </row>
    <row r="50" spans="1:4" ht="45" customHeight="1">
      <c r="A50" s="4" t="s">
        <v>335</v>
      </c>
      <c r="B50" s="4">
        <v>0</v>
      </c>
      <c r="C50" s="4" t="s">
        <v>284</v>
      </c>
      <c r="D50" s="4" t="s">
        <v>334</v>
      </c>
    </row>
    <row r="51" spans="1:4" ht="45" customHeight="1">
      <c r="A51" s="4" t="s">
        <v>336</v>
      </c>
      <c r="B51" s="4">
        <v>0</v>
      </c>
      <c r="C51" s="4" t="s">
        <v>287</v>
      </c>
      <c r="D51" s="4" t="s">
        <v>334</v>
      </c>
    </row>
    <row r="52" spans="1:4" ht="45" customHeight="1">
      <c r="A52" s="4" t="s">
        <v>337</v>
      </c>
      <c r="B52" s="4">
        <v>0</v>
      </c>
      <c r="C52" s="4" t="s">
        <v>287</v>
      </c>
      <c r="D52" s="4" t="s">
        <v>334</v>
      </c>
    </row>
    <row r="53" spans="1:4" ht="45" customHeight="1">
      <c r="A53" s="4" t="s">
        <v>338</v>
      </c>
      <c r="B53" s="4">
        <v>-8255</v>
      </c>
      <c r="C53" s="4" t="s">
        <v>287</v>
      </c>
      <c r="D53" s="4" t="s">
        <v>334</v>
      </c>
    </row>
    <row r="54" spans="1:4" ht="45" customHeight="1">
      <c r="A54" s="4" t="s">
        <v>339</v>
      </c>
      <c r="B54" s="4">
        <v>-3760</v>
      </c>
      <c r="C54" s="4" t="s">
        <v>291</v>
      </c>
      <c r="D54" s="4" t="s">
        <v>334</v>
      </c>
    </row>
    <row r="55" spans="1:4" ht="45" customHeight="1">
      <c r="A55" s="4" t="s">
        <v>340</v>
      </c>
      <c r="B55" s="4">
        <v>0</v>
      </c>
      <c r="C55" s="4" t="s">
        <v>291</v>
      </c>
      <c r="D55" s="4" t="s">
        <v>334</v>
      </c>
    </row>
    <row r="56" spans="1:4" ht="45" customHeight="1">
      <c r="A56" s="4" t="s">
        <v>341</v>
      </c>
      <c r="B56" s="4">
        <v>89937</v>
      </c>
      <c r="C56" s="4" t="s">
        <v>284</v>
      </c>
      <c r="D56" s="4"/>
    </row>
    <row r="57" spans="1:4" ht="45" customHeight="1">
      <c r="A57" s="4" t="s">
        <v>342</v>
      </c>
      <c r="B57" s="4">
        <v>-22759</v>
      </c>
      <c r="C57" s="4" t="s">
        <v>284</v>
      </c>
      <c r="D57" s="4"/>
    </row>
    <row r="58" spans="1:4" ht="45" customHeight="1">
      <c r="A58" s="4" t="s">
        <v>343</v>
      </c>
      <c r="B58" s="4">
        <v>96223</v>
      </c>
      <c r="C58" s="4" t="s">
        <v>287</v>
      </c>
      <c r="D58" s="4"/>
    </row>
    <row r="59" spans="1:4" ht="45" customHeight="1">
      <c r="A59" s="4" t="s">
        <v>344</v>
      </c>
      <c r="B59" s="4">
        <v>88995</v>
      </c>
      <c r="C59" s="4" t="s">
        <v>287</v>
      </c>
      <c r="D59" s="4"/>
    </row>
    <row r="60" spans="1:4" ht="45" customHeight="1">
      <c r="A60" s="4" t="s">
        <v>345</v>
      </c>
      <c r="B60" s="4">
        <v>66968</v>
      </c>
      <c r="C60" s="4" t="s">
        <v>287</v>
      </c>
      <c r="D60" s="4"/>
    </row>
    <row r="61" spans="1:4" ht="45" customHeight="1">
      <c r="A61" s="4" t="s">
        <v>346</v>
      </c>
      <c r="B61" s="4">
        <v>16973</v>
      </c>
      <c r="C61" s="4" t="s">
        <v>291</v>
      </c>
      <c r="D61" s="4"/>
    </row>
    <row r="62" spans="1:4" ht="45" customHeight="1">
      <c r="A62" s="4" t="s">
        <v>347</v>
      </c>
      <c r="B62" s="4">
        <v>35773</v>
      </c>
      <c r="C62" s="4" t="s">
        <v>291</v>
      </c>
      <c r="D62" s="4"/>
    </row>
    <row r="63" spans="1:4" ht="45" customHeight="1">
      <c r="A63" s="4" t="s">
        <v>348</v>
      </c>
      <c r="B63" s="4">
        <v>147000</v>
      </c>
      <c r="C63" s="4" t="s">
        <v>349</v>
      </c>
      <c r="D63" s="4" t="s">
        <v>350</v>
      </c>
    </row>
    <row r="64" spans="1:4" ht="45" customHeight="1">
      <c r="A64" s="4" t="s">
        <v>351</v>
      </c>
      <c r="B64" s="4">
        <v>164000</v>
      </c>
      <c r="C64" s="4" t="s">
        <v>349</v>
      </c>
      <c r="D64" s="4" t="s">
        <v>350</v>
      </c>
    </row>
    <row r="65" spans="1:4" ht="45" customHeight="1">
      <c r="A65" s="4" t="s">
        <v>352</v>
      </c>
      <c r="B65" s="4">
        <v>169000</v>
      </c>
      <c r="C65" s="4" t="s">
        <v>353</v>
      </c>
      <c r="D65" s="4" t="s">
        <v>350</v>
      </c>
    </row>
    <row r="66" spans="1:4" ht="45" customHeight="1">
      <c r="A66" s="4" t="s">
        <v>354</v>
      </c>
      <c r="B66" s="4">
        <v>171000</v>
      </c>
      <c r="C66" s="4" t="s">
        <v>353</v>
      </c>
      <c r="D66" s="4" t="s">
        <v>350</v>
      </c>
    </row>
    <row r="67" spans="1:4" ht="45" customHeight="1">
      <c r="A67" s="4" t="s">
        <v>355</v>
      </c>
      <c r="B67" s="4">
        <v>176000</v>
      </c>
      <c r="C67" s="4" t="s">
        <v>353</v>
      </c>
      <c r="D67" s="4" t="s">
        <v>350</v>
      </c>
    </row>
    <row r="68" spans="1:4" ht="45" customHeight="1">
      <c r="A68" s="4" t="s">
        <v>356</v>
      </c>
      <c r="B68" s="4">
        <v>174000</v>
      </c>
      <c r="C68" s="4" t="s">
        <v>357</v>
      </c>
      <c r="D68" s="4" t="s">
        <v>350</v>
      </c>
    </row>
    <row r="69" spans="1:4" ht="45" customHeight="1">
      <c r="A69" s="4" t="s">
        <v>358</v>
      </c>
      <c r="B69" s="4">
        <v>177500</v>
      </c>
      <c r="C69" s="4" t="s">
        <v>359</v>
      </c>
      <c r="D69" s="4" t="s">
        <v>350</v>
      </c>
    </row>
    <row r="70" spans="1:4" ht="45" customHeight="1">
      <c r="A70" s="4" t="s">
        <v>360</v>
      </c>
      <c r="B70" s="4">
        <v>85319</v>
      </c>
      <c r="C70" s="4" t="s">
        <v>361</v>
      </c>
      <c r="D70" s="4"/>
    </row>
    <row r="71" spans="1:4" ht="45" customHeight="1">
      <c r="A71" s="4" t="s">
        <v>362</v>
      </c>
      <c r="B71" s="4">
        <v>32260</v>
      </c>
      <c r="C71" s="4" t="s">
        <v>361</v>
      </c>
      <c r="D71" s="4"/>
    </row>
    <row r="72" spans="1:4" ht="45" customHeight="1">
      <c r="A72" s="4" t="s">
        <v>363</v>
      </c>
      <c r="B72" s="4">
        <v>33672</v>
      </c>
      <c r="C72" s="4" t="s">
        <v>364</v>
      </c>
      <c r="D72" s="4"/>
    </row>
    <row r="73" spans="1:4" ht="45" customHeight="1">
      <c r="A73" s="4" t="s">
        <v>365</v>
      </c>
      <c r="B73" s="4">
        <v>44333</v>
      </c>
      <c r="C73" s="4" t="s">
        <v>366</v>
      </c>
      <c r="D73" s="4"/>
    </row>
    <row r="74" spans="1:4" ht="45" customHeight="1">
      <c r="A74" s="4" t="s">
        <v>367</v>
      </c>
      <c r="B74" s="4">
        <v>47719</v>
      </c>
      <c r="C74" s="4" t="s">
        <v>366</v>
      </c>
      <c r="D74" s="4"/>
    </row>
    <row r="75" spans="1:4" ht="45" customHeight="1">
      <c r="A75" s="4" t="s">
        <v>368</v>
      </c>
      <c r="B75" s="4">
        <v>96193</v>
      </c>
      <c r="C75" s="4" t="s">
        <v>369</v>
      </c>
      <c r="D75" s="4"/>
    </row>
    <row r="76" spans="1:4" ht="45" customHeight="1">
      <c r="A76" s="4" t="s">
        <v>370</v>
      </c>
      <c r="B76" s="4">
        <v>35096</v>
      </c>
      <c r="C76" s="4" t="s">
        <v>371</v>
      </c>
      <c r="D76" s="4"/>
    </row>
    <row r="77" spans="1:4" ht="45" customHeight="1">
      <c r="A77" s="4" t="s">
        <v>372</v>
      </c>
      <c r="B77" s="4">
        <v>2865</v>
      </c>
      <c r="C77" s="4" t="s">
        <v>361</v>
      </c>
      <c r="D77" s="4"/>
    </row>
    <row r="78" spans="1:4" ht="45" customHeight="1">
      <c r="A78" s="4" t="s">
        <v>373</v>
      </c>
      <c r="B78" s="4">
        <v>3551</v>
      </c>
      <c r="C78" s="4" t="s">
        <v>361</v>
      </c>
      <c r="D78" s="4"/>
    </row>
    <row r="79" spans="1:4" ht="45" customHeight="1">
      <c r="A79" s="4" t="s">
        <v>374</v>
      </c>
      <c r="B79" s="4">
        <v>4350</v>
      </c>
      <c r="C79" s="4" t="s">
        <v>364</v>
      </c>
      <c r="D79" s="4"/>
    </row>
    <row r="80" spans="1:4" ht="45" customHeight="1">
      <c r="A80" s="4" t="s">
        <v>375</v>
      </c>
      <c r="B80" s="4">
        <v>3396</v>
      </c>
      <c r="C80" s="4" t="s">
        <v>366</v>
      </c>
      <c r="D80" s="4"/>
    </row>
    <row r="81" spans="1:4" ht="45" customHeight="1">
      <c r="A81" s="4" t="s">
        <v>376</v>
      </c>
      <c r="B81" s="4">
        <v>4158</v>
      </c>
      <c r="C81" s="4" t="s">
        <v>366</v>
      </c>
      <c r="D81" s="4"/>
    </row>
    <row r="82" spans="1:4" ht="45" customHeight="1">
      <c r="A82" s="4" t="s">
        <v>377</v>
      </c>
      <c r="B82" s="4">
        <v>4293</v>
      </c>
      <c r="C82" s="4" t="s">
        <v>369</v>
      </c>
      <c r="D82" s="4"/>
    </row>
    <row r="83" spans="1:4" ht="45" customHeight="1">
      <c r="A83" s="4" t="s">
        <v>378</v>
      </c>
      <c r="B83" s="4">
        <v>5513</v>
      </c>
      <c r="C83" s="4" t="s">
        <v>371</v>
      </c>
      <c r="D83" s="4"/>
    </row>
    <row r="84" spans="1:4" ht="45" customHeight="1">
      <c r="A84" s="4" t="s">
        <v>379</v>
      </c>
      <c r="B84" s="4">
        <v>58535</v>
      </c>
      <c r="C84" s="4" t="s">
        <v>380</v>
      </c>
      <c r="D84" s="4"/>
    </row>
    <row r="85" spans="1:4" ht="45" customHeight="1">
      <c r="A85" s="4" t="s">
        <v>381</v>
      </c>
      <c r="B85" s="4">
        <v>92774</v>
      </c>
      <c r="C85" s="4" t="s">
        <v>361</v>
      </c>
      <c r="D85" s="4"/>
    </row>
    <row r="86" spans="1:4" ht="45" customHeight="1">
      <c r="A86" s="4" t="s">
        <v>382</v>
      </c>
      <c r="B86" s="4">
        <v>129619</v>
      </c>
      <c r="C86" s="4" t="s">
        <v>364</v>
      </c>
      <c r="D86" s="4"/>
    </row>
    <row r="87" spans="1:4" ht="45" customHeight="1">
      <c r="A87" s="4" t="s">
        <v>383</v>
      </c>
      <c r="B87" s="4">
        <v>286472</v>
      </c>
      <c r="C87" s="4" t="s">
        <v>366</v>
      </c>
      <c r="D87" s="4"/>
    </row>
    <row r="88" spans="1:4" ht="45" customHeight="1">
      <c r="A88" s="4" t="s">
        <v>384</v>
      </c>
      <c r="B88" s="4">
        <v>321434</v>
      </c>
      <c r="C88" s="4" t="s">
        <v>366</v>
      </c>
      <c r="D88" s="4"/>
    </row>
    <row r="89" spans="1:4" ht="45" customHeight="1">
      <c r="A89" s="4" t="s">
        <v>385</v>
      </c>
      <c r="B89" s="4">
        <v>243605</v>
      </c>
      <c r="C89" s="4" t="s">
        <v>369</v>
      </c>
      <c r="D89" s="4"/>
    </row>
    <row r="90" spans="1:4" ht="45" customHeight="1">
      <c r="A90" s="4" t="s">
        <v>386</v>
      </c>
      <c r="B90" s="4">
        <v>324905</v>
      </c>
      <c r="C90" s="4" t="s">
        <v>371</v>
      </c>
      <c r="D90" s="4"/>
    </row>
    <row r="91" spans="1:4" ht="45" customHeight="1">
      <c r="A91" s="4" t="s">
        <v>387</v>
      </c>
      <c r="B91" s="4">
        <v>501568</v>
      </c>
      <c r="C91" s="4" t="s">
        <v>361</v>
      </c>
      <c r="D91" s="4"/>
    </row>
    <row r="92" spans="1:4" ht="45" customHeight="1">
      <c r="A92" s="4" t="s">
        <v>388</v>
      </c>
      <c r="B92" s="4">
        <v>473424</v>
      </c>
      <c r="C92" s="4" t="s">
        <v>361</v>
      </c>
      <c r="D92" s="4"/>
    </row>
    <row r="93" spans="1:4" ht="45" customHeight="1">
      <c r="A93" s="4" t="s">
        <v>389</v>
      </c>
      <c r="B93" s="4">
        <v>561273</v>
      </c>
      <c r="C93" s="4" t="s">
        <v>364</v>
      </c>
      <c r="D93" s="4"/>
    </row>
    <row r="94" spans="1:4" ht="45" customHeight="1">
      <c r="A94" s="4" t="s">
        <v>390</v>
      </c>
      <c r="B94" s="4">
        <v>649368</v>
      </c>
      <c r="C94" s="4" t="s">
        <v>366</v>
      </c>
      <c r="D94" s="4"/>
    </row>
    <row r="95" spans="1:4" ht="45" customHeight="1">
      <c r="A95" s="4" t="s">
        <v>391</v>
      </c>
      <c r="B95" s="4">
        <v>717419</v>
      </c>
      <c r="C95" s="4" t="s">
        <v>366</v>
      </c>
      <c r="D95" s="4"/>
    </row>
    <row r="96" spans="1:4" ht="45" customHeight="1">
      <c r="A96" s="4" t="s">
        <v>392</v>
      </c>
      <c r="B96" s="4">
        <v>667989</v>
      </c>
      <c r="C96" s="4" t="s">
        <v>369</v>
      </c>
      <c r="D96" s="4"/>
    </row>
    <row r="97" spans="1:4" ht="45" customHeight="1">
      <c r="A97" s="4" t="s">
        <v>393</v>
      </c>
      <c r="B97" s="4">
        <v>747910</v>
      </c>
      <c r="C97" s="4" t="s">
        <v>371</v>
      </c>
      <c r="D97" s="4"/>
    </row>
    <row r="98" spans="1:4" ht="45" customHeight="1">
      <c r="A98" s="4" t="s">
        <v>394</v>
      </c>
      <c r="B98" s="4">
        <v>617113</v>
      </c>
      <c r="C98" s="4" t="s">
        <v>395</v>
      </c>
      <c r="D98" s="4"/>
    </row>
    <row r="99" spans="1:4" ht="45" customHeight="1">
      <c r="A99" s="4" t="s">
        <v>396</v>
      </c>
      <c r="B99" s="4">
        <v>591564</v>
      </c>
      <c r="C99" s="4" t="s">
        <v>395</v>
      </c>
      <c r="D99" s="4"/>
    </row>
    <row r="100" spans="1:4" ht="45" customHeight="1">
      <c r="A100" s="4" t="s">
        <v>397</v>
      </c>
      <c r="B100" s="4">
        <v>567775</v>
      </c>
      <c r="C100" s="4" t="s">
        <v>398</v>
      </c>
      <c r="D100" s="4"/>
    </row>
    <row r="101" spans="1:4" ht="45" customHeight="1">
      <c r="A101" s="4" t="s">
        <v>399</v>
      </c>
      <c r="B101" s="4">
        <v>547562</v>
      </c>
      <c r="C101" s="4" t="s">
        <v>398</v>
      </c>
      <c r="D101" s="4"/>
    </row>
    <row r="102" spans="1:4" ht="45" customHeight="1">
      <c r="A102" s="4" t="s">
        <v>400</v>
      </c>
      <c r="B102" s="4">
        <v>515835</v>
      </c>
      <c r="C102" s="4" t="s">
        <v>398</v>
      </c>
      <c r="D102" s="4"/>
    </row>
    <row r="103" spans="1:4" ht="45" customHeight="1">
      <c r="A103" s="4" t="s">
        <v>401</v>
      </c>
      <c r="B103" s="4">
        <v>531469</v>
      </c>
      <c r="C103" s="4" t="s">
        <v>402</v>
      </c>
      <c r="D103" s="4"/>
    </row>
    <row r="104" spans="1:4" ht="45" customHeight="1">
      <c r="A104" s="4" t="s">
        <v>403</v>
      </c>
      <c r="B104" s="4">
        <v>501101</v>
      </c>
      <c r="C104" s="4" t="s">
        <v>404</v>
      </c>
      <c r="D104" s="4"/>
    </row>
    <row r="105" spans="1:4" ht="45" customHeight="1">
      <c r="A105" s="4" t="s">
        <v>405</v>
      </c>
      <c r="B105" s="4">
        <v>1290474503</v>
      </c>
      <c r="C105" s="4" t="s">
        <v>395</v>
      </c>
      <c r="D105" s="4"/>
    </row>
    <row r="106" spans="1:4" ht="45" customHeight="1">
      <c r="A106" s="4" t="s">
        <v>406</v>
      </c>
      <c r="B106" s="4">
        <v>1302254076</v>
      </c>
      <c r="C106" s="4" t="s">
        <v>395</v>
      </c>
      <c r="D106" s="4"/>
    </row>
    <row r="107" spans="1:4" ht="45" customHeight="1">
      <c r="A107" s="4" t="s">
        <v>407</v>
      </c>
      <c r="B107" s="4">
        <v>1310561508</v>
      </c>
      <c r="C107" s="4" t="s">
        <v>398</v>
      </c>
      <c r="D107" s="4"/>
    </row>
    <row r="108" spans="1:4" ht="45" customHeight="1">
      <c r="A108" s="4" t="s">
        <v>408</v>
      </c>
      <c r="B108" s="4">
        <v>1335992139</v>
      </c>
      <c r="C108" s="4" t="s">
        <v>398</v>
      </c>
      <c r="D108" s="4"/>
    </row>
    <row r="109" spans="1:4" ht="45" customHeight="1">
      <c r="A109" s="4" t="s">
        <v>409</v>
      </c>
      <c r="B109" s="4">
        <v>1383582639</v>
      </c>
      <c r="C109" s="4" t="s">
        <v>398</v>
      </c>
      <c r="D109" s="4"/>
    </row>
    <row r="110" spans="1:4" ht="45" customHeight="1">
      <c r="A110" s="4" t="s">
        <v>410</v>
      </c>
      <c r="B110" s="4">
        <v>1360131639</v>
      </c>
      <c r="C110" s="4" t="s">
        <v>402</v>
      </c>
      <c r="D110" s="4"/>
    </row>
    <row r="111" spans="1:4" ht="45" customHeight="1">
      <c r="A111" s="4" t="s">
        <v>411</v>
      </c>
      <c r="B111" s="4">
        <v>1395887484</v>
      </c>
      <c r="C111" s="4" t="s">
        <v>404</v>
      </c>
      <c r="D111" s="4"/>
    </row>
    <row r="112" spans="1:4" ht="45" customHeight="1">
      <c r="A112" s="4" t="s">
        <v>412</v>
      </c>
      <c r="B112" s="4">
        <v>26942</v>
      </c>
      <c r="C112" s="4" t="s">
        <v>413</v>
      </c>
      <c r="D112" s="4"/>
    </row>
    <row r="113" spans="1:4" ht="45" customHeight="1">
      <c r="A113" s="4" t="s">
        <v>414</v>
      </c>
      <c r="B113" s="4">
        <v>8031</v>
      </c>
      <c r="C113" s="4" t="s">
        <v>413</v>
      </c>
      <c r="D113" s="4"/>
    </row>
    <row r="114" spans="1:4" ht="45" customHeight="1">
      <c r="A114" s="4" t="s">
        <v>415</v>
      </c>
      <c r="B114" s="4">
        <v>8976</v>
      </c>
      <c r="C114" s="4" t="s">
        <v>416</v>
      </c>
      <c r="D114" s="4"/>
    </row>
    <row r="115" spans="1:4" ht="45" customHeight="1">
      <c r="A115" s="4" t="s">
        <v>417</v>
      </c>
      <c r="B115" s="4">
        <v>2918</v>
      </c>
      <c r="C115" s="4" t="s">
        <v>416</v>
      </c>
      <c r="D115" s="4"/>
    </row>
    <row r="116" spans="1:4" ht="45" customHeight="1">
      <c r="A116" s="4" t="s">
        <v>418</v>
      </c>
      <c r="B116" s="4">
        <v>0</v>
      </c>
      <c r="C116" s="4" t="s">
        <v>416</v>
      </c>
      <c r="D116" s="4"/>
    </row>
    <row r="117" spans="1:4" ht="45" customHeight="1">
      <c r="A117" s="4" t="s">
        <v>419</v>
      </c>
      <c r="B117" s="4">
        <v>0</v>
      </c>
      <c r="C117" s="4" t="s">
        <v>420</v>
      </c>
      <c r="D117" s="4"/>
    </row>
    <row r="118" spans="1:4" ht="45" customHeight="1">
      <c r="A118" s="4" t="s">
        <v>421</v>
      </c>
      <c r="B118" s="4">
        <v>4762</v>
      </c>
      <c r="C118" s="4" t="s">
        <v>422</v>
      </c>
      <c r="D118" s="4"/>
    </row>
    <row r="119" spans="1:4" ht="45" customHeight="1">
      <c r="A119" s="4" t="s">
        <v>423</v>
      </c>
      <c r="B119" s="4">
        <v>27061</v>
      </c>
      <c r="C119" s="4" t="s">
        <v>424</v>
      </c>
      <c r="D119" s="4"/>
    </row>
    <row r="120" spans="1:4" ht="45" customHeight="1">
      <c r="A120" s="4" t="s">
        <v>425</v>
      </c>
      <c r="B120" s="4">
        <v>7854</v>
      </c>
      <c r="C120" s="4" t="s">
        <v>424</v>
      </c>
      <c r="D120" s="4"/>
    </row>
    <row r="121" spans="1:4" ht="45" customHeight="1">
      <c r="A121" s="4" t="s">
        <v>426</v>
      </c>
      <c r="B121" s="4">
        <v>9171</v>
      </c>
      <c r="C121" s="4" t="s">
        <v>427</v>
      </c>
      <c r="D121" s="4"/>
    </row>
    <row r="122" spans="1:4" ht="45" customHeight="1">
      <c r="A122" s="4" t="s">
        <v>428</v>
      </c>
      <c r="B122" s="4">
        <v>2918</v>
      </c>
      <c r="C122" s="4" t="s">
        <v>427</v>
      </c>
      <c r="D122" s="4"/>
    </row>
    <row r="123" spans="1:4" ht="45" customHeight="1">
      <c r="A123" s="4" t="s">
        <v>429</v>
      </c>
      <c r="B123" s="4">
        <v>0</v>
      </c>
      <c r="C123" s="4" t="s">
        <v>427</v>
      </c>
      <c r="D123" s="4"/>
    </row>
    <row r="124" spans="1:4" ht="45" customHeight="1">
      <c r="A124" s="4" t="s">
        <v>430</v>
      </c>
      <c r="B124" s="4">
        <v>0</v>
      </c>
      <c r="C124" s="4" t="s">
        <v>431</v>
      </c>
      <c r="D124" s="4"/>
    </row>
    <row r="125" spans="1:4" ht="45" customHeight="1">
      <c r="A125" s="4" t="s">
        <v>432</v>
      </c>
      <c r="B125" s="4">
        <v>4444</v>
      </c>
      <c r="C125" s="4" t="s">
        <v>431</v>
      </c>
      <c r="D125" s="4"/>
    </row>
    <row r="126" spans="1:4" ht="45" customHeight="1">
      <c r="A126" s="4" t="s">
        <v>433</v>
      </c>
      <c r="B126" s="4">
        <v>89058</v>
      </c>
      <c r="C126" s="4" t="s">
        <v>434</v>
      </c>
      <c r="D126" s="4"/>
    </row>
    <row r="127" spans="1:4" ht="45" customHeight="1">
      <c r="A127" s="4" t="s">
        <v>435</v>
      </c>
      <c r="B127" s="4">
        <v>69556</v>
      </c>
      <c r="C127" s="4" t="s">
        <v>436</v>
      </c>
      <c r="D127" s="4"/>
    </row>
    <row r="128" spans="1:4" ht="45" customHeight="1">
      <c r="A128" s="4" t="s">
        <v>437</v>
      </c>
      <c r="B128" s="4">
        <v>78312</v>
      </c>
      <c r="C128" s="4" t="s">
        <v>436</v>
      </c>
      <c r="D128" s="4"/>
    </row>
    <row r="129" spans="1:4" ht="45" customHeight="1">
      <c r="A129" s="4" t="s">
        <v>438</v>
      </c>
      <c r="B129" s="4">
        <v>91643</v>
      </c>
      <c r="C129" s="4" t="s">
        <v>439</v>
      </c>
      <c r="D129" s="4"/>
    </row>
    <row r="130" spans="1:4" ht="45" customHeight="1">
      <c r="A130" s="4" t="s">
        <v>440</v>
      </c>
      <c r="B130" s="4">
        <v>104129</v>
      </c>
      <c r="C130" s="4" t="s">
        <v>439</v>
      </c>
      <c r="D130" s="4"/>
    </row>
    <row r="131" spans="1:4" ht="45" customHeight="1">
      <c r="A131" s="4" t="s">
        <v>441</v>
      </c>
      <c r="B131" s="4">
        <v>93424</v>
      </c>
      <c r="C131" s="4" t="s">
        <v>442</v>
      </c>
      <c r="D131" s="4"/>
    </row>
    <row r="132" spans="1:4" ht="45" customHeight="1">
      <c r="A132" s="4" t="s">
        <v>443</v>
      </c>
      <c r="B132" s="4">
        <v>94477</v>
      </c>
      <c r="C132" s="4" t="s">
        <v>444</v>
      </c>
      <c r="D132" s="4"/>
    </row>
    <row r="133" spans="1:4" ht="45" customHeight="1">
      <c r="A133" s="4" t="s">
        <v>445</v>
      </c>
      <c r="B133" s="4">
        <v>191021</v>
      </c>
      <c r="C133" s="4" t="s">
        <v>434</v>
      </c>
      <c r="D133" s="4"/>
    </row>
    <row r="134" spans="1:4" ht="45" customHeight="1">
      <c r="A134" s="4" t="s">
        <v>446</v>
      </c>
      <c r="B134" s="4">
        <v>152892</v>
      </c>
      <c r="C134" s="4" t="s">
        <v>436</v>
      </c>
      <c r="D134" s="4"/>
    </row>
    <row r="135" spans="1:4" ht="45" customHeight="1">
      <c r="A135" s="4" t="s">
        <v>447</v>
      </c>
      <c r="B135" s="4">
        <v>201143</v>
      </c>
      <c r="C135" s="4" t="s">
        <v>436</v>
      </c>
      <c r="D135" s="4"/>
    </row>
    <row r="136" spans="1:4" ht="45" customHeight="1">
      <c r="A136" s="4" t="s">
        <v>448</v>
      </c>
      <c r="B136" s="4">
        <v>104749</v>
      </c>
      <c r="C136" s="4" t="s">
        <v>439</v>
      </c>
      <c r="D136" s="4"/>
    </row>
    <row r="137" spans="1:4" ht="45" customHeight="1">
      <c r="A137" s="4" t="s">
        <v>449</v>
      </c>
      <c r="B137" s="4">
        <v>94954</v>
      </c>
      <c r="C137" s="4" t="s">
        <v>439</v>
      </c>
      <c r="D137" s="4"/>
    </row>
    <row r="138" spans="1:4" ht="45" customHeight="1">
      <c r="A138" s="4" t="s">
        <v>450</v>
      </c>
      <c r="B138" s="4">
        <v>91475</v>
      </c>
      <c r="C138" s="4" t="s">
        <v>442</v>
      </c>
      <c r="D138" s="4"/>
    </row>
    <row r="139" spans="1:4" ht="45" customHeight="1">
      <c r="A139" s="4" t="s">
        <v>451</v>
      </c>
      <c r="B139" s="4">
        <v>100486</v>
      </c>
      <c r="C139" s="4" t="s">
        <v>444</v>
      </c>
      <c r="D139" s="4"/>
    </row>
    <row r="140" spans="1:4" ht="45" customHeight="1">
      <c r="A140" s="4" t="s">
        <v>452</v>
      </c>
      <c r="B140" s="4">
        <v>70640</v>
      </c>
      <c r="C140" s="4" t="s">
        <v>434</v>
      </c>
      <c r="D140" s="4"/>
    </row>
    <row r="141" spans="1:4" ht="45" customHeight="1">
      <c r="A141" s="4" t="s">
        <v>453</v>
      </c>
      <c r="B141" s="4">
        <v>86345</v>
      </c>
      <c r="C141" s="4" t="s">
        <v>436</v>
      </c>
      <c r="D141" s="4"/>
    </row>
    <row r="142" spans="1:4" ht="45" customHeight="1">
      <c r="A142" s="4" t="s">
        <v>454</v>
      </c>
      <c r="B142" s="4">
        <v>74387</v>
      </c>
      <c r="C142" s="4" t="s">
        <v>436</v>
      </c>
      <c r="D142" s="4"/>
    </row>
    <row r="143" spans="1:4" ht="45" customHeight="1">
      <c r="A143" s="4" t="s">
        <v>455</v>
      </c>
      <c r="B143" s="4">
        <v>75196</v>
      </c>
      <c r="C143" s="4" t="s">
        <v>439</v>
      </c>
      <c r="D143" s="4"/>
    </row>
    <row r="144" spans="1:4" ht="45" customHeight="1">
      <c r="A144" s="4" t="s">
        <v>456</v>
      </c>
      <c r="B144" s="4">
        <v>98695</v>
      </c>
      <c r="C144" s="4" t="s">
        <v>439</v>
      </c>
      <c r="D144" s="4"/>
    </row>
    <row r="145" spans="1:4" ht="45" customHeight="1">
      <c r="A145" s="4" t="s">
        <v>457</v>
      </c>
      <c r="B145" s="4">
        <v>83024</v>
      </c>
      <c r="C145" s="4" t="s">
        <v>442</v>
      </c>
      <c r="D145" s="4"/>
    </row>
    <row r="146" spans="1:4" ht="45" customHeight="1">
      <c r="A146" s="4" t="s">
        <v>458</v>
      </c>
      <c r="B146" s="4">
        <v>128816</v>
      </c>
      <c r="C146" s="4" t="s">
        <v>444</v>
      </c>
      <c r="D146" s="4"/>
    </row>
    <row r="147" spans="1:4" ht="45" customHeight="1">
      <c r="A147" s="4" t="s">
        <v>459</v>
      </c>
      <c r="B147" s="4">
        <v>350719</v>
      </c>
      <c r="C147" s="4" t="s">
        <v>434</v>
      </c>
      <c r="D147" s="4"/>
    </row>
    <row r="148" spans="1:4" ht="45" customHeight="1">
      <c r="A148" s="4" t="s">
        <v>460</v>
      </c>
      <c r="B148" s="4">
        <v>308793</v>
      </c>
      <c r="C148" s="4" t="s">
        <v>436</v>
      </c>
      <c r="D148" s="4"/>
    </row>
    <row r="149" spans="1:4" ht="45" customHeight="1">
      <c r="A149" s="4" t="s">
        <v>461</v>
      </c>
      <c r="B149" s="4">
        <v>353842</v>
      </c>
      <c r="C149" s="4" t="s">
        <v>436</v>
      </c>
      <c r="D149" s="4"/>
    </row>
    <row r="150" spans="1:4" ht="45" customHeight="1">
      <c r="A150" s="4" t="s">
        <v>462</v>
      </c>
      <c r="B150" s="4">
        <v>271588</v>
      </c>
      <c r="C150" s="4" t="s">
        <v>439</v>
      </c>
      <c r="D150" s="4"/>
    </row>
    <row r="151" spans="1:4" ht="45" customHeight="1">
      <c r="A151" s="4" t="s">
        <v>463</v>
      </c>
      <c r="B151" s="4">
        <v>297778</v>
      </c>
      <c r="C151" s="4" t="s">
        <v>439</v>
      </c>
      <c r="D151" s="4"/>
    </row>
    <row r="152" spans="1:4" ht="45" customHeight="1">
      <c r="A152" s="4" t="s">
        <v>464</v>
      </c>
      <c r="B152" s="4">
        <v>267923</v>
      </c>
      <c r="C152" s="4" t="s">
        <v>442</v>
      </c>
      <c r="D152" s="4"/>
    </row>
    <row r="153" spans="1:4" ht="45" customHeight="1">
      <c r="A153" s="4" t="s">
        <v>465</v>
      </c>
      <c r="B153" s="4">
        <v>323779</v>
      </c>
      <c r="C153" s="4" t="s">
        <v>444</v>
      </c>
      <c r="D153" s="4"/>
    </row>
    <row r="154" spans="1:4" ht="45" customHeight="1">
      <c r="A154" s="4" t="s">
        <v>466</v>
      </c>
      <c r="B154" s="4">
        <v>1111</v>
      </c>
      <c r="C154" s="4" t="s">
        <v>467</v>
      </c>
      <c r="D154" s="4"/>
    </row>
    <row r="155" spans="1:4" ht="45" customHeight="1">
      <c r="A155" s="4" t="s">
        <v>468</v>
      </c>
      <c r="B155" s="4">
        <v>-22</v>
      </c>
      <c r="C155" s="4" t="s">
        <v>467</v>
      </c>
      <c r="D155" s="4"/>
    </row>
    <row r="156" spans="1:4" ht="45" customHeight="1">
      <c r="A156" s="4" t="s">
        <v>469</v>
      </c>
      <c r="B156" s="4">
        <v>6913</v>
      </c>
      <c r="C156" s="4" t="s">
        <v>470</v>
      </c>
      <c r="D156" s="4"/>
    </row>
    <row r="157" spans="1:4" ht="45" customHeight="1">
      <c r="A157" s="4" t="s">
        <v>471</v>
      </c>
      <c r="B157" s="4">
        <v>11405</v>
      </c>
      <c r="C157" s="4" t="s">
        <v>470</v>
      </c>
      <c r="D157" s="4"/>
    </row>
    <row r="158" spans="1:4" ht="45" customHeight="1">
      <c r="A158" s="4" t="s">
        <v>472</v>
      </c>
      <c r="B158" s="4">
        <v>9460</v>
      </c>
      <c r="C158" s="4" t="s">
        <v>470</v>
      </c>
      <c r="D158" s="4"/>
    </row>
    <row r="159" spans="1:4" ht="45" customHeight="1">
      <c r="A159" s="4" t="s">
        <v>473</v>
      </c>
      <c r="B159" s="4">
        <v>4256</v>
      </c>
      <c r="C159" s="4" t="s">
        <v>474</v>
      </c>
      <c r="D159" s="4"/>
    </row>
    <row r="160" spans="1:4" ht="45" customHeight="1">
      <c r="A160" s="4" t="s">
        <v>475</v>
      </c>
      <c r="B160" s="4">
        <v>4445</v>
      </c>
      <c r="C160" s="4" t="s">
        <v>474</v>
      </c>
      <c r="D160" s="4"/>
    </row>
    <row r="161" spans="1:4" ht="45" customHeight="1">
      <c r="A161" s="4" t="s">
        <v>476</v>
      </c>
      <c r="B161" s="4">
        <v>5649</v>
      </c>
      <c r="C161" s="4" t="s">
        <v>467</v>
      </c>
      <c r="D161" s="4"/>
    </row>
    <row r="162" spans="1:4" ht="45" customHeight="1">
      <c r="A162" s="4" t="s">
        <v>477</v>
      </c>
      <c r="B162" s="4">
        <v>7724</v>
      </c>
      <c r="C162" s="4" t="s">
        <v>467</v>
      </c>
      <c r="D162" s="4"/>
    </row>
    <row r="163" spans="1:4" ht="45" customHeight="1">
      <c r="A163" s="4" t="s">
        <v>478</v>
      </c>
      <c r="B163" s="4">
        <v>11581</v>
      </c>
      <c r="C163" s="4" t="s">
        <v>470</v>
      </c>
      <c r="D163" s="4"/>
    </row>
    <row r="164" spans="1:4" ht="45" customHeight="1">
      <c r="A164" s="4" t="s">
        <v>479</v>
      </c>
      <c r="B164" s="4">
        <v>16748</v>
      </c>
      <c r="C164" s="4" t="s">
        <v>470</v>
      </c>
      <c r="D164" s="4"/>
    </row>
    <row r="165" spans="1:4" ht="45" customHeight="1">
      <c r="A165" s="4" t="s">
        <v>480</v>
      </c>
      <c r="B165" s="4">
        <v>15261</v>
      </c>
      <c r="C165" s="4" t="s">
        <v>470</v>
      </c>
      <c r="D165" s="4"/>
    </row>
    <row r="166" spans="1:4" ht="45" customHeight="1">
      <c r="A166" s="4" t="s">
        <v>481</v>
      </c>
      <c r="B166" s="4">
        <v>7564</v>
      </c>
      <c r="C166" s="4" t="s">
        <v>474</v>
      </c>
      <c r="D166" s="4"/>
    </row>
    <row r="167" spans="1:4" ht="45" customHeight="1">
      <c r="A167" s="4" t="s">
        <v>482</v>
      </c>
      <c r="B167" s="4">
        <v>6989</v>
      </c>
      <c r="C167" s="4" t="s">
        <v>474</v>
      </c>
      <c r="D167" s="4"/>
    </row>
    <row r="168" spans="1:4" ht="45" customHeight="1">
      <c r="A168" s="4" t="s">
        <v>483</v>
      </c>
      <c r="B168" s="4">
        <v>7861</v>
      </c>
      <c r="C168" s="4" t="s">
        <v>467</v>
      </c>
      <c r="D168" s="4"/>
    </row>
    <row r="169" spans="1:4" ht="45" customHeight="1">
      <c r="A169" s="4" t="s">
        <v>484</v>
      </c>
      <c r="B169" s="4">
        <v>7708</v>
      </c>
      <c r="C169" s="4" t="s">
        <v>467</v>
      </c>
      <c r="D169" s="4"/>
    </row>
    <row r="170" spans="1:4" ht="45" customHeight="1">
      <c r="A170" s="4" t="s">
        <v>485</v>
      </c>
      <c r="B170" s="4">
        <v>6614</v>
      </c>
      <c r="C170" s="4" t="s">
        <v>470</v>
      </c>
      <c r="D170" s="4"/>
    </row>
    <row r="171" spans="1:4" ht="45" customHeight="1">
      <c r="A171" s="4" t="s">
        <v>486</v>
      </c>
      <c r="B171" s="4">
        <v>6648</v>
      </c>
      <c r="C171" s="4" t="s">
        <v>470</v>
      </c>
      <c r="D171" s="4"/>
    </row>
    <row r="172" spans="1:4" ht="45" customHeight="1">
      <c r="A172" s="4" t="s">
        <v>487</v>
      </c>
      <c r="B172" s="4">
        <v>7175</v>
      </c>
      <c r="C172" s="4" t="s">
        <v>470</v>
      </c>
      <c r="D172" s="4"/>
    </row>
    <row r="173" spans="1:4" ht="45" customHeight="1">
      <c r="A173" s="4" t="s">
        <v>488</v>
      </c>
      <c r="B173" s="4">
        <v>3412</v>
      </c>
      <c r="C173" s="4" t="s">
        <v>474</v>
      </c>
      <c r="D173" s="4"/>
    </row>
    <row r="174" spans="1:4" ht="45" customHeight="1">
      <c r="A174" s="4" t="s">
        <v>489</v>
      </c>
      <c r="B174" s="4">
        <v>3881</v>
      </c>
      <c r="C174" s="4" t="s">
        <v>474</v>
      </c>
      <c r="D174" s="4"/>
    </row>
    <row r="175" spans="1:4" ht="45" customHeight="1">
      <c r="A175" s="4" t="s">
        <v>490</v>
      </c>
      <c r="B175" s="4">
        <v>3293</v>
      </c>
      <c r="C175" s="4" t="s">
        <v>467</v>
      </c>
      <c r="D175" s="4"/>
    </row>
    <row r="176" spans="1:4" ht="45" customHeight="1">
      <c r="A176" s="4" t="s">
        <v>491</v>
      </c>
      <c r="B176" s="4">
        <v>3146</v>
      </c>
      <c r="C176" s="4" t="s">
        <v>467</v>
      </c>
      <c r="D176" s="4"/>
    </row>
    <row r="177" spans="1:4" ht="45" customHeight="1">
      <c r="A177" s="4" t="s">
        <v>492</v>
      </c>
      <c r="B177" s="4">
        <v>940</v>
      </c>
      <c r="C177" s="4" t="s">
        <v>470</v>
      </c>
      <c r="D177" s="4"/>
    </row>
    <row r="178" spans="1:4" ht="45" customHeight="1">
      <c r="A178" s="4" t="s">
        <v>493</v>
      </c>
      <c r="B178" s="4">
        <v>2292</v>
      </c>
      <c r="C178" s="4" t="s">
        <v>470</v>
      </c>
      <c r="D178" s="4"/>
    </row>
    <row r="179" spans="1:4" ht="45" customHeight="1">
      <c r="A179" s="4" t="s">
        <v>494</v>
      </c>
      <c r="B179" s="4">
        <v>2342</v>
      </c>
      <c r="C179" s="4" t="s">
        <v>470</v>
      </c>
      <c r="D179" s="4"/>
    </row>
    <row r="180" spans="1:4" ht="45" customHeight="1">
      <c r="A180" s="4" t="s">
        <v>495</v>
      </c>
      <c r="B180" s="4">
        <v>1108</v>
      </c>
      <c r="C180" s="4" t="s">
        <v>474</v>
      </c>
      <c r="D180" s="4"/>
    </row>
    <row r="181" spans="1:4" ht="45" customHeight="1">
      <c r="A181" s="4" t="s">
        <v>496</v>
      </c>
      <c r="B181" s="4">
        <v>1348</v>
      </c>
      <c r="C181" s="4" t="s">
        <v>474</v>
      </c>
      <c r="D181" s="4"/>
    </row>
    <row r="182" spans="1:4" ht="45" customHeight="1">
      <c r="A182" s="4" t="s">
        <v>497</v>
      </c>
      <c r="B182" s="4">
        <v>9841</v>
      </c>
      <c r="C182" s="4" t="s">
        <v>467</v>
      </c>
      <c r="D182" s="4"/>
    </row>
    <row r="183" spans="1:4" ht="45" customHeight="1">
      <c r="A183" s="4" t="s">
        <v>498</v>
      </c>
      <c r="B183" s="4">
        <v>11177</v>
      </c>
      <c r="C183" s="4" t="s">
        <v>467</v>
      </c>
      <c r="D183" s="4"/>
    </row>
    <row r="184" spans="1:4" ht="45" customHeight="1">
      <c r="A184" s="4" t="s">
        <v>499</v>
      </c>
      <c r="B184" s="4">
        <v>11445</v>
      </c>
      <c r="C184" s="4" t="s">
        <v>470</v>
      </c>
      <c r="D184" s="4"/>
    </row>
    <row r="185" spans="1:4" ht="45" customHeight="1">
      <c r="A185" s="4" t="s">
        <v>500</v>
      </c>
      <c r="B185" s="4">
        <v>11895</v>
      </c>
      <c r="C185" s="4" t="s">
        <v>470</v>
      </c>
      <c r="D185" s="4"/>
    </row>
    <row r="186" spans="1:4" ht="45" customHeight="1">
      <c r="A186" s="4" t="s">
        <v>501</v>
      </c>
      <c r="B186" s="4">
        <v>12571</v>
      </c>
      <c r="C186" s="4" t="s">
        <v>470</v>
      </c>
      <c r="D186" s="4"/>
    </row>
    <row r="187" spans="1:4" ht="45" customHeight="1">
      <c r="A187" s="4" t="s">
        <v>502</v>
      </c>
      <c r="B187" s="4">
        <v>5963</v>
      </c>
      <c r="C187" s="4" t="s">
        <v>474</v>
      </c>
      <c r="D187" s="4"/>
    </row>
    <row r="188" spans="1:4" ht="45" customHeight="1">
      <c r="A188" s="4" t="s">
        <v>503</v>
      </c>
      <c r="B188" s="4">
        <v>7176</v>
      </c>
      <c r="C188" s="4" t="s">
        <v>474</v>
      </c>
      <c r="D188" s="4"/>
    </row>
    <row r="189" spans="1:4" ht="45" customHeight="1">
      <c r="A189" s="4" t="s">
        <v>504</v>
      </c>
      <c r="B189" s="4">
        <v>4481</v>
      </c>
      <c r="C189" s="4" t="s">
        <v>467</v>
      </c>
      <c r="D189" s="4"/>
    </row>
    <row r="190" spans="1:4" ht="45" customHeight="1">
      <c r="A190" s="4" t="s">
        <v>505</v>
      </c>
      <c r="B190" s="4">
        <v>4771</v>
      </c>
      <c r="C190" s="4" t="s">
        <v>467</v>
      </c>
      <c r="D190" s="4"/>
    </row>
    <row r="191" spans="1:4" ht="45" customHeight="1">
      <c r="A191" s="4" t="s">
        <v>506</v>
      </c>
      <c r="B191" s="4">
        <v>4721</v>
      </c>
      <c r="C191" s="4" t="s">
        <v>470</v>
      </c>
      <c r="D191" s="4"/>
    </row>
    <row r="192" spans="1:4" ht="45" customHeight="1">
      <c r="A192" s="4" t="s">
        <v>507</v>
      </c>
      <c r="B192" s="4">
        <v>3700</v>
      </c>
      <c r="C192" s="4" t="s">
        <v>470</v>
      </c>
      <c r="D192" s="4"/>
    </row>
    <row r="193" spans="1:4" ht="45" customHeight="1">
      <c r="A193" s="4" t="s">
        <v>508</v>
      </c>
      <c r="B193" s="4">
        <v>4039</v>
      </c>
      <c r="C193" s="4" t="s">
        <v>470</v>
      </c>
      <c r="D193" s="4"/>
    </row>
    <row r="194" spans="1:4" ht="45" customHeight="1">
      <c r="A194" s="4" t="s">
        <v>509</v>
      </c>
      <c r="B194" s="4">
        <v>2046</v>
      </c>
      <c r="C194" s="4" t="s">
        <v>474</v>
      </c>
      <c r="D194" s="4"/>
    </row>
    <row r="195" spans="1:4" ht="45" customHeight="1">
      <c r="A195" s="4" t="s">
        <v>510</v>
      </c>
      <c r="B195" s="4">
        <v>2347</v>
      </c>
      <c r="C195" s="4" t="s">
        <v>474</v>
      </c>
      <c r="D195" s="4"/>
    </row>
    <row r="196" spans="1:4" ht="45" customHeight="1">
      <c r="A196" s="4" t="s">
        <v>511</v>
      </c>
      <c r="B196" s="4">
        <v>230</v>
      </c>
      <c r="C196" s="4" t="s">
        <v>467</v>
      </c>
      <c r="D196" s="4"/>
    </row>
    <row r="197" spans="1:4" ht="45" customHeight="1">
      <c r="A197" s="4" t="s">
        <v>512</v>
      </c>
      <c r="B197" s="4">
        <v>271</v>
      </c>
      <c r="C197" s="4" t="s">
        <v>467</v>
      </c>
      <c r="D197" s="4"/>
    </row>
    <row r="198" spans="1:4" ht="45" customHeight="1">
      <c r="A198" s="4" t="s">
        <v>513</v>
      </c>
      <c r="B198" s="4">
        <v>455</v>
      </c>
      <c r="C198" s="4" t="s">
        <v>470</v>
      </c>
      <c r="D198" s="4"/>
    </row>
    <row r="199" spans="1:4" ht="45" customHeight="1">
      <c r="A199" s="4" t="s">
        <v>514</v>
      </c>
      <c r="B199" s="4">
        <v>634</v>
      </c>
      <c r="C199" s="4" t="s">
        <v>470</v>
      </c>
      <c r="D199" s="4"/>
    </row>
    <row r="200" spans="1:4" ht="45" customHeight="1">
      <c r="A200" s="4" t="s">
        <v>515</v>
      </c>
      <c r="B200" s="4">
        <v>676</v>
      </c>
      <c r="C200" s="4" t="s">
        <v>470</v>
      </c>
      <c r="D200" s="4"/>
    </row>
    <row r="201" spans="1:4" ht="45" customHeight="1">
      <c r="A201" s="4" t="s">
        <v>516</v>
      </c>
      <c r="B201" s="4">
        <v>357</v>
      </c>
      <c r="C201" s="4" t="s">
        <v>474</v>
      </c>
      <c r="D201" s="4"/>
    </row>
    <row r="202" spans="1:4" ht="45" customHeight="1">
      <c r="A202" s="4" t="s">
        <v>517</v>
      </c>
      <c r="B202" s="4">
        <v>317</v>
      </c>
      <c r="C202" s="4" t="s">
        <v>474</v>
      </c>
      <c r="D202" s="4"/>
    </row>
    <row r="203" spans="1:4" ht="45" customHeight="1">
      <c r="A203" s="4" t="s">
        <v>518</v>
      </c>
      <c r="B203" s="4">
        <v>0</v>
      </c>
      <c r="C203" s="4" t="s">
        <v>467</v>
      </c>
      <c r="D203" s="4" t="s">
        <v>519</v>
      </c>
    </row>
    <row r="204" spans="1:4" ht="45" customHeight="1">
      <c r="A204" s="4" t="s">
        <v>520</v>
      </c>
      <c r="B204" s="4">
        <v>0</v>
      </c>
      <c r="C204" s="4" t="s">
        <v>467</v>
      </c>
      <c r="D204" s="4" t="s">
        <v>519</v>
      </c>
    </row>
    <row r="205" spans="1:4" ht="45" customHeight="1">
      <c r="A205" s="4" t="s">
        <v>521</v>
      </c>
      <c r="B205" s="4">
        <v>968</v>
      </c>
      <c r="C205" s="4" t="s">
        <v>470</v>
      </c>
      <c r="D205" s="4" t="s">
        <v>519</v>
      </c>
    </row>
    <row r="206" spans="1:4" ht="45" customHeight="1">
      <c r="A206" s="4" t="s">
        <v>522</v>
      </c>
      <c r="B206" s="4">
        <v>614</v>
      </c>
      <c r="C206" s="4" t="s">
        <v>470</v>
      </c>
      <c r="D206" s="4" t="s">
        <v>519</v>
      </c>
    </row>
    <row r="207" spans="1:4" ht="45" customHeight="1">
      <c r="A207" s="4" t="s">
        <v>523</v>
      </c>
      <c r="B207" s="4">
        <v>190</v>
      </c>
      <c r="C207" s="4" t="s">
        <v>470</v>
      </c>
      <c r="D207" s="4" t="s">
        <v>519</v>
      </c>
    </row>
    <row r="208" spans="1:4" ht="45" customHeight="1">
      <c r="A208" s="4" t="s">
        <v>524</v>
      </c>
      <c r="B208" s="4">
        <v>287</v>
      </c>
      <c r="C208" s="4" t="s">
        <v>474</v>
      </c>
      <c r="D208" s="4" t="s">
        <v>519</v>
      </c>
    </row>
    <row r="209" spans="1:4" ht="45" customHeight="1">
      <c r="A209" s="4" t="s">
        <v>525</v>
      </c>
      <c r="B209" s="4">
        <v>240</v>
      </c>
      <c r="C209" s="4" t="s">
        <v>474</v>
      </c>
      <c r="D209" s="4" t="s">
        <v>519</v>
      </c>
    </row>
    <row r="210" spans="1:4" ht="45" customHeight="1">
      <c r="A210" s="4" t="s">
        <v>526</v>
      </c>
      <c r="B210" s="4">
        <v>39427</v>
      </c>
      <c r="C210" s="4" t="s">
        <v>424</v>
      </c>
      <c r="D210" s="4"/>
    </row>
    <row r="211" spans="1:4" ht="45" customHeight="1">
      <c r="A211" s="4" t="s">
        <v>527</v>
      </c>
      <c r="B211" s="4">
        <v>37350</v>
      </c>
      <c r="C211" s="4" t="s">
        <v>424</v>
      </c>
      <c r="D211" s="4"/>
    </row>
    <row r="212" spans="1:4" ht="45" customHeight="1">
      <c r="A212" s="4" t="s">
        <v>528</v>
      </c>
      <c r="B212" s="4">
        <v>49196</v>
      </c>
      <c r="C212" s="4" t="s">
        <v>427</v>
      </c>
      <c r="D212" s="4"/>
    </row>
    <row r="213" spans="1:4" ht="45" customHeight="1">
      <c r="A213" s="4" t="s">
        <v>529</v>
      </c>
      <c r="B213" s="4">
        <v>30592</v>
      </c>
      <c r="C213" s="4" t="s">
        <v>427</v>
      </c>
      <c r="D213" s="4"/>
    </row>
    <row r="214" spans="1:4" ht="45" customHeight="1">
      <c r="A214" s="4" t="s">
        <v>530</v>
      </c>
      <c r="B214" s="4">
        <v>45969</v>
      </c>
      <c r="C214" s="4" t="s">
        <v>427</v>
      </c>
      <c r="D214" s="4"/>
    </row>
    <row r="215" spans="1:4" ht="45" customHeight="1">
      <c r="A215" s="4" t="s">
        <v>531</v>
      </c>
      <c r="B215" s="4">
        <v>20988</v>
      </c>
      <c r="C215" s="4" t="s">
        <v>431</v>
      </c>
      <c r="D215" s="4"/>
    </row>
    <row r="216" spans="1:4" ht="45" customHeight="1">
      <c r="A216" s="4" t="s">
        <v>532</v>
      </c>
      <c r="B216" s="4">
        <v>21653</v>
      </c>
      <c r="C216" s="4" t="s">
        <v>431</v>
      </c>
      <c r="D216" s="4"/>
    </row>
    <row r="217" spans="1:4" ht="45" customHeight="1">
      <c r="A217" s="4" t="s">
        <v>533</v>
      </c>
      <c r="B217" s="4">
        <v>13276</v>
      </c>
      <c r="C217" s="4" t="s">
        <v>424</v>
      </c>
      <c r="D217" s="4"/>
    </row>
    <row r="218" spans="1:4" ht="45" customHeight="1">
      <c r="A218" s="4" t="s">
        <v>534</v>
      </c>
      <c r="B218" s="4">
        <v>15464</v>
      </c>
      <c r="C218" s="4" t="s">
        <v>424</v>
      </c>
      <c r="D218" s="4"/>
    </row>
    <row r="219" spans="1:4" ht="45" customHeight="1">
      <c r="A219" s="4" t="s">
        <v>535</v>
      </c>
      <c r="B219" s="4">
        <v>19409</v>
      </c>
      <c r="C219" s="4" t="s">
        <v>427</v>
      </c>
      <c r="D219" s="4"/>
    </row>
    <row r="220" spans="1:4" ht="45" customHeight="1">
      <c r="A220" s="4" t="s">
        <v>536</v>
      </c>
      <c r="B220" s="4">
        <v>18976</v>
      </c>
      <c r="C220" s="4" t="s">
        <v>427</v>
      </c>
      <c r="D220" s="4"/>
    </row>
    <row r="221" spans="1:4" ht="45" customHeight="1">
      <c r="A221" s="4" t="s">
        <v>537</v>
      </c>
      <c r="B221" s="4">
        <v>20927</v>
      </c>
      <c r="C221" s="4" t="s">
        <v>427</v>
      </c>
      <c r="D221" s="4"/>
    </row>
    <row r="222" spans="1:4" ht="45" customHeight="1">
      <c r="A222" s="4" t="s">
        <v>538</v>
      </c>
      <c r="B222" s="4">
        <v>9139</v>
      </c>
      <c r="C222" s="4" t="s">
        <v>431</v>
      </c>
      <c r="D222" s="4"/>
    </row>
    <row r="223" spans="1:4" ht="45" customHeight="1">
      <c r="A223" s="4" t="s">
        <v>539</v>
      </c>
      <c r="B223" s="4">
        <v>10631</v>
      </c>
      <c r="C223" s="4" t="s">
        <v>431</v>
      </c>
      <c r="D223" s="4"/>
    </row>
    <row r="224" spans="1:4" ht="45" customHeight="1">
      <c r="A224" s="4" t="s">
        <v>540</v>
      </c>
      <c r="B224" s="4">
        <v>8448</v>
      </c>
      <c r="C224" s="4" t="s">
        <v>424</v>
      </c>
      <c r="D224" s="4"/>
    </row>
    <row r="225" spans="1:4" ht="45" customHeight="1">
      <c r="A225" s="4" t="s">
        <v>541</v>
      </c>
      <c r="B225" s="4">
        <v>67930</v>
      </c>
      <c r="C225" s="4" t="s">
        <v>424</v>
      </c>
      <c r="D225" s="4"/>
    </row>
    <row r="226" spans="1:4" ht="45" customHeight="1">
      <c r="A226" s="4" t="s">
        <v>542</v>
      </c>
      <c r="B226" s="4">
        <v>16462</v>
      </c>
      <c r="C226" s="4" t="s">
        <v>427</v>
      </c>
      <c r="D226" s="4"/>
    </row>
    <row r="227" spans="1:4" ht="45" customHeight="1">
      <c r="A227" s="4" t="s">
        <v>543</v>
      </c>
      <c r="B227" s="4">
        <v>9237</v>
      </c>
      <c r="C227" s="4" t="s">
        <v>427</v>
      </c>
      <c r="D227" s="4"/>
    </row>
    <row r="228" spans="1:4" ht="45" customHeight="1">
      <c r="A228" s="4" t="s">
        <v>544</v>
      </c>
      <c r="B228" s="4">
        <v>16923</v>
      </c>
      <c r="C228" s="4" t="s">
        <v>427</v>
      </c>
      <c r="D228" s="4"/>
    </row>
    <row r="229" spans="1:4" ht="45" customHeight="1">
      <c r="A229" s="4" t="s">
        <v>545</v>
      </c>
      <c r="B229" s="4">
        <v>7092</v>
      </c>
      <c r="C229" s="4" t="s">
        <v>431</v>
      </c>
      <c r="D229" s="4"/>
    </row>
    <row r="230" spans="1:4" ht="45" customHeight="1">
      <c r="A230" s="4" t="s">
        <v>546</v>
      </c>
      <c r="B230" s="4">
        <v>39405</v>
      </c>
      <c r="C230" s="4" t="s">
        <v>431</v>
      </c>
      <c r="D230" s="4"/>
    </row>
    <row r="231" spans="1:4" ht="45" customHeight="1">
      <c r="A231" s="4" t="s">
        <v>547</v>
      </c>
      <c r="B231" s="4">
        <v>15849</v>
      </c>
      <c r="C231" s="4" t="s">
        <v>424</v>
      </c>
      <c r="D231" s="4"/>
    </row>
    <row r="232" spans="1:4" ht="45" customHeight="1">
      <c r="A232" s="4" t="s">
        <v>548</v>
      </c>
      <c r="B232" s="4">
        <v>33664</v>
      </c>
      <c r="C232" s="4" t="s">
        <v>424</v>
      </c>
      <c r="D232" s="4"/>
    </row>
    <row r="233" spans="1:4" ht="45" customHeight="1">
      <c r="A233" s="4" t="s">
        <v>549</v>
      </c>
      <c r="B233" s="4">
        <v>40631</v>
      </c>
      <c r="C233" s="4" t="s">
        <v>427</v>
      </c>
      <c r="D233" s="4"/>
    </row>
    <row r="234" spans="1:4" ht="45" customHeight="1">
      <c r="A234" s="4" t="s">
        <v>550</v>
      </c>
      <c r="B234" s="4">
        <v>143359</v>
      </c>
      <c r="C234" s="4" t="s">
        <v>427</v>
      </c>
      <c r="D234" s="4"/>
    </row>
    <row r="235" spans="1:4" ht="45" customHeight="1">
      <c r="A235" s="4" t="s">
        <v>551</v>
      </c>
      <c r="B235" s="4">
        <v>30686</v>
      </c>
      <c r="C235" s="4" t="s">
        <v>427</v>
      </c>
      <c r="D235" s="4"/>
    </row>
    <row r="236" spans="1:4" ht="45" customHeight="1">
      <c r="A236" s="4" t="s">
        <v>552</v>
      </c>
      <c r="B236" s="4">
        <v>11592</v>
      </c>
      <c r="C236" s="4" t="s">
        <v>431</v>
      </c>
      <c r="D236" s="4"/>
    </row>
    <row r="237" spans="1:4" ht="45" customHeight="1">
      <c r="A237" s="4" t="s">
        <v>553</v>
      </c>
      <c r="B237" s="4">
        <v>27780</v>
      </c>
      <c r="C237" s="4" t="s">
        <v>431</v>
      </c>
      <c r="D237" s="4"/>
    </row>
    <row r="238" spans="1:4" ht="45" customHeight="1">
      <c r="A238" s="4" t="s">
        <v>554</v>
      </c>
      <c r="B238" s="4">
        <v>456</v>
      </c>
      <c r="C238" s="4" t="s">
        <v>424</v>
      </c>
      <c r="D238" s="4"/>
    </row>
    <row r="239" spans="1:4" ht="45" customHeight="1">
      <c r="A239" s="4" t="s">
        <v>555</v>
      </c>
      <c r="B239" s="4">
        <v>10594</v>
      </c>
      <c r="C239" s="4" t="s">
        <v>424</v>
      </c>
      <c r="D239" s="4"/>
    </row>
    <row r="240" spans="1:4" ht="45" customHeight="1">
      <c r="A240" s="4" t="s">
        <v>556</v>
      </c>
      <c r="B240" s="4">
        <v>8604</v>
      </c>
      <c r="C240" s="4" t="s">
        <v>427</v>
      </c>
      <c r="D240" s="4"/>
    </row>
    <row r="241" spans="1:4" ht="45" customHeight="1">
      <c r="A241" s="4" t="s">
        <v>557</v>
      </c>
      <c r="B241" s="4">
        <v>396</v>
      </c>
      <c r="C241" s="4" t="s">
        <v>427</v>
      </c>
      <c r="D241" s="4"/>
    </row>
    <row r="242" spans="1:4" ht="45" customHeight="1">
      <c r="A242" s="4" t="s">
        <v>558</v>
      </c>
      <c r="B242" s="4">
        <v>1074</v>
      </c>
      <c r="C242" s="4" t="s">
        <v>427</v>
      </c>
      <c r="D242" s="4"/>
    </row>
    <row r="243" spans="1:4" ht="45" customHeight="1">
      <c r="A243" s="4" t="s">
        <v>559</v>
      </c>
      <c r="B243" s="4">
        <v>101</v>
      </c>
      <c r="C243" s="4" t="s">
        <v>431</v>
      </c>
      <c r="D243" s="4"/>
    </row>
    <row r="244" spans="1:4" ht="45" customHeight="1">
      <c r="A244" s="4" t="s">
        <v>560</v>
      </c>
      <c r="B244" s="4">
        <v>9704</v>
      </c>
      <c r="C244" s="4" t="s">
        <v>431</v>
      </c>
      <c r="D244" s="4"/>
    </row>
    <row r="245" spans="1:4" ht="45" customHeight="1">
      <c r="A245" s="4" t="s">
        <v>561</v>
      </c>
      <c r="B245" s="4">
        <v>434</v>
      </c>
      <c r="C245" s="4" t="s">
        <v>562</v>
      </c>
      <c r="D245" s="4"/>
    </row>
    <row r="246" spans="1:4" ht="45" customHeight="1">
      <c r="A246" s="4" t="s">
        <v>563</v>
      </c>
      <c r="B246" s="4">
        <v>509</v>
      </c>
      <c r="C246" s="4" t="s">
        <v>562</v>
      </c>
      <c r="D246" s="4"/>
    </row>
    <row r="247" spans="1:4" ht="45" customHeight="1">
      <c r="A247" s="4" t="s">
        <v>564</v>
      </c>
      <c r="B247" s="4">
        <v>804</v>
      </c>
      <c r="C247" s="4" t="s">
        <v>562</v>
      </c>
      <c r="D247" s="4"/>
    </row>
    <row r="248" spans="1:4" ht="45" customHeight="1">
      <c r="A248" s="4" t="s">
        <v>565</v>
      </c>
      <c r="B248" s="4">
        <v>1528</v>
      </c>
      <c r="C248" s="4" t="s">
        <v>562</v>
      </c>
      <c r="D248" s="4"/>
    </row>
    <row r="249" spans="1:4" ht="45" customHeight="1">
      <c r="A249" s="4" t="s">
        <v>566</v>
      </c>
      <c r="B249" s="4">
        <v>12759</v>
      </c>
      <c r="C249" s="4" t="s">
        <v>567</v>
      </c>
      <c r="D249" s="4"/>
    </row>
    <row r="250" spans="1:4" ht="45" customHeight="1">
      <c r="A250" s="4" t="s">
        <v>568</v>
      </c>
      <c r="B250" s="4">
        <v>603</v>
      </c>
      <c r="C250" s="4" t="s">
        <v>567</v>
      </c>
      <c r="D250" s="4"/>
    </row>
    <row r="251" spans="1:4" ht="45" customHeight="1">
      <c r="A251" s="4" t="s">
        <v>569</v>
      </c>
      <c r="B251" s="4">
        <v>-1590</v>
      </c>
      <c r="C251" s="4" t="s">
        <v>570</v>
      </c>
      <c r="D251" s="4"/>
    </row>
    <row r="252" spans="1:4" ht="45" customHeight="1">
      <c r="A252" s="4" t="s">
        <v>571</v>
      </c>
      <c r="B252" s="4">
        <v>850</v>
      </c>
      <c r="C252" s="4" t="s">
        <v>572</v>
      </c>
      <c r="D252" s="4"/>
    </row>
    <row r="253" spans="1:4" ht="45" customHeight="1">
      <c r="A253" s="4" t="s">
        <v>573</v>
      </c>
      <c r="B253" s="4">
        <v>575</v>
      </c>
      <c r="C253" s="4" t="s">
        <v>570</v>
      </c>
      <c r="D253" s="4"/>
    </row>
    <row r="254" spans="1:4" ht="45" customHeight="1">
      <c r="A254" s="4" t="s">
        <v>574</v>
      </c>
      <c r="B254" s="4">
        <v>0</v>
      </c>
      <c r="C254" s="4" t="s">
        <v>572</v>
      </c>
      <c r="D254" s="4"/>
    </row>
    <row r="255" spans="1:4" ht="45" customHeight="1">
      <c r="A255" s="4" t="s">
        <v>575</v>
      </c>
      <c r="B255" s="4">
        <v>369000</v>
      </c>
      <c r="C255" s="4" t="s">
        <v>576</v>
      </c>
      <c r="D255" s="4"/>
    </row>
    <row r="256" spans="1:4" ht="45" customHeight="1">
      <c r="A256" s="4" t="s">
        <v>577</v>
      </c>
      <c r="B256" s="4">
        <v>359200</v>
      </c>
      <c r="C256" s="4" t="s">
        <v>578</v>
      </c>
      <c r="D256" s="4"/>
    </row>
    <row r="257" spans="1:4" ht="45" customHeight="1">
      <c r="A257" s="4" t="s">
        <v>579</v>
      </c>
      <c r="B257" s="4">
        <v>1100</v>
      </c>
      <c r="C257" s="4" t="s">
        <v>580</v>
      </c>
      <c r="D257" s="4"/>
    </row>
    <row r="258" spans="1:4" ht="45" customHeight="1">
      <c r="A258" s="4" t="s">
        <v>581</v>
      </c>
      <c r="B258" s="4">
        <v>-0.01</v>
      </c>
      <c r="C258" s="4" t="s">
        <v>582</v>
      </c>
      <c r="D258" s="4"/>
    </row>
    <row r="259" spans="1:4" ht="45" customHeight="1">
      <c r="A259" s="4" t="s">
        <v>583</v>
      </c>
      <c r="B259" s="4">
        <v>0.8</v>
      </c>
      <c r="C259" s="4" t="s">
        <v>582</v>
      </c>
      <c r="D259" s="4"/>
    </row>
    <row r="260" spans="1:4" ht="45" customHeight="1">
      <c r="A260" s="4" t="s">
        <v>584</v>
      </c>
      <c r="B260" s="4">
        <v>0.21</v>
      </c>
      <c r="C260" s="4" t="s">
        <v>582</v>
      </c>
      <c r="D260" s="4"/>
    </row>
    <row r="261" spans="1:4" ht="45" customHeight="1">
      <c r="A261" s="4" t="s">
        <v>585</v>
      </c>
      <c r="B261" s="4">
        <v>0.5</v>
      </c>
      <c r="C261" s="4" t="s">
        <v>582</v>
      </c>
      <c r="D261" s="4"/>
    </row>
    <row r="262" spans="1:4" ht="45" customHeight="1">
      <c r="A262" s="4" t="s">
        <v>586</v>
      </c>
      <c r="B262" s="4">
        <v>25</v>
      </c>
      <c r="C262" s="4" t="s">
        <v>224</v>
      </c>
      <c r="D262" s="4" t="s">
        <v>260</v>
      </c>
    </row>
    <row r="263" spans="1:4" ht="45" customHeight="1">
      <c r="A263" s="4" t="s">
        <v>587</v>
      </c>
      <c r="B263" s="4">
        <v>30</v>
      </c>
      <c r="C263" s="4" t="s">
        <v>224</v>
      </c>
      <c r="D263" s="4" t="s">
        <v>260</v>
      </c>
    </row>
    <row r="264" spans="1:4" ht="45" customHeight="1">
      <c r="A264" s="4" t="s">
        <v>588</v>
      </c>
      <c r="B264" s="4">
        <v>5</v>
      </c>
      <c r="C264" s="4" t="s">
        <v>224</v>
      </c>
      <c r="D264" s="4" t="s">
        <v>263</v>
      </c>
    </row>
    <row r="265" spans="1:4" ht="45" customHeight="1">
      <c r="A265" s="4" t="s">
        <v>589</v>
      </c>
      <c r="B265" s="4">
        <v>0.9</v>
      </c>
      <c r="C265" s="4" t="s">
        <v>228</v>
      </c>
      <c r="D265" s="4" t="s">
        <v>265</v>
      </c>
    </row>
    <row r="266" spans="1:4" ht="45" customHeight="1">
      <c r="A266" s="4" t="s">
        <v>590</v>
      </c>
      <c r="B266" s="4">
        <v>0.1</v>
      </c>
      <c r="C266" s="4" t="s">
        <v>228</v>
      </c>
      <c r="D266" s="4" t="s">
        <v>267</v>
      </c>
    </row>
    <row r="267" spans="1:4" ht="45" customHeight="1">
      <c r="A267" s="4" t="s">
        <v>591</v>
      </c>
      <c r="B267" s="4">
        <v>1300</v>
      </c>
      <c r="C267" s="4" t="s">
        <v>235</v>
      </c>
      <c r="D267" s="4" t="s">
        <v>260</v>
      </c>
    </row>
    <row r="268" spans="1:4" ht="45" customHeight="1">
      <c r="A268" s="4" t="s">
        <v>592</v>
      </c>
      <c r="B268" s="4">
        <v>400000000</v>
      </c>
      <c r="C268" s="4" t="s">
        <v>235</v>
      </c>
      <c r="D268" s="4" t="s">
        <v>270</v>
      </c>
    </row>
    <row r="269" spans="1:4" ht="45" customHeight="1">
      <c r="A269" s="4" t="s">
        <v>593</v>
      </c>
      <c r="B269" s="4">
        <v>1</v>
      </c>
      <c r="C269" s="4" t="s">
        <v>239</v>
      </c>
      <c r="D269" s="4" t="s">
        <v>272</v>
      </c>
    </row>
    <row r="270" spans="1:4" ht="45" customHeight="1">
      <c r="A270" s="4" t="s">
        <v>594</v>
      </c>
      <c r="B270" s="4">
        <v>3700000</v>
      </c>
      <c r="C270" s="4" t="s">
        <v>239</v>
      </c>
      <c r="D270" s="4" t="s">
        <v>274</v>
      </c>
    </row>
    <row r="271" spans="1:4" ht="45" customHeight="1">
      <c r="A271" s="4" t="s">
        <v>595</v>
      </c>
      <c r="B271" s="4">
        <v>22000</v>
      </c>
      <c r="C271" s="4" t="s">
        <v>243</v>
      </c>
      <c r="D271" s="4" t="s">
        <v>260</v>
      </c>
    </row>
    <row r="272" spans="1:4" ht="45" customHeight="1">
      <c r="A272" s="4" t="s">
        <v>596</v>
      </c>
      <c r="B272" s="4">
        <v>1.1</v>
      </c>
      <c r="C272" s="4" t="s">
        <v>255</v>
      </c>
      <c r="D272" s="4" t="s">
        <v>277</v>
      </c>
    </row>
    <row r="273" spans="1:4" ht="45" customHeight="1">
      <c r="A273" s="4" t="s">
        <v>597</v>
      </c>
      <c r="B273" s="4">
        <v>67</v>
      </c>
      <c r="C273" s="4" t="s">
        <v>255</v>
      </c>
      <c r="D273" s="4" t="s">
        <v>260</v>
      </c>
    </row>
  </sheetData>
  <autoFilter ref="A1:D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阅读指南</vt:lpstr>
      <vt:lpstr>变化</vt:lpstr>
      <vt:lpstr>利润</vt:lpstr>
      <vt:lpstr>资本</vt:lpstr>
      <vt:lpstr>股票组合</vt:lpstr>
      <vt:lpstr>法定分部</vt:lpstr>
      <vt:lpstr>现金流</vt:lpstr>
      <vt:lpstr>对账</vt:lpstr>
      <vt:lpstr>假设</vt:lpstr>
      <vt:lpstr>变化明细</vt:lpstr>
      <vt:lpstr>来源</vt:lpstr>
      <vt:lpstr>历史决策</vt:lpstr>
      <vt:lpstr>取数索引</vt:lpstr>
      <vt:lpstr>变化!Print_Area</vt:lpstr>
      <vt:lpstr>阅读指南!Print_Area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伯克希尔账本｜2021—2026H1</dc:title>
  <dc:creator>研究与历史决策实验室</dc:creator>
  <dc:description>研究展示，不构成投资建议；以材料原文为准。</dc:description>
  <cp:lastModifiedBy>研究与历史决策实验室</cp:lastModifiedBy>
  <dcterms:created xsi:type="dcterms:W3CDTF">2026-10-22T20:10:29Z</dcterms:created>
  <dcterms:modified xsi:type="dcterms:W3CDTF">2026-10-22T20:10:29Z</dcterms:modified>
</cp:coreProperties>
</file>