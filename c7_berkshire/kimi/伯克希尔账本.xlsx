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book.xml" ContentType="application/vnd.openxmlformats-officedocument.spreadsheetml.sheet.main+xml"/>
  <Override PartName="/xl/tables/table1.xml" ContentType="application/vnd.openxmlformats-officedocument.spreadsheetml.table+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omments9.xml" ContentType="application/vnd.openxmlformats-officedocument.spreadsheetml.comments+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3.xml" ContentType="application/vnd.openxmlformats-officedocument.drawingml.chart+xml"/>
  <Override PartName="/xl/charts/colors2.xml" ContentType="application/vnd.ms-office.chartcolorstyle+xml"/>
  <Override PartName="/xl/charts/chart1.xml" ContentType="application/vnd.openxmlformats-officedocument.drawingml.chart+xml"/>
  <Override PartName="/xl/charts/style1.xml" ContentType="application/vnd.ms-office.chartstyle+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 sheetId="2" state="visible" r:id="rId4"/>
    <sheet name="分部利润" sheetId="3" state="visible" r:id="rId5"/>
    <sheet name="资产负债" sheetId="4" state="visible" r:id="rId6"/>
    <sheet name="股票组合" sheetId="5" state="visible" r:id="rId7"/>
    <sheet name="经营细节" sheetId="6" state="visible" r:id="rId8"/>
    <sheet name="变化" sheetId="7" state="visible" r:id="rId9"/>
    <sheet name="假设" sheetId="8" state="visible" r:id="rId10"/>
    <sheet name="游戏脚本" sheetId="9" state="visible" r:id="rId11"/>
    <sheet name="出处" sheetId="10" state="visible" r:id="rId12"/>
    <sheet name="校验" sheetId="11" state="visible" r:id="rId13"/>
  </sheets>
  <definedNames>
    <definedName function="false" hidden="false" localSheetId="6" name="_xlnm.Print_Area" vbProcedure="false">变化!$A$1:$P$46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E2"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0</xdr:row>
                <xdr:rowOff>10</xdr:rowOff>
              </xdr:from>
              <xdr:to>
                <xdr:col>7</xdr:col>
                <xdr:colOff>229</xdr:colOff>
                <xdr:row>4</xdr:row>
                <xdr:rowOff>29</xdr:rowOff>
              </xdr:to>
            </anchor>
          </commentPr>
        </mc:Choice>
        <mc:Fallback/>
      </mc:AlternateContent>
    </comment>
    <comment ref="E3"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xdr:row>
                <xdr:rowOff>10</xdr:rowOff>
              </xdr:from>
              <xdr:to>
                <xdr:col>7</xdr:col>
                <xdr:colOff>229</xdr:colOff>
                <xdr:row>5</xdr:row>
                <xdr:rowOff>14</xdr:rowOff>
              </xdr:to>
            </anchor>
          </commentPr>
        </mc:Choice>
        <mc:Fallback/>
      </mc:AlternateContent>
    </comment>
    <comment ref="E4"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xdr:row>
                <xdr:rowOff>10</xdr:rowOff>
              </xdr:from>
              <xdr:to>
                <xdr:col>7</xdr:col>
                <xdr:colOff>229</xdr:colOff>
                <xdr:row>6</xdr:row>
                <xdr:rowOff>14</xdr:rowOff>
              </xdr:to>
            </anchor>
          </commentPr>
        </mc:Choice>
        <mc:Fallback/>
      </mc:AlternateContent>
    </comment>
    <comment ref="E5"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xdr:row>
                <xdr:rowOff>10</xdr:rowOff>
              </xdr:from>
              <xdr:to>
                <xdr:col>7</xdr:col>
                <xdr:colOff>229</xdr:colOff>
                <xdr:row>7</xdr:row>
                <xdr:rowOff>14</xdr:rowOff>
              </xdr:to>
            </anchor>
          </commentPr>
        </mc:Choice>
        <mc:Fallback/>
      </mc:AlternateContent>
    </comment>
    <comment ref="E6"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xdr:row>
                <xdr:rowOff>10</xdr:rowOff>
              </xdr:from>
              <xdr:to>
                <xdr:col>7</xdr:col>
                <xdr:colOff>229</xdr:colOff>
                <xdr:row>8</xdr:row>
                <xdr:rowOff>14</xdr:rowOff>
              </xdr:to>
            </anchor>
          </commentPr>
        </mc:Choice>
        <mc:Fallback/>
      </mc:AlternateContent>
    </comment>
    <comment ref="E7"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xdr:row>
                <xdr:rowOff>10</xdr:rowOff>
              </xdr:from>
              <xdr:to>
                <xdr:col>7</xdr:col>
                <xdr:colOff>229</xdr:colOff>
                <xdr:row>9</xdr:row>
                <xdr:rowOff>14</xdr:rowOff>
              </xdr:to>
            </anchor>
          </commentPr>
        </mc:Choice>
        <mc:Fallback/>
      </mc:AlternateContent>
    </comment>
    <comment ref="E8"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6</xdr:row>
                <xdr:rowOff>10</xdr:rowOff>
              </xdr:from>
              <xdr:to>
                <xdr:col>7</xdr:col>
                <xdr:colOff>229</xdr:colOff>
                <xdr:row>10</xdr:row>
                <xdr:rowOff>14</xdr:rowOff>
              </xdr:to>
            </anchor>
          </commentPr>
        </mc:Choice>
        <mc:Fallback/>
      </mc:AlternateContent>
    </comment>
    <comment ref="E9"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7</xdr:row>
                <xdr:rowOff>10</xdr:rowOff>
              </xdr:from>
              <xdr:to>
                <xdr:col>7</xdr:col>
                <xdr:colOff>229</xdr:colOff>
                <xdr:row>11</xdr:row>
                <xdr:rowOff>14</xdr:rowOff>
              </xdr:to>
            </anchor>
          </commentPr>
        </mc:Choice>
        <mc:Fallback/>
      </mc:AlternateContent>
    </comment>
    <comment ref="E10"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8</xdr:row>
                <xdr:rowOff>10</xdr:rowOff>
              </xdr:from>
              <xdr:to>
                <xdr:col>7</xdr:col>
                <xdr:colOff>229</xdr:colOff>
                <xdr:row>12</xdr:row>
                <xdr:rowOff>14</xdr:rowOff>
              </xdr:to>
            </anchor>
          </commentPr>
        </mc:Choice>
        <mc:Fallback/>
      </mc:AlternateContent>
    </comment>
    <comment ref="E11"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9</xdr:row>
                <xdr:rowOff>10</xdr:rowOff>
              </xdr:from>
              <xdr:to>
                <xdr:col>7</xdr:col>
                <xdr:colOff>229</xdr:colOff>
                <xdr:row>13</xdr:row>
                <xdr:rowOff>14</xdr:rowOff>
              </xdr:to>
            </anchor>
          </commentPr>
        </mc:Choice>
        <mc:Fallback/>
      </mc:AlternateContent>
    </comment>
    <comment ref="E12"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10</xdr:row>
                <xdr:rowOff>10</xdr:rowOff>
              </xdr:from>
              <xdr:to>
                <xdr:col>7</xdr:col>
                <xdr:colOff>229</xdr:colOff>
                <xdr:row>14</xdr:row>
                <xdr:rowOff>14</xdr:rowOff>
              </xdr:to>
            </anchor>
          </commentPr>
        </mc:Choice>
        <mc:Fallback/>
      </mc:AlternateContent>
    </comment>
    <comment ref="E13"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11</xdr:row>
                <xdr:rowOff>10</xdr:rowOff>
              </xdr:from>
              <xdr:to>
                <xdr:col>7</xdr:col>
                <xdr:colOff>229</xdr:colOff>
                <xdr:row>15</xdr:row>
                <xdr:rowOff>14</xdr:rowOff>
              </xdr:to>
            </anchor>
          </commentPr>
        </mc:Choice>
        <mc:Fallback/>
      </mc:AlternateContent>
    </comment>
    <comment ref="E14"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12</xdr:row>
                <xdr:rowOff>10</xdr:rowOff>
              </xdr:from>
              <xdr:to>
                <xdr:col>7</xdr:col>
                <xdr:colOff>229</xdr:colOff>
                <xdr:row>16</xdr:row>
                <xdr:rowOff>14</xdr:rowOff>
              </xdr:to>
            </anchor>
          </commentPr>
        </mc:Choice>
        <mc:Fallback/>
      </mc:AlternateContent>
    </comment>
    <comment ref="E15"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13</xdr:row>
                <xdr:rowOff>10</xdr:rowOff>
              </xdr:from>
              <xdr:to>
                <xdr:col>7</xdr:col>
                <xdr:colOff>229</xdr:colOff>
                <xdr:row>17</xdr:row>
                <xdr:rowOff>14</xdr:rowOff>
              </xdr:to>
            </anchor>
          </commentPr>
        </mc:Choice>
        <mc:Fallback/>
      </mc:AlternateContent>
    </comment>
    <comment ref="E16"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14</xdr:row>
                <xdr:rowOff>10</xdr:rowOff>
              </xdr:from>
              <xdr:to>
                <xdr:col>7</xdr:col>
                <xdr:colOff>229</xdr:colOff>
                <xdr:row>18</xdr:row>
                <xdr:rowOff>14</xdr:rowOff>
              </xdr:to>
            </anchor>
          </commentPr>
        </mc:Choice>
        <mc:Fallback/>
      </mc:AlternateContent>
    </comment>
    <comment ref="E17"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15</xdr:row>
                <xdr:rowOff>10</xdr:rowOff>
              </xdr:from>
              <xdr:to>
                <xdr:col>7</xdr:col>
                <xdr:colOff>229</xdr:colOff>
                <xdr:row>19</xdr:row>
                <xdr:rowOff>14</xdr:rowOff>
              </xdr:to>
            </anchor>
          </commentPr>
        </mc:Choice>
        <mc:Fallback/>
      </mc:AlternateContent>
    </comment>
    <comment ref="E18"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16</xdr:row>
                <xdr:rowOff>10</xdr:rowOff>
              </xdr:from>
              <xdr:to>
                <xdr:col>7</xdr:col>
                <xdr:colOff>229</xdr:colOff>
                <xdr:row>20</xdr:row>
                <xdr:rowOff>14</xdr:rowOff>
              </xdr:to>
            </anchor>
          </commentPr>
        </mc:Choice>
        <mc:Fallback/>
      </mc:AlternateContent>
    </comment>
    <comment ref="E19"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17</xdr:row>
                <xdr:rowOff>10</xdr:rowOff>
              </xdr:from>
              <xdr:to>
                <xdr:col>7</xdr:col>
                <xdr:colOff>229</xdr:colOff>
                <xdr:row>21</xdr:row>
                <xdr:rowOff>14</xdr:rowOff>
              </xdr:to>
            </anchor>
          </commentPr>
        </mc:Choice>
        <mc:Fallback/>
      </mc:AlternateContent>
    </comment>
    <comment ref="E20"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18</xdr:row>
                <xdr:rowOff>10</xdr:rowOff>
              </xdr:from>
              <xdr:to>
                <xdr:col>7</xdr:col>
                <xdr:colOff>229</xdr:colOff>
                <xdr:row>22</xdr:row>
                <xdr:rowOff>14</xdr:rowOff>
              </xdr:to>
            </anchor>
          </commentPr>
        </mc:Choice>
        <mc:Fallback/>
      </mc:AlternateContent>
    </comment>
    <comment ref="E21"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19</xdr:row>
                <xdr:rowOff>10</xdr:rowOff>
              </xdr:from>
              <xdr:to>
                <xdr:col>7</xdr:col>
                <xdr:colOff>229</xdr:colOff>
                <xdr:row>23</xdr:row>
                <xdr:rowOff>14</xdr:rowOff>
              </xdr:to>
            </anchor>
          </commentPr>
        </mc:Choice>
        <mc:Fallback/>
      </mc:AlternateContent>
    </comment>
    <comment ref="E22"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20</xdr:row>
                <xdr:rowOff>10</xdr:rowOff>
              </xdr:from>
              <xdr:to>
                <xdr:col>7</xdr:col>
                <xdr:colOff>229</xdr:colOff>
                <xdr:row>24</xdr:row>
                <xdr:rowOff>14</xdr:rowOff>
              </xdr:to>
            </anchor>
          </commentPr>
        </mc:Choice>
        <mc:Fallback/>
      </mc:AlternateContent>
    </comment>
    <comment ref="E23"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21</xdr:row>
                <xdr:rowOff>10</xdr:rowOff>
              </xdr:from>
              <xdr:to>
                <xdr:col>7</xdr:col>
                <xdr:colOff>229</xdr:colOff>
                <xdr:row>25</xdr:row>
                <xdr:rowOff>14</xdr:rowOff>
              </xdr:to>
            </anchor>
          </commentPr>
        </mc:Choice>
        <mc:Fallback/>
      </mc:AlternateContent>
    </comment>
    <comment ref="E24"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22</xdr:row>
                <xdr:rowOff>10</xdr:rowOff>
              </xdr:from>
              <xdr:to>
                <xdr:col>7</xdr:col>
                <xdr:colOff>229</xdr:colOff>
                <xdr:row>26</xdr:row>
                <xdr:rowOff>14</xdr:rowOff>
              </xdr:to>
            </anchor>
          </commentPr>
        </mc:Choice>
        <mc:Fallback/>
      </mc:AlternateContent>
    </comment>
    <comment ref="E25"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23</xdr:row>
                <xdr:rowOff>10</xdr:rowOff>
              </xdr:from>
              <xdr:to>
                <xdr:col>7</xdr:col>
                <xdr:colOff>229</xdr:colOff>
                <xdr:row>27</xdr:row>
                <xdr:rowOff>14</xdr:rowOff>
              </xdr:to>
            </anchor>
          </commentPr>
        </mc:Choice>
        <mc:Fallback/>
      </mc:AlternateContent>
    </comment>
    <comment ref="E26"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24</xdr:row>
                <xdr:rowOff>10</xdr:rowOff>
              </xdr:from>
              <xdr:to>
                <xdr:col>7</xdr:col>
                <xdr:colOff>229</xdr:colOff>
                <xdr:row>28</xdr:row>
                <xdr:rowOff>14</xdr:rowOff>
              </xdr:to>
            </anchor>
          </commentPr>
        </mc:Choice>
        <mc:Fallback/>
      </mc:AlternateContent>
    </comment>
    <comment ref="E27"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25</xdr:row>
                <xdr:rowOff>10</xdr:rowOff>
              </xdr:from>
              <xdr:to>
                <xdr:col>7</xdr:col>
                <xdr:colOff>229</xdr:colOff>
                <xdr:row>29</xdr:row>
                <xdr:rowOff>14</xdr:rowOff>
              </xdr:to>
            </anchor>
          </commentPr>
        </mc:Choice>
        <mc:Fallback/>
      </mc:AlternateContent>
    </comment>
    <comment ref="E28"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26</xdr:row>
                <xdr:rowOff>10</xdr:rowOff>
              </xdr:from>
              <xdr:to>
                <xdr:col>7</xdr:col>
                <xdr:colOff>229</xdr:colOff>
                <xdr:row>30</xdr:row>
                <xdr:rowOff>14</xdr:rowOff>
              </xdr:to>
            </anchor>
          </commentPr>
        </mc:Choice>
        <mc:Fallback/>
      </mc:AlternateContent>
    </comment>
    <comment ref="E29"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27</xdr:row>
                <xdr:rowOff>10</xdr:rowOff>
              </xdr:from>
              <xdr:to>
                <xdr:col>7</xdr:col>
                <xdr:colOff>229</xdr:colOff>
                <xdr:row>31</xdr:row>
                <xdr:rowOff>14</xdr:rowOff>
              </xdr:to>
            </anchor>
          </commentPr>
        </mc:Choice>
        <mc:Fallback/>
      </mc:AlternateContent>
    </comment>
    <comment ref="E30"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28</xdr:row>
                <xdr:rowOff>10</xdr:rowOff>
              </xdr:from>
              <xdr:to>
                <xdr:col>7</xdr:col>
                <xdr:colOff>229</xdr:colOff>
                <xdr:row>32</xdr:row>
                <xdr:rowOff>14</xdr:rowOff>
              </xdr:to>
            </anchor>
          </commentPr>
        </mc:Choice>
        <mc:Fallback/>
      </mc:AlternateContent>
    </comment>
    <comment ref="E31"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29</xdr:row>
                <xdr:rowOff>10</xdr:rowOff>
              </xdr:from>
              <xdr:to>
                <xdr:col>7</xdr:col>
                <xdr:colOff>229</xdr:colOff>
                <xdr:row>33</xdr:row>
                <xdr:rowOff>14</xdr:rowOff>
              </xdr:to>
            </anchor>
          </commentPr>
        </mc:Choice>
        <mc:Fallback/>
      </mc:AlternateContent>
    </comment>
    <comment ref="E32"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r>
          <rPr>
            <sz val="10"/>
            <rFont val="Arial"/>
            <family val="2"/>
          </rPr>
          <t xml:space="preserve">2025</t>
        </r>
        <r>
          <rPr>
            <sz val="10"/>
            <rFont val="Noto Sans CJK SC"/>
            <family val="2"/>
          </rPr>
          <t xml:space="preserve">年报口径已包含</t>
        </r>
        <r>
          <rPr>
            <sz val="10"/>
            <rFont val="Arial"/>
            <family val="2"/>
          </rPr>
          <t xml:space="preserve">PTC</t>
        </r>
      </text>
      <mc:AlternateContent>
        <mc:Choice Requires="v2">
          <commentPr autoFill="true" autoScale="false" colHidden="false" locked="false" rowHidden="false" textHAlign="justify" textVAlign="top">
            <anchor moveWithCells="false" sizeWithCells="false">
              <xdr:from>
                <xdr:col>5</xdr:col>
                <xdr:colOff>15</xdr:colOff>
                <xdr:row>30</xdr:row>
                <xdr:rowOff>10</xdr:rowOff>
              </xdr:from>
              <xdr:to>
                <xdr:col>7</xdr:col>
                <xdr:colOff>229</xdr:colOff>
                <xdr:row>34</xdr:row>
                <xdr:rowOff>14</xdr:rowOff>
              </xdr:to>
            </anchor>
          </commentPr>
        </mc:Choice>
        <mc:Fallback/>
      </mc:AlternateContent>
    </comment>
    <comment ref="E33"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31</xdr:row>
                <xdr:rowOff>10</xdr:rowOff>
              </xdr:from>
              <xdr:to>
                <xdr:col>7</xdr:col>
                <xdr:colOff>229</xdr:colOff>
                <xdr:row>35</xdr:row>
                <xdr:rowOff>14</xdr:rowOff>
              </xdr:to>
            </anchor>
          </commentPr>
        </mc:Choice>
        <mc:Fallback/>
      </mc:AlternateContent>
    </comment>
    <comment ref="E34"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32</xdr:row>
                <xdr:rowOff>10</xdr:rowOff>
              </xdr:from>
              <xdr:to>
                <xdr:col>7</xdr:col>
                <xdr:colOff>229</xdr:colOff>
                <xdr:row>36</xdr:row>
                <xdr:rowOff>14</xdr:rowOff>
              </xdr:to>
            </anchor>
          </commentPr>
        </mc:Choice>
        <mc:Fallback/>
      </mc:AlternateContent>
    </comment>
    <comment ref="E35"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33</xdr:row>
                <xdr:rowOff>10</xdr:rowOff>
              </xdr:from>
              <xdr:to>
                <xdr:col>7</xdr:col>
                <xdr:colOff>229</xdr:colOff>
                <xdr:row>37</xdr:row>
                <xdr:rowOff>14</xdr:rowOff>
              </xdr:to>
            </anchor>
          </commentPr>
        </mc:Choice>
        <mc:Fallback/>
      </mc:AlternateContent>
    </comment>
    <comment ref="E36"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34</xdr:row>
                <xdr:rowOff>10</xdr:rowOff>
              </xdr:from>
              <xdr:to>
                <xdr:col>7</xdr:col>
                <xdr:colOff>229</xdr:colOff>
                <xdr:row>38</xdr:row>
                <xdr:rowOff>14</xdr:rowOff>
              </xdr:to>
            </anchor>
          </commentPr>
        </mc:Choice>
        <mc:Fallback/>
      </mc:AlternateContent>
    </comment>
    <comment ref="E37"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年报追溯调整口径；此行仍为旧表</t>
        </r>
        <r>
          <rPr>
            <sz val="10"/>
            <rFont val="Arial"/>
            <family val="2"/>
          </rPr>
          <t xml:space="preserve">Other</t>
        </r>
        <r>
          <rPr>
            <sz val="10"/>
            <rFont val="Noto Sans CJK SC"/>
            <family val="2"/>
          </rPr>
          <t xml:space="preserve">，展示时与非控制企业利润合并</t>
        </r>
      </text>
      <mc:AlternateContent>
        <mc:Choice Requires="v2">
          <commentPr autoFill="true" autoScale="false" colHidden="false" locked="false" rowHidden="false" textHAlign="justify" textVAlign="top">
            <anchor moveWithCells="false" sizeWithCells="false">
              <xdr:from>
                <xdr:col>5</xdr:col>
                <xdr:colOff>15</xdr:colOff>
                <xdr:row>35</xdr:row>
                <xdr:rowOff>10</xdr:rowOff>
              </xdr:from>
              <xdr:to>
                <xdr:col>7</xdr:col>
                <xdr:colOff>229</xdr:colOff>
                <xdr:row>39</xdr:row>
                <xdr:rowOff>14</xdr:rowOff>
              </xdr:to>
            </anchor>
          </commentPr>
        </mc:Choice>
        <mc:Fallback/>
      </mc:AlternateContent>
    </comment>
    <comment ref="E38"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年报追溯调整口径；此行仍为旧表</t>
        </r>
        <r>
          <rPr>
            <sz val="10"/>
            <rFont val="Arial"/>
            <family val="2"/>
          </rPr>
          <t xml:space="preserve">Other</t>
        </r>
        <r>
          <rPr>
            <sz val="10"/>
            <rFont val="Noto Sans CJK SC"/>
            <family val="2"/>
          </rPr>
          <t xml:space="preserve">，展示时与非控制企业利润合并</t>
        </r>
      </text>
      <mc:AlternateContent>
        <mc:Choice Requires="v2">
          <commentPr autoFill="true" autoScale="false" colHidden="false" locked="false" rowHidden="false" textHAlign="justify" textVAlign="top">
            <anchor moveWithCells="false" sizeWithCells="false">
              <xdr:from>
                <xdr:col>5</xdr:col>
                <xdr:colOff>15</xdr:colOff>
                <xdr:row>36</xdr:row>
                <xdr:rowOff>10</xdr:rowOff>
              </xdr:from>
              <xdr:to>
                <xdr:col>7</xdr:col>
                <xdr:colOff>229</xdr:colOff>
                <xdr:row>40</xdr:row>
                <xdr:rowOff>14</xdr:rowOff>
              </xdr:to>
            </anchor>
          </commentPr>
        </mc:Choice>
        <mc:Fallback/>
      </mc:AlternateContent>
    </comment>
    <comment ref="E39"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37</xdr:row>
                <xdr:rowOff>10</xdr:rowOff>
              </xdr:from>
              <xdr:to>
                <xdr:col>7</xdr:col>
                <xdr:colOff>229</xdr:colOff>
                <xdr:row>41</xdr:row>
                <xdr:rowOff>14</xdr:rowOff>
              </xdr:to>
            </anchor>
          </commentPr>
        </mc:Choice>
        <mc:Fallback/>
      </mc:AlternateContent>
    </comment>
    <comment ref="E40"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38</xdr:row>
                <xdr:rowOff>10</xdr:rowOff>
              </xdr:from>
              <xdr:to>
                <xdr:col>7</xdr:col>
                <xdr:colOff>229</xdr:colOff>
                <xdr:row>42</xdr:row>
                <xdr:rowOff>14</xdr:rowOff>
              </xdr:to>
            </anchor>
          </commentPr>
        </mc:Choice>
        <mc:Fallback/>
      </mc:AlternateContent>
    </comment>
    <comment ref="E41"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39</xdr:row>
                <xdr:rowOff>10</xdr:rowOff>
              </xdr:from>
              <xdr:to>
                <xdr:col>7</xdr:col>
                <xdr:colOff>229</xdr:colOff>
                <xdr:row>43</xdr:row>
                <xdr:rowOff>14</xdr:rowOff>
              </xdr:to>
            </anchor>
          </commentPr>
        </mc:Choice>
        <mc:Fallback/>
      </mc:AlternateContent>
    </comment>
    <comment ref="E42"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40</xdr:row>
                <xdr:rowOff>10</xdr:rowOff>
              </xdr:from>
              <xdr:to>
                <xdr:col>7</xdr:col>
                <xdr:colOff>229</xdr:colOff>
                <xdr:row>44</xdr:row>
                <xdr:rowOff>14</xdr:rowOff>
              </xdr:to>
            </anchor>
          </commentPr>
        </mc:Choice>
        <mc:Fallback/>
      </mc:AlternateContent>
    </comment>
    <comment ref="E43"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41</xdr:row>
                <xdr:rowOff>10</xdr:rowOff>
              </xdr:from>
              <xdr:to>
                <xdr:col>7</xdr:col>
                <xdr:colOff>229</xdr:colOff>
                <xdr:row>45</xdr:row>
                <xdr:rowOff>14</xdr:rowOff>
              </xdr:to>
            </anchor>
          </commentPr>
        </mc:Choice>
        <mc:Fallback/>
      </mc:AlternateContent>
    </comment>
    <comment ref="E44"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42</xdr:row>
                <xdr:rowOff>10</xdr:rowOff>
              </xdr:from>
              <xdr:to>
                <xdr:col>7</xdr:col>
                <xdr:colOff>229</xdr:colOff>
                <xdr:row>46</xdr:row>
                <xdr:rowOff>14</xdr:rowOff>
              </xdr:to>
            </anchor>
          </commentPr>
        </mc:Choice>
        <mc:Fallback/>
      </mc:AlternateContent>
    </comment>
    <comment ref="E45"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43</xdr:row>
                <xdr:rowOff>10</xdr:rowOff>
              </xdr:from>
              <xdr:to>
                <xdr:col>7</xdr:col>
                <xdr:colOff>229</xdr:colOff>
                <xdr:row>47</xdr:row>
                <xdr:rowOff>14</xdr:rowOff>
              </xdr:to>
            </anchor>
          </commentPr>
        </mc:Choice>
        <mc:Fallback/>
      </mc:AlternateContent>
    </comment>
    <comment ref="E46"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44</xdr:row>
                <xdr:rowOff>10</xdr:rowOff>
              </xdr:from>
              <xdr:to>
                <xdr:col>7</xdr:col>
                <xdr:colOff>229</xdr:colOff>
                <xdr:row>48</xdr:row>
                <xdr:rowOff>14</xdr:rowOff>
              </xdr:to>
            </anchor>
          </commentPr>
        </mc:Choice>
        <mc:Fallback/>
      </mc:AlternateContent>
    </comment>
    <comment ref="E47"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45</xdr:row>
                <xdr:rowOff>10</xdr:rowOff>
              </xdr:from>
              <xdr:to>
                <xdr:col>7</xdr:col>
                <xdr:colOff>229</xdr:colOff>
                <xdr:row>49</xdr:row>
                <xdr:rowOff>14</xdr:rowOff>
              </xdr:to>
            </anchor>
          </commentPr>
        </mc:Choice>
        <mc:Fallback/>
      </mc:AlternateContent>
    </comment>
    <comment ref="E48"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46</xdr:row>
                <xdr:rowOff>10</xdr:rowOff>
              </xdr:from>
              <xdr:to>
                <xdr:col>7</xdr:col>
                <xdr:colOff>229</xdr:colOff>
                <xdr:row>50</xdr:row>
                <xdr:rowOff>14</xdr:rowOff>
              </xdr:to>
            </anchor>
          </commentPr>
        </mc:Choice>
        <mc:Fallback/>
      </mc:AlternateContent>
    </comment>
    <comment ref="E49"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47</xdr:row>
                <xdr:rowOff>10</xdr:rowOff>
              </xdr:from>
              <xdr:to>
                <xdr:col>7</xdr:col>
                <xdr:colOff>229</xdr:colOff>
                <xdr:row>51</xdr:row>
                <xdr:rowOff>14</xdr:rowOff>
              </xdr:to>
            </anchor>
          </commentPr>
        </mc:Choice>
        <mc:Fallback/>
      </mc:AlternateContent>
    </comment>
    <comment ref="E50"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48</xdr:row>
                <xdr:rowOff>10</xdr:rowOff>
              </xdr:from>
              <xdr:to>
                <xdr:col>7</xdr:col>
                <xdr:colOff>229</xdr:colOff>
                <xdr:row>52</xdr:row>
                <xdr:rowOff>14</xdr:rowOff>
              </xdr:to>
            </anchor>
          </commentPr>
        </mc:Choice>
        <mc:Fallback/>
      </mc:AlternateContent>
    </comment>
    <comment ref="E51"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49</xdr:row>
                <xdr:rowOff>10</xdr:rowOff>
              </xdr:from>
              <xdr:to>
                <xdr:col>7</xdr:col>
                <xdr:colOff>229</xdr:colOff>
                <xdr:row>53</xdr:row>
                <xdr:rowOff>14</xdr:rowOff>
              </xdr:to>
            </anchor>
          </commentPr>
        </mc:Choice>
        <mc:Fallback/>
      </mc:AlternateContent>
    </comment>
    <comment ref="E52"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50</xdr:row>
                <xdr:rowOff>10</xdr:rowOff>
              </xdr:from>
              <xdr:to>
                <xdr:col>7</xdr:col>
                <xdr:colOff>229</xdr:colOff>
                <xdr:row>54</xdr:row>
                <xdr:rowOff>14</xdr:rowOff>
              </xdr:to>
            </anchor>
          </commentPr>
        </mc:Choice>
        <mc:Fallback/>
      </mc:AlternateContent>
    </comment>
    <comment ref="E53"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51</xdr:row>
                <xdr:rowOff>10</xdr:rowOff>
              </xdr:from>
              <xdr:to>
                <xdr:col>7</xdr:col>
                <xdr:colOff>229</xdr:colOff>
                <xdr:row>55</xdr:row>
                <xdr:rowOff>14</xdr:rowOff>
              </xdr:to>
            </anchor>
          </commentPr>
        </mc:Choice>
        <mc:Fallback/>
      </mc:AlternateContent>
    </comment>
    <comment ref="E54"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52</xdr:row>
                <xdr:rowOff>10</xdr:rowOff>
              </xdr:from>
              <xdr:to>
                <xdr:col>7</xdr:col>
                <xdr:colOff>229</xdr:colOff>
                <xdr:row>56</xdr:row>
                <xdr:rowOff>14</xdr:rowOff>
              </xdr:to>
            </anchor>
          </commentPr>
        </mc:Choice>
        <mc:Fallback/>
      </mc:AlternateContent>
    </comment>
    <comment ref="E55"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53</xdr:row>
                <xdr:rowOff>10</xdr:rowOff>
              </xdr:from>
              <xdr:to>
                <xdr:col>7</xdr:col>
                <xdr:colOff>229</xdr:colOff>
                <xdr:row>57</xdr:row>
                <xdr:rowOff>14</xdr:rowOff>
              </xdr:to>
            </anchor>
          </commentPr>
        </mc:Choice>
        <mc:Fallback/>
      </mc:AlternateContent>
    </comment>
    <comment ref="E56"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54</xdr:row>
                <xdr:rowOff>10</xdr:rowOff>
              </xdr:from>
              <xdr:to>
                <xdr:col>7</xdr:col>
                <xdr:colOff>229</xdr:colOff>
                <xdr:row>58</xdr:row>
                <xdr:rowOff>14</xdr:rowOff>
              </xdr:to>
            </anchor>
          </commentPr>
        </mc:Choice>
        <mc:Fallback/>
      </mc:AlternateContent>
    </comment>
    <comment ref="E57"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备注：税后、归属伯克希尔股东；</t>
        </r>
        <r>
          <rPr>
            <sz val="10"/>
            <rFont val="Arial"/>
            <family val="2"/>
          </rPr>
          <t xml:space="preserve">2021—2022</t>
        </r>
        <r>
          <rPr>
            <sz val="10"/>
            <rFont val="Noto Sans CJK SC"/>
            <family val="2"/>
          </rPr>
          <t xml:space="preserve">采用</t>
        </r>
        <r>
          <rPr>
            <sz val="10"/>
            <rFont val="Arial"/>
            <family val="2"/>
          </rPr>
          <t xml:space="preserve">2023</t>
        </r>
        <r>
          <rPr>
            <sz val="10"/>
            <rFont val="Noto Sans CJK SC"/>
            <family val="2"/>
          </rPr>
          <t xml:space="preserve">年报追溯调整口径</t>
        </r>
      </text>
      <mc:AlternateContent>
        <mc:Choice Requires="v2">
          <commentPr autoFill="true" autoScale="false" colHidden="false" locked="false" rowHidden="false" textHAlign="justify" textVAlign="top">
            <anchor moveWithCells="false" sizeWithCells="false">
              <xdr:from>
                <xdr:col>5</xdr:col>
                <xdr:colOff>15</xdr:colOff>
                <xdr:row>55</xdr:row>
                <xdr:rowOff>10</xdr:rowOff>
              </xdr:from>
              <xdr:to>
                <xdr:col>7</xdr:col>
                <xdr:colOff>229</xdr:colOff>
                <xdr:row>59</xdr:row>
                <xdr:rowOff>14</xdr:rowOff>
              </xdr:to>
            </anchor>
          </commentPr>
        </mc:Choice>
        <mc:Fallback/>
      </mc:AlternateContent>
    </comment>
    <comment ref="E58"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备注：为衔接</t>
        </r>
        <r>
          <rPr>
            <sz val="10"/>
            <rFont val="Arial"/>
            <family val="2"/>
          </rPr>
          <t xml:space="preserve">2025</t>
        </r>
        <r>
          <rPr>
            <sz val="10"/>
            <rFont val="Noto Sans CJK SC"/>
            <family val="2"/>
          </rPr>
          <t xml:space="preserve">年报</t>
        </r>
        <r>
          <rPr>
            <sz val="10"/>
            <rFont val="Arial"/>
            <family val="2"/>
          </rPr>
          <t xml:space="preserve">Other</t>
        </r>
        <r>
          <rPr>
            <sz val="10"/>
            <rFont val="Noto Sans CJK SC"/>
            <family val="2"/>
          </rPr>
          <t xml:space="preserve">列示，在展示表中与旧表</t>
        </r>
        <r>
          <rPr>
            <sz val="10"/>
            <rFont val="Arial"/>
            <family val="2"/>
          </rPr>
          <t xml:space="preserve">Other</t>
        </r>
        <r>
          <rPr>
            <sz val="10"/>
            <rFont val="Noto Sans CJK SC"/>
            <family val="2"/>
          </rPr>
          <t xml:space="preserve">相加</t>
        </r>
      </text>
      <mc:AlternateContent>
        <mc:Choice Requires="v2">
          <commentPr autoFill="true" autoScale="false" colHidden="false" locked="false" rowHidden="false" textHAlign="justify" textVAlign="top">
            <anchor moveWithCells="false" sizeWithCells="false">
              <xdr:from>
                <xdr:col>5</xdr:col>
                <xdr:colOff>15</xdr:colOff>
                <xdr:row>56</xdr:row>
                <xdr:rowOff>10</xdr:rowOff>
              </xdr:from>
              <xdr:to>
                <xdr:col>7</xdr:col>
                <xdr:colOff>229</xdr:colOff>
                <xdr:row>60</xdr:row>
                <xdr:rowOff>14</xdr:rowOff>
              </xdr:to>
            </anchor>
          </commentPr>
        </mc:Choice>
        <mc:Fallback/>
      </mc:AlternateContent>
    </comment>
    <comment ref="E59" authorId="0">
      <text>
        <r>
          <rPr>
            <sz val="10"/>
            <rFont val="Noto Sans CJK SC"/>
            <family val="2"/>
          </rPr>
          <t xml:space="preserve">来源编号：</t>
        </r>
        <r>
          <rPr>
            <sz val="10"/>
            <rFont val="Arial"/>
            <family val="2"/>
          </rPr>
          <t xml:space="preserve">AR23_MD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备注：为衔接</t>
        </r>
        <r>
          <rPr>
            <sz val="10"/>
            <rFont val="Arial"/>
            <family val="2"/>
          </rPr>
          <t xml:space="preserve">2025</t>
        </r>
        <r>
          <rPr>
            <sz val="10"/>
            <rFont val="Noto Sans CJK SC"/>
            <family val="2"/>
          </rPr>
          <t xml:space="preserve">年报</t>
        </r>
        <r>
          <rPr>
            <sz val="10"/>
            <rFont val="Arial"/>
            <family val="2"/>
          </rPr>
          <t xml:space="preserve">Other</t>
        </r>
        <r>
          <rPr>
            <sz val="10"/>
            <rFont val="Noto Sans CJK SC"/>
            <family val="2"/>
          </rPr>
          <t xml:space="preserve">列示，在展示表中与旧表</t>
        </r>
        <r>
          <rPr>
            <sz val="10"/>
            <rFont val="Arial"/>
            <family val="2"/>
          </rPr>
          <t xml:space="preserve">Other</t>
        </r>
        <r>
          <rPr>
            <sz val="10"/>
            <rFont val="Noto Sans CJK SC"/>
            <family val="2"/>
          </rPr>
          <t xml:space="preserve">相加</t>
        </r>
      </text>
      <mc:AlternateContent>
        <mc:Choice Requires="v2">
          <commentPr autoFill="true" autoScale="false" colHidden="false" locked="false" rowHidden="false" textHAlign="justify" textVAlign="top">
            <anchor moveWithCells="false" sizeWithCells="false">
              <xdr:from>
                <xdr:col>5</xdr:col>
                <xdr:colOff>15</xdr:colOff>
                <xdr:row>57</xdr:row>
                <xdr:rowOff>10</xdr:rowOff>
              </xdr:from>
              <xdr:to>
                <xdr:col>7</xdr:col>
                <xdr:colOff>229</xdr:colOff>
                <xdr:row>61</xdr:row>
                <xdr:rowOff>14</xdr:rowOff>
              </xdr:to>
            </anchor>
          </commentPr>
        </mc:Choice>
        <mc:Fallback/>
      </mc:AlternateContent>
    </comment>
    <comment ref="E60" authorId="0">
      <text>
        <r>
          <rPr>
            <sz val="10"/>
            <rFont val="Noto Sans CJK SC"/>
            <family val="2"/>
          </rPr>
          <t xml:space="preserve">来源编号：</t>
        </r>
        <r>
          <rPr>
            <sz val="10"/>
            <rFont val="Arial"/>
            <family val="2"/>
          </rPr>
          <t xml:space="preserve">AR25_MD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 MD&amp;A—Results of Operations</t>
        </r>
        <r>
          <rPr>
            <sz val="10"/>
            <rFont val="Noto Sans CJK SC"/>
            <family val="2"/>
          </rPr>
          <t xml:space="preserve">（</t>
        </r>
        <r>
          <rPr>
            <sz val="10"/>
            <rFont val="Arial"/>
            <family val="2"/>
          </rPr>
          <t xml:space="preserve">K-34</t>
        </r>
        <r>
          <rPr>
            <sz val="10"/>
            <rFont val="Noto Sans CJK SC"/>
            <family val="2"/>
          </rPr>
          <t xml:space="preserve">起）
备注：</t>
        </r>
        <r>
          <rPr>
            <sz val="10"/>
            <rFont val="Arial"/>
            <family val="2"/>
          </rPr>
          <t xml:space="preserve">Kraft Heinz</t>
        </r>
        <r>
          <rPr>
            <sz val="10"/>
            <rFont val="Noto Sans CJK SC"/>
            <family val="2"/>
          </rPr>
          <t xml:space="preserve">与</t>
        </r>
        <r>
          <rPr>
            <sz val="10"/>
            <rFont val="Arial"/>
            <family val="2"/>
          </rPr>
          <t xml:space="preserve">Occidental</t>
        </r>
        <r>
          <rPr>
            <sz val="10"/>
            <rFont val="Noto Sans CJK SC"/>
            <family val="2"/>
          </rPr>
          <t xml:space="preserve">非暂时性减值</t>
        </r>
      </text>
      <mc:AlternateContent>
        <mc:Choice Requires="v2">
          <commentPr autoFill="true" autoScale="false" colHidden="false" locked="false" rowHidden="false" textHAlign="justify" textVAlign="top">
            <anchor moveWithCells="false" sizeWithCells="false">
              <xdr:from>
                <xdr:col>5</xdr:col>
                <xdr:colOff>15</xdr:colOff>
                <xdr:row>58</xdr:row>
                <xdr:rowOff>10</xdr:rowOff>
              </xdr:from>
              <xdr:to>
                <xdr:col>7</xdr:col>
                <xdr:colOff>229</xdr:colOff>
                <xdr:row>62</xdr:row>
                <xdr:rowOff>14</xdr:rowOff>
              </xdr:to>
            </anchor>
          </commentPr>
        </mc:Choice>
        <mc:Fallback/>
      </mc:AlternateContent>
    </comment>
    <comment ref="E61" authorId="0">
      <text>
        <r>
          <rPr>
            <sz val="10"/>
            <rFont val="Noto Sans CJK SC"/>
            <family val="2"/>
          </rPr>
          <t xml:space="preserve">来源编号：</t>
        </r>
        <r>
          <rPr>
            <sz val="10"/>
            <rFont val="Arial"/>
            <family val="2"/>
          </rPr>
          <t xml:space="preserve">Q226_MD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 MD&amp;A—Results of Operations</t>
        </r>
        <r>
          <rPr>
            <sz val="10"/>
            <rFont val="Noto Sans CJK SC"/>
            <family val="2"/>
          </rPr>
          <t xml:space="preserve">（第</t>
        </r>
        <r>
          <rPr>
            <sz val="10"/>
            <rFont val="Arial"/>
            <family val="2"/>
          </rPr>
          <t xml:space="preserve">33</t>
        </r>
        <r>
          <rPr>
            <sz val="10"/>
            <rFont val="Noto Sans CJK SC"/>
            <family val="2"/>
          </rPr>
          <t xml:space="preserve">页）
备注：</t>
        </r>
        <r>
          <rPr>
            <sz val="10"/>
            <rFont val="Arial"/>
            <family val="2"/>
          </rPr>
          <t xml:space="preserve">Kraft Heinz</t>
        </r>
        <r>
          <rPr>
            <sz val="10"/>
            <rFont val="Noto Sans CJK SC"/>
            <family val="2"/>
          </rPr>
          <t xml:space="preserve">非暂时性减值</t>
        </r>
      </text>
      <mc:AlternateContent>
        <mc:Choice Requires="v2">
          <commentPr autoFill="true" autoScale="false" colHidden="false" locked="false" rowHidden="false" textHAlign="justify" textVAlign="top">
            <anchor moveWithCells="false" sizeWithCells="false">
              <xdr:from>
                <xdr:col>5</xdr:col>
                <xdr:colOff>15</xdr:colOff>
                <xdr:row>59</xdr:row>
                <xdr:rowOff>10</xdr:rowOff>
              </xdr:from>
              <xdr:to>
                <xdr:col>7</xdr:col>
                <xdr:colOff>229</xdr:colOff>
                <xdr:row>63</xdr:row>
                <xdr:rowOff>14</xdr:rowOff>
              </xdr:to>
            </anchor>
          </commentPr>
        </mc:Choice>
        <mc:Fallback/>
      </mc:AlternateContent>
    </comment>
    <comment ref="E62" authorId="0">
      <text>
        <r>
          <rPr>
            <sz val="10"/>
            <rFont val="Noto Sans CJK SC"/>
            <family val="2"/>
          </rPr>
          <t xml:space="preserve">来源编号：</t>
        </r>
        <r>
          <rPr>
            <sz val="10"/>
            <rFont val="Arial"/>
            <family val="2"/>
          </rPr>
          <t xml:space="preserve">AR23_FLOAT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7—Insurance—Investment Income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备注：原披露为约数；</t>
        </r>
        <r>
          <rPr>
            <sz val="10"/>
            <rFont val="Arial"/>
            <family val="2"/>
          </rPr>
          <t xml:space="preserve">2026</t>
        </r>
        <r>
          <rPr>
            <sz val="10"/>
            <rFont val="Noto Sans CJK SC"/>
            <family val="2"/>
          </rPr>
          <t xml:space="preserve">年</t>
        </r>
        <r>
          <rPr>
            <sz val="10"/>
            <rFont val="Arial"/>
            <family val="2"/>
          </rPr>
          <t xml:space="preserve">6</t>
        </r>
        <r>
          <rPr>
            <sz val="10"/>
            <rFont val="Noto Sans CJK SC"/>
            <family val="2"/>
          </rPr>
          <t xml:space="preserve">月末为约</t>
        </r>
        <r>
          <rPr>
            <sz val="10"/>
            <rFont val="Arial"/>
            <family val="2"/>
          </rPr>
          <t xml:space="preserve">1775</t>
        </r>
        <r>
          <rPr>
            <sz val="10"/>
            <rFont val="Noto Sans CJK SC"/>
            <family val="2"/>
          </rPr>
          <t xml:space="preserve">亿美元</t>
        </r>
      </text>
      <mc:AlternateContent>
        <mc:Choice Requires="v2">
          <commentPr autoFill="true" autoScale="false" colHidden="false" locked="false" rowHidden="false" textHAlign="justify" textVAlign="top">
            <anchor moveWithCells="false" sizeWithCells="false">
              <xdr:from>
                <xdr:col>5</xdr:col>
                <xdr:colOff>15</xdr:colOff>
                <xdr:row>60</xdr:row>
                <xdr:rowOff>10</xdr:rowOff>
              </xdr:from>
              <xdr:to>
                <xdr:col>7</xdr:col>
                <xdr:colOff>229</xdr:colOff>
                <xdr:row>64</xdr:row>
                <xdr:rowOff>14</xdr:rowOff>
              </xdr:to>
            </anchor>
          </commentPr>
        </mc:Choice>
        <mc:Fallback/>
      </mc:AlternateContent>
    </comment>
    <comment ref="E63" authorId="0">
      <text>
        <r>
          <rPr>
            <sz val="10"/>
            <rFont val="Noto Sans CJK SC"/>
            <family val="2"/>
          </rPr>
          <t xml:space="preserve">来源编号：</t>
        </r>
        <r>
          <rPr>
            <sz val="10"/>
            <rFont val="Arial"/>
            <family val="2"/>
          </rPr>
          <t xml:space="preserve">AR23_FLOAT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7—Insurance—Investment Income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备注：原披露为约数；</t>
        </r>
        <r>
          <rPr>
            <sz val="10"/>
            <rFont val="Arial"/>
            <family val="2"/>
          </rPr>
          <t xml:space="preserve">2026</t>
        </r>
        <r>
          <rPr>
            <sz val="10"/>
            <rFont val="Noto Sans CJK SC"/>
            <family val="2"/>
          </rPr>
          <t xml:space="preserve">年</t>
        </r>
        <r>
          <rPr>
            <sz val="10"/>
            <rFont val="Arial"/>
            <family val="2"/>
          </rPr>
          <t xml:space="preserve">6</t>
        </r>
        <r>
          <rPr>
            <sz val="10"/>
            <rFont val="Noto Sans CJK SC"/>
            <family val="2"/>
          </rPr>
          <t xml:space="preserve">月末为约</t>
        </r>
        <r>
          <rPr>
            <sz val="10"/>
            <rFont val="Arial"/>
            <family val="2"/>
          </rPr>
          <t xml:space="preserve">1775</t>
        </r>
        <r>
          <rPr>
            <sz val="10"/>
            <rFont val="Noto Sans CJK SC"/>
            <family val="2"/>
          </rPr>
          <t xml:space="preserve">亿美元</t>
        </r>
      </text>
      <mc:AlternateContent>
        <mc:Choice Requires="v2">
          <commentPr autoFill="true" autoScale="false" colHidden="false" locked="false" rowHidden="false" textHAlign="justify" textVAlign="top">
            <anchor moveWithCells="false" sizeWithCells="false">
              <xdr:from>
                <xdr:col>5</xdr:col>
                <xdr:colOff>15</xdr:colOff>
                <xdr:row>61</xdr:row>
                <xdr:rowOff>10</xdr:rowOff>
              </xdr:from>
              <xdr:to>
                <xdr:col>7</xdr:col>
                <xdr:colOff>229</xdr:colOff>
                <xdr:row>65</xdr:row>
                <xdr:rowOff>14</xdr:rowOff>
              </xdr:to>
            </anchor>
          </commentPr>
        </mc:Choice>
        <mc:Fallback/>
      </mc:AlternateContent>
    </comment>
    <comment ref="E64" authorId="0">
      <text>
        <r>
          <rPr>
            <sz val="10"/>
            <rFont val="Noto Sans CJK SC"/>
            <family val="2"/>
          </rPr>
          <t xml:space="preserve">来源编号：</t>
        </r>
        <r>
          <rPr>
            <sz val="10"/>
            <rFont val="Arial"/>
            <family val="2"/>
          </rPr>
          <t xml:space="preserve">AR23_FLOAT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Item 7—Insurance—Investment Income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备注：原披露为约数；</t>
        </r>
        <r>
          <rPr>
            <sz val="10"/>
            <rFont val="Arial"/>
            <family val="2"/>
          </rPr>
          <t xml:space="preserve">2026</t>
        </r>
        <r>
          <rPr>
            <sz val="10"/>
            <rFont val="Noto Sans CJK SC"/>
            <family val="2"/>
          </rPr>
          <t xml:space="preserve">年</t>
        </r>
        <r>
          <rPr>
            <sz val="10"/>
            <rFont val="Arial"/>
            <family val="2"/>
          </rPr>
          <t xml:space="preserve">6</t>
        </r>
        <r>
          <rPr>
            <sz val="10"/>
            <rFont val="Noto Sans CJK SC"/>
            <family val="2"/>
          </rPr>
          <t xml:space="preserve">月末为约</t>
        </r>
        <r>
          <rPr>
            <sz val="10"/>
            <rFont val="Arial"/>
            <family val="2"/>
          </rPr>
          <t xml:space="preserve">1775</t>
        </r>
        <r>
          <rPr>
            <sz val="10"/>
            <rFont val="Noto Sans CJK SC"/>
            <family val="2"/>
          </rPr>
          <t xml:space="preserve">亿美元</t>
        </r>
      </text>
      <mc:AlternateContent>
        <mc:Choice Requires="v2">
          <commentPr autoFill="true" autoScale="false" colHidden="false" locked="false" rowHidden="false" textHAlign="justify" textVAlign="top">
            <anchor moveWithCells="false" sizeWithCells="false">
              <xdr:from>
                <xdr:col>5</xdr:col>
                <xdr:colOff>15</xdr:colOff>
                <xdr:row>62</xdr:row>
                <xdr:rowOff>10</xdr:rowOff>
              </xdr:from>
              <xdr:to>
                <xdr:col>7</xdr:col>
                <xdr:colOff>229</xdr:colOff>
                <xdr:row>66</xdr:row>
                <xdr:rowOff>14</xdr:rowOff>
              </xdr:to>
            </anchor>
          </commentPr>
        </mc:Choice>
        <mc:Fallback/>
      </mc:AlternateContent>
    </comment>
    <comment ref="E65" authorId="0">
      <text>
        <r>
          <rPr>
            <sz val="10"/>
            <rFont val="Noto Sans CJK SC"/>
            <family val="2"/>
          </rPr>
          <t xml:space="preserve">来源编号：</t>
        </r>
        <r>
          <rPr>
            <sz val="10"/>
            <rFont val="Arial"/>
            <family val="2"/>
          </rPr>
          <t xml:space="preserve">AR25_FLOAT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7—Insurance—Investment Income</t>
        </r>
        <r>
          <rPr>
            <sz val="10"/>
            <rFont val="Noto Sans CJK SC"/>
            <family val="2"/>
          </rPr>
          <t xml:space="preserve">（</t>
        </r>
        <r>
          <rPr>
            <sz val="10"/>
            <rFont val="Arial"/>
            <family val="2"/>
          </rPr>
          <t xml:space="preserve">K-40</t>
        </r>
        <r>
          <rPr>
            <sz val="10"/>
            <rFont val="Noto Sans CJK SC"/>
            <family val="2"/>
          </rPr>
          <t xml:space="preserve">）
备注：原披露为约数；</t>
        </r>
        <r>
          <rPr>
            <sz val="10"/>
            <rFont val="Arial"/>
            <family val="2"/>
          </rPr>
          <t xml:space="preserve">2026</t>
        </r>
        <r>
          <rPr>
            <sz val="10"/>
            <rFont val="Noto Sans CJK SC"/>
            <family val="2"/>
          </rPr>
          <t xml:space="preserve">年</t>
        </r>
        <r>
          <rPr>
            <sz val="10"/>
            <rFont val="Arial"/>
            <family val="2"/>
          </rPr>
          <t xml:space="preserve">6</t>
        </r>
        <r>
          <rPr>
            <sz val="10"/>
            <rFont val="Noto Sans CJK SC"/>
            <family val="2"/>
          </rPr>
          <t xml:space="preserve">月末为约</t>
        </r>
        <r>
          <rPr>
            <sz val="10"/>
            <rFont val="Arial"/>
            <family val="2"/>
          </rPr>
          <t xml:space="preserve">1775</t>
        </r>
        <r>
          <rPr>
            <sz val="10"/>
            <rFont val="Noto Sans CJK SC"/>
            <family val="2"/>
          </rPr>
          <t xml:space="preserve">亿美元</t>
        </r>
      </text>
      <mc:AlternateContent>
        <mc:Choice Requires="v2">
          <commentPr autoFill="true" autoScale="false" colHidden="false" locked="false" rowHidden="false" textHAlign="justify" textVAlign="top">
            <anchor moveWithCells="false" sizeWithCells="false">
              <xdr:from>
                <xdr:col>5</xdr:col>
                <xdr:colOff>15</xdr:colOff>
                <xdr:row>63</xdr:row>
                <xdr:rowOff>10</xdr:rowOff>
              </xdr:from>
              <xdr:to>
                <xdr:col>7</xdr:col>
                <xdr:colOff>229</xdr:colOff>
                <xdr:row>67</xdr:row>
                <xdr:rowOff>14</xdr:rowOff>
              </xdr:to>
            </anchor>
          </commentPr>
        </mc:Choice>
        <mc:Fallback/>
      </mc:AlternateContent>
    </comment>
    <comment ref="E66" authorId="0">
      <text>
        <r>
          <rPr>
            <sz val="10"/>
            <rFont val="Noto Sans CJK SC"/>
            <family val="2"/>
          </rPr>
          <t xml:space="preserve">来源编号：</t>
        </r>
        <r>
          <rPr>
            <sz val="10"/>
            <rFont val="Arial"/>
            <family val="2"/>
          </rPr>
          <t xml:space="preserve">AR25_FLOAT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Item 7—Insurance—Investment Income</t>
        </r>
        <r>
          <rPr>
            <sz val="10"/>
            <rFont val="Noto Sans CJK SC"/>
            <family val="2"/>
          </rPr>
          <t xml:space="preserve">（</t>
        </r>
        <r>
          <rPr>
            <sz val="10"/>
            <rFont val="Arial"/>
            <family val="2"/>
          </rPr>
          <t xml:space="preserve">K-40</t>
        </r>
        <r>
          <rPr>
            <sz val="10"/>
            <rFont val="Noto Sans CJK SC"/>
            <family val="2"/>
          </rPr>
          <t xml:space="preserve">）
备注：原披露为约数；</t>
        </r>
        <r>
          <rPr>
            <sz val="10"/>
            <rFont val="Arial"/>
            <family val="2"/>
          </rPr>
          <t xml:space="preserve">2026</t>
        </r>
        <r>
          <rPr>
            <sz val="10"/>
            <rFont val="Noto Sans CJK SC"/>
            <family val="2"/>
          </rPr>
          <t xml:space="preserve">年</t>
        </r>
        <r>
          <rPr>
            <sz val="10"/>
            <rFont val="Arial"/>
            <family val="2"/>
          </rPr>
          <t xml:space="preserve">6</t>
        </r>
        <r>
          <rPr>
            <sz val="10"/>
            <rFont val="Noto Sans CJK SC"/>
            <family val="2"/>
          </rPr>
          <t xml:space="preserve">月末为约</t>
        </r>
        <r>
          <rPr>
            <sz val="10"/>
            <rFont val="Arial"/>
            <family val="2"/>
          </rPr>
          <t xml:space="preserve">1775</t>
        </r>
        <r>
          <rPr>
            <sz val="10"/>
            <rFont val="Noto Sans CJK SC"/>
            <family val="2"/>
          </rPr>
          <t xml:space="preserve">亿美元</t>
        </r>
      </text>
      <mc:AlternateContent>
        <mc:Choice Requires="v2">
          <commentPr autoFill="true" autoScale="false" colHidden="false" locked="false" rowHidden="false" textHAlign="justify" textVAlign="top">
            <anchor moveWithCells="false" sizeWithCells="false">
              <xdr:from>
                <xdr:col>5</xdr:col>
                <xdr:colOff>15</xdr:colOff>
                <xdr:row>64</xdr:row>
                <xdr:rowOff>10</xdr:rowOff>
              </xdr:from>
              <xdr:to>
                <xdr:col>7</xdr:col>
                <xdr:colOff>229</xdr:colOff>
                <xdr:row>68</xdr:row>
                <xdr:rowOff>14</xdr:rowOff>
              </xdr:to>
            </anchor>
          </commentPr>
        </mc:Choice>
        <mc:Fallback/>
      </mc:AlternateContent>
    </comment>
    <comment ref="E67" authorId="0">
      <text>
        <r>
          <rPr>
            <sz val="10"/>
            <rFont val="Noto Sans CJK SC"/>
            <family val="2"/>
          </rPr>
          <t xml:space="preserve">来源编号：</t>
        </r>
        <r>
          <rPr>
            <sz val="10"/>
            <rFont val="Arial"/>
            <family val="2"/>
          </rPr>
          <t xml:space="preserve">Q226_FLOAT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2—Insurance—Investment Income</t>
        </r>
        <r>
          <rPr>
            <sz val="10"/>
            <rFont val="Noto Sans CJK SC"/>
            <family val="2"/>
          </rPr>
          <t xml:space="preserve">（第</t>
        </r>
        <r>
          <rPr>
            <sz val="10"/>
            <rFont val="Arial"/>
            <family val="2"/>
          </rPr>
          <t xml:space="preserve">38</t>
        </r>
        <r>
          <rPr>
            <sz val="10"/>
            <rFont val="Noto Sans CJK SC"/>
            <family val="2"/>
          </rPr>
          <t xml:space="preserve">页）
备注：原披露为约数；</t>
        </r>
        <r>
          <rPr>
            <sz val="10"/>
            <rFont val="Arial"/>
            <family val="2"/>
          </rPr>
          <t xml:space="preserve">2026</t>
        </r>
        <r>
          <rPr>
            <sz val="10"/>
            <rFont val="Noto Sans CJK SC"/>
            <family val="2"/>
          </rPr>
          <t xml:space="preserve">年</t>
        </r>
        <r>
          <rPr>
            <sz val="10"/>
            <rFont val="Arial"/>
            <family val="2"/>
          </rPr>
          <t xml:space="preserve">6</t>
        </r>
        <r>
          <rPr>
            <sz val="10"/>
            <rFont val="Noto Sans CJK SC"/>
            <family val="2"/>
          </rPr>
          <t xml:space="preserve">月末为约</t>
        </r>
        <r>
          <rPr>
            <sz val="10"/>
            <rFont val="Arial"/>
            <family val="2"/>
          </rPr>
          <t xml:space="preserve">1775</t>
        </r>
        <r>
          <rPr>
            <sz val="10"/>
            <rFont val="Noto Sans CJK SC"/>
            <family val="2"/>
          </rPr>
          <t xml:space="preserve">亿美元</t>
        </r>
      </text>
      <mc:AlternateContent>
        <mc:Choice Requires="v2">
          <commentPr autoFill="true" autoScale="false" colHidden="false" locked="false" rowHidden="false" textHAlign="justify" textVAlign="top">
            <anchor moveWithCells="false" sizeWithCells="false">
              <xdr:from>
                <xdr:col>5</xdr:col>
                <xdr:colOff>15</xdr:colOff>
                <xdr:row>65</xdr:row>
                <xdr:rowOff>10</xdr:rowOff>
              </xdr:from>
              <xdr:to>
                <xdr:col>7</xdr:col>
                <xdr:colOff>229</xdr:colOff>
                <xdr:row>69</xdr:row>
                <xdr:rowOff>14</xdr:rowOff>
              </xdr:to>
            </anchor>
          </commentPr>
        </mc:Choice>
        <mc:Fallback/>
      </mc:AlternateContent>
    </comment>
    <comment ref="E68" authorId="0">
      <text>
        <r>
          <rPr>
            <sz val="10"/>
            <rFont val="Noto Sans CJK SC"/>
            <family val="2"/>
          </rPr>
          <t xml:space="preserve">来源编号：</t>
        </r>
        <r>
          <rPr>
            <sz val="10"/>
            <rFont val="Arial"/>
            <family val="2"/>
          </rPr>
          <t xml:space="preserve">AR22_BS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
</t>
        </r>
        <r>
          <rPr>
            <sz val="10"/>
            <rFont val="Noto Sans CJK SC"/>
            <family val="2"/>
          </rPr>
          <t xml:space="preserve">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66</xdr:row>
                <xdr:rowOff>10</xdr:rowOff>
              </xdr:from>
              <xdr:to>
                <xdr:col>7</xdr:col>
                <xdr:colOff>229</xdr:colOff>
                <xdr:row>70</xdr:row>
                <xdr:rowOff>14</xdr:rowOff>
              </xdr:to>
            </anchor>
          </commentPr>
        </mc:Choice>
        <mc:Fallback/>
      </mc:AlternateContent>
    </comment>
    <comment ref="E69" authorId="0">
      <text>
        <r>
          <rPr>
            <sz val="10"/>
            <rFont val="Noto Sans CJK SC"/>
            <family val="2"/>
          </rPr>
          <t xml:space="preserve">来源编号：</t>
        </r>
        <r>
          <rPr>
            <sz val="10"/>
            <rFont val="Arial"/>
            <family val="2"/>
          </rPr>
          <t xml:space="preserve">AR22_BS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
</t>
        </r>
        <r>
          <rPr>
            <sz val="10"/>
            <rFont val="Noto Sans CJK SC"/>
            <family val="2"/>
          </rPr>
          <t xml:space="preserve">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67</xdr:row>
                <xdr:rowOff>10</xdr:rowOff>
              </xdr:from>
              <xdr:to>
                <xdr:col>7</xdr:col>
                <xdr:colOff>229</xdr:colOff>
                <xdr:row>71</xdr:row>
                <xdr:rowOff>14</xdr:rowOff>
              </xdr:to>
            </anchor>
          </commentPr>
        </mc:Choice>
        <mc:Fallback/>
      </mc:AlternateContent>
    </comment>
    <comment ref="E70" authorId="0">
      <text>
        <r>
          <rPr>
            <sz val="10"/>
            <rFont val="Noto Sans CJK SC"/>
            <family val="2"/>
          </rPr>
          <t xml:space="preserve">来源编号：</t>
        </r>
        <r>
          <rPr>
            <sz val="10"/>
            <rFont val="Arial"/>
            <family val="2"/>
          </rPr>
          <t xml:space="preserve">AR22_BS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
</t>
        </r>
        <r>
          <rPr>
            <sz val="10"/>
            <rFont val="Noto Sans CJK SC"/>
            <family val="2"/>
          </rPr>
          <t xml:space="preserve">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备注：合并资产负债表口径；现金及短期国债合计由公式计算</t>
        </r>
      </text>
      <mc:AlternateContent>
        <mc:Choice Requires="v2">
          <commentPr autoFill="true" autoScale="false" colHidden="false" locked="false" rowHidden="false" textHAlign="justify" textVAlign="top">
            <anchor moveWithCells="false" sizeWithCells="false">
              <xdr:from>
                <xdr:col>5</xdr:col>
                <xdr:colOff>15</xdr:colOff>
                <xdr:row>68</xdr:row>
                <xdr:rowOff>10</xdr:rowOff>
              </xdr:from>
              <xdr:to>
                <xdr:col>7</xdr:col>
                <xdr:colOff>229</xdr:colOff>
                <xdr:row>72</xdr:row>
                <xdr:rowOff>14</xdr:rowOff>
              </xdr:to>
            </anchor>
          </commentPr>
        </mc:Choice>
        <mc:Fallback/>
      </mc:AlternateContent>
    </comment>
    <comment ref="E71"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69</xdr:row>
                <xdr:rowOff>10</xdr:rowOff>
              </xdr:from>
              <xdr:to>
                <xdr:col>7</xdr:col>
                <xdr:colOff>229</xdr:colOff>
                <xdr:row>73</xdr:row>
                <xdr:rowOff>14</xdr:rowOff>
              </xdr:to>
            </anchor>
          </commentPr>
        </mc:Choice>
        <mc:Fallback/>
      </mc:AlternateContent>
    </comment>
    <comment ref="E72"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70</xdr:row>
                <xdr:rowOff>10</xdr:rowOff>
              </xdr:from>
              <xdr:to>
                <xdr:col>7</xdr:col>
                <xdr:colOff>229</xdr:colOff>
                <xdr:row>74</xdr:row>
                <xdr:rowOff>14</xdr:rowOff>
              </xdr:to>
            </anchor>
          </commentPr>
        </mc:Choice>
        <mc:Fallback/>
      </mc:AlternateContent>
    </comment>
    <comment ref="E73"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备注：合并资产负债表口径；现金及短期国债合计由公式计算</t>
        </r>
      </text>
      <mc:AlternateContent>
        <mc:Choice Requires="v2">
          <commentPr autoFill="true" autoScale="false" colHidden="false" locked="false" rowHidden="false" textHAlign="justify" textVAlign="top">
            <anchor moveWithCells="false" sizeWithCells="false">
              <xdr:from>
                <xdr:col>5</xdr:col>
                <xdr:colOff>15</xdr:colOff>
                <xdr:row>71</xdr:row>
                <xdr:rowOff>10</xdr:rowOff>
              </xdr:from>
              <xdr:to>
                <xdr:col>7</xdr:col>
                <xdr:colOff>229</xdr:colOff>
                <xdr:row>75</xdr:row>
                <xdr:rowOff>14</xdr:rowOff>
              </xdr:to>
            </anchor>
          </commentPr>
        </mc:Choice>
        <mc:Fallback/>
      </mc:AlternateContent>
    </comment>
    <comment ref="E74"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72</xdr:row>
                <xdr:rowOff>10</xdr:rowOff>
              </xdr:from>
              <xdr:to>
                <xdr:col>7</xdr:col>
                <xdr:colOff>229</xdr:colOff>
                <xdr:row>76</xdr:row>
                <xdr:rowOff>14</xdr:rowOff>
              </xdr:to>
            </anchor>
          </commentPr>
        </mc:Choice>
        <mc:Fallback/>
      </mc:AlternateContent>
    </comment>
    <comment ref="E75"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73</xdr:row>
                <xdr:rowOff>10</xdr:rowOff>
              </xdr:from>
              <xdr:to>
                <xdr:col>7</xdr:col>
                <xdr:colOff>229</xdr:colOff>
                <xdr:row>77</xdr:row>
                <xdr:rowOff>14</xdr:rowOff>
              </xdr:to>
            </anchor>
          </commentPr>
        </mc:Choice>
        <mc:Fallback/>
      </mc:AlternateContent>
    </comment>
    <comment ref="E76"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备注：合并资产负债表口径；现金及短期国债合计由公式计算</t>
        </r>
      </text>
      <mc:AlternateContent>
        <mc:Choice Requires="v2">
          <commentPr autoFill="true" autoScale="false" colHidden="false" locked="false" rowHidden="false" textHAlign="justify" textVAlign="top">
            <anchor moveWithCells="false" sizeWithCells="false">
              <xdr:from>
                <xdr:col>5</xdr:col>
                <xdr:colOff>15</xdr:colOff>
                <xdr:row>74</xdr:row>
                <xdr:rowOff>10</xdr:rowOff>
              </xdr:from>
              <xdr:to>
                <xdr:col>7</xdr:col>
                <xdr:colOff>229</xdr:colOff>
                <xdr:row>78</xdr:row>
                <xdr:rowOff>14</xdr:rowOff>
              </xdr:to>
            </anchor>
          </commentPr>
        </mc:Choice>
        <mc:Fallback/>
      </mc:AlternateContent>
    </comment>
    <comment ref="E77"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75</xdr:row>
                <xdr:rowOff>10</xdr:rowOff>
              </xdr:from>
              <xdr:to>
                <xdr:col>7</xdr:col>
                <xdr:colOff>229</xdr:colOff>
                <xdr:row>79</xdr:row>
                <xdr:rowOff>14</xdr:rowOff>
              </xdr:to>
            </anchor>
          </commentPr>
        </mc:Choice>
        <mc:Fallback/>
      </mc:AlternateContent>
    </comment>
    <comment ref="E78"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76</xdr:row>
                <xdr:rowOff>10</xdr:rowOff>
              </xdr:from>
              <xdr:to>
                <xdr:col>7</xdr:col>
                <xdr:colOff>229</xdr:colOff>
                <xdr:row>80</xdr:row>
                <xdr:rowOff>14</xdr:rowOff>
              </xdr:to>
            </anchor>
          </commentPr>
        </mc:Choice>
        <mc:Fallback/>
      </mc:AlternateContent>
    </comment>
    <comment ref="E79"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备注：合并资产负债表口径；现金及短期国债合计由公式计算</t>
        </r>
      </text>
      <mc:AlternateContent>
        <mc:Choice Requires="v2">
          <commentPr autoFill="true" autoScale="false" colHidden="false" locked="false" rowHidden="false" textHAlign="justify" textVAlign="top">
            <anchor moveWithCells="false" sizeWithCells="false">
              <xdr:from>
                <xdr:col>5</xdr:col>
                <xdr:colOff>15</xdr:colOff>
                <xdr:row>77</xdr:row>
                <xdr:rowOff>10</xdr:rowOff>
              </xdr:from>
              <xdr:to>
                <xdr:col>7</xdr:col>
                <xdr:colOff>229</xdr:colOff>
                <xdr:row>81</xdr:row>
                <xdr:rowOff>14</xdr:rowOff>
              </xdr:to>
            </anchor>
          </commentPr>
        </mc:Choice>
        <mc:Fallback/>
      </mc:AlternateContent>
    </comment>
    <comment ref="E80"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78</xdr:row>
                <xdr:rowOff>10</xdr:rowOff>
              </xdr:from>
              <xdr:to>
                <xdr:col>7</xdr:col>
                <xdr:colOff>229</xdr:colOff>
                <xdr:row>82</xdr:row>
                <xdr:rowOff>14</xdr:rowOff>
              </xdr:to>
            </anchor>
          </commentPr>
        </mc:Choice>
        <mc:Fallback/>
      </mc:AlternateContent>
    </comment>
    <comment ref="E81"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79</xdr:row>
                <xdr:rowOff>10</xdr:rowOff>
              </xdr:from>
              <xdr:to>
                <xdr:col>7</xdr:col>
                <xdr:colOff>229</xdr:colOff>
                <xdr:row>83</xdr:row>
                <xdr:rowOff>14</xdr:rowOff>
              </xdr:to>
            </anchor>
          </commentPr>
        </mc:Choice>
        <mc:Fallback/>
      </mc:AlternateContent>
    </comment>
    <comment ref="E82"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备注：合并资产负债表口径；现金及短期国债合计由公式计算</t>
        </r>
      </text>
      <mc:AlternateContent>
        <mc:Choice Requires="v2">
          <commentPr autoFill="true" autoScale="false" colHidden="false" locked="false" rowHidden="false" textHAlign="justify" textVAlign="top">
            <anchor moveWithCells="false" sizeWithCells="false">
              <xdr:from>
                <xdr:col>5</xdr:col>
                <xdr:colOff>15</xdr:colOff>
                <xdr:row>80</xdr:row>
                <xdr:rowOff>10</xdr:rowOff>
              </xdr:from>
              <xdr:to>
                <xdr:col>7</xdr:col>
                <xdr:colOff>229</xdr:colOff>
                <xdr:row>84</xdr:row>
                <xdr:rowOff>14</xdr:rowOff>
              </xdr:to>
            </anchor>
          </commentPr>
        </mc:Choice>
        <mc:Fallback/>
      </mc:AlternateContent>
    </comment>
    <comment ref="E83" authorId="0">
      <text>
        <r>
          <rPr>
            <sz val="10"/>
            <rFont val="Noto Sans CJK SC"/>
            <family val="2"/>
          </rPr>
          <t xml:space="preserve">来源编号：</t>
        </r>
        <r>
          <rPr>
            <sz val="10"/>
            <rFont val="Arial"/>
            <family val="2"/>
          </rPr>
          <t xml:space="preserve">Q226_BS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Balance Sheets</t>
        </r>
        <r>
          <rPr>
            <sz val="10"/>
            <rFont val="Noto Sans CJK SC"/>
            <family val="2"/>
          </rPr>
          <t xml:space="preserve">（第</t>
        </r>
        <r>
          <rPr>
            <sz val="10"/>
            <rFont val="Arial"/>
            <family val="2"/>
          </rPr>
          <t xml:space="preserve">2</t>
        </r>
        <r>
          <rPr>
            <sz val="10"/>
            <rFont val="Noto Sans CJK SC"/>
            <family val="2"/>
          </rPr>
          <t xml:space="preserve">至</t>
        </r>
        <r>
          <rPr>
            <sz val="10"/>
            <rFont val="Arial"/>
            <family val="2"/>
          </rPr>
          <t xml:space="preserve">3</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81</xdr:row>
                <xdr:rowOff>10</xdr:rowOff>
              </xdr:from>
              <xdr:to>
                <xdr:col>7</xdr:col>
                <xdr:colOff>229</xdr:colOff>
                <xdr:row>85</xdr:row>
                <xdr:rowOff>14</xdr:rowOff>
              </xdr:to>
            </anchor>
          </commentPr>
        </mc:Choice>
        <mc:Fallback/>
      </mc:AlternateContent>
    </comment>
    <comment ref="E84" authorId="0">
      <text>
        <r>
          <rPr>
            <sz val="10"/>
            <rFont val="Noto Sans CJK SC"/>
            <family val="2"/>
          </rPr>
          <t xml:space="preserve">来源编号：</t>
        </r>
        <r>
          <rPr>
            <sz val="10"/>
            <rFont val="Arial"/>
            <family val="2"/>
          </rPr>
          <t xml:space="preserve">Q226_BS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Balance Sheets</t>
        </r>
        <r>
          <rPr>
            <sz val="10"/>
            <rFont val="Noto Sans CJK SC"/>
            <family val="2"/>
          </rPr>
          <t xml:space="preserve">（第</t>
        </r>
        <r>
          <rPr>
            <sz val="10"/>
            <rFont val="Arial"/>
            <family val="2"/>
          </rPr>
          <t xml:space="preserve">2</t>
        </r>
        <r>
          <rPr>
            <sz val="10"/>
            <rFont val="Noto Sans CJK SC"/>
            <family val="2"/>
          </rPr>
          <t xml:space="preserve">至</t>
        </r>
        <r>
          <rPr>
            <sz val="10"/>
            <rFont val="Arial"/>
            <family val="2"/>
          </rPr>
          <t xml:space="preserve">3</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82</xdr:row>
                <xdr:rowOff>10</xdr:rowOff>
              </xdr:from>
              <xdr:to>
                <xdr:col>7</xdr:col>
                <xdr:colOff>229</xdr:colOff>
                <xdr:row>86</xdr:row>
                <xdr:rowOff>14</xdr:rowOff>
              </xdr:to>
            </anchor>
          </commentPr>
        </mc:Choice>
        <mc:Fallback/>
      </mc:AlternateContent>
    </comment>
    <comment ref="E85" authorId="0">
      <text>
        <r>
          <rPr>
            <sz val="10"/>
            <rFont val="Noto Sans CJK SC"/>
            <family val="2"/>
          </rPr>
          <t xml:space="preserve">来源编号：</t>
        </r>
        <r>
          <rPr>
            <sz val="10"/>
            <rFont val="Arial"/>
            <family val="2"/>
          </rPr>
          <t xml:space="preserve">Q226_BS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Balance Sheets</t>
        </r>
        <r>
          <rPr>
            <sz val="10"/>
            <rFont val="Noto Sans CJK SC"/>
            <family val="2"/>
          </rPr>
          <t xml:space="preserve">（第</t>
        </r>
        <r>
          <rPr>
            <sz val="10"/>
            <rFont val="Arial"/>
            <family val="2"/>
          </rPr>
          <t xml:space="preserve">2</t>
        </r>
        <r>
          <rPr>
            <sz val="10"/>
            <rFont val="Noto Sans CJK SC"/>
            <family val="2"/>
          </rPr>
          <t xml:space="preserve">至</t>
        </r>
        <r>
          <rPr>
            <sz val="10"/>
            <rFont val="Arial"/>
            <family val="2"/>
          </rPr>
          <t xml:space="preserve">3</t>
        </r>
        <r>
          <rPr>
            <sz val="10"/>
            <rFont val="Noto Sans CJK SC"/>
            <family val="2"/>
          </rPr>
          <t xml:space="preserve">页）
备注：合并资产负债表口径；现金及短期国债合计由公式计算</t>
        </r>
      </text>
      <mc:AlternateContent>
        <mc:Choice Requires="v2">
          <commentPr autoFill="true" autoScale="false" colHidden="false" locked="false" rowHidden="false" textHAlign="justify" textVAlign="top">
            <anchor moveWithCells="false" sizeWithCells="false">
              <xdr:from>
                <xdr:col>5</xdr:col>
                <xdr:colOff>15</xdr:colOff>
                <xdr:row>83</xdr:row>
                <xdr:rowOff>10</xdr:rowOff>
              </xdr:from>
              <xdr:to>
                <xdr:col>7</xdr:col>
                <xdr:colOff>229</xdr:colOff>
                <xdr:row>87</xdr:row>
                <xdr:rowOff>14</xdr:rowOff>
              </xdr:to>
            </anchor>
          </commentPr>
        </mc:Choice>
        <mc:Fallback/>
      </mc:AlternateContent>
    </comment>
    <comment ref="E86"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t>
        </r>
        <r>
          <rPr>
            <sz val="10"/>
            <rFont val="Arial"/>
            <family val="2"/>
          </rPr>
          <t xml:space="preserve">2023</t>
        </r>
        <r>
          <rPr>
            <sz val="10"/>
            <rFont val="Noto Sans CJK SC"/>
            <family val="2"/>
          </rPr>
          <t xml:space="preserve">年报追溯调整后</t>
        </r>
        <r>
          <rPr>
            <sz val="10"/>
            <rFont val="Arial"/>
            <family val="2"/>
          </rPr>
          <t xml:space="preserve">2021</t>
        </r>
        <r>
          <rPr>
            <sz val="10"/>
            <rFont val="Noto Sans CJK SC"/>
            <family val="2"/>
          </rPr>
          <t xml:space="preserve">年末股东权益变动表</t>
        </r>
      </text>
      <mc:AlternateContent>
        <mc:Choice Requires="v2">
          <commentPr autoFill="true" autoScale="false" colHidden="false" locked="false" rowHidden="false" textHAlign="justify" textVAlign="top">
            <anchor moveWithCells="false" sizeWithCells="false">
              <xdr:from>
                <xdr:col>5</xdr:col>
                <xdr:colOff>15</xdr:colOff>
                <xdr:row>84</xdr:row>
                <xdr:rowOff>10</xdr:rowOff>
              </xdr:from>
              <xdr:to>
                <xdr:col>7</xdr:col>
                <xdr:colOff>229</xdr:colOff>
                <xdr:row>88</xdr:row>
                <xdr:rowOff>14</xdr:rowOff>
              </xdr:to>
            </anchor>
          </commentPr>
        </mc:Choice>
        <mc:Fallback/>
      </mc:AlternateContent>
    </comment>
    <comment ref="E87"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t>
        </r>
        <r>
          <rPr>
            <sz val="10"/>
            <rFont val="Arial"/>
            <family val="2"/>
          </rPr>
          <t xml:space="preserve">2023</t>
        </r>
        <r>
          <rPr>
            <sz val="10"/>
            <rFont val="Noto Sans CJK SC"/>
            <family val="2"/>
          </rPr>
          <t xml:space="preserve">年报追溯调整后</t>
        </r>
        <r>
          <rPr>
            <sz val="10"/>
            <rFont val="Arial"/>
            <family val="2"/>
          </rPr>
          <t xml:space="preserve">2021</t>
        </r>
        <r>
          <rPr>
            <sz val="10"/>
            <rFont val="Noto Sans CJK SC"/>
            <family val="2"/>
          </rPr>
          <t xml:space="preserve">年末股东权益变动表</t>
        </r>
      </text>
      <mc:AlternateContent>
        <mc:Choice Requires="v2">
          <commentPr autoFill="true" autoScale="false" colHidden="false" locked="false" rowHidden="false" textHAlign="justify" textVAlign="top">
            <anchor moveWithCells="false" sizeWithCells="false">
              <xdr:from>
                <xdr:col>5</xdr:col>
                <xdr:colOff>15</xdr:colOff>
                <xdr:row>85</xdr:row>
                <xdr:rowOff>10</xdr:rowOff>
              </xdr:from>
              <xdr:to>
                <xdr:col>7</xdr:col>
                <xdr:colOff>229</xdr:colOff>
                <xdr:row>89</xdr:row>
                <xdr:rowOff>14</xdr:rowOff>
              </xdr:to>
            </anchor>
          </commentPr>
        </mc:Choice>
        <mc:Fallback/>
      </mc:AlternateContent>
    </comment>
    <comment ref="E88"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t>
        </r>
        <r>
          <rPr>
            <sz val="10"/>
            <rFont val="Arial"/>
            <family val="2"/>
          </rPr>
          <t xml:space="preserve">2023</t>
        </r>
        <r>
          <rPr>
            <sz val="10"/>
            <rFont val="Noto Sans CJK SC"/>
            <family val="2"/>
          </rPr>
          <t xml:space="preserve">年报追溯调整后</t>
        </r>
        <r>
          <rPr>
            <sz val="10"/>
            <rFont val="Arial"/>
            <family val="2"/>
          </rPr>
          <t xml:space="preserve">2021</t>
        </r>
        <r>
          <rPr>
            <sz val="10"/>
            <rFont val="Noto Sans CJK SC"/>
            <family val="2"/>
          </rPr>
          <t xml:space="preserve">年末股东权益变动表</t>
        </r>
      </text>
      <mc:AlternateContent>
        <mc:Choice Requires="v2">
          <commentPr autoFill="true" autoScale="false" colHidden="false" locked="false" rowHidden="false" textHAlign="justify" textVAlign="top">
            <anchor moveWithCells="false" sizeWithCells="false">
              <xdr:from>
                <xdr:col>5</xdr:col>
                <xdr:colOff>15</xdr:colOff>
                <xdr:row>86</xdr:row>
                <xdr:rowOff>10</xdr:rowOff>
              </xdr:from>
              <xdr:to>
                <xdr:col>7</xdr:col>
                <xdr:colOff>229</xdr:colOff>
                <xdr:row>90</xdr:row>
                <xdr:rowOff>14</xdr:rowOff>
              </xdr:to>
            </anchor>
          </commentPr>
        </mc:Choice>
        <mc:Fallback/>
      </mc:AlternateContent>
    </comment>
    <comment ref="E89"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t>
        </r>
        <r>
          <rPr>
            <sz val="10"/>
            <rFont val="Arial"/>
            <family val="2"/>
          </rPr>
          <t xml:space="preserve">2023</t>
        </r>
        <r>
          <rPr>
            <sz val="10"/>
            <rFont val="Noto Sans CJK SC"/>
            <family val="2"/>
          </rPr>
          <t xml:space="preserve">年报追溯调整后</t>
        </r>
        <r>
          <rPr>
            <sz val="10"/>
            <rFont val="Arial"/>
            <family val="2"/>
          </rPr>
          <t xml:space="preserve">2021</t>
        </r>
        <r>
          <rPr>
            <sz val="10"/>
            <rFont val="Noto Sans CJK SC"/>
            <family val="2"/>
          </rPr>
          <t xml:space="preserve">年末股东权益变动表</t>
        </r>
      </text>
      <mc:AlternateContent>
        <mc:Choice Requires="v2">
          <commentPr autoFill="true" autoScale="false" colHidden="false" locked="false" rowHidden="false" textHAlign="justify" textVAlign="top">
            <anchor moveWithCells="false" sizeWithCells="false">
              <xdr:from>
                <xdr:col>5</xdr:col>
                <xdr:colOff>15</xdr:colOff>
                <xdr:row>87</xdr:row>
                <xdr:rowOff>10</xdr:rowOff>
              </xdr:from>
              <xdr:to>
                <xdr:col>7</xdr:col>
                <xdr:colOff>229</xdr:colOff>
                <xdr:row>91</xdr:row>
                <xdr:rowOff>14</xdr:rowOff>
              </xdr:to>
            </anchor>
          </commentPr>
        </mc:Choice>
        <mc:Fallback/>
      </mc:AlternateContent>
    </comment>
    <comment ref="E90"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备注：公式：</t>
        </r>
        <r>
          <rPr>
            <sz val="10"/>
            <rFont val="Arial"/>
            <family val="2"/>
          </rPr>
          <t xml:space="preserve">2023</t>
        </r>
        <r>
          <rPr>
            <sz val="10"/>
            <rFont val="Noto Sans CJK SC"/>
            <family val="2"/>
          </rPr>
          <t xml:space="preserve">年报追溯调整后四项归母权益组成之和；非</t>
        </r>
        <r>
          <rPr>
            <sz val="10"/>
            <rFont val="Arial"/>
            <family val="2"/>
          </rPr>
          <t xml:space="preserve">2022</t>
        </r>
        <r>
          <rPr>
            <sz val="10"/>
            <rFont val="Noto Sans CJK SC"/>
            <family val="2"/>
          </rPr>
          <t xml:space="preserve">年报旧口径</t>
        </r>
      </text>
      <mc:AlternateContent>
        <mc:Choice Requires="v2">
          <commentPr autoFill="true" autoScale="false" colHidden="false" locked="false" rowHidden="false" textHAlign="justify" textVAlign="top">
            <anchor moveWithCells="false" sizeWithCells="false">
              <xdr:from>
                <xdr:col>5</xdr:col>
                <xdr:colOff>15</xdr:colOff>
                <xdr:row>88</xdr:row>
                <xdr:rowOff>10</xdr:rowOff>
              </xdr:from>
              <xdr:to>
                <xdr:col>7</xdr:col>
                <xdr:colOff>229</xdr:colOff>
                <xdr:row>92</xdr:row>
                <xdr:rowOff>14</xdr:rowOff>
              </xdr:to>
            </anchor>
          </commentPr>
        </mc:Choice>
        <mc:Fallback/>
      </mc:AlternateContent>
    </comment>
    <comment ref="E91"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备注：归属伯克希尔股东</t>
        </r>
      </text>
      <mc:AlternateContent>
        <mc:Choice Requires="v2">
          <commentPr autoFill="true" autoScale="false" colHidden="false" locked="false" rowHidden="false" textHAlign="justify" textVAlign="top">
            <anchor moveWithCells="false" sizeWithCells="false">
              <xdr:from>
                <xdr:col>5</xdr:col>
                <xdr:colOff>15</xdr:colOff>
                <xdr:row>89</xdr:row>
                <xdr:rowOff>10</xdr:rowOff>
              </xdr:from>
              <xdr:to>
                <xdr:col>7</xdr:col>
                <xdr:colOff>229</xdr:colOff>
                <xdr:row>93</xdr:row>
                <xdr:rowOff>14</xdr:rowOff>
              </xdr:to>
            </anchor>
          </commentPr>
        </mc:Choice>
        <mc:Fallback/>
      </mc:AlternateContent>
    </comment>
    <comment ref="E92" authorId="0">
      <text>
        <r>
          <rPr>
            <sz val="10"/>
            <rFont val="Noto Sans CJK SC"/>
            <family val="2"/>
          </rPr>
          <t xml:space="preserve">来源编号：</t>
        </r>
        <r>
          <rPr>
            <sz val="10"/>
            <rFont val="Arial"/>
            <family val="2"/>
          </rPr>
          <t xml:space="preserve">AR23_BS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备注：归属伯克希尔股东</t>
        </r>
      </text>
      <mc:AlternateContent>
        <mc:Choice Requires="v2">
          <commentPr autoFill="true" autoScale="false" colHidden="false" locked="false" rowHidden="false" textHAlign="justify" textVAlign="top">
            <anchor moveWithCells="false" sizeWithCells="false">
              <xdr:from>
                <xdr:col>5</xdr:col>
                <xdr:colOff>15</xdr:colOff>
                <xdr:row>90</xdr:row>
                <xdr:rowOff>10</xdr:rowOff>
              </xdr:from>
              <xdr:to>
                <xdr:col>7</xdr:col>
                <xdr:colOff>229</xdr:colOff>
                <xdr:row>94</xdr:row>
                <xdr:rowOff>14</xdr:rowOff>
              </xdr:to>
            </anchor>
          </commentPr>
        </mc:Choice>
        <mc:Fallback/>
      </mc:AlternateContent>
    </comment>
    <comment ref="E93"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备注：归属伯克希尔股东</t>
        </r>
      </text>
      <mc:AlternateContent>
        <mc:Choice Requires="v2">
          <commentPr autoFill="true" autoScale="false" colHidden="false" locked="false" rowHidden="false" textHAlign="justify" textVAlign="top">
            <anchor moveWithCells="false" sizeWithCells="false">
              <xdr:from>
                <xdr:col>5</xdr:col>
                <xdr:colOff>15</xdr:colOff>
                <xdr:row>91</xdr:row>
                <xdr:rowOff>10</xdr:rowOff>
              </xdr:from>
              <xdr:to>
                <xdr:col>7</xdr:col>
                <xdr:colOff>229</xdr:colOff>
                <xdr:row>95</xdr:row>
                <xdr:rowOff>14</xdr:rowOff>
              </xdr:to>
            </anchor>
          </commentPr>
        </mc:Choice>
        <mc:Fallback/>
      </mc:AlternateContent>
    </comment>
    <comment ref="E94" authorId="0">
      <text>
        <r>
          <rPr>
            <sz val="10"/>
            <rFont val="Noto Sans CJK SC"/>
            <family val="2"/>
          </rPr>
          <t xml:space="preserve">来源编号：</t>
        </r>
        <r>
          <rPr>
            <sz val="10"/>
            <rFont val="Arial"/>
            <family val="2"/>
          </rPr>
          <t xml:space="preserve">AR25_BS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Balance Sheets</t>
        </r>
        <r>
          <rPr>
            <sz val="10"/>
            <rFont val="Noto Sans CJK SC"/>
            <family val="2"/>
          </rPr>
          <t xml:space="preserve">（</t>
        </r>
        <r>
          <rPr>
            <sz val="10"/>
            <rFont val="Arial"/>
            <family val="2"/>
          </rPr>
          <t xml:space="preserve">K-66</t>
        </r>
        <r>
          <rPr>
            <sz val="10"/>
            <rFont val="Noto Sans CJK SC"/>
            <family val="2"/>
          </rPr>
          <t xml:space="preserve">）
备注：归属伯克希尔股东</t>
        </r>
      </text>
      <mc:AlternateContent>
        <mc:Choice Requires="v2">
          <commentPr autoFill="true" autoScale="false" colHidden="false" locked="false" rowHidden="false" textHAlign="justify" textVAlign="top">
            <anchor moveWithCells="false" sizeWithCells="false">
              <xdr:from>
                <xdr:col>5</xdr:col>
                <xdr:colOff>15</xdr:colOff>
                <xdr:row>92</xdr:row>
                <xdr:rowOff>10</xdr:rowOff>
              </xdr:from>
              <xdr:to>
                <xdr:col>7</xdr:col>
                <xdr:colOff>229</xdr:colOff>
                <xdr:row>96</xdr:row>
                <xdr:rowOff>14</xdr:rowOff>
              </xdr:to>
            </anchor>
          </commentPr>
        </mc:Choice>
        <mc:Fallback/>
      </mc:AlternateContent>
    </comment>
    <comment ref="E95" authorId="0">
      <text>
        <r>
          <rPr>
            <sz val="10"/>
            <rFont val="Noto Sans CJK SC"/>
            <family val="2"/>
          </rPr>
          <t xml:space="preserve">来源编号：</t>
        </r>
        <r>
          <rPr>
            <sz val="10"/>
            <rFont val="Arial"/>
            <family val="2"/>
          </rPr>
          <t xml:space="preserve">Q226_BS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Balance Sheets</t>
        </r>
        <r>
          <rPr>
            <sz val="10"/>
            <rFont val="Noto Sans CJK SC"/>
            <family val="2"/>
          </rPr>
          <t xml:space="preserve">（第</t>
        </r>
        <r>
          <rPr>
            <sz val="10"/>
            <rFont val="Arial"/>
            <family val="2"/>
          </rPr>
          <t xml:space="preserve">2</t>
        </r>
        <r>
          <rPr>
            <sz val="10"/>
            <rFont val="Noto Sans CJK SC"/>
            <family val="2"/>
          </rPr>
          <t xml:space="preserve">至</t>
        </r>
        <r>
          <rPr>
            <sz val="10"/>
            <rFont val="Arial"/>
            <family val="2"/>
          </rPr>
          <t xml:space="preserve">3</t>
        </r>
        <r>
          <rPr>
            <sz val="10"/>
            <rFont val="Noto Sans CJK SC"/>
            <family val="2"/>
          </rPr>
          <t xml:space="preserve">页）
备注：归属伯克希尔股东</t>
        </r>
      </text>
      <mc:AlternateContent>
        <mc:Choice Requires="v2">
          <commentPr autoFill="true" autoScale="false" colHidden="false" locked="false" rowHidden="false" textHAlign="justify" textVAlign="top">
            <anchor moveWithCells="false" sizeWithCells="false">
              <xdr:from>
                <xdr:col>5</xdr:col>
                <xdr:colOff>15</xdr:colOff>
                <xdr:row>93</xdr:row>
                <xdr:rowOff>10</xdr:rowOff>
              </xdr:from>
              <xdr:to>
                <xdr:col>7</xdr:col>
                <xdr:colOff>229</xdr:colOff>
                <xdr:row>97</xdr:row>
                <xdr:rowOff>14</xdr:rowOff>
              </xdr:to>
            </anchor>
          </commentPr>
        </mc:Choice>
        <mc:Fallback/>
      </mc:AlternateContent>
    </comment>
    <comment ref="E96" authorId="0">
      <text>
        <r>
          <rPr>
            <sz val="10"/>
            <rFont val="Noto Sans CJK SC"/>
            <family val="2"/>
          </rPr>
          <t xml:space="preserve">来源编号：</t>
        </r>
        <r>
          <rPr>
            <sz val="10"/>
            <rFont val="Arial"/>
            <family val="2"/>
          </rPr>
          <t xml:space="preserve">AR22_EQ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Notes—Common stock
</t>
        </r>
        <r>
          <rPr>
            <sz val="10"/>
            <rFont val="Noto Sans CJK SC"/>
            <family val="2"/>
          </rPr>
          <t xml:space="preserve">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备注：期末股数，不是加权平均股数；</t>
        </r>
        <r>
          <rPr>
            <sz val="10"/>
            <rFont val="Arial"/>
            <family val="2"/>
          </rPr>
          <t xml:space="preserve">B</t>
        </r>
        <r>
          <rPr>
            <sz val="10"/>
            <rFont val="Noto Sans CJK SC"/>
            <family val="2"/>
          </rPr>
          <t xml:space="preserve">股按</t>
        </r>
        <r>
          <rPr>
            <sz val="10"/>
            <rFont val="Arial"/>
            <family val="2"/>
          </rPr>
          <t xml:space="preserve">1/1500</t>
        </r>
        <r>
          <rPr>
            <sz val="10"/>
            <rFont val="Noto Sans CJK SC"/>
            <family val="2"/>
          </rPr>
          <t xml:space="preserve">折算</t>
        </r>
      </text>
      <mc:AlternateContent>
        <mc:Choice Requires="v2">
          <commentPr autoFill="true" autoScale="false" colHidden="false" locked="false" rowHidden="false" textHAlign="justify" textVAlign="top">
            <anchor moveWithCells="false" sizeWithCells="false">
              <xdr:from>
                <xdr:col>5</xdr:col>
                <xdr:colOff>15</xdr:colOff>
                <xdr:row>94</xdr:row>
                <xdr:rowOff>10</xdr:rowOff>
              </xdr:from>
              <xdr:to>
                <xdr:col>7</xdr:col>
                <xdr:colOff>229</xdr:colOff>
                <xdr:row>98</xdr:row>
                <xdr:rowOff>14</xdr:rowOff>
              </xdr:to>
            </anchor>
          </commentPr>
        </mc:Choice>
        <mc:Fallback/>
      </mc:AlternateContent>
    </comment>
    <comment ref="E97" authorId="0">
      <text>
        <r>
          <rPr>
            <sz val="10"/>
            <rFont val="Noto Sans CJK SC"/>
            <family val="2"/>
          </rPr>
          <t xml:space="preserve">来源编号：</t>
        </r>
        <r>
          <rPr>
            <sz val="10"/>
            <rFont val="Arial"/>
            <family val="2"/>
          </rPr>
          <t xml:space="preserve">AR23_EQ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Notes—Common stock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备注：期末股数，不是加权平均股数；</t>
        </r>
        <r>
          <rPr>
            <sz val="10"/>
            <rFont val="Arial"/>
            <family val="2"/>
          </rPr>
          <t xml:space="preserve">B</t>
        </r>
        <r>
          <rPr>
            <sz val="10"/>
            <rFont val="Noto Sans CJK SC"/>
            <family val="2"/>
          </rPr>
          <t xml:space="preserve">股按</t>
        </r>
        <r>
          <rPr>
            <sz val="10"/>
            <rFont val="Arial"/>
            <family val="2"/>
          </rPr>
          <t xml:space="preserve">1/1500</t>
        </r>
        <r>
          <rPr>
            <sz val="10"/>
            <rFont val="Noto Sans CJK SC"/>
            <family val="2"/>
          </rPr>
          <t xml:space="preserve">折算</t>
        </r>
      </text>
      <mc:AlternateContent>
        <mc:Choice Requires="v2">
          <commentPr autoFill="true" autoScale="false" colHidden="false" locked="false" rowHidden="false" textHAlign="justify" textVAlign="top">
            <anchor moveWithCells="false" sizeWithCells="false">
              <xdr:from>
                <xdr:col>5</xdr:col>
                <xdr:colOff>15</xdr:colOff>
                <xdr:row>95</xdr:row>
                <xdr:rowOff>10</xdr:rowOff>
              </xdr:from>
              <xdr:to>
                <xdr:col>7</xdr:col>
                <xdr:colOff>229</xdr:colOff>
                <xdr:row>99</xdr:row>
                <xdr:rowOff>14</xdr:rowOff>
              </xdr:to>
            </anchor>
          </commentPr>
        </mc:Choice>
        <mc:Fallback/>
      </mc:AlternateContent>
    </comment>
    <comment ref="E98" authorId="0">
      <text>
        <r>
          <rPr>
            <sz val="10"/>
            <rFont val="Noto Sans CJK SC"/>
            <family val="2"/>
          </rPr>
          <t xml:space="preserve">来源编号：</t>
        </r>
        <r>
          <rPr>
            <sz val="10"/>
            <rFont val="Arial"/>
            <family val="2"/>
          </rPr>
          <t xml:space="preserve">AR23_EQ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Notes—Common stock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备注：期末股数，不是加权平均股数；</t>
        </r>
        <r>
          <rPr>
            <sz val="10"/>
            <rFont val="Arial"/>
            <family val="2"/>
          </rPr>
          <t xml:space="preserve">B</t>
        </r>
        <r>
          <rPr>
            <sz val="10"/>
            <rFont val="Noto Sans CJK SC"/>
            <family val="2"/>
          </rPr>
          <t xml:space="preserve">股按</t>
        </r>
        <r>
          <rPr>
            <sz val="10"/>
            <rFont val="Arial"/>
            <family val="2"/>
          </rPr>
          <t xml:space="preserve">1/1500</t>
        </r>
        <r>
          <rPr>
            <sz val="10"/>
            <rFont val="Noto Sans CJK SC"/>
            <family val="2"/>
          </rPr>
          <t xml:space="preserve">折算</t>
        </r>
      </text>
      <mc:AlternateContent>
        <mc:Choice Requires="v2">
          <commentPr autoFill="true" autoScale="false" colHidden="false" locked="false" rowHidden="false" textHAlign="justify" textVAlign="top">
            <anchor moveWithCells="false" sizeWithCells="false">
              <xdr:from>
                <xdr:col>5</xdr:col>
                <xdr:colOff>15</xdr:colOff>
                <xdr:row>96</xdr:row>
                <xdr:rowOff>10</xdr:rowOff>
              </xdr:from>
              <xdr:to>
                <xdr:col>7</xdr:col>
                <xdr:colOff>229</xdr:colOff>
                <xdr:row>100</xdr:row>
                <xdr:rowOff>14</xdr:rowOff>
              </xdr:to>
            </anchor>
          </commentPr>
        </mc:Choice>
        <mc:Fallback/>
      </mc:AlternateContent>
    </comment>
    <comment ref="E99" authorId="0">
      <text>
        <r>
          <rPr>
            <sz val="10"/>
            <rFont val="Noto Sans CJK SC"/>
            <family val="2"/>
          </rPr>
          <t xml:space="preserve">来源编号：</t>
        </r>
        <r>
          <rPr>
            <sz val="10"/>
            <rFont val="Arial"/>
            <family val="2"/>
          </rPr>
          <t xml:space="preserve">AR25_EQ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Notes—Common stock</t>
        </r>
        <r>
          <rPr>
            <sz val="10"/>
            <rFont val="Noto Sans CJK SC"/>
            <family val="2"/>
          </rPr>
          <t xml:space="preserve">（</t>
        </r>
        <r>
          <rPr>
            <sz val="10"/>
            <rFont val="Arial"/>
            <family val="2"/>
          </rPr>
          <t xml:space="preserve">K-101</t>
        </r>
        <r>
          <rPr>
            <sz val="10"/>
            <rFont val="Noto Sans CJK SC"/>
            <family val="2"/>
          </rPr>
          <t xml:space="preserve">至</t>
        </r>
        <r>
          <rPr>
            <sz val="10"/>
            <rFont val="Arial"/>
            <family val="2"/>
          </rPr>
          <t xml:space="preserve">K-102</t>
        </r>
        <r>
          <rPr>
            <sz val="10"/>
            <rFont val="Noto Sans CJK SC"/>
            <family val="2"/>
          </rPr>
          <t xml:space="preserve">）
备注：期末股数，不是加权平均股数；</t>
        </r>
        <r>
          <rPr>
            <sz val="10"/>
            <rFont val="Arial"/>
            <family val="2"/>
          </rPr>
          <t xml:space="preserve">B</t>
        </r>
        <r>
          <rPr>
            <sz val="10"/>
            <rFont val="Noto Sans CJK SC"/>
            <family val="2"/>
          </rPr>
          <t xml:space="preserve">股按</t>
        </r>
        <r>
          <rPr>
            <sz val="10"/>
            <rFont val="Arial"/>
            <family val="2"/>
          </rPr>
          <t xml:space="preserve">1/1500</t>
        </r>
        <r>
          <rPr>
            <sz val="10"/>
            <rFont val="Noto Sans CJK SC"/>
            <family val="2"/>
          </rPr>
          <t xml:space="preserve">折算</t>
        </r>
      </text>
      <mc:AlternateContent>
        <mc:Choice Requires="v2">
          <commentPr autoFill="true" autoScale="false" colHidden="false" locked="false" rowHidden="false" textHAlign="justify" textVAlign="top">
            <anchor moveWithCells="false" sizeWithCells="false">
              <xdr:from>
                <xdr:col>5</xdr:col>
                <xdr:colOff>15</xdr:colOff>
                <xdr:row>97</xdr:row>
                <xdr:rowOff>10</xdr:rowOff>
              </xdr:from>
              <xdr:to>
                <xdr:col>7</xdr:col>
                <xdr:colOff>229</xdr:colOff>
                <xdr:row>101</xdr:row>
                <xdr:rowOff>14</xdr:rowOff>
              </xdr:to>
            </anchor>
          </commentPr>
        </mc:Choice>
        <mc:Fallback/>
      </mc:AlternateContent>
    </comment>
    <comment ref="E100" authorId="0">
      <text>
        <r>
          <rPr>
            <sz val="10"/>
            <rFont val="Noto Sans CJK SC"/>
            <family val="2"/>
          </rPr>
          <t xml:space="preserve">来源编号：</t>
        </r>
        <r>
          <rPr>
            <sz val="10"/>
            <rFont val="Arial"/>
            <family val="2"/>
          </rPr>
          <t xml:space="preserve">AR25_EQ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Notes—Common stock</t>
        </r>
        <r>
          <rPr>
            <sz val="10"/>
            <rFont val="Noto Sans CJK SC"/>
            <family val="2"/>
          </rPr>
          <t xml:space="preserve">（</t>
        </r>
        <r>
          <rPr>
            <sz val="10"/>
            <rFont val="Arial"/>
            <family val="2"/>
          </rPr>
          <t xml:space="preserve">K-101</t>
        </r>
        <r>
          <rPr>
            <sz val="10"/>
            <rFont val="Noto Sans CJK SC"/>
            <family val="2"/>
          </rPr>
          <t xml:space="preserve">至</t>
        </r>
        <r>
          <rPr>
            <sz val="10"/>
            <rFont val="Arial"/>
            <family val="2"/>
          </rPr>
          <t xml:space="preserve">K-102</t>
        </r>
        <r>
          <rPr>
            <sz val="10"/>
            <rFont val="Noto Sans CJK SC"/>
            <family val="2"/>
          </rPr>
          <t xml:space="preserve">）
备注：期末股数，不是加权平均股数；</t>
        </r>
        <r>
          <rPr>
            <sz val="10"/>
            <rFont val="Arial"/>
            <family val="2"/>
          </rPr>
          <t xml:space="preserve">B</t>
        </r>
        <r>
          <rPr>
            <sz val="10"/>
            <rFont val="Noto Sans CJK SC"/>
            <family val="2"/>
          </rPr>
          <t xml:space="preserve">股按</t>
        </r>
        <r>
          <rPr>
            <sz val="10"/>
            <rFont val="Arial"/>
            <family val="2"/>
          </rPr>
          <t xml:space="preserve">1/1500</t>
        </r>
        <r>
          <rPr>
            <sz val="10"/>
            <rFont val="Noto Sans CJK SC"/>
            <family val="2"/>
          </rPr>
          <t xml:space="preserve">折算</t>
        </r>
      </text>
      <mc:AlternateContent>
        <mc:Choice Requires="v2">
          <commentPr autoFill="true" autoScale="false" colHidden="false" locked="false" rowHidden="false" textHAlign="justify" textVAlign="top">
            <anchor moveWithCells="false" sizeWithCells="false">
              <xdr:from>
                <xdr:col>5</xdr:col>
                <xdr:colOff>15</xdr:colOff>
                <xdr:row>98</xdr:row>
                <xdr:rowOff>10</xdr:rowOff>
              </xdr:from>
              <xdr:to>
                <xdr:col>7</xdr:col>
                <xdr:colOff>229</xdr:colOff>
                <xdr:row>102</xdr:row>
                <xdr:rowOff>14</xdr:rowOff>
              </xdr:to>
            </anchor>
          </commentPr>
        </mc:Choice>
        <mc:Fallback/>
      </mc:AlternateContent>
    </comment>
    <comment ref="E101" authorId="0">
      <text>
        <r>
          <rPr>
            <sz val="10"/>
            <rFont val="Noto Sans CJK SC"/>
            <family val="2"/>
          </rPr>
          <t xml:space="preserve">来源编号：</t>
        </r>
        <r>
          <rPr>
            <sz val="10"/>
            <rFont val="Arial"/>
            <family val="2"/>
          </rPr>
          <t xml:space="preserve">Q226_EQ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Note 18—Common stock</t>
        </r>
        <r>
          <rPr>
            <sz val="10"/>
            <rFont val="Noto Sans CJK SC"/>
            <family val="2"/>
          </rPr>
          <t xml:space="preserve">（第</t>
        </r>
        <r>
          <rPr>
            <sz val="10"/>
            <rFont val="Arial"/>
            <family val="2"/>
          </rPr>
          <t xml:space="preserve">21</t>
        </r>
        <r>
          <rPr>
            <sz val="10"/>
            <rFont val="Noto Sans CJK SC"/>
            <family val="2"/>
          </rPr>
          <t xml:space="preserve">页）
备注：期末股数，不是加权平均股数；</t>
        </r>
        <r>
          <rPr>
            <sz val="10"/>
            <rFont val="Arial"/>
            <family val="2"/>
          </rPr>
          <t xml:space="preserve">B</t>
        </r>
        <r>
          <rPr>
            <sz val="10"/>
            <rFont val="Noto Sans CJK SC"/>
            <family val="2"/>
          </rPr>
          <t xml:space="preserve">股按</t>
        </r>
        <r>
          <rPr>
            <sz val="10"/>
            <rFont val="Arial"/>
            <family val="2"/>
          </rPr>
          <t xml:space="preserve">1/1500</t>
        </r>
        <r>
          <rPr>
            <sz val="10"/>
            <rFont val="Noto Sans CJK SC"/>
            <family val="2"/>
          </rPr>
          <t xml:space="preserve">折算</t>
        </r>
      </text>
      <mc:AlternateContent>
        <mc:Choice Requires="v2">
          <commentPr autoFill="true" autoScale="false" colHidden="false" locked="false" rowHidden="false" textHAlign="justify" textVAlign="top">
            <anchor moveWithCells="false" sizeWithCells="false">
              <xdr:from>
                <xdr:col>5</xdr:col>
                <xdr:colOff>15</xdr:colOff>
                <xdr:row>99</xdr:row>
                <xdr:rowOff>10</xdr:rowOff>
              </xdr:from>
              <xdr:to>
                <xdr:col>7</xdr:col>
                <xdr:colOff>229</xdr:colOff>
                <xdr:row>103</xdr:row>
                <xdr:rowOff>14</xdr:rowOff>
              </xdr:to>
            </anchor>
          </commentPr>
        </mc:Choice>
        <mc:Fallback/>
      </mc:AlternateContent>
    </comment>
    <comment ref="E102"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100</xdr:row>
                <xdr:rowOff>10</xdr:rowOff>
              </xdr:from>
              <xdr:to>
                <xdr:col>7</xdr:col>
                <xdr:colOff>229</xdr:colOff>
                <xdr:row>104</xdr:row>
                <xdr:rowOff>14</xdr:rowOff>
              </xdr:to>
            </anchor>
          </commentPr>
        </mc:Choice>
        <mc:Fallback/>
      </mc:AlternateContent>
    </comment>
    <comment ref="E103"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备注：取得库存股成本；与结算时点等有关，和现金流口径不同</t>
        </r>
      </text>
      <mc:AlternateContent>
        <mc:Choice Requires="v2">
          <commentPr autoFill="true" autoScale="false" colHidden="false" locked="false" rowHidden="false" textHAlign="justify" textVAlign="top">
            <anchor moveWithCells="false" sizeWithCells="false">
              <xdr:from>
                <xdr:col>5</xdr:col>
                <xdr:colOff>15</xdr:colOff>
                <xdr:row>101</xdr:row>
                <xdr:rowOff>10</xdr:rowOff>
              </xdr:from>
              <xdr:to>
                <xdr:col>7</xdr:col>
                <xdr:colOff>229</xdr:colOff>
                <xdr:row>105</xdr:row>
                <xdr:rowOff>14</xdr:rowOff>
              </xdr:to>
            </anchor>
          </commentPr>
        </mc:Choice>
        <mc:Fallback/>
      </mc:AlternateContent>
    </comment>
    <comment ref="E104"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102</xdr:row>
                <xdr:rowOff>10</xdr:rowOff>
              </xdr:from>
              <xdr:to>
                <xdr:col>7</xdr:col>
                <xdr:colOff>229</xdr:colOff>
                <xdr:row>106</xdr:row>
                <xdr:rowOff>14</xdr:rowOff>
              </xdr:to>
            </anchor>
          </commentPr>
        </mc:Choice>
        <mc:Fallback/>
      </mc:AlternateContent>
    </comment>
    <comment ref="E105"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备注：取得库存股成本；与结算时点等有关，和现金流口径不同</t>
        </r>
      </text>
      <mc:AlternateContent>
        <mc:Choice Requires="v2">
          <commentPr autoFill="true" autoScale="false" colHidden="false" locked="false" rowHidden="false" textHAlign="justify" textVAlign="top">
            <anchor moveWithCells="false" sizeWithCells="false">
              <xdr:from>
                <xdr:col>5</xdr:col>
                <xdr:colOff>15</xdr:colOff>
                <xdr:row>103</xdr:row>
                <xdr:rowOff>10</xdr:rowOff>
              </xdr:from>
              <xdr:to>
                <xdr:col>7</xdr:col>
                <xdr:colOff>229</xdr:colOff>
                <xdr:row>107</xdr:row>
                <xdr:rowOff>14</xdr:rowOff>
              </xdr:to>
            </anchor>
          </commentPr>
        </mc:Choice>
        <mc:Fallback/>
      </mc:AlternateContent>
    </comment>
    <comment ref="E106"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104</xdr:row>
                <xdr:rowOff>10</xdr:rowOff>
              </xdr:from>
              <xdr:to>
                <xdr:col>7</xdr:col>
                <xdr:colOff>229</xdr:colOff>
                <xdr:row>108</xdr:row>
                <xdr:rowOff>14</xdr:rowOff>
              </xdr:to>
            </anchor>
          </commentPr>
        </mc:Choice>
        <mc:Fallback/>
      </mc:AlternateContent>
    </comment>
    <comment ref="E107" authorId="0">
      <text>
        <r>
          <rPr>
            <sz val="10"/>
            <rFont val="Noto Sans CJK SC"/>
            <family val="2"/>
          </rPr>
          <t xml:space="preserve">来源编号：</t>
        </r>
        <r>
          <rPr>
            <sz val="10"/>
            <rFont val="Arial"/>
            <family val="2"/>
          </rPr>
          <t xml:space="preserve">AR25_SE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Changes in Shareholders’ Equity</t>
        </r>
        <r>
          <rPr>
            <sz val="10"/>
            <rFont val="Noto Sans CJK SC"/>
            <family val="2"/>
          </rPr>
          <t xml:space="preserve">（</t>
        </r>
        <r>
          <rPr>
            <sz val="10"/>
            <rFont val="Arial"/>
            <family val="2"/>
          </rPr>
          <t xml:space="preserve">K-69</t>
        </r>
        <r>
          <rPr>
            <sz val="10"/>
            <rFont val="Noto Sans CJK SC"/>
            <family val="2"/>
          </rPr>
          <t xml:space="preserve">）
备注：取得库存股成本；与结算时点等有关，和现金流口径不同</t>
        </r>
      </text>
      <mc:AlternateContent>
        <mc:Choice Requires="v2">
          <commentPr autoFill="true" autoScale="false" colHidden="false" locked="false" rowHidden="false" textHAlign="justify" textVAlign="top">
            <anchor moveWithCells="false" sizeWithCells="false">
              <xdr:from>
                <xdr:col>5</xdr:col>
                <xdr:colOff>15</xdr:colOff>
                <xdr:row>105</xdr:row>
                <xdr:rowOff>10</xdr:rowOff>
              </xdr:from>
              <xdr:to>
                <xdr:col>7</xdr:col>
                <xdr:colOff>229</xdr:colOff>
                <xdr:row>109</xdr:row>
                <xdr:rowOff>14</xdr:rowOff>
              </xdr:to>
            </anchor>
          </commentPr>
        </mc:Choice>
        <mc:Fallback/>
      </mc:AlternateContent>
    </comment>
    <comment ref="E108"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106</xdr:row>
                <xdr:rowOff>10</xdr:rowOff>
              </xdr:from>
              <xdr:to>
                <xdr:col>7</xdr:col>
                <xdr:colOff>229</xdr:colOff>
                <xdr:row>110</xdr:row>
                <xdr:rowOff>14</xdr:rowOff>
              </xdr:to>
            </anchor>
          </commentPr>
        </mc:Choice>
        <mc:Fallback/>
      </mc:AlternateContent>
    </comment>
    <comment ref="E109" authorId="0">
      <text>
        <r>
          <rPr>
            <sz val="10"/>
            <rFont val="Noto Sans CJK SC"/>
            <family val="2"/>
          </rPr>
          <t xml:space="preserve">来源编号：</t>
        </r>
        <r>
          <rPr>
            <sz val="10"/>
            <rFont val="Arial"/>
            <family val="2"/>
          </rPr>
          <t xml:space="preserve">AR25_SE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Changes in Shareholders’ Equity</t>
        </r>
        <r>
          <rPr>
            <sz val="10"/>
            <rFont val="Noto Sans CJK SC"/>
            <family val="2"/>
          </rPr>
          <t xml:space="preserve">（</t>
        </r>
        <r>
          <rPr>
            <sz val="10"/>
            <rFont val="Arial"/>
            <family val="2"/>
          </rPr>
          <t xml:space="preserve">K-69</t>
        </r>
        <r>
          <rPr>
            <sz val="10"/>
            <rFont val="Noto Sans CJK SC"/>
            <family val="2"/>
          </rPr>
          <t xml:space="preserve">）
备注：取得库存股成本；与结算时点等有关，和现金流口径不同</t>
        </r>
      </text>
      <mc:AlternateContent>
        <mc:Choice Requires="v2">
          <commentPr autoFill="true" autoScale="false" colHidden="false" locked="false" rowHidden="false" textHAlign="justify" textVAlign="top">
            <anchor moveWithCells="false" sizeWithCells="false">
              <xdr:from>
                <xdr:col>5</xdr:col>
                <xdr:colOff>15</xdr:colOff>
                <xdr:row>107</xdr:row>
                <xdr:rowOff>10</xdr:rowOff>
              </xdr:from>
              <xdr:to>
                <xdr:col>7</xdr:col>
                <xdr:colOff>229</xdr:colOff>
                <xdr:row>111</xdr:row>
                <xdr:rowOff>14</xdr:rowOff>
              </xdr:to>
            </anchor>
          </commentPr>
        </mc:Choice>
        <mc:Fallback/>
      </mc:AlternateContent>
    </comment>
    <comment ref="E110"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108</xdr:row>
                <xdr:rowOff>10</xdr:rowOff>
              </xdr:from>
              <xdr:to>
                <xdr:col>7</xdr:col>
                <xdr:colOff>229</xdr:colOff>
                <xdr:row>112</xdr:row>
                <xdr:rowOff>14</xdr:rowOff>
              </xdr:to>
            </anchor>
          </commentPr>
        </mc:Choice>
        <mc:Fallback/>
      </mc:AlternateContent>
    </comment>
    <comment ref="E111" authorId="0">
      <text>
        <r>
          <rPr>
            <sz val="10"/>
            <rFont val="Noto Sans CJK SC"/>
            <family val="2"/>
          </rPr>
          <t xml:space="preserve">来源编号：</t>
        </r>
        <r>
          <rPr>
            <sz val="10"/>
            <rFont val="Arial"/>
            <family val="2"/>
          </rPr>
          <t xml:space="preserve">AR25_SE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Changes in Shareholders’ Equity</t>
        </r>
        <r>
          <rPr>
            <sz val="10"/>
            <rFont val="Noto Sans CJK SC"/>
            <family val="2"/>
          </rPr>
          <t xml:space="preserve">（</t>
        </r>
        <r>
          <rPr>
            <sz val="10"/>
            <rFont val="Arial"/>
            <family val="2"/>
          </rPr>
          <t xml:space="preserve">K-69</t>
        </r>
        <r>
          <rPr>
            <sz val="10"/>
            <rFont val="Noto Sans CJK SC"/>
            <family val="2"/>
          </rPr>
          <t xml:space="preserve">）
备注：取得库存股成本；与结算时点等有关，和现金流口径不同</t>
        </r>
      </text>
      <mc:AlternateContent>
        <mc:Choice Requires="v2">
          <commentPr autoFill="true" autoScale="false" colHidden="false" locked="false" rowHidden="false" textHAlign="justify" textVAlign="top">
            <anchor moveWithCells="false" sizeWithCells="false">
              <xdr:from>
                <xdr:col>5</xdr:col>
                <xdr:colOff>15</xdr:colOff>
                <xdr:row>109</xdr:row>
                <xdr:rowOff>10</xdr:rowOff>
              </xdr:from>
              <xdr:to>
                <xdr:col>7</xdr:col>
                <xdr:colOff>229</xdr:colOff>
                <xdr:row>113</xdr:row>
                <xdr:rowOff>14</xdr:rowOff>
              </xdr:to>
            </anchor>
          </commentPr>
        </mc:Choice>
        <mc:Fallback/>
      </mc:AlternateContent>
    </comment>
    <comment ref="E112"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110</xdr:row>
                <xdr:rowOff>10</xdr:rowOff>
              </xdr:from>
              <xdr:to>
                <xdr:col>7</xdr:col>
                <xdr:colOff>229</xdr:colOff>
                <xdr:row>114</xdr:row>
                <xdr:rowOff>14</xdr:rowOff>
              </xdr:to>
            </anchor>
          </commentPr>
        </mc:Choice>
        <mc:Fallback/>
      </mc:AlternateContent>
    </comment>
    <comment ref="E113" authorId="0">
      <text>
        <r>
          <rPr>
            <sz val="10"/>
            <rFont val="Noto Sans CJK SC"/>
            <family val="2"/>
          </rPr>
          <t xml:space="preserve">来源编号：</t>
        </r>
        <r>
          <rPr>
            <sz val="10"/>
            <rFont val="Arial"/>
            <family val="2"/>
          </rPr>
          <t xml:space="preserve">Q226_SE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Changes in Shareholders’ Equity</t>
        </r>
        <r>
          <rPr>
            <sz val="10"/>
            <rFont val="Noto Sans CJK SC"/>
            <family val="2"/>
          </rPr>
          <t xml:space="preserve">（第</t>
        </r>
        <r>
          <rPr>
            <sz val="10"/>
            <rFont val="Arial"/>
            <family val="2"/>
          </rPr>
          <t xml:space="preserve">6</t>
        </r>
        <r>
          <rPr>
            <sz val="10"/>
            <rFont val="Noto Sans CJK SC"/>
            <family val="2"/>
          </rPr>
          <t xml:space="preserve">页）
备注：取得库存股成本；与结算时点等有关，和现金流口径不同</t>
        </r>
      </text>
      <mc:AlternateContent>
        <mc:Choice Requires="v2">
          <commentPr autoFill="true" autoScale="false" colHidden="false" locked="false" rowHidden="false" textHAlign="justify" textVAlign="top">
            <anchor moveWithCells="false" sizeWithCells="false">
              <xdr:from>
                <xdr:col>5</xdr:col>
                <xdr:colOff>15</xdr:colOff>
                <xdr:row>111</xdr:row>
                <xdr:rowOff>10</xdr:rowOff>
              </xdr:from>
              <xdr:to>
                <xdr:col>7</xdr:col>
                <xdr:colOff>229</xdr:colOff>
                <xdr:row>115</xdr:row>
                <xdr:rowOff>14</xdr:rowOff>
              </xdr:to>
            </anchor>
          </commentPr>
        </mc:Choice>
        <mc:Fallback/>
      </mc:AlternateContent>
    </comment>
    <comment ref="E114"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
备注：正数表示现金流出绝对值；用于</t>
        </r>
        <r>
          <rPr>
            <sz val="10"/>
            <rFont val="Arial"/>
            <family val="2"/>
          </rPr>
          <t xml:space="preserve">2026</t>
        </r>
        <r>
          <rPr>
            <sz val="10"/>
            <rFont val="Noto Sans CJK SC"/>
            <family val="2"/>
          </rPr>
          <t xml:space="preserve">年上半年同比</t>
        </r>
      </text>
      <mc:AlternateContent>
        <mc:Choice Requires="v2">
          <commentPr autoFill="true" autoScale="false" colHidden="false" locked="false" rowHidden="false" textHAlign="justify" textVAlign="top">
            <anchor moveWithCells="false" sizeWithCells="false">
              <xdr:from>
                <xdr:col>5</xdr:col>
                <xdr:colOff>15</xdr:colOff>
                <xdr:row>112</xdr:row>
                <xdr:rowOff>10</xdr:rowOff>
              </xdr:from>
              <xdr:to>
                <xdr:col>7</xdr:col>
                <xdr:colOff>229</xdr:colOff>
                <xdr:row>116</xdr:row>
                <xdr:rowOff>14</xdr:rowOff>
              </xdr:to>
            </anchor>
          </commentPr>
        </mc:Choice>
        <mc:Fallback/>
      </mc:AlternateContent>
    </comment>
    <comment ref="E115" authorId="0">
      <text>
        <r>
          <rPr>
            <sz val="10"/>
            <rFont val="Noto Sans CJK SC"/>
            <family val="2"/>
          </rPr>
          <t xml:space="preserve">来源编号：</t>
        </r>
        <r>
          <rPr>
            <sz val="10"/>
            <rFont val="Arial"/>
            <family val="2"/>
          </rPr>
          <t xml:space="preserve">Q226_SE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Changes in Shareholders’ Equity</t>
        </r>
        <r>
          <rPr>
            <sz val="10"/>
            <rFont val="Noto Sans CJK SC"/>
            <family val="2"/>
          </rPr>
          <t xml:space="preserve">（第</t>
        </r>
        <r>
          <rPr>
            <sz val="10"/>
            <rFont val="Arial"/>
            <family val="2"/>
          </rPr>
          <t xml:space="preserve">6</t>
        </r>
        <r>
          <rPr>
            <sz val="10"/>
            <rFont val="Noto Sans CJK SC"/>
            <family val="2"/>
          </rPr>
          <t xml:space="preserve">页）
备注：取得库存股成本；用于</t>
        </r>
        <r>
          <rPr>
            <sz val="10"/>
            <rFont val="Arial"/>
            <family val="2"/>
          </rPr>
          <t xml:space="preserve">2026</t>
        </r>
        <r>
          <rPr>
            <sz val="10"/>
            <rFont val="Noto Sans CJK SC"/>
            <family val="2"/>
          </rPr>
          <t xml:space="preserve">年上半年同比</t>
        </r>
      </text>
      <mc:AlternateContent>
        <mc:Choice Requires="v2">
          <commentPr autoFill="true" autoScale="false" colHidden="false" locked="false" rowHidden="false" textHAlign="justify" textVAlign="top">
            <anchor moveWithCells="false" sizeWithCells="false">
              <xdr:from>
                <xdr:col>5</xdr:col>
                <xdr:colOff>15</xdr:colOff>
                <xdr:row>113</xdr:row>
                <xdr:rowOff>10</xdr:rowOff>
              </xdr:from>
              <xdr:to>
                <xdr:col>7</xdr:col>
                <xdr:colOff>229</xdr:colOff>
                <xdr:row>117</xdr:row>
                <xdr:rowOff>14</xdr:rowOff>
              </xdr:to>
            </anchor>
          </commentPr>
        </mc:Choice>
        <mc:Fallback/>
      </mc:AlternateContent>
    </comment>
    <comment ref="E116" authorId="0">
      <text>
        <r>
          <rPr>
            <sz val="10"/>
            <rFont val="Noto Sans CJK SC"/>
            <family val="2"/>
          </rPr>
          <t xml:space="preserve">来源编号：</t>
        </r>
        <r>
          <rPr>
            <sz val="10"/>
            <rFont val="Arial"/>
            <family val="2"/>
          </rPr>
          <t xml:space="preserve">AR22_PORT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K-83</t>
        </r>
        <r>
          <rPr>
            <sz val="10"/>
            <rFont val="Noto Sans CJK SC"/>
            <family val="2"/>
          </rPr>
          <t xml:space="preserve">至</t>
        </r>
        <r>
          <rPr>
            <sz val="10"/>
            <rFont val="Arial"/>
            <family val="2"/>
          </rPr>
          <t xml:space="preserve">K-84</t>
        </r>
        <r>
          <rPr>
            <sz val="10"/>
            <rFont val="Noto Sans CJK SC"/>
            <family val="2"/>
          </rPr>
          <t xml:space="preserve">）
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114</xdr:row>
                <xdr:rowOff>10</xdr:rowOff>
              </xdr:from>
              <xdr:to>
                <xdr:col>7</xdr:col>
                <xdr:colOff>229</xdr:colOff>
                <xdr:row>118</xdr:row>
                <xdr:rowOff>14</xdr:rowOff>
              </xdr:to>
            </anchor>
          </commentPr>
        </mc:Choice>
        <mc:Fallback/>
      </mc:AlternateContent>
    </comment>
    <comment ref="E117"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115</xdr:row>
                <xdr:rowOff>10</xdr:rowOff>
              </xdr:from>
              <xdr:to>
                <xdr:col>7</xdr:col>
                <xdr:colOff>229</xdr:colOff>
                <xdr:row>119</xdr:row>
                <xdr:rowOff>14</xdr:rowOff>
              </xdr:to>
            </anchor>
          </commentPr>
        </mc:Choice>
        <mc:Fallback/>
      </mc:AlternateContent>
    </comment>
    <comment ref="E118"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116</xdr:row>
                <xdr:rowOff>10</xdr:rowOff>
              </xdr:from>
              <xdr:to>
                <xdr:col>7</xdr:col>
                <xdr:colOff>229</xdr:colOff>
                <xdr:row>120</xdr:row>
                <xdr:rowOff>14</xdr:rowOff>
              </xdr:to>
            </anchor>
          </commentPr>
        </mc:Choice>
        <mc:Fallback/>
      </mc:AlternateContent>
    </comment>
    <comment ref="E119"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117</xdr:row>
                <xdr:rowOff>10</xdr:rowOff>
              </xdr:from>
              <xdr:to>
                <xdr:col>7</xdr:col>
                <xdr:colOff>229</xdr:colOff>
                <xdr:row>121</xdr:row>
                <xdr:rowOff>14</xdr:rowOff>
              </xdr:to>
            </anchor>
          </commentPr>
        </mc:Choice>
        <mc:Fallback/>
      </mc:AlternateContent>
    </comment>
    <comment ref="E120"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118</xdr:row>
                <xdr:rowOff>10</xdr:rowOff>
              </xdr:from>
              <xdr:to>
                <xdr:col>7</xdr:col>
                <xdr:colOff>229</xdr:colOff>
                <xdr:row>122</xdr:row>
                <xdr:rowOff>14</xdr:rowOff>
              </xdr:to>
            </anchor>
          </commentPr>
        </mc:Choice>
        <mc:Fallback/>
      </mc:AlternateContent>
    </comment>
    <comment ref="E121" authorId="0">
      <text>
        <r>
          <rPr>
            <sz val="10"/>
            <rFont val="Noto Sans CJK SC"/>
            <family val="2"/>
          </rPr>
          <t xml:space="preserve">来源编号：</t>
        </r>
        <r>
          <rPr>
            <sz val="10"/>
            <rFont val="Arial"/>
            <family val="2"/>
          </rPr>
          <t xml:space="preserve">Q226_PORT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Note 4—Investments in equity securities</t>
        </r>
        <r>
          <rPr>
            <sz val="10"/>
            <rFont val="Noto Sans CJK SC"/>
            <family val="2"/>
          </rPr>
          <t xml:space="preserve">（第</t>
        </r>
        <r>
          <rPr>
            <sz val="10"/>
            <rFont val="Arial"/>
            <family val="2"/>
          </rPr>
          <t xml:space="preserve">9</t>
        </r>
        <r>
          <rPr>
            <sz val="10"/>
            <rFont val="Noto Sans CJK SC"/>
            <family val="2"/>
          </rPr>
          <t xml:space="preserve">页）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119</xdr:row>
                <xdr:rowOff>10</xdr:rowOff>
              </xdr:from>
              <xdr:to>
                <xdr:col>7</xdr:col>
                <xdr:colOff>229</xdr:colOff>
                <xdr:row>123</xdr:row>
                <xdr:rowOff>14</xdr:rowOff>
              </xdr:to>
            </anchor>
          </commentPr>
        </mc:Choice>
        <mc:Fallback/>
      </mc:AlternateContent>
    </comment>
    <comment ref="E122" authorId="0">
      <text>
        <r>
          <rPr>
            <sz val="10"/>
            <rFont val="Noto Sans CJK SC"/>
            <family val="2"/>
          </rPr>
          <t xml:space="preserve">来源编号：</t>
        </r>
        <r>
          <rPr>
            <sz val="10"/>
            <rFont val="Arial"/>
            <family val="2"/>
          </rPr>
          <t xml:space="preserve">AR22_PORT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K-83</t>
        </r>
        <r>
          <rPr>
            <sz val="10"/>
            <rFont val="Noto Sans CJK SC"/>
            <family val="2"/>
          </rPr>
          <t xml:space="preserve">至</t>
        </r>
        <r>
          <rPr>
            <sz val="10"/>
            <rFont val="Arial"/>
            <family val="2"/>
          </rPr>
          <t xml:space="preserve">K-84</t>
        </r>
        <r>
          <rPr>
            <sz val="10"/>
            <rFont val="Noto Sans CJK SC"/>
            <family val="2"/>
          </rPr>
          <t xml:space="preserve">）
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120</xdr:row>
                <xdr:rowOff>10</xdr:rowOff>
              </xdr:from>
              <xdr:to>
                <xdr:col>7</xdr:col>
                <xdr:colOff>229</xdr:colOff>
                <xdr:row>124</xdr:row>
                <xdr:rowOff>14</xdr:rowOff>
              </xdr:to>
            </anchor>
          </commentPr>
        </mc:Choice>
        <mc:Fallback/>
      </mc:AlternateContent>
    </comment>
    <comment ref="E123"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121</xdr:row>
                <xdr:rowOff>10</xdr:rowOff>
              </xdr:from>
              <xdr:to>
                <xdr:col>7</xdr:col>
                <xdr:colOff>229</xdr:colOff>
                <xdr:row>125</xdr:row>
                <xdr:rowOff>14</xdr:rowOff>
              </xdr:to>
            </anchor>
          </commentPr>
        </mc:Choice>
        <mc:Fallback/>
      </mc:AlternateContent>
    </comment>
    <comment ref="E124"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122</xdr:row>
                <xdr:rowOff>10</xdr:rowOff>
              </xdr:from>
              <xdr:to>
                <xdr:col>7</xdr:col>
                <xdr:colOff>229</xdr:colOff>
                <xdr:row>126</xdr:row>
                <xdr:rowOff>14</xdr:rowOff>
              </xdr:to>
            </anchor>
          </commentPr>
        </mc:Choice>
        <mc:Fallback/>
      </mc:AlternateContent>
    </comment>
    <comment ref="E125"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123</xdr:row>
                <xdr:rowOff>10</xdr:rowOff>
              </xdr:from>
              <xdr:to>
                <xdr:col>7</xdr:col>
                <xdr:colOff>229</xdr:colOff>
                <xdr:row>127</xdr:row>
                <xdr:rowOff>14</xdr:rowOff>
              </xdr:to>
            </anchor>
          </commentPr>
        </mc:Choice>
        <mc:Fallback/>
      </mc:AlternateContent>
    </comment>
    <comment ref="E126"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124</xdr:row>
                <xdr:rowOff>10</xdr:rowOff>
              </xdr:from>
              <xdr:to>
                <xdr:col>7</xdr:col>
                <xdr:colOff>229</xdr:colOff>
                <xdr:row>128</xdr:row>
                <xdr:rowOff>14</xdr:rowOff>
              </xdr:to>
            </anchor>
          </commentPr>
        </mc:Choice>
        <mc:Fallback/>
      </mc:AlternateContent>
    </comment>
    <comment ref="E127" authorId="0">
      <text>
        <r>
          <rPr>
            <sz val="10"/>
            <rFont val="Noto Sans CJK SC"/>
            <family val="2"/>
          </rPr>
          <t xml:space="preserve">来源编号：</t>
        </r>
        <r>
          <rPr>
            <sz val="10"/>
            <rFont val="Arial"/>
            <family val="2"/>
          </rPr>
          <t xml:space="preserve">Q226_PORT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Note 4—Investments in equity securities</t>
        </r>
        <r>
          <rPr>
            <sz val="10"/>
            <rFont val="Noto Sans CJK SC"/>
            <family val="2"/>
          </rPr>
          <t xml:space="preserve">（第</t>
        </r>
        <r>
          <rPr>
            <sz val="10"/>
            <rFont val="Arial"/>
            <family val="2"/>
          </rPr>
          <t xml:space="preserve">9</t>
        </r>
        <r>
          <rPr>
            <sz val="10"/>
            <rFont val="Noto Sans CJK SC"/>
            <family val="2"/>
          </rPr>
          <t xml:space="preserve">页）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125</xdr:row>
                <xdr:rowOff>10</xdr:rowOff>
              </xdr:from>
              <xdr:to>
                <xdr:col>7</xdr:col>
                <xdr:colOff>229</xdr:colOff>
                <xdr:row>129</xdr:row>
                <xdr:rowOff>14</xdr:rowOff>
              </xdr:to>
            </anchor>
          </commentPr>
        </mc:Choice>
        <mc:Fallback/>
      </mc:AlternateContent>
    </comment>
    <comment ref="E128" authorId="0">
      <text>
        <r>
          <rPr>
            <sz val="10"/>
            <rFont val="Noto Sans CJK SC"/>
            <family val="2"/>
          </rPr>
          <t xml:space="preserve">来源编号：</t>
        </r>
        <r>
          <rPr>
            <sz val="10"/>
            <rFont val="Arial"/>
            <family val="2"/>
          </rPr>
          <t xml:space="preserve">AR22_PORT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K-83</t>
        </r>
        <r>
          <rPr>
            <sz val="10"/>
            <rFont val="Noto Sans CJK SC"/>
            <family val="2"/>
          </rPr>
          <t xml:space="preserve">至</t>
        </r>
        <r>
          <rPr>
            <sz val="10"/>
            <rFont val="Arial"/>
            <family val="2"/>
          </rPr>
          <t xml:space="preserve">K-84</t>
        </r>
        <r>
          <rPr>
            <sz val="10"/>
            <rFont val="Noto Sans CJK SC"/>
            <family val="2"/>
          </rPr>
          <t xml:space="preserve">）
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126</xdr:row>
                <xdr:rowOff>10</xdr:rowOff>
              </xdr:from>
              <xdr:to>
                <xdr:col>7</xdr:col>
                <xdr:colOff>229</xdr:colOff>
                <xdr:row>130</xdr:row>
                <xdr:rowOff>14</xdr:rowOff>
              </xdr:to>
            </anchor>
          </commentPr>
        </mc:Choice>
        <mc:Fallback/>
      </mc:AlternateContent>
    </comment>
    <comment ref="E129"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127</xdr:row>
                <xdr:rowOff>10</xdr:rowOff>
              </xdr:from>
              <xdr:to>
                <xdr:col>7</xdr:col>
                <xdr:colOff>229</xdr:colOff>
                <xdr:row>131</xdr:row>
                <xdr:rowOff>14</xdr:rowOff>
              </xdr:to>
            </anchor>
          </commentPr>
        </mc:Choice>
        <mc:Fallback/>
      </mc:AlternateContent>
    </comment>
    <comment ref="E130"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128</xdr:row>
                <xdr:rowOff>10</xdr:rowOff>
              </xdr:from>
              <xdr:to>
                <xdr:col>7</xdr:col>
                <xdr:colOff>229</xdr:colOff>
                <xdr:row>132</xdr:row>
                <xdr:rowOff>14</xdr:rowOff>
              </xdr:to>
            </anchor>
          </commentPr>
        </mc:Choice>
        <mc:Fallback/>
      </mc:AlternateContent>
    </comment>
    <comment ref="E131"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129</xdr:row>
                <xdr:rowOff>10</xdr:rowOff>
              </xdr:from>
              <xdr:to>
                <xdr:col>7</xdr:col>
                <xdr:colOff>229</xdr:colOff>
                <xdr:row>133</xdr:row>
                <xdr:rowOff>14</xdr:rowOff>
              </xdr:to>
            </anchor>
          </commentPr>
        </mc:Choice>
        <mc:Fallback/>
      </mc:AlternateContent>
    </comment>
    <comment ref="E132"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130</xdr:row>
                <xdr:rowOff>10</xdr:rowOff>
              </xdr:from>
              <xdr:to>
                <xdr:col>7</xdr:col>
                <xdr:colOff>229</xdr:colOff>
                <xdr:row>134</xdr:row>
                <xdr:rowOff>14</xdr:rowOff>
              </xdr:to>
            </anchor>
          </commentPr>
        </mc:Choice>
        <mc:Fallback/>
      </mc:AlternateContent>
    </comment>
    <comment ref="E133" authorId="0">
      <text>
        <r>
          <rPr>
            <sz val="10"/>
            <rFont val="Noto Sans CJK SC"/>
            <family val="2"/>
          </rPr>
          <t xml:space="preserve">来源编号：</t>
        </r>
        <r>
          <rPr>
            <sz val="10"/>
            <rFont val="Arial"/>
            <family val="2"/>
          </rPr>
          <t xml:space="preserve">Q226_PORT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Note 4—Investments in equity securities</t>
        </r>
        <r>
          <rPr>
            <sz val="10"/>
            <rFont val="Noto Sans CJK SC"/>
            <family val="2"/>
          </rPr>
          <t xml:space="preserve">（第</t>
        </r>
        <r>
          <rPr>
            <sz val="10"/>
            <rFont val="Arial"/>
            <family val="2"/>
          </rPr>
          <t xml:space="preserve">9</t>
        </r>
        <r>
          <rPr>
            <sz val="10"/>
            <rFont val="Noto Sans CJK SC"/>
            <family val="2"/>
          </rPr>
          <t xml:space="preserve">页）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131</xdr:row>
                <xdr:rowOff>10</xdr:rowOff>
              </xdr:from>
              <xdr:to>
                <xdr:col>7</xdr:col>
                <xdr:colOff>229</xdr:colOff>
                <xdr:row>135</xdr:row>
                <xdr:rowOff>14</xdr:rowOff>
              </xdr:to>
            </anchor>
          </commentPr>
        </mc:Choice>
        <mc:Fallback/>
      </mc:AlternateContent>
    </comment>
    <comment ref="E134" authorId="0">
      <text>
        <r>
          <rPr>
            <sz val="10"/>
            <rFont val="Noto Sans CJK SC"/>
            <family val="2"/>
          </rPr>
          <t xml:space="preserve">来源编号：</t>
        </r>
        <r>
          <rPr>
            <sz val="10"/>
            <rFont val="Arial"/>
            <family val="2"/>
          </rPr>
          <t xml:space="preserve">AR22_PORT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K-83</t>
        </r>
        <r>
          <rPr>
            <sz val="10"/>
            <rFont val="Noto Sans CJK SC"/>
            <family val="2"/>
          </rPr>
          <t xml:space="preserve">至</t>
        </r>
        <r>
          <rPr>
            <sz val="10"/>
            <rFont val="Arial"/>
            <family val="2"/>
          </rPr>
          <t xml:space="preserve">K-84</t>
        </r>
        <r>
          <rPr>
            <sz val="10"/>
            <rFont val="Noto Sans CJK SC"/>
            <family val="2"/>
          </rPr>
          <t xml:space="preserve">）
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132</xdr:row>
                <xdr:rowOff>10</xdr:rowOff>
              </xdr:from>
              <xdr:to>
                <xdr:col>7</xdr:col>
                <xdr:colOff>229</xdr:colOff>
                <xdr:row>136</xdr:row>
                <xdr:rowOff>14</xdr:rowOff>
              </xdr:to>
            </anchor>
          </commentPr>
        </mc:Choice>
        <mc:Fallback/>
      </mc:AlternateContent>
    </comment>
    <comment ref="E135"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133</xdr:row>
                <xdr:rowOff>10</xdr:rowOff>
              </xdr:from>
              <xdr:to>
                <xdr:col>7</xdr:col>
                <xdr:colOff>229</xdr:colOff>
                <xdr:row>137</xdr:row>
                <xdr:rowOff>14</xdr:rowOff>
              </xdr:to>
            </anchor>
          </commentPr>
        </mc:Choice>
        <mc:Fallback/>
      </mc:AlternateContent>
    </comment>
    <comment ref="E136"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134</xdr:row>
                <xdr:rowOff>10</xdr:rowOff>
              </xdr:from>
              <xdr:to>
                <xdr:col>7</xdr:col>
                <xdr:colOff>229</xdr:colOff>
                <xdr:row>138</xdr:row>
                <xdr:rowOff>14</xdr:rowOff>
              </xdr:to>
            </anchor>
          </commentPr>
        </mc:Choice>
        <mc:Fallback/>
      </mc:AlternateContent>
    </comment>
    <comment ref="E137"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135</xdr:row>
                <xdr:rowOff>10</xdr:rowOff>
              </xdr:from>
              <xdr:to>
                <xdr:col>7</xdr:col>
                <xdr:colOff>229</xdr:colOff>
                <xdr:row>139</xdr:row>
                <xdr:rowOff>14</xdr:rowOff>
              </xdr:to>
            </anchor>
          </commentPr>
        </mc:Choice>
        <mc:Fallback/>
      </mc:AlternateContent>
    </comment>
    <comment ref="E138"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136</xdr:row>
                <xdr:rowOff>10</xdr:rowOff>
              </xdr:from>
              <xdr:to>
                <xdr:col>7</xdr:col>
                <xdr:colOff>229</xdr:colOff>
                <xdr:row>140</xdr:row>
                <xdr:rowOff>14</xdr:rowOff>
              </xdr:to>
            </anchor>
          </commentPr>
        </mc:Choice>
        <mc:Fallback/>
      </mc:AlternateContent>
    </comment>
    <comment ref="E139" authorId="0">
      <text>
        <r>
          <rPr>
            <sz val="10"/>
            <rFont val="Noto Sans CJK SC"/>
            <family val="2"/>
          </rPr>
          <t xml:space="preserve">来源编号：</t>
        </r>
        <r>
          <rPr>
            <sz val="10"/>
            <rFont val="Arial"/>
            <family val="2"/>
          </rPr>
          <t xml:space="preserve">Q226_PORT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Note 4—Investments in equity securities</t>
        </r>
        <r>
          <rPr>
            <sz val="10"/>
            <rFont val="Noto Sans CJK SC"/>
            <family val="2"/>
          </rPr>
          <t xml:space="preserve">（第</t>
        </r>
        <r>
          <rPr>
            <sz val="10"/>
            <rFont val="Arial"/>
            <family val="2"/>
          </rPr>
          <t xml:space="preserve">9</t>
        </r>
        <r>
          <rPr>
            <sz val="10"/>
            <rFont val="Noto Sans CJK SC"/>
            <family val="2"/>
          </rPr>
          <t xml:space="preserve">页）
备注：公允价值；不含按权益法核算的</t>
        </r>
        <r>
          <rPr>
            <sz val="10"/>
            <rFont val="Arial"/>
            <family val="2"/>
          </rPr>
          <t xml:space="preserve">Kraft Heinz</t>
        </r>
        <r>
          <rPr>
            <sz val="10"/>
            <rFont val="Noto Sans CJK SC"/>
            <family val="2"/>
          </rPr>
          <t xml:space="preserve">和</t>
        </r>
        <r>
          <rPr>
            <sz val="10"/>
            <rFont val="Arial"/>
            <family val="2"/>
          </rPr>
          <t xml:space="preserve">Occidental</t>
        </r>
        <r>
          <rPr>
            <sz val="10"/>
            <rFont val="Noto Sans CJK SC"/>
            <family val="2"/>
          </rPr>
          <t xml:space="preserve">普通股</t>
        </r>
      </text>
      <mc:AlternateContent>
        <mc:Choice Requires="v2">
          <commentPr autoFill="true" autoScale="false" colHidden="false" locked="false" rowHidden="false" textHAlign="justify" textVAlign="top">
            <anchor moveWithCells="false" sizeWithCells="false">
              <xdr:from>
                <xdr:col>5</xdr:col>
                <xdr:colOff>15</xdr:colOff>
                <xdr:row>137</xdr:row>
                <xdr:rowOff>10</xdr:rowOff>
              </xdr:from>
              <xdr:to>
                <xdr:col>7</xdr:col>
                <xdr:colOff>229</xdr:colOff>
                <xdr:row>141</xdr:row>
                <xdr:rowOff>14</xdr:rowOff>
              </xdr:to>
            </anchor>
          </commentPr>
        </mc:Choice>
        <mc:Fallback/>
      </mc:AlternateContent>
    </comment>
    <comment ref="E140" authorId="0">
      <text>
        <r>
          <rPr>
            <sz val="10"/>
            <rFont val="Noto Sans CJK SC"/>
            <family val="2"/>
          </rPr>
          <t xml:space="preserve">来源编号：</t>
        </r>
        <r>
          <rPr>
            <sz val="10"/>
            <rFont val="Arial"/>
            <family val="2"/>
          </rPr>
          <t xml:space="preserve">AR22_PORT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/Berkshire_2022</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K-83</t>
        </r>
        <r>
          <rPr>
            <sz val="10"/>
            <rFont val="Noto Sans CJK SC"/>
            <family val="2"/>
          </rPr>
          <t xml:space="preserve">至</t>
        </r>
        <r>
          <rPr>
            <sz val="10"/>
            <rFont val="Arial"/>
            <family val="2"/>
          </rPr>
          <t xml:space="preserve">K-84</t>
        </r>
        <r>
          <rPr>
            <sz val="10"/>
            <rFont val="Noto Sans CJK SC"/>
            <family val="2"/>
          </rPr>
          <t xml:space="preserve">）
网页：</t>
        </r>
        <r>
          <rPr>
            <sz val="10"/>
            <rFont val="Arial"/>
            <family val="2"/>
          </rPr>
          <t xml:space="preserve">https://www.berkshirehathaway.com/2022ar/2022ar.pdf
</t>
        </r>
        <r>
          <rPr>
            <sz val="10"/>
            <rFont val="Noto Sans CJK SC"/>
            <family val="2"/>
          </rPr>
          <t xml:space="preserve">访问日期：</t>
        </r>
        <r>
          <rPr>
            <sz val="10"/>
            <rFont val="Arial"/>
            <family val="2"/>
          </rPr>
          <t xml:space="preserve">2026-10-22
</t>
        </r>
        <r>
          <rPr>
            <sz val="10"/>
            <rFont val="Noto Sans CJK SC"/>
            <family val="2"/>
          </rPr>
          <t xml:space="preserve">备注：前四大持仓占比</t>
        </r>
      </text>
      <mc:AlternateContent>
        <mc:Choice Requires="v2">
          <commentPr autoFill="true" autoScale="false" colHidden="false" locked="false" rowHidden="false" textHAlign="justify" textVAlign="top">
            <anchor moveWithCells="false" sizeWithCells="false">
              <xdr:from>
                <xdr:col>5</xdr:col>
                <xdr:colOff>15</xdr:colOff>
                <xdr:row>138</xdr:row>
                <xdr:rowOff>10</xdr:rowOff>
              </xdr:from>
              <xdr:to>
                <xdr:col>7</xdr:col>
                <xdr:colOff>229</xdr:colOff>
                <xdr:row>142</xdr:row>
                <xdr:rowOff>14</xdr:rowOff>
              </xdr:to>
            </anchor>
          </commentPr>
        </mc:Choice>
        <mc:Fallback/>
      </mc:AlternateContent>
    </comment>
    <comment ref="E141"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备注：前五大持仓占比</t>
        </r>
      </text>
      <mc:AlternateContent>
        <mc:Choice Requires="v2">
          <commentPr autoFill="true" autoScale="false" colHidden="false" locked="false" rowHidden="false" textHAlign="justify" textVAlign="top">
            <anchor moveWithCells="false" sizeWithCells="false">
              <xdr:from>
                <xdr:col>5</xdr:col>
                <xdr:colOff>15</xdr:colOff>
                <xdr:row>139</xdr:row>
                <xdr:rowOff>10</xdr:rowOff>
              </xdr:from>
              <xdr:to>
                <xdr:col>7</xdr:col>
                <xdr:colOff>229</xdr:colOff>
                <xdr:row>143</xdr:row>
                <xdr:rowOff>14</xdr:rowOff>
              </xdr:to>
            </anchor>
          </commentPr>
        </mc:Choice>
        <mc:Fallback/>
      </mc:AlternateContent>
    </comment>
    <comment ref="E142" authorId="0">
      <text>
        <r>
          <rPr>
            <sz val="10"/>
            <rFont val="Noto Sans CJK SC"/>
            <family val="2"/>
          </rPr>
          <t xml:space="preserve">来源编号：</t>
        </r>
        <r>
          <rPr>
            <sz val="10"/>
            <rFont val="Arial"/>
            <family val="2"/>
          </rPr>
          <t xml:space="preserve">AR23_PORT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K-84</t>
        </r>
        <r>
          <rPr>
            <sz val="10"/>
            <rFont val="Noto Sans CJK SC"/>
            <family val="2"/>
          </rPr>
          <t xml:space="preserve">）
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备注：前五大持仓占比</t>
        </r>
      </text>
      <mc:AlternateContent>
        <mc:Choice Requires="v2">
          <commentPr autoFill="true" autoScale="false" colHidden="false" locked="false" rowHidden="false" textHAlign="justify" textVAlign="top">
            <anchor moveWithCells="false" sizeWithCells="false">
              <xdr:from>
                <xdr:col>5</xdr:col>
                <xdr:colOff>15</xdr:colOff>
                <xdr:row>140</xdr:row>
                <xdr:rowOff>10</xdr:rowOff>
              </xdr:from>
              <xdr:to>
                <xdr:col>7</xdr:col>
                <xdr:colOff>229</xdr:colOff>
                <xdr:row>144</xdr:row>
                <xdr:rowOff>14</xdr:rowOff>
              </xdr:to>
            </anchor>
          </commentPr>
        </mc:Choice>
        <mc:Fallback/>
      </mc:AlternateContent>
    </comment>
    <comment ref="E143"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备注：前五大持仓占比</t>
        </r>
      </text>
      <mc:AlternateContent>
        <mc:Choice Requires="v2">
          <commentPr autoFill="true" autoScale="false" colHidden="false" locked="false" rowHidden="false" textHAlign="justify" textVAlign="top">
            <anchor moveWithCells="false" sizeWithCells="false">
              <xdr:from>
                <xdr:col>5</xdr:col>
                <xdr:colOff>15</xdr:colOff>
                <xdr:row>141</xdr:row>
                <xdr:rowOff>10</xdr:rowOff>
              </xdr:from>
              <xdr:to>
                <xdr:col>7</xdr:col>
                <xdr:colOff>229</xdr:colOff>
                <xdr:row>145</xdr:row>
                <xdr:rowOff>14</xdr:rowOff>
              </xdr:to>
            </anchor>
          </commentPr>
        </mc:Choice>
        <mc:Fallback/>
      </mc:AlternateContent>
    </comment>
    <comment ref="E144" authorId="0">
      <text>
        <r>
          <rPr>
            <sz val="10"/>
            <rFont val="Noto Sans CJK SC"/>
            <family val="2"/>
          </rPr>
          <t xml:space="preserve">来源编号：</t>
        </r>
        <r>
          <rPr>
            <sz val="10"/>
            <rFont val="Arial"/>
            <family val="2"/>
          </rPr>
          <t xml:space="preserve">AR25_PORT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4—Investments in equity securities</t>
        </r>
        <r>
          <rPr>
            <sz val="10"/>
            <rFont val="Noto Sans CJK SC"/>
            <family val="2"/>
          </rPr>
          <t xml:space="preserve">（</t>
        </r>
        <r>
          <rPr>
            <sz val="10"/>
            <rFont val="Arial"/>
            <family val="2"/>
          </rPr>
          <t xml:space="preserve">K-79</t>
        </r>
        <r>
          <rPr>
            <sz val="10"/>
            <rFont val="Noto Sans CJK SC"/>
            <family val="2"/>
          </rPr>
          <t xml:space="preserve">）
备注：前五大持仓占比</t>
        </r>
      </text>
      <mc:AlternateContent>
        <mc:Choice Requires="v2">
          <commentPr autoFill="true" autoScale="false" colHidden="false" locked="false" rowHidden="false" textHAlign="justify" textVAlign="top">
            <anchor moveWithCells="false" sizeWithCells="false">
              <xdr:from>
                <xdr:col>5</xdr:col>
                <xdr:colOff>15</xdr:colOff>
                <xdr:row>142</xdr:row>
                <xdr:rowOff>10</xdr:rowOff>
              </xdr:from>
              <xdr:to>
                <xdr:col>7</xdr:col>
                <xdr:colOff>229</xdr:colOff>
                <xdr:row>146</xdr:row>
                <xdr:rowOff>14</xdr:rowOff>
              </xdr:to>
            </anchor>
          </commentPr>
        </mc:Choice>
        <mc:Fallback/>
      </mc:AlternateContent>
    </comment>
    <comment ref="E145" authorId="0">
      <text>
        <r>
          <rPr>
            <sz val="10"/>
            <rFont val="Noto Sans CJK SC"/>
            <family val="2"/>
          </rPr>
          <t xml:space="preserve">来源编号：</t>
        </r>
        <r>
          <rPr>
            <sz val="10"/>
            <rFont val="Arial"/>
            <family val="2"/>
          </rPr>
          <t xml:space="preserve">Q226_PORT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Note 4—Investments in equity securities</t>
        </r>
        <r>
          <rPr>
            <sz val="10"/>
            <rFont val="Noto Sans CJK SC"/>
            <family val="2"/>
          </rPr>
          <t xml:space="preserve">（第</t>
        </r>
        <r>
          <rPr>
            <sz val="10"/>
            <rFont val="Arial"/>
            <family val="2"/>
          </rPr>
          <t xml:space="preserve">9</t>
        </r>
        <r>
          <rPr>
            <sz val="10"/>
            <rFont val="Noto Sans CJK SC"/>
            <family val="2"/>
          </rPr>
          <t xml:space="preserve">页）
备注：前五大持仓占比</t>
        </r>
      </text>
      <mc:AlternateContent>
        <mc:Choice Requires="v2">
          <commentPr autoFill="true" autoScale="false" colHidden="false" locked="false" rowHidden="false" textHAlign="justify" textVAlign="top">
            <anchor moveWithCells="false" sizeWithCells="false">
              <xdr:from>
                <xdr:col>5</xdr:col>
                <xdr:colOff>15</xdr:colOff>
                <xdr:row>143</xdr:row>
                <xdr:rowOff>10</xdr:rowOff>
              </xdr:from>
              <xdr:to>
                <xdr:col>7</xdr:col>
                <xdr:colOff>229</xdr:colOff>
                <xdr:row>147</xdr:row>
                <xdr:rowOff>14</xdr:rowOff>
              </xdr:to>
            </anchor>
          </commentPr>
        </mc:Choice>
        <mc:Fallback/>
      </mc:AlternateContent>
    </comment>
    <comment ref="E146"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144</xdr:row>
                <xdr:rowOff>10</xdr:rowOff>
              </xdr:from>
              <xdr:to>
                <xdr:col>7</xdr:col>
                <xdr:colOff>229</xdr:colOff>
                <xdr:row>148</xdr:row>
                <xdr:rowOff>14</xdr:rowOff>
              </xdr:to>
            </anchor>
          </commentPr>
        </mc:Choice>
        <mc:Fallback/>
      </mc:AlternateContent>
    </comment>
    <comment ref="E147"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145</xdr:row>
                <xdr:rowOff>10</xdr:rowOff>
              </xdr:from>
              <xdr:to>
                <xdr:col>7</xdr:col>
                <xdr:colOff>229</xdr:colOff>
                <xdr:row>149</xdr:row>
                <xdr:rowOff>14</xdr:rowOff>
              </xdr:to>
            </anchor>
          </commentPr>
        </mc:Choice>
        <mc:Fallback/>
      </mc:AlternateContent>
    </comment>
    <comment ref="E148"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146</xdr:row>
                <xdr:rowOff>10</xdr:rowOff>
              </xdr:from>
              <xdr:to>
                <xdr:col>7</xdr:col>
                <xdr:colOff>229</xdr:colOff>
                <xdr:row>150</xdr:row>
                <xdr:rowOff>14</xdr:rowOff>
              </xdr:to>
            </anchor>
          </commentPr>
        </mc:Choice>
        <mc:Fallback/>
      </mc:AlternateContent>
    </comment>
    <comment ref="E149"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147</xdr:row>
                <xdr:rowOff>10</xdr:rowOff>
              </xdr:from>
              <xdr:to>
                <xdr:col>7</xdr:col>
                <xdr:colOff>229</xdr:colOff>
                <xdr:row>151</xdr:row>
                <xdr:rowOff>14</xdr:rowOff>
              </xdr:to>
            </anchor>
          </commentPr>
        </mc:Choice>
        <mc:Fallback/>
      </mc:AlternateContent>
    </comment>
    <comment ref="E150"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
</t>
        </r>
        <r>
          <rPr>
            <sz val="10"/>
            <rFont val="Noto Sans CJK SC"/>
            <family val="2"/>
          </rPr>
          <t xml:space="preserve">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148</xdr:row>
                <xdr:rowOff>10</xdr:rowOff>
              </xdr:from>
              <xdr:to>
                <xdr:col>7</xdr:col>
                <xdr:colOff>229</xdr:colOff>
                <xdr:row>152</xdr:row>
                <xdr:rowOff>14</xdr:rowOff>
              </xdr:to>
            </anchor>
          </commentPr>
        </mc:Choice>
        <mc:Fallback/>
      </mc:AlternateContent>
    </comment>
    <comment ref="E151" authorId="0">
      <text>
        <r>
          <rPr>
            <sz val="10"/>
            <rFont val="Noto Sans CJK SC"/>
            <family val="2"/>
          </rPr>
          <t xml:space="preserve">来源编号：</t>
        </r>
        <r>
          <rPr>
            <sz val="10"/>
            <rFont val="Arial"/>
            <family val="2"/>
          </rPr>
          <t xml:space="preserve">AR23_CF
</t>
        </r>
        <r>
          <rPr>
            <sz val="10"/>
            <rFont val="Noto Sans CJK SC"/>
            <family val="2"/>
          </rPr>
          <t xml:space="preserve">交付</t>
        </r>
        <r>
          <rPr>
            <sz val="10"/>
            <rFont val="Arial"/>
            <family val="2"/>
          </rPr>
          <t xml:space="preserve">/</t>
        </r>
        <r>
          <rPr>
            <sz val="10"/>
            <rFont val="Noto Sans CJK SC"/>
            <family val="2"/>
          </rPr>
          <t xml:space="preserve">来源</t>
        </r>
        <r>
          <rPr>
            <sz val="10"/>
            <rFont val="Arial"/>
            <family val="2"/>
          </rPr>
          <t xml:space="preserve">/Berkshire_2023</t>
        </r>
        <r>
          <rPr>
            <sz val="10"/>
            <rFont val="Noto Sans CJK SC"/>
            <family val="2"/>
          </rPr>
          <t xml:space="preserve">年报</t>
        </r>
        <r>
          <rPr>
            <sz val="10"/>
            <rFont val="Arial"/>
            <family val="2"/>
          </rPr>
          <t xml:space="preserve">_</t>
        </r>
        <r>
          <rPr>
            <sz val="10"/>
            <rFont val="Noto Sans CJK SC"/>
            <family val="2"/>
          </rPr>
          <t xml:space="preserve">官方</t>
        </r>
        <r>
          <rPr>
            <sz val="10"/>
            <rFont val="Arial"/>
            <family val="2"/>
          </rPr>
          <t xml:space="preserve">.pdf</t>
        </r>
        <r>
          <rPr>
            <sz val="10"/>
            <rFont val="Noto Sans CJK SC"/>
            <family val="2"/>
          </rPr>
          <t xml:space="preserve">｜</t>
        </r>
        <r>
          <rPr>
            <sz val="10"/>
            <rFont val="Arial"/>
            <family val="2"/>
          </rPr>
          <t xml:space="preserve">Consolidated Statements of Cash Flows</t>
        </r>
        <r>
          <rPr>
            <sz val="10"/>
            <rFont val="Noto Sans CJK SC"/>
            <family val="2"/>
          </rPr>
          <t xml:space="preserve">及</t>
        </r>
        <r>
          <rPr>
            <sz val="10"/>
            <rFont val="Arial"/>
            <family val="2"/>
          </rPr>
          <t xml:space="preserve">Statements of Changes in Shareholders’ Equity
</t>
        </r>
        <r>
          <rPr>
            <sz val="10"/>
            <rFont val="Noto Sans CJK SC"/>
            <family val="2"/>
          </rPr>
          <t xml:space="preserve">网页：</t>
        </r>
        <r>
          <rPr>
            <sz val="10"/>
            <rFont val="Arial"/>
            <family val="2"/>
          </rPr>
          <t xml:space="preserve">https://www.berkshirehathaway.com/2023ar/2023ar.pdf
</t>
        </r>
        <r>
          <rPr>
            <sz val="10"/>
            <rFont val="Noto Sans CJK SC"/>
            <family val="2"/>
          </rPr>
          <t xml:space="preserve">访问日期：</t>
        </r>
        <r>
          <rPr>
            <sz val="10"/>
            <rFont val="Arial"/>
            <family val="2"/>
          </rPr>
          <t xml:space="preserve">2026-10-22</t>
        </r>
      </text>
      <mc:AlternateContent>
        <mc:Choice Requires="v2">
          <commentPr autoFill="true" autoScale="false" colHidden="false" locked="false" rowHidden="false" textHAlign="justify" textVAlign="top">
            <anchor moveWithCells="false" sizeWithCells="false">
              <xdr:from>
                <xdr:col>5</xdr:col>
                <xdr:colOff>15</xdr:colOff>
                <xdr:row>149</xdr:row>
                <xdr:rowOff>10</xdr:rowOff>
              </xdr:from>
              <xdr:to>
                <xdr:col>7</xdr:col>
                <xdr:colOff>229</xdr:colOff>
                <xdr:row>153</xdr:row>
                <xdr:rowOff>14</xdr:rowOff>
              </xdr:to>
            </anchor>
          </commentPr>
        </mc:Choice>
        <mc:Fallback/>
      </mc:AlternateContent>
    </comment>
    <comment ref="E152"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150</xdr:row>
                <xdr:rowOff>10</xdr:rowOff>
              </xdr:from>
              <xdr:to>
                <xdr:col>7</xdr:col>
                <xdr:colOff>229</xdr:colOff>
                <xdr:row>154</xdr:row>
                <xdr:rowOff>14</xdr:rowOff>
              </xdr:to>
            </anchor>
          </commentPr>
        </mc:Choice>
        <mc:Fallback/>
      </mc:AlternateContent>
    </comment>
    <comment ref="E153"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151</xdr:row>
                <xdr:rowOff>10</xdr:rowOff>
              </xdr:from>
              <xdr:to>
                <xdr:col>7</xdr:col>
                <xdr:colOff>229</xdr:colOff>
                <xdr:row>155</xdr:row>
                <xdr:rowOff>14</xdr:rowOff>
              </xdr:to>
            </anchor>
          </commentPr>
        </mc:Choice>
        <mc:Fallback/>
      </mc:AlternateContent>
    </comment>
    <comment ref="E154"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152</xdr:row>
                <xdr:rowOff>10</xdr:rowOff>
              </xdr:from>
              <xdr:to>
                <xdr:col>7</xdr:col>
                <xdr:colOff>229</xdr:colOff>
                <xdr:row>156</xdr:row>
                <xdr:rowOff>14</xdr:rowOff>
              </xdr:to>
            </anchor>
          </commentPr>
        </mc:Choice>
        <mc:Fallback/>
      </mc:AlternateContent>
    </comment>
    <comment ref="E155"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153</xdr:row>
                <xdr:rowOff>10</xdr:rowOff>
              </xdr:from>
              <xdr:to>
                <xdr:col>7</xdr:col>
                <xdr:colOff>229</xdr:colOff>
                <xdr:row>157</xdr:row>
                <xdr:rowOff>14</xdr:rowOff>
              </xdr:to>
            </anchor>
          </commentPr>
        </mc:Choice>
        <mc:Fallback/>
      </mc:AlternateContent>
    </comment>
    <comment ref="E156"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154</xdr:row>
                <xdr:rowOff>10</xdr:rowOff>
              </xdr:from>
              <xdr:to>
                <xdr:col>7</xdr:col>
                <xdr:colOff>229</xdr:colOff>
                <xdr:row>158</xdr:row>
                <xdr:rowOff>14</xdr:rowOff>
              </xdr:to>
            </anchor>
          </commentPr>
        </mc:Choice>
        <mc:Fallback/>
      </mc:AlternateContent>
    </comment>
    <comment ref="E157"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155</xdr:row>
                <xdr:rowOff>10</xdr:rowOff>
              </xdr:from>
              <xdr:to>
                <xdr:col>7</xdr:col>
                <xdr:colOff>229</xdr:colOff>
                <xdr:row>159</xdr:row>
                <xdr:rowOff>14</xdr:rowOff>
              </xdr:to>
            </anchor>
          </commentPr>
        </mc:Choice>
        <mc:Fallback/>
      </mc:AlternateContent>
    </comment>
    <comment ref="E158"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156</xdr:row>
                <xdr:rowOff>10</xdr:rowOff>
              </xdr:from>
              <xdr:to>
                <xdr:col>7</xdr:col>
                <xdr:colOff>229</xdr:colOff>
                <xdr:row>160</xdr:row>
                <xdr:rowOff>14</xdr:rowOff>
              </xdr:to>
            </anchor>
          </commentPr>
        </mc:Choice>
        <mc:Fallback/>
      </mc:AlternateContent>
    </comment>
    <comment ref="E159"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
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157</xdr:row>
                <xdr:rowOff>10</xdr:rowOff>
              </xdr:from>
              <xdr:to>
                <xdr:col>7</xdr:col>
                <xdr:colOff>229</xdr:colOff>
                <xdr:row>161</xdr:row>
                <xdr:rowOff>14</xdr:rowOff>
              </xdr:to>
            </anchor>
          </commentPr>
        </mc:Choice>
        <mc:Fallback/>
      </mc:AlternateContent>
    </comment>
    <comment ref="E160" authorId="0">
      <text>
        <r>
          <rPr>
            <sz val="10"/>
            <rFont val="Noto Sans CJK SC"/>
            <family val="2"/>
          </rPr>
          <t xml:space="preserve">来源编号：</t>
        </r>
        <r>
          <rPr>
            <sz val="10"/>
            <rFont val="Arial"/>
            <family val="2"/>
          </rPr>
          <t xml:space="preserve">AR25_CF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Consolidated Statements of Cash Flows</t>
        </r>
        <r>
          <rPr>
            <sz val="10"/>
            <rFont val="Noto Sans CJK SC"/>
            <family val="2"/>
          </rPr>
          <t xml:space="preserve">（</t>
        </r>
        <r>
          <rPr>
            <sz val="10"/>
            <rFont val="Arial"/>
            <family val="2"/>
          </rPr>
          <t xml:space="preserve">K-70</t>
        </r>
        <r>
          <rPr>
            <sz val="10"/>
            <rFont val="Noto Sans CJK SC"/>
            <family val="2"/>
          </rPr>
          <t xml:space="preserve">）</t>
        </r>
      </text>
      <mc:AlternateContent>
        <mc:Choice Requires="v2">
          <commentPr autoFill="true" autoScale="false" colHidden="false" locked="false" rowHidden="false" textHAlign="justify" textVAlign="top">
            <anchor moveWithCells="false" sizeWithCells="false">
              <xdr:from>
                <xdr:col>5</xdr:col>
                <xdr:colOff>15</xdr:colOff>
                <xdr:row>158</xdr:row>
                <xdr:rowOff>10</xdr:rowOff>
              </xdr:from>
              <xdr:to>
                <xdr:col>7</xdr:col>
                <xdr:colOff>229</xdr:colOff>
                <xdr:row>162</xdr:row>
                <xdr:rowOff>14</xdr:rowOff>
              </xdr:to>
            </anchor>
          </commentPr>
        </mc:Choice>
        <mc:Fallback/>
      </mc:AlternateContent>
    </comment>
    <comment ref="E161"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159</xdr:row>
                <xdr:rowOff>10</xdr:rowOff>
              </xdr:from>
              <xdr:to>
                <xdr:col>7</xdr:col>
                <xdr:colOff>229</xdr:colOff>
                <xdr:row>163</xdr:row>
                <xdr:rowOff>14</xdr:rowOff>
              </xdr:to>
            </anchor>
          </commentPr>
        </mc:Choice>
        <mc:Fallback/>
      </mc:AlternateContent>
    </comment>
    <comment ref="E162"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
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160</xdr:row>
                <xdr:rowOff>10</xdr:rowOff>
              </xdr:from>
              <xdr:to>
                <xdr:col>7</xdr:col>
                <xdr:colOff>229</xdr:colOff>
                <xdr:row>164</xdr:row>
                <xdr:rowOff>14</xdr:rowOff>
              </xdr:to>
            </anchor>
          </commentPr>
        </mc:Choice>
        <mc:Fallback/>
      </mc:AlternateContent>
    </comment>
    <comment ref="E163"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161</xdr:row>
                <xdr:rowOff>10</xdr:rowOff>
              </xdr:from>
              <xdr:to>
                <xdr:col>7</xdr:col>
                <xdr:colOff>229</xdr:colOff>
                <xdr:row>165</xdr:row>
                <xdr:rowOff>14</xdr:rowOff>
              </xdr:to>
            </anchor>
          </commentPr>
        </mc:Choice>
        <mc:Fallback/>
      </mc:AlternateContent>
    </comment>
    <comment ref="E164"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
备注：正数表示现金流出绝对值</t>
        </r>
      </text>
      <mc:AlternateContent>
        <mc:Choice Requires="v2">
          <commentPr autoFill="true" autoScale="false" colHidden="false" locked="false" rowHidden="false" textHAlign="justify" textVAlign="top">
            <anchor moveWithCells="false" sizeWithCells="false">
              <xdr:from>
                <xdr:col>5</xdr:col>
                <xdr:colOff>15</xdr:colOff>
                <xdr:row>162</xdr:row>
                <xdr:rowOff>10</xdr:rowOff>
              </xdr:from>
              <xdr:to>
                <xdr:col>7</xdr:col>
                <xdr:colOff>229</xdr:colOff>
                <xdr:row>166</xdr:row>
                <xdr:rowOff>14</xdr:rowOff>
              </xdr:to>
            </anchor>
          </commentPr>
        </mc:Choice>
        <mc:Fallback/>
      </mc:AlternateContent>
    </comment>
    <comment ref="E165"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
备注：正数表示现金流入</t>
        </r>
      </text>
      <mc:AlternateContent>
        <mc:Choice Requires="v2">
          <commentPr autoFill="true" autoScale="false" colHidden="false" locked="false" rowHidden="false" textHAlign="justify" textVAlign="top">
            <anchor moveWithCells="false" sizeWithCells="false">
              <xdr:from>
                <xdr:col>5</xdr:col>
                <xdr:colOff>15</xdr:colOff>
                <xdr:row>163</xdr:row>
                <xdr:rowOff>10</xdr:rowOff>
              </xdr:from>
              <xdr:to>
                <xdr:col>7</xdr:col>
                <xdr:colOff>229</xdr:colOff>
                <xdr:row>167</xdr:row>
                <xdr:rowOff>14</xdr:rowOff>
              </xdr:to>
            </anchor>
          </commentPr>
        </mc:Choice>
        <mc:Fallback/>
      </mc:AlternateContent>
    </comment>
    <comment ref="E166" authorId="0">
      <text>
        <r>
          <rPr>
            <sz val="10"/>
            <rFont val="Noto Sans CJK SC"/>
            <family val="2"/>
          </rPr>
          <t xml:space="preserve">来源编号：</t>
        </r>
        <r>
          <rPr>
            <sz val="10"/>
            <rFont val="Arial"/>
            <family val="2"/>
          </rPr>
          <t xml:space="preserve">Q226_CF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Consolidated Statements of Cash Flows</t>
        </r>
        <r>
          <rPr>
            <sz val="10"/>
            <rFont val="Noto Sans CJK SC"/>
            <family val="2"/>
          </rPr>
          <t xml:space="preserve">（第</t>
        </r>
        <r>
          <rPr>
            <sz val="10"/>
            <rFont val="Arial"/>
            <family val="2"/>
          </rPr>
          <t xml:space="preserve">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164</xdr:row>
                <xdr:rowOff>10</xdr:rowOff>
              </xdr:from>
              <xdr:to>
                <xdr:col>7</xdr:col>
                <xdr:colOff>229</xdr:colOff>
                <xdr:row>168</xdr:row>
                <xdr:rowOff>14</xdr:rowOff>
              </xdr:to>
            </anchor>
          </commentPr>
        </mc:Choice>
        <mc:Fallback/>
      </mc:AlternateContent>
    </comment>
    <comment ref="E167"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165</xdr:row>
                <xdr:rowOff>10</xdr:rowOff>
              </xdr:from>
              <xdr:to>
                <xdr:col>7</xdr:col>
                <xdr:colOff>229</xdr:colOff>
                <xdr:row>169</xdr:row>
                <xdr:rowOff>14</xdr:rowOff>
              </xdr:to>
            </anchor>
          </commentPr>
        </mc:Choice>
        <mc:Fallback/>
      </mc:AlternateContent>
    </comment>
    <comment ref="E168"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166</xdr:row>
                <xdr:rowOff>10</xdr:rowOff>
              </xdr:from>
              <xdr:to>
                <xdr:col>7</xdr:col>
                <xdr:colOff>229</xdr:colOff>
                <xdr:row>170</xdr:row>
                <xdr:rowOff>14</xdr:rowOff>
              </xdr:to>
            </anchor>
          </commentPr>
        </mc:Choice>
        <mc:Fallback/>
      </mc:AlternateContent>
    </comment>
    <comment ref="E169"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167</xdr:row>
                <xdr:rowOff>10</xdr:rowOff>
              </xdr:from>
              <xdr:to>
                <xdr:col>7</xdr:col>
                <xdr:colOff>229</xdr:colOff>
                <xdr:row>171</xdr:row>
                <xdr:rowOff>14</xdr:rowOff>
              </xdr:to>
            </anchor>
          </commentPr>
        </mc:Choice>
        <mc:Fallback/>
      </mc:AlternateContent>
    </comment>
    <comment ref="E170"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168</xdr:row>
                <xdr:rowOff>10</xdr:rowOff>
              </xdr:from>
              <xdr:to>
                <xdr:col>7</xdr:col>
                <xdr:colOff>229</xdr:colOff>
                <xdr:row>172</xdr:row>
                <xdr:rowOff>14</xdr:rowOff>
              </xdr:to>
            </anchor>
          </commentPr>
        </mc:Choice>
        <mc:Fallback/>
      </mc:AlternateContent>
    </comment>
    <comment ref="E171"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169</xdr:row>
                <xdr:rowOff>10</xdr:rowOff>
              </xdr:from>
              <xdr:to>
                <xdr:col>7</xdr:col>
                <xdr:colOff>229</xdr:colOff>
                <xdr:row>173</xdr:row>
                <xdr:rowOff>14</xdr:rowOff>
              </xdr:to>
            </anchor>
          </commentPr>
        </mc:Choice>
        <mc:Fallback/>
      </mc:AlternateContent>
    </comment>
    <comment ref="E172"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170</xdr:row>
                <xdr:rowOff>10</xdr:rowOff>
              </xdr:from>
              <xdr:to>
                <xdr:col>7</xdr:col>
                <xdr:colOff>229</xdr:colOff>
                <xdr:row>174</xdr:row>
                <xdr:rowOff>14</xdr:rowOff>
              </xdr:to>
            </anchor>
          </commentPr>
        </mc:Choice>
        <mc:Fallback/>
      </mc:AlternateContent>
    </comment>
    <comment ref="E173"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171</xdr:row>
                <xdr:rowOff>10</xdr:rowOff>
              </xdr:from>
              <xdr:to>
                <xdr:col>7</xdr:col>
                <xdr:colOff>229</xdr:colOff>
                <xdr:row>175</xdr:row>
                <xdr:rowOff>14</xdr:rowOff>
              </xdr:to>
            </anchor>
          </commentPr>
        </mc:Choice>
        <mc:Fallback/>
      </mc:AlternateContent>
    </comment>
    <comment ref="E174"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172</xdr:row>
                <xdr:rowOff>10</xdr:rowOff>
              </xdr:from>
              <xdr:to>
                <xdr:col>7</xdr:col>
                <xdr:colOff>229</xdr:colOff>
                <xdr:row>176</xdr:row>
                <xdr:rowOff>14</xdr:rowOff>
              </xdr:to>
            </anchor>
          </commentPr>
        </mc:Choice>
        <mc:Fallback/>
      </mc:AlternateContent>
    </comment>
    <comment ref="E175"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173</xdr:row>
                <xdr:rowOff>10</xdr:rowOff>
              </xdr:from>
              <xdr:to>
                <xdr:col>7</xdr:col>
                <xdr:colOff>229</xdr:colOff>
                <xdr:row>177</xdr:row>
                <xdr:rowOff>14</xdr:rowOff>
              </xdr:to>
            </anchor>
          </commentPr>
        </mc:Choice>
        <mc:Fallback/>
      </mc:AlternateContent>
    </comment>
    <comment ref="E176"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174</xdr:row>
                <xdr:rowOff>10</xdr:rowOff>
              </xdr:from>
              <xdr:to>
                <xdr:col>7</xdr:col>
                <xdr:colOff>229</xdr:colOff>
                <xdr:row>178</xdr:row>
                <xdr:rowOff>14</xdr:rowOff>
              </xdr:to>
            </anchor>
          </commentPr>
        </mc:Choice>
        <mc:Fallback/>
      </mc:AlternateContent>
    </comment>
    <comment ref="E177"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175</xdr:row>
                <xdr:rowOff>10</xdr:rowOff>
              </xdr:from>
              <xdr:to>
                <xdr:col>7</xdr:col>
                <xdr:colOff>229</xdr:colOff>
                <xdr:row>179</xdr:row>
                <xdr:rowOff>14</xdr:rowOff>
              </xdr:to>
            </anchor>
          </commentPr>
        </mc:Choice>
        <mc:Fallback/>
      </mc:AlternateContent>
    </comment>
    <comment ref="E178"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176</xdr:row>
                <xdr:rowOff>10</xdr:rowOff>
              </xdr:from>
              <xdr:to>
                <xdr:col>7</xdr:col>
                <xdr:colOff>229</xdr:colOff>
                <xdr:row>180</xdr:row>
                <xdr:rowOff>14</xdr:rowOff>
              </xdr:to>
            </anchor>
          </commentPr>
        </mc:Choice>
        <mc:Fallback/>
      </mc:AlternateContent>
    </comment>
    <comment ref="E179"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177</xdr:row>
                <xdr:rowOff>10</xdr:rowOff>
              </xdr:from>
              <xdr:to>
                <xdr:col>7</xdr:col>
                <xdr:colOff>229</xdr:colOff>
                <xdr:row>181</xdr:row>
                <xdr:rowOff>14</xdr:rowOff>
              </xdr:to>
            </anchor>
          </commentPr>
        </mc:Choice>
        <mc:Fallback/>
      </mc:AlternateContent>
    </comment>
    <comment ref="E180"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178</xdr:row>
                <xdr:rowOff>10</xdr:rowOff>
              </xdr:from>
              <xdr:to>
                <xdr:col>7</xdr:col>
                <xdr:colOff>229</xdr:colOff>
                <xdr:row>182</xdr:row>
                <xdr:rowOff>14</xdr:rowOff>
              </xdr:to>
            </anchor>
          </commentPr>
        </mc:Choice>
        <mc:Fallback/>
      </mc:AlternateContent>
    </comment>
    <comment ref="E181"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179</xdr:row>
                <xdr:rowOff>10</xdr:rowOff>
              </xdr:from>
              <xdr:to>
                <xdr:col>7</xdr:col>
                <xdr:colOff>229</xdr:colOff>
                <xdr:row>183</xdr:row>
                <xdr:rowOff>14</xdr:rowOff>
              </xdr:to>
            </anchor>
          </commentPr>
        </mc:Choice>
        <mc:Fallback/>
      </mc:AlternateContent>
    </comment>
    <comment ref="E182"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180</xdr:row>
                <xdr:rowOff>10</xdr:rowOff>
              </xdr:from>
              <xdr:to>
                <xdr:col>7</xdr:col>
                <xdr:colOff>229</xdr:colOff>
                <xdr:row>184</xdr:row>
                <xdr:rowOff>14</xdr:rowOff>
              </xdr:to>
            </anchor>
          </commentPr>
        </mc:Choice>
        <mc:Fallback/>
      </mc:AlternateContent>
    </comment>
    <comment ref="E183"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181</xdr:row>
                <xdr:rowOff>10</xdr:rowOff>
              </xdr:from>
              <xdr:to>
                <xdr:col>7</xdr:col>
                <xdr:colOff>229</xdr:colOff>
                <xdr:row>185</xdr:row>
                <xdr:rowOff>14</xdr:rowOff>
              </xdr:to>
            </anchor>
          </commentPr>
        </mc:Choice>
        <mc:Fallback/>
      </mc:AlternateContent>
    </comment>
    <comment ref="E184"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182</xdr:row>
                <xdr:rowOff>10</xdr:rowOff>
              </xdr:from>
              <xdr:to>
                <xdr:col>7</xdr:col>
                <xdr:colOff>229</xdr:colOff>
                <xdr:row>186</xdr:row>
                <xdr:rowOff>14</xdr:rowOff>
              </xdr:to>
            </anchor>
          </commentPr>
        </mc:Choice>
        <mc:Fallback/>
      </mc:AlternateContent>
    </comment>
    <comment ref="E185"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183</xdr:row>
                <xdr:rowOff>10</xdr:rowOff>
              </xdr:from>
              <xdr:to>
                <xdr:col>7</xdr:col>
                <xdr:colOff>229</xdr:colOff>
                <xdr:row>187</xdr:row>
                <xdr:rowOff>14</xdr:rowOff>
              </xdr:to>
            </anchor>
          </commentPr>
        </mc:Choice>
        <mc:Fallback/>
      </mc:AlternateContent>
    </comment>
    <comment ref="E186"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184</xdr:row>
                <xdr:rowOff>10</xdr:rowOff>
              </xdr:from>
              <xdr:to>
                <xdr:col>7</xdr:col>
                <xdr:colOff>229</xdr:colOff>
                <xdr:row>188</xdr:row>
                <xdr:rowOff>14</xdr:rowOff>
              </xdr:to>
            </anchor>
          </commentPr>
        </mc:Choice>
        <mc:Fallback/>
      </mc:AlternateContent>
    </comment>
    <comment ref="E187"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185</xdr:row>
                <xdr:rowOff>10</xdr:rowOff>
              </xdr:from>
              <xdr:to>
                <xdr:col>7</xdr:col>
                <xdr:colOff>229</xdr:colOff>
                <xdr:row>189</xdr:row>
                <xdr:rowOff>14</xdr:rowOff>
              </xdr:to>
            </anchor>
          </commentPr>
        </mc:Choice>
        <mc:Fallback/>
      </mc:AlternateContent>
    </comment>
    <comment ref="E188"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186</xdr:row>
                <xdr:rowOff>10</xdr:rowOff>
              </xdr:from>
              <xdr:to>
                <xdr:col>7</xdr:col>
                <xdr:colOff>229</xdr:colOff>
                <xdr:row>190</xdr:row>
                <xdr:rowOff>14</xdr:rowOff>
              </xdr:to>
            </anchor>
          </commentPr>
        </mc:Choice>
        <mc:Fallback/>
      </mc:AlternateContent>
    </comment>
    <comment ref="E189"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187</xdr:row>
                <xdr:rowOff>10</xdr:rowOff>
              </xdr:from>
              <xdr:to>
                <xdr:col>7</xdr:col>
                <xdr:colOff>229</xdr:colOff>
                <xdr:row>191</xdr:row>
                <xdr:rowOff>14</xdr:rowOff>
              </xdr:to>
            </anchor>
          </commentPr>
        </mc:Choice>
        <mc:Fallback/>
      </mc:AlternateContent>
    </comment>
    <comment ref="E190"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188</xdr:row>
                <xdr:rowOff>10</xdr:rowOff>
              </xdr:from>
              <xdr:to>
                <xdr:col>7</xdr:col>
                <xdr:colOff>229</xdr:colOff>
                <xdr:row>192</xdr:row>
                <xdr:rowOff>14</xdr:rowOff>
              </xdr:to>
            </anchor>
          </commentPr>
        </mc:Choice>
        <mc:Fallback/>
      </mc:AlternateContent>
    </comment>
    <comment ref="E191"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189</xdr:row>
                <xdr:rowOff>10</xdr:rowOff>
              </xdr:from>
              <xdr:to>
                <xdr:col>7</xdr:col>
                <xdr:colOff>229</xdr:colOff>
                <xdr:row>193</xdr:row>
                <xdr:rowOff>14</xdr:rowOff>
              </xdr:to>
            </anchor>
          </commentPr>
        </mc:Choice>
        <mc:Fallback/>
      </mc:AlternateContent>
    </comment>
    <comment ref="E192"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190</xdr:row>
                <xdr:rowOff>10</xdr:rowOff>
              </xdr:from>
              <xdr:to>
                <xdr:col>7</xdr:col>
                <xdr:colOff>229</xdr:colOff>
                <xdr:row>194</xdr:row>
                <xdr:rowOff>14</xdr:rowOff>
              </xdr:to>
            </anchor>
          </commentPr>
        </mc:Choice>
        <mc:Fallback/>
      </mc:AlternateContent>
    </comment>
    <comment ref="E193"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191</xdr:row>
                <xdr:rowOff>10</xdr:rowOff>
              </xdr:from>
              <xdr:to>
                <xdr:col>7</xdr:col>
                <xdr:colOff>229</xdr:colOff>
                <xdr:row>195</xdr:row>
                <xdr:rowOff>14</xdr:rowOff>
              </xdr:to>
            </anchor>
          </commentPr>
        </mc:Choice>
        <mc:Fallback/>
      </mc:AlternateContent>
    </comment>
    <comment ref="E194"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t>
        </r>
      </text>
      <mc:AlternateContent>
        <mc:Choice Requires="v2">
          <commentPr autoFill="true" autoScale="false" colHidden="false" locked="false" rowHidden="false" textHAlign="justify" textVAlign="top">
            <anchor moveWithCells="false" sizeWithCells="false">
              <xdr:from>
                <xdr:col>5</xdr:col>
                <xdr:colOff>15</xdr:colOff>
                <xdr:row>192</xdr:row>
                <xdr:rowOff>10</xdr:rowOff>
              </xdr:from>
              <xdr:to>
                <xdr:col>7</xdr:col>
                <xdr:colOff>229</xdr:colOff>
                <xdr:row>196</xdr:row>
                <xdr:rowOff>14</xdr:rowOff>
              </xdr:to>
            </anchor>
          </commentPr>
        </mc:Choice>
        <mc:Fallback/>
      </mc:AlternateContent>
    </comment>
    <comment ref="E195"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
备注：</t>
        </r>
        <r>
          <rPr>
            <sz val="10"/>
            <rFont val="Arial"/>
            <family val="2"/>
          </rPr>
          <t xml:space="preserve">2026</t>
        </r>
        <r>
          <rPr>
            <sz val="10"/>
            <rFont val="Noto Sans CJK SC"/>
            <family val="2"/>
          </rPr>
          <t xml:space="preserve">年</t>
        </r>
        <r>
          <rPr>
            <sz val="10"/>
            <rFont val="Arial"/>
            <family val="2"/>
          </rPr>
          <t xml:space="preserve">1</t>
        </r>
        <r>
          <rPr>
            <sz val="10"/>
            <rFont val="Noto Sans CJK SC"/>
            <family val="2"/>
          </rPr>
          <t xml:space="preserve">月</t>
        </r>
        <r>
          <rPr>
            <sz val="10"/>
            <rFont val="Arial"/>
            <family val="2"/>
          </rPr>
          <t xml:space="preserve">2</t>
        </r>
        <r>
          <rPr>
            <sz val="10"/>
            <rFont val="Noto Sans CJK SC"/>
            <family val="2"/>
          </rPr>
          <t xml:space="preserve">日起并表</t>
        </r>
      </text>
      <mc:AlternateContent>
        <mc:Choice Requires="v2">
          <commentPr autoFill="true" autoScale="false" colHidden="false" locked="false" rowHidden="false" textHAlign="justify" textVAlign="top">
            <anchor moveWithCells="false" sizeWithCells="false">
              <xdr:from>
                <xdr:col>5</xdr:col>
                <xdr:colOff>15</xdr:colOff>
                <xdr:row>193</xdr:row>
                <xdr:rowOff>10</xdr:rowOff>
              </xdr:from>
              <xdr:to>
                <xdr:col>7</xdr:col>
                <xdr:colOff>229</xdr:colOff>
                <xdr:row>197</xdr:row>
                <xdr:rowOff>14</xdr:rowOff>
              </xdr:to>
            </anchor>
          </commentPr>
        </mc:Choice>
        <mc:Fallback/>
      </mc:AlternateContent>
    </comment>
    <comment ref="E196" authorId="0">
      <text>
        <r>
          <rPr>
            <sz val="10"/>
            <rFont val="Noto Sans CJK SC"/>
            <family val="2"/>
          </rPr>
          <t xml:space="preserve">来源编号：</t>
        </r>
        <r>
          <rPr>
            <sz val="10"/>
            <rFont val="Arial"/>
            <family val="2"/>
          </rPr>
          <t xml:space="preserve">Q226_DETAIL
</t>
        </r>
        <r>
          <rPr>
            <sz val="10"/>
            <rFont val="Noto Sans CJK SC"/>
            <family val="2"/>
          </rPr>
          <t xml:space="preserve">材料</t>
        </r>
        <r>
          <rPr>
            <sz val="10"/>
            <rFont val="Arial"/>
            <family val="2"/>
          </rPr>
          <t xml:space="preserve">/Berkshire_2026Q2</t>
        </r>
        <r>
          <rPr>
            <sz val="10"/>
            <rFont val="Noto Sans CJK SC"/>
            <family val="2"/>
          </rPr>
          <t xml:space="preserve">季报</t>
        </r>
        <r>
          <rPr>
            <sz val="10"/>
            <rFont val="Arial"/>
            <family val="2"/>
          </rPr>
          <t xml:space="preserve">__brka-20260630.htm</t>
        </r>
        <r>
          <rPr>
            <sz val="10"/>
            <rFont val="Noto Sans CJK SC"/>
            <family val="2"/>
          </rPr>
          <t xml:space="preserve">｜</t>
        </r>
        <r>
          <rPr>
            <sz val="10"/>
            <rFont val="Arial"/>
            <family val="2"/>
          </rPr>
          <t xml:space="preserve">Item 2—GEICO</t>
        </r>
        <r>
          <rPr>
            <sz val="10"/>
            <rFont val="Noto Sans CJK SC"/>
            <family val="2"/>
          </rPr>
          <t xml:space="preserve">、</t>
        </r>
        <r>
          <rPr>
            <sz val="10"/>
            <rFont val="Arial"/>
            <family val="2"/>
          </rPr>
          <t xml:space="preserve">BNSF</t>
        </r>
        <r>
          <rPr>
            <sz val="10"/>
            <rFont val="Noto Sans CJK SC"/>
            <family val="2"/>
          </rPr>
          <t xml:space="preserve">、</t>
        </r>
        <r>
          <rPr>
            <sz val="10"/>
            <rFont val="Arial"/>
            <family val="2"/>
          </rPr>
          <t xml:space="preserve">BHE</t>
        </r>
        <r>
          <rPr>
            <sz val="10"/>
            <rFont val="Noto Sans CJK SC"/>
            <family val="2"/>
          </rPr>
          <t xml:space="preserve">、</t>
        </r>
        <r>
          <rPr>
            <sz val="10"/>
            <rFont val="Arial"/>
            <family val="2"/>
          </rPr>
          <t xml:space="preserve">Manufacturing</t>
        </r>
        <r>
          <rPr>
            <sz val="10"/>
            <rFont val="Noto Sans CJK SC"/>
            <family val="2"/>
          </rPr>
          <t xml:space="preserve">分段（第</t>
        </r>
        <r>
          <rPr>
            <sz val="10"/>
            <rFont val="Arial"/>
            <family val="2"/>
          </rPr>
          <t xml:space="preserve">34</t>
        </r>
        <r>
          <rPr>
            <sz val="10"/>
            <rFont val="Noto Sans CJK SC"/>
            <family val="2"/>
          </rPr>
          <t xml:space="preserve">至</t>
        </r>
        <r>
          <rPr>
            <sz val="10"/>
            <rFont val="Arial"/>
            <family val="2"/>
          </rPr>
          <t xml:space="preserve">47</t>
        </r>
        <r>
          <rPr>
            <sz val="10"/>
            <rFont val="Noto Sans CJK SC"/>
            <family val="2"/>
          </rPr>
          <t xml:space="preserve">页）
备注：含收购会计折旧摊销及过渡成本影响</t>
        </r>
      </text>
      <mc:AlternateContent>
        <mc:Choice Requires="v2">
          <commentPr autoFill="true" autoScale="false" colHidden="false" locked="false" rowHidden="false" textHAlign="justify" textVAlign="top">
            <anchor moveWithCells="false" sizeWithCells="false">
              <xdr:from>
                <xdr:col>5</xdr:col>
                <xdr:colOff>15</xdr:colOff>
                <xdr:row>194</xdr:row>
                <xdr:rowOff>10</xdr:rowOff>
              </xdr:from>
              <xdr:to>
                <xdr:col>7</xdr:col>
                <xdr:colOff>229</xdr:colOff>
                <xdr:row>198</xdr:row>
                <xdr:rowOff>29</xdr:rowOff>
              </xdr:to>
            </anchor>
          </commentPr>
        </mc:Choice>
        <mc:Fallback/>
      </mc:AlternateContent>
    </comment>
    <comment ref="E197" authorId="0">
      <text>
        <r>
          <rPr>
            <sz val="10"/>
            <rFont val="Noto Sans CJK SC"/>
            <family val="2"/>
          </rPr>
          <t xml:space="preserve">来源编号：</t>
        </r>
        <r>
          <rPr>
            <sz val="10"/>
            <rFont val="Arial"/>
            <family val="2"/>
          </rPr>
          <t xml:space="preserve">AR25_ACQ
</t>
        </r>
        <r>
          <rPr>
            <sz val="10"/>
            <rFont val="Noto Sans CJK SC"/>
            <family val="2"/>
          </rPr>
          <t xml:space="preserve">材料</t>
        </r>
        <r>
          <rPr>
            <sz val="10"/>
            <rFont val="Arial"/>
            <family val="2"/>
          </rPr>
          <t xml:space="preserve">/Berkshire_2025</t>
        </r>
        <r>
          <rPr>
            <sz val="10"/>
            <rFont val="Noto Sans CJK SC"/>
            <family val="2"/>
          </rPr>
          <t xml:space="preserve">年报</t>
        </r>
        <r>
          <rPr>
            <sz val="10"/>
            <rFont val="Arial"/>
            <family val="2"/>
          </rPr>
          <t xml:space="preserve">__brka-20251231.htm</t>
        </r>
        <r>
          <rPr>
            <sz val="10"/>
            <rFont val="Noto Sans CJK SC"/>
            <family val="2"/>
          </rPr>
          <t xml:space="preserve">｜</t>
        </r>
        <r>
          <rPr>
            <sz val="10"/>
            <rFont val="Arial"/>
            <family val="2"/>
          </rPr>
          <t xml:space="preserve">Note 2—Business acquisitions</t>
        </r>
        <r>
          <rPr>
            <sz val="10"/>
            <rFont val="Noto Sans CJK SC"/>
            <family val="2"/>
          </rPr>
          <t xml:space="preserve">（</t>
        </r>
        <r>
          <rPr>
            <sz val="10"/>
            <rFont val="Arial"/>
            <family val="2"/>
          </rPr>
          <t xml:space="preserve">K-77</t>
        </r>
        <r>
          <rPr>
            <sz val="10"/>
            <rFont val="Noto Sans CJK SC"/>
            <family val="2"/>
          </rPr>
          <t xml:space="preserve">至</t>
        </r>
        <r>
          <rPr>
            <sz val="10"/>
            <rFont val="Arial"/>
            <family val="2"/>
          </rPr>
          <t xml:space="preserve">K-78</t>
        </r>
        <r>
          <rPr>
            <sz val="10"/>
            <rFont val="Noto Sans CJK SC"/>
            <family val="2"/>
          </rPr>
          <t xml:space="preserve">）
备注：</t>
        </r>
        <r>
          <rPr>
            <sz val="10"/>
            <rFont val="Arial"/>
            <family val="2"/>
          </rPr>
          <t xml:space="preserve">2026</t>
        </r>
        <r>
          <rPr>
            <sz val="10"/>
            <rFont val="Noto Sans CJK SC"/>
            <family val="2"/>
          </rPr>
          <t xml:space="preserve">年</t>
        </r>
        <r>
          <rPr>
            <sz val="10"/>
            <rFont val="Arial"/>
            <family val="2"/>
          </rPr>
          <t xml:space="preserve">1</t>
        </r>
        <r>
          <rPr>
            <sz val="10"/>
            <rFont val="Noto Sans CJK SC"/>
            <family val="2"/>
          </rPr>
          <t xml:space="preserve">月</t>
        </r>
        <r>
          <rPr>
            <sz val="10"/>
            <rFont val="Arial"/>
            <family val="2"/>
          </rPr>
          <t xml:space="preserve">2</t>
        </r>
        <r>
          <rPr>
            <sz val="10"/>
            <rFont val="Noto Sans CJK SC"/>
            <family val="2"/>
          </rPr>
          <t xml:space="preserve">日支付，可按协议调整；</t>
        </r>
        <r>
          <rPr>
            <sz val="10"/>
            <rFont val="Arial"/>
            <family val="2"/>
          </rPr>
          <t xml:space="preserve">Occidental</t>
        </r>
        <r>
          <rPr>
            <sz val="10"/>
            <rFont val="Noto Sans CJK SC"/>
            <family val="2"/>
          </rPr>
          <t xml:space="preserve">保留历史环境负债</t>
        </r>
      </text>
      <mc:AlternateContent>
        <mc:Choice Requires="v2">
          <commentPr autoFill="true" autoScale="false" colHidden="false" locked="false" rowHidden="false" textHAlign="justify" textVAlign="top">
            <anchor moveWithCells="false" sizeWithCells="false">
              <xdr:from>
                <xdr:col>5</xdr:col>
                <xdr:colOff>15</xdr:colOff>
                <xdr:row>195</xdr:row>
                <xdr:rowOff>10</xdr:rowOff>
              </xdr:from>
              <xdr:to>
                <xdr:col>7</xdr:col>
                <xdr:colOff>229</xdr:colOff>
                <xdr:row>200</xdr:row>
                <xdr:rowOff>15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5"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/2007ltr.pdf</t>
        </r>
        <r>
          <rPr>
            <sz val="10"/>
            <rFont val="Noto Sans CJK SC"/>
            <family val="2"/>
          </rPr>
          <t xml:space="preserve">，</t>
        </r>
        <r>
          <rPr>
            <sz val="10"/>
            <rFont val="Arial"/>
            <family val="2"/>
          </rPr>
          <t xml:space="preserve">Dream Businesses / See’s Candy</t>
        </r>
        <r>
          <rPr>
            <sz val="10"/>
            <rFont val="Noto Sans CJK SC"/>
            <family val="2"/>
          </rPr>
          <t xml:space="preserve">段
引文所在股东信年份：</t>
        </r>
        <r>
          <rPr>
            <sz val="10"/>
            <rFont val="Arial"/>
            <family val="2"/>
          </rPr>
          <t xml:space="preserve">2007
</t>
        </r>
        <r>
          <rPr>
            <sz val="10"/>
            <rFont val="Noto Sans CJK SC"/>
            <family val="2"/>
          </rPr>
          <t xml:space="preserve">决策年份：</t>
        </r>
        <r>
          <rPr>
            <sz val="10"/>
            <rFont val="Arial"/>
            <family val="2"/>
          </rPr>
          <t xml:space="preserve">1972</t>
        </r>
      </text>
      <mc:AlternateContent>
        <mc:Choice Requires="v2">
          <commentPr autoFill="true" autoScale="false" colHidden="false" locked="false" rowHidden="false" textHAlign="justify" textVAlign="top">
            <anchor moveWithCells="false" sizeWithCells="false">
              <xdr:from>
                <xdr:col>8</xdr:col>
                <xdr:colOff>15</xdr:colOff>
                <xdr:row>3</xdr:row>
                <xdr:rowOff>10</xdr:rowOff>
              </xdr:from>
              <xdr:to>
                <xdr:col>9</xdr:col>
                <xdr:colOff>61</xdr:colOff>
                <xdr:row>4</xdr:row>
                <xdr:rowOff>55</xdr:rowOff>
              </xdr:to>
            </anchor>
          </commentPr>
        </mc:Choice>
        <mc:Fallback/>
      </mc:AlternateContent>
    </comment>
    <comment ref="H6"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/1983ltr.html</t>
        </r>
        <r>
          <rPr>
            <sz val="10"/>
            <rFont val="Noto Sans CJK SC"/>
            <family val="2"/>
          </rPr>
          <t xml:space="preserve">，</t>
        </r>
        <r>
          <rPr>
            <sz val="10"/>
            <rFont val="Arial"/>
            <family val="2"/>
          </rPr>
          <t xml:space="preserve">Nebraska Furniture Mart</t>
        </r>
        <r>
          <rPr>
            <sz val="10"/>
            <rFont val="Noto Sans CJK SC"/>
            <family val="2"/>
          </rPr>
          <t xml:space="preserve">段
引文所在股东信年份：</t>
        </r>
        <r>
          <rPr>
            <sz val="10"/>
            <rFont val="Arial"/>
            <family val="2"/>
          </rPr>
          <t xml:space="preserve">1983
</t>
        </r>
        <r>
          <rPr>
            <sz val="10"/>
            <rFont val="Noto Sans CJK SC"/>
            <family val="2"/>
          </rPr>
          <t xml:space="preserve">决策年份：</t>
        </r>
        <r>
          <rPr>
            <sz val="10"/>
            <rFont val="Arial"/>
            <family val="2"/>
          </rPr>
          <t xml:space="preserve">1983</t>
        </r>
      </text>
      <mc:AlternateContent>
        <mc:Choice Requires="v2">
          <commentPr autoFill="true" autoScale="false" colHidden="false" locked="false" rowHidden="false" textHAlign="justify" textVAlign="top">
            <anchor moveWithCells="false" sizeWithCells="false">
              <xdr:from>
                <xdr:col>8</xdr:col>
                <xdr:colOff>15</xdr:colOff>
                <xdr:row>4</xdr:row>
                <xdr:rowOff>10</xdr:rowOff>
              </xdr:from>
              <xdr:to>
                <xdr:col>9</xdr:col>
                <xdr:colOff>61</xdr:colOff>
                <xdr:row>5</xdr:row>
                <xdr:rowOff>-124</xdr:rowOff>
              </xdr:to>
            </anchor>
          </commentPr>
        </mc:Choice>
        <mc:Fallback/>
      </mc:AlternateContent>
    </comment>
    <comment ref="H7"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/1989ltr.html</t>
        </r>
        <r>
          <rPr>
            <sz val="10"/>
            <rFont val="Noto Sans CJK SC"/>
            <family val="2"/>
          </rPr>
          <t xml:space="preserve">，</t>
        </r>
        <r>
          <rPr>
            <sz val="10"/>
            <rFont val="Arial"/>
            <family val="2"/>
          </rPr>
          <t xml:space="preserve">Common Stocks / Coca-Cola</t>
        </r>
        <r>
          <rPr>
            <sz val="10"/>
            <rFont val="Noto Sans CJK SC"/>
            <family val="2"/>
          </rPr>
          <t xml:space="preserve">段
引文所在股东信年份：</t>
        </r>
        <r>
          <rPr>
            <sz val="10"/>
            <rFont val="Arial"/>
            <family val="2"/>
          </rPr>
          <t xml:space="preserve">1989
</t>
        </r>
        <r>
          <rPr>
            <sz val="10"/>
            <rFont val="Noto Sans CJK SC"/>
            <family val="2"/>
          </rPr>
          <t xml:space="preserve">决策年份：</t>
        </r>
        <r>
          <rPr>
            <sz val="10"/>
            <rFont val="Arial"/>
            <family val="2"/>
          </rPr>
          <t xml:space="preserve">1988</t>
        </r>
      </text>
      <mc:AlternateContent>
        <mc:Choice Requires="v2">
          <commentPr autoFill="true" autoScale="false" colHidden="false" locked="false" rowHidden="false" textHAlign="justify" textVAlign="top">
            <anchor moveWithCells="false" sizeWithCells="false">
              <xdr:from>
                <xdr:col>8</xdr:col>
                <xdr:colOff>15</xdr:colOff>
                <xdr:row>5</xdr:row>
                <xdr:rowOff>10</xdr:rowOff>
              </xdr:from>
              <xdr:to>
                <xdr:col>9</xdr:col>
                <xdr:colOff>61</xdr:colOff>
                <xdr:row>6</xdr:row>
                <xdr:rowOff>-124</xdr:rowOff>
              </xdr:to>
            </anchor>
          </commentPr>
        </mc:Choice>
        <mc:Fallback/>
      </mc:AlternateContent>
    </comment>
    <comment ref="H8"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/2007ltr.pdf</t>
        </r>
        <r>
          <rPr>
            <sz val="10"/>
            <rFont val="Noto Sans CJK SC"/>
            <family val="2"/>
          </rPr>
          <t xml:space="preserve">，</t>
        </r>
        <r>
          <rPr>
            <sz val="10"/>
            <rFont val="Arial"/>
            <family val="2"/>
          </rPr>
          <t xml:space="preserve">Acquisition Mistakes / Dexter</t>
        </r>
        <r>
          <rPr>
            <sz val="10"/>
            <rFont val="Noto Sans CJK SC"/>
            <family val="2"/>
          </rPr>
          <t xml:space="preserve">段
引文所在股东信年份：</t>
        </r>
        <r>
          <rPr>
            <sz val="10"/>
            <rFont val="Arial"/>
            <family val="2"/>
          </rPr>
          <t xml:space="preserve">2007
</t>
        </r>
        <r>
          <rPr>
            <sz val="10"/>
            <rFont val="Noto Sans CJK SC"/>
            <family val="2"/>
          </rPr>
          <t xml:space="preserve">决策年份：</t>
        </r>
        <r>
          <rPr>
            <sz val="10"/>
            <rFont val="Arial"/>
            <family val="2"/>
          </rPr>
          <t xml:space="preserve">1993</t>
        </r>
      </text>
      <mc:AlternateContent>
        <mc:Choice Requires="v2">
          <commentPr autoFill="true" autoScale="false" colHidden="false" locked="false" rowHidden="false" textHAlign="justify" textVAlign="top">
            <anchor moveWithCells="false" sizeWithCells="false">
              <xdr:from>
                <xdr:col>8</xdr:col>
                <xdr:colOff>15</xdr:colOff>
                <xdr:row>6</xdr:row>
                <xdr:rowOff>10</xdr:rowOff>
              </xdr:from>
              <xdr:to>
                <xdr:col>9</xdr:col>
                <xdr:colOff>61</xdr:colOff>
                <xdr:row>7</xdr:row>
                <xdr:rowOff>-124</xdr:rowOff>
              </xdr:to>
            </anchor>
          </commentPr>
        </mc:Choice>
        <mc:Fallback/>
      </mc:AlternateContent>
    </comment>
    <comment ref="H9"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/1996ltr.html</t>
        </r>
        <r>
          <rPr>
            <sz val="10"/>
            <rFont val="Noto Sans CJK SC"/>
            <family val="2"/>
          </rPr>
          <t xml:space="preserve">，</t>
        </r>
        <r>
          <rPr>
            <sz val="10"/>
            <rFont val="Arial"/>
            <family val="2"/>
          </rPr>
          <t xml:space="preserve">Insurance—GEICO and Other Primary Operations
</t>
        </r>
        <r>
          <rPr>
            <sz val="10"/>
            <rFont val="Noto Sans CJK SC"/>
            <family val="2"/>
          </rPr>
          <t xml:space="preserve">引文所在股东信年份：</t>
        </r>
        <r>
          <rPr>
            <sz val="10"/>
            <rFont val="Arial"/>
            <family val="2"/>
          </rPr>
          <t xml:space="preserve">1996
</t>
        </r>
        <r>
          <rPr>
            <sz val="10"/>
            <rFont val="Noto Sans CJK SC"/>
            <family val="2"/>
          </rPr>
          <t xml:space="preserve">决策年份：</t>
        </r>
        <r>
          <rPr>
            <sz val="10"/>
            <rFont val="Arial"/>
            <family val="2"/>
          </rPr>
          <t xml:space="preserve">1995</t>
        </r>
      </text>
      <mc:AlternateContent>
        <mc:Choice Requires="v2">
          <commentPr autoFill="true" autoScale="false" colHidden="false" locked="false" rowHidden="false" textHAlign="justify" textVAlign="top">
            <anchor moveWithCells="false" sizeWithCells="false">
              <xdr:from>
                <xdr:col>8</xdr:col>
                <xdr:colOff>15</xdr:colOff>
                <xdr:row>7</xdr:row>
                <xdr:rowOff>10</xdr:rowOff>
              </xdr:from>
              <xdr:to>
                <xdr:col>9</xdr:col>
                <xdr:colOff>61</xdr:colOff>
                <xdr:row>8</xdr:row>
                <xdr:rowOff>-124</xdr:rowOff>
              </xdr:to>
            </anchor>
          </commentPr>
        </mc:Choice>
        <mc:Fallback/>
      </mc:AlternateContent>
    </comment>
    <comment ref="H10"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/2006ltr.pdf</t>
        </r>
        <r>
          <rPr>
            <sz val="10"/>
            <rFont val="Noto Sans CJK SC"/>
            <family val="2"/>
          </rPr>
          <t xml:space="preserve">，</t>
        </r>
        <r>
          <rPr>
            <sz val="10"/>
            <rFont val="Arial"/>
            <family val="2"/>
          </rPr>
          <t xml:space="preserve">Acquisitions / ISCAR</t>
        </r>
        <r>
          <rPr>
            <sz val="10"/>
            <rFont val="Noto Sans CJK SC"/>
            <family val="2"/>
          </rPr>
          <t xml:space="preserve">段
引文所在股东信年份：</t>
        </r>
        <r>
          <rPr>
            <sz val="10"/>
            <rFont val="Arial"/>
            <family val="2"/>
          </rPr>
          <t xml:space="preserve">2006
</t>
        </r>
        <r>
          <rPr>
            <sz val="10"/>
            <rFont val="Noto Sans CJK SC"/>
            <family val="2"/>
          </rPr>
          <t xml:space="preserve">决策年份：</t>
        </r>
        <r>
          <rPr>
            <sz val="10"/>
            <rFont val="Arial"/>
            <family val="2"/>
          </rPr>
          <t xml:space="preserve">2006</t>
        </r>
      </text>
      <mc:AlternateContent>
        <mc:Choice Requires="v2">
          <commentPr autoFill="true" autoScale="false" colHidden="false" locked="false" rowHidden="false" textHAlign="justify" textVAlign="top">
            <anchor moveWithCells="false" sizeWithCells="false">
              <xdr:from>
                <xdr:col>8</xdr:col>
                <xdr:colOff>15</xdr:colOff>
                <xdr:row>8</xdr:row>
                <xdr:rowOff>10</xdr:rowOff>
              </xdr:from>
              <xdr:to>
                <xdr:col>9</xdr:col>
                <xdr:colOff>61</xdr:colOff>
                <xdr:row>9</xdr:row>
                <xdr:rowOff>-124</xdr:rowOff>
              </xdr:to>
            </anchor>
          </commentPr>
        </mc:Choice>
        <mc:Fallback/>
      </mc:AlternateContent>
    </comment>
    <comment ref="H11"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/2008ltr.pdf</t>
        </r>
        <r>
          <rPr>
            <sz val="10"/>
            <rFont val="Noto Sans CJK SC"/>
            <family val="2"/>
          </rPr>
          <t xml:space="preserve">，</t>
        </r>
        <r>
          <rPr>
            <sz val="10"/>
            <rFont val="Arial"/>
            <family val="2"/>
          </rPr>
          <t xml:space="preserve">Investments</t>
        </r>
        <r>
          <rPr>
            <sz val="10"/>
            <rFont val="Noto Sans CJK SC"/>
            <family val="2"/>
          </rPr>
          <t xml:space="preserve">段
引文所在股东信年份：</t>
        </r>
        <r>
          <rPr>
            <sz val="10"/>
            <rFont val="Arial"/>
            <family val="2"/>
          </rPr>
          <t xml:space="preserve">2008
</t>
        </r>
        <r>
          <rPr>
            <sz val="10"/>
            <rFont val="Noto Sans CJK SC"/>
            <family val="2"/>
          </rPr>
          <t xml:space="preserve">决策年份：</t>
        </r>
        <r>
          <rPr>
            <sz val="10"/>
            <rFont val="Arial"/>
            <family val="2"/>
          </rPr>
          <t xml:space="preserve">2008</t>
        </r>
      </text>
      <mc:AlternateContent>
        <mc:Choice Requires="v2">
          <commentPr autoFill="true" autoScale="false" colHidden="false" locked="false" rowHidden="false" textHAlign="justify" textVAlign="top">
            <anchor moveWithCells="false" sizeWithCells="false">
              <xdr:from>
                <xdr:col>8</xdr:col>
                <xdr:colOff>15</xdr:colOff>
                <xdr:row>9</xdr:row>
                <xdr:rowOff>10</xdr:rowOff>
              </xdr:from>
              <xdr:to>
                <xdr:col>9</xdr:col>
                <xdr:colOff>61</xdr:colOff>
                <xdr:row>10</xdr:row>
                <xdr:rowOff>-124</xdr:rowOff>
              </xdr:to>
            </anchor>
          </commentPr>
        </mc:Choice>
        <mc:Fallback/>
      </mc:AlternateContent>
    </comment>
    <comment ref="H12"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/2009ltr.pdf</t>
        </r>
        <r>
          <rPr>
            <sz val="10"/>
            <rFont val="Noto Sans CJK SC"/>
            <family val="2"/>
          </rPr>
          <t xml:space="preserve">，</t>
        </r>
        <r>
          <rPr>
            <sz val="10"/>
            <rFont val="Arial"/>
            <family val="2"/>
          </rPr>
          <t xml:space="preserve">An Inconvenient Truth (Boardroom Overheating)
</t>
        </r>
        <r>
          <rPr>
            <sz val="10"/>
            <rFont val="Noto Sans CJK SC"/>
            <family val="2"/>
          </rPr>
          <t xml:space="preserve">引文所在股东信年份：</t>
        </r>
        <r>
          <rPr>
            <sz val="10"/>
            <rFont val="Arial"/>
            <family val="2"/>
          </rPr>
          <t xml:space="preserve">2009
</t>
        </r>
        <r>
          <rPr>
            <sz val="10"/>
            <rFont val="Noto Sans CJK SC"/>
            <family val="2"/>
          </rPr>
          <t xml:space="preserve">决策年份：</t>
        </r>
        <r>
          <rPr>
            <sz val="10"/>
            <rFont val="Arial"/>
            <family val="2"/>
          </rPr>
          <t xml:space="preserve">2009</t>
        </r>
      </text>
      <mc:AlternateContent>
        <mc:Choice Requires="v2">
          <commentPr autoFill="true" autoScale="false" colHidden="false" locked="false" rowHidden="false" textHAlign="justify" textVAlign="top">
            <anchor moveWithCells="false" sizeWithCells="false">
              <xdr:from>
                <xdr:col>8</xdr:col>
                <xdr:colOff>15</xdr:colOff>
                <xdr:row>10</xdr:row>
                <xdr:rowOff>10</xdr:rowOff>
              </xdr:from>
              <xdr:to>
                <xdr:col>9</xdr:col>
                <xdr:colOff>61</xdr:colOff>
                <xdr:row>11</xdr:row>
                <xdr:rowOff>-124</xdr:rowOff>
              </xdr:to>
            </anchor>
          </commentPr>
        </mc:Choice>
        <mc:Fallback/>
      </mc:AlternateContent>
    </comment>
    <comment ref="H13"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/2015ltr.pdf</t>
        </r>
        <r>
          <rPr>
            <sz val="10"/>
            <rFont val="Noto Sans CJK SC"/>
            <family val="2"/>
          </rPr>
          <t xml:space="preserve">，</t>
        </r>
        <r>
          <rPr>
            <sz val="10"/>
            <rFont val="Arial"/>
            <family val="2"/>
          </rPr>
          <t xml:space="preserve">Precision Castparts</t>
        </r>
        <r>
          <rPr>
            <sz val="10"/>
            <rFont val="Noto Sans CJK SC"/>
            <family val="2"/>
          </rPr>
          <t xml:space="preserve">段
引文所在股东信年份：</t>
        </r>
        <r>
          <rPr>
            <sz val="10"/>
            <rFont val="Arial"/>
            <family val="2"/>
          </rPr>
          <t xml:space="preserve">2015
</t>
        </r>
        <r>
          <rPr>
            <sz val="10"/>
            <rFont val="Noto Sans CJK SC"/>
            <family val="2"/>
          </rPr>
          <t xml:space="preserve">决策年份：</t>
        </r>
        <r>
          <rPr>
            <sz val="10"/>
            <rFont val="Arial"/>
            <family val="2"/>
          </rPr>
          <t xml:space="preserve">2015</t>
        </r>
      </text>
      <mc:AlternateContent>
        <mc:Choice Requires="v2">
          <commentPr autoFill="true" autoScale="false" colHidden="false" locked="false" rowHidden="false" textHAlign="justify" textVAlign="top">
            <anchor moveWithCells="false" sizeWithCells="false">
              <xdr:from>
                <xdr:col>8</xdr:col>
                <xdr:colOff>15</xdr:colOff>
                <xdr:row>11</xdr:row>
                <xdr:rowOff>10</xdr:rowOff>
              </xdr:from>
              <xdr:to>
                <xdr:col>9</xdr:col>
                <xdr:colOff>61</xdr:colOff>
                <xdr:row>12</xdr:row>
                <xdr:rowOff>-124</xdr:rowOff>
              </xdr:to>
            </anchor>
          </commentPr>
        </mc:Choice>
        <mc:Fallback/>
      </mc:AlternateContent>
    </comment>
    <comment ref="H14" authorId="0">
      <text>
        <r>
          <rPr>
            <sz val="10"/>
            <rFont val="Noto Sans CJK SC"/>
            <family val="2"/>
          </rPr>
          <t xml:space="preserve">材料</t>
        </r>
        <r>
          <rPr>
            <sz val="10"/>
            <rFont val="Arial"/>
            <family val="2"/>
          </rPr>
          <t xml:space="preserve">/</t>
        </r>
        <r>
          <rPr>
            <sz val="10"/>
            <rFont val="Noto Sans CJK SC"/>
            <family val="2"/>
          </rPr>
          <t xml:space="preserve">股东信</t>
        </r>
        <r>
          <rPr>
            <sz val="10"/>
            <rFont val="Arial"/>
            <family val="2"/>
          </rPr>
          <t xml:space="preserve">/2020ltr.pdf</t>
        </r>
        <r>
          <rPr>
            <sz val="10"/>
            <rFont val="Noto Sans CJK SC"/>
            <family val="2"/>
          </rPr>
          <t xml:space="preserve">，</t>
        </r>
        <r>
          <rPr>
            <sz val="10"/>
            <rFont val="Arial"/>
            <family val="2"/>
          </rPr>
          <t xml:space="preserve">Share Repurchases</t>
        </r>
        <r>
          <rPr>
            <sz val="10"/>
            <rFont val="Noto Sans CJK SC"/>
            <family val="2"/>
          </rPr>
          <t xml:space="preserve">段
引文所在股东信年份：</t>
        </r>
        <r>
          <rPr>
            <sz val="10"/>
            <rFont val="Arial"/>
            <family val="2"/>
          </rPr>
          <t xml:space="preserve">2020
</t>
        </r>
        <r>
          <rPr>
            <sz val="10"/>
            <rFont val="Noto Sans CJK SC"/>
            <family val="2"/>
          </rPr>
          <t xml:space="preserve">决策年份：</t>
        </r>
        <r>
          <rPr>
            <sz val="10"/>
            <rFont val="Arial"/>
            <family val="2"/>
          </rPr>
          <t xml:space="preserve">2020</t>
        </r>
      </text>
      <mc:AlternateContent>
        <mc:Choice Requires="v2">
          <commentPr autoFill="true" autoScale="false" colHidden="false" locked="false" rowHidden="false" textHAlign="justify" textVAlign="top">
            <anchor moveWithCells="false" sizeWithCells="false">
              <xdr:from>
                <xdr:col>8</xdr:col>
                <xdr:colOff>15</xdr:colOff>
                <xdr:row>12</xdr:row>
                <xdr:rowOff>10</xdr:rowOff>
              </xdr:from>
              <xdr:to>
                <xdr:col>9</xdr:col>
                <xdr:colOff>61</xdr:colOff>
                <xdr:row>13</xdr:row>
                <xdr:rowOff>-124</xdr:rowOff>
              </xdr:to>
            </anchor>
          </commentPr>
        </mc:Choice>
        <mc:Fallback/>
      </mc:AlternateContent>
    </comment>
  </commentList>
</comments>
</file>

<file path=xl/sharedStrings.xml><?xml version="1.0" encoding="utf-8"?>
<sst xmlns="http://schemas.openxmlformats.org/spreadsheetml/2006/main" count="1856" uniqueCount="482">
  <si>
    <t xml:space="preserve">交班之后，伯克希尔的账本</t>
  </si>
  <si>
    <r>
      <rPr>
        <sz val="11"/>
        <color rgb="FF66788A"/>
        <rFont val="Microsoft YaHei"/>
        <family val="2"/>
        <charset val="1"/>
      </rPr>
      <t xml:space="preserve">2021—2025</t>
    </r>
    <r>
      <rPr>
        <sz val="11"/>
        <color rgb="FF66788A"/>
        <rFont val="Noto Sans CJK SC"/>
        <family val="2"/>
      </rPr>
      <t xml:space="preserve">年｜</t>
    </r>
    <r>
      <rPr>
        <sz val="11"/>
        <color rgb="FF66788A"/>
        <rFont val="Microsoft YaHei"/>
        <family val="2"/>
        <charset val="1"/>
      </rPr>
      <t xml:space="preserve">2026</t>
    </r>
    <r>
      <rPr>
        <sz val="11"/>
        <color rgb="FF66788A"/>
        <rFont val="Noto Sans CJK SC"/>
        <family val="2"/>
      </rPr>
      <t xml:space="preserve">年上半年｜公式联动研究底稿</t>
    </r>
  </si>
  <si>
    <t xml:space="preserve">这份账本把经营分部、浮存金、流动性、股票组合、回购与每股账面价值放在同一套可追溯口径里。</t>
  </si>
  <si>
    <r>
      <rPr>
        <sz val="9"/>
        <color rgb="FF66788A"/>
        <rFont val="Noto Sans CJK SC"/>
        <family val="2"/>
      </rPr>
      <t xml:space="preserve">现金及短期国债
</t>
    </r>
    <r>
      <rPr>
        <sz val="9"/>
        <color rgb="FF66788A"/>
        <rFont val="Microsoft YaHei"/>
        <family val="2"/>
        <charset val="1"/>
      </rPr>
      <t xml:space="preserve">2026</t>
    </r>
    <r>
      <rPr>
        <sz val="9"/>
        <color rgb="FF66788A"/>
        <rFont val="Noto Sans CJK SC"/>
        <family val="2"/>
      </rPr>
      <t xml:space="preserve">年</t>
    </r>
    <r>
      <rPr>
        <sz val="9"/>
        <color rgb="FF66788A"/>
        <rFont val="Microsoft YaHei"/>
        <family val="2"/>
        <charset val="1"/>
      </rPr>
      <t xml:space="preserve">6</t>
    </r>
    <r>
      <rPr>
        <sz val="9"/>
        <color rgb="FF66788A"/>
        <rFont val="Noto Sans CJK SC"/>
        <family val="2"/>
      </rPr>
      <t xml:space="preserve">月末｜十亿美元</t>
    </r>
  </si>
  <si>
    <r>
      <rPr>
        <sz val="9"/>
        <color rgb="FF66788A"/>
        <rFont val="Noto Sans CJK SC"/>
        <family val="2"/>
      </rPr>
      <t xml:space="preserve">股票投资组合
</t>
    </r>
    <r>
      <rPr>
        <sz val="9"/>
        <color rgb="FF66788A"/>
        <rFont val="Microsoft YaHei"/>
        <family val="2"/>
        <charset val="1"/>
      </rPr>
      <t xml:space="preserve">2026</t>
    </r>
    <r>
      <rPr>
        <sz val="9"/>
        <color rgb="FF66788A"/>
        <rFont val="Noto Sans CJK SC"/>
        <family val="2"/>
      </rPr>
      <t xml:space="preserve">年</t>
    </r>
    <r>
      <rPr>
        <sz val="9"/>
        <color rgb="FF66788A"/>
        <rFont val="Microsoft YaHei"/>
        <family val="2"/>
        <charset val="1"/>
      </rPr>
      <t xml:space="preserve">6</t>
    </r>
    <r>
      <rPr>
        <sz val="9"/>
        <color rgb="FF66788A"/>
        <rFont val="Noto Sans CJK SC"/>
        <family val="2"/>
      </rPr>
      <t xml:space="preserve">月末｜十亿美元</t>
    </r>
  </si>
  <si>
    <r>
      <rPr>
        <sz val="9"/>
        <color rgb="FF66788A"/>
        <rFont val="Noto Sans CJK SC"/>
        <family val="2"/>
      </rPr>
      <t xml:space="preserve">保险浮存金
</t>
    </r>
    <r>
      <rPr>
        <sz val="9"/>
        <color rgb="FF66788A"/>
        <rFont val="Microsoft YaHei"/>
        <family val="2"/>
        <charset val="1"/>
      </rPr>
      <t xml:space="preserve">2026</t>
    </r>
    <r>
      <rPr>
        <sz val="9"/>
        <color rgb="FF66788A"/>
        <rFont val="Noto Sans CJK SC"/>
        <family val="2"/>
      </rPr>
      <t xml:space="preserve">年</t>
    </r>
    <r>
      <rPr>
        <sz val="9"/>
        <color rgb="FF66788A"/>
        <rFont val="Microsoft YaHei"/>
        <family val="2"/>
        <charset val="1"/>
      </rPr>
      <t xml:space="preserve">6</t>
    </r>
    <r>
      <rPr>
        <sz val="9"/>
        <color rgb="FF66788A"/>
        <rFont val="Noto Sans CJK SC"/>
        <family val="2"/>
      </rPr>
      <t xml:space="preserve">月末｜十亿美元</t>
    </r>
  </si>
  <si>
    <r>
      <rPr>
        <sz val="9"/>
        <color rgb="FF66788A"/>
        <rFont val="Microsoft YaHei"/>
        <family val="2"/>
        <charset val="1"/>
      </rPr>
      <t xml:space="preserve">A</t>
    </r>
    <r>
      <rPr>
        <sz val="9"/>
        <color rgb="FF66788A"/>
        <rFont val="Noto Sans CJK SC"/>
        <family val="2"/>
      </rPr>
      <t xml:space="preserve">类每股账面价值
</t>
    </r>
    <r>
      <rPr>
        <sz val="9"/>
        <color rgb="FF66788A"/>
        <rFont val="Microsoft YaHei"/>
        <family val="2"/>
        <charset val="1"/>
      </rPr>
      <t xml:space="preserve">2026</t>
    </r>
    <r>
      <rPr>
        <sz val="9"/>
        <color rgb="FF66788A"/>
        <rFont val="Noto Sans CJK SC"/>
        <family val="2"/>
      </rPr>
      <t xml:space="preserve">年</t>
    </r>
    <r>
      <rPr>
        <sz val="9"/>
        <color rgb="FF66788A"/>
        <rFont val="Microsoft YaHei"/>
        <family val="2"/>
        <charset val="1"/>
      </rPr>
      <t xml:space="preserve">6</t>
    </r>
    <r>
      <rPr>
        <sz val="9"/>
        <color rgb="FF66788A"/>
        <rFont val="Noto Sans CJK SC"/>
        <family val="2"/>
      </rPr>
      <t xml:space="preserve">月末｜美元</t>
    </r>
  </si>
  <si>
    <t xml:space="preserve">使用顺序</t>
  </si>
  <si>
    <t xml:space="preserve">1</t>
  </si>
  <si>
    <t xml:space="preserve">先看『变化』</t>
  </si>
  <si>
    <t xml:space="preserve">同比、占比、图表和情景结果集中在一页。</t>
  </si>
  <si>
    <t xml:space="preserve">2</t>
  </si>
  <si>
    <t xml:space="preserve">再看各主题表</t>
  </si>
  <si>
    <t xml:space="preserve">分部利润、资产负债、股票组合、经营细节均为公式取数。</t>
  </si>
  <si>
    <t xml:space="preserve">3</t>
  </si>
  <si>
    <t xml:space="preserve">到『数据』追来源</t>
  </si>
  <si>
    <t xml:space="preserve">黄色为原始输入；每个数值都有来源编号、文件名、章节和批注。</t>
  </si>
  <si>
    <t xml:space="preserve">4</t>
  </si>
  <si>
    <r>
      <rPr>
        <b val="true"/>
        <sz val="10"/>
        <color rgb="FF243447"/>
        <rFont val="Noto Sans CJK SC"/>
        <family val="2"/>
      </rPr>
      <t xml:space="preserve">修改『假设』</t>
    </r>
    <r>
      <rPr>
        <b val="true"/>
        <sz val="10"/>
        <color rgb="FF243447"/>
        <rFont val="Microsoft YaHei"/>
        <family val="2"/>
        <charset val="1"/>
      </rPr>
      <t xml:space="preserve">B3/B4</t>
    </r>
  </si>
  <si>
    <t xml:space="preserve">橙色假设输入会驱动全年情景及『变化』页；不是预测。</t>
  </si>
  <si>
    <t xml:space="preserve">5</t>
  </si>
  <si>
    <t xml:space="preserve">最后看『校验』</t>
  </si>
  <si>
    <r>
      <rPr>
        <sz val="10"/>
        <color rgb="FF243447"/>
        <rFont val="Noto Sans CJK SC"/>
        <family val="2"/>
      </rPr>
      <t xml:space="preserve">所有对账目标为</t>
    </r>
    <r>
      <rPr>
        <sz val="10"/>
        <color rgb="FF243447"/>
        <rFont val="Microsoft YaHei"/>
        <family val="2"/>
        <charset val="1"/>
      </rPr>
      <t xml:space="preserve">0</t>
    </r>
    <r>
      <rPr>
        <sz val="10"/>
        <color rgb="FF243447"/>
        <rFont val="Noto Sans CJK SC"/>
        <family val="2"/>
      </rPr>
      <t xml:space="preserve">，总状态应为</t>
    </r>
    <r>
      <rPr>
        <sz val="10"/>
        <color rgb="FF243447"/>
        <rFont val="Microsoft YaHei"/>
        <family val="2"/>
        <charset val="1"/>
      </rPr>
      <t xml:space="preserve">PASS</t>
    </r>
    <r>
      <rPr>
        <sz val="10"/>
        <color rgb="FF243447"/>
        <rFont val="Noto Sans CJK SC"/>
        <family val="2"/>
      </rPr>
      <t xml:space="preserve">。</t>
    </r>
  </si>
  <si>
    <t xml:space="preserve">颜色与口径</t>
  </si>
  <si>
    <t xml:space="preserve">黄色</t>
  </si>
  <si>
    <t xml:space="preserve">原始披露输入</t>
  </si>
  <si>
    <t xml:space="preserve">蓝色</t>
  </si>
  <si>
    <t xml:space="preserve">公式计算，不要覆盖</t>
  </si>
  <si>
    <t xml:space="preserve">橙色</t>
  </si>
  <si>
    <t xml:space="preserve">假设输入，可修改</t>
  </si>
  <si>
    <t xml:space="preserve">必须保留的解释</t>
  </si>
  <si>
    <t xml:space="preserve">• 利润：税后、归属伯克希尔股东；核心五项不含投资损益和权益法投资减值。</t>
  </si>
  <si>
    <t xml:space="preserve">• 现金及短期国债＝保险及其他现金＋铁路公用事业能源现金＋短期美国国债；不等于可自由分配现金。</t>
  </si>
  <si>
    <r>
      <rPr>
        <sz val="9"/>
        <color rgb="FF66788A"/>
        <rFont val="Noto Sans CJK SC"/>
        <family val="2"/>
      </rPr>
      <t xml:space="preserve">• 每股账面价值为本工作簿公式：归母权益</t>
    </r>
    <r>
      <rPr>
        <sz val="9"/>
        <color rgb="FF66788A"/>
        <rFont val="Microsoft YaHei"/>
        <family val="2"/>
        <charset val="1"/>
      </rPr>
      <t xml:space="preserve">÷</t>
    </r>
    <r>
      <rPr>
        <sz val="9"/>
        <color rgb="FF66788A"/>
        <rFont val="Noto Sans CJK SC"/>
        <family val="2"/>
      </rPr>
      <t xml:space="preserve">期末</t>
    </r>
    <r>
      <rPr>
        <sz val="9"/>
        <color rgb="FF66788A"/>
        <rFont val="Microsoft YaHei"/>
        <family val="2"/>
        <charset val="1"/>
      </rPr>
      <t xml:space="preserve">A</t>
    </r>
    <r>
      <rPr>
        <sz val="9"/>
        <color rgb="FF66788A"/>
        <rFont val="Noto Sans CJK SC"/>
        <family val="2"/>
      </rPr>
      <t xml:space="preserve">类等价股数；</t>
    </r>
    <r>
      <rPr>
        <sz val="9"/>
        <color rgb="FF66788A"/>
        <rFont val="Microsoft YaHei"/>
        <family val="2"/>
        <charset val="1"/>
      </rPr>
      <t xml:space="preserve">2021—2022</t>
    </r>
    <r>
      <rPr>
        <sz val="9"/>
        <color rgb="FF66788A"/>
        <rFont val="Noto Sans CJK SC"/>
        <family val="2"/>
      </rPr>
      <t xml:space="preserve">采用后续年报追溯调整口径。</t>
    </r>
  </si>
  <si>
    <r>
      <rPr>
        <sz val="9"/>
        <color rgb="FF66788A"/>
        <rFont val="Noto Sans CJK SC"/>
        <family val="2"/>
      </rPr>
      <t xml:space="preserve">• 浮存金为披露的约数；</t>
    </r>
    <r>
      <rPr>
        <sz val="9"/>
        <color rgb="FF66788A"/>
        <rFont val="Microsoft YaHei"/>
        <family val="2"/>
        <charset val="1"/>
      </rPr>
      <t xml:space="preserve">2026H1</t>
    </r>
    <r>
      <rPr>
        <sz val="9"/>
        <color rgb="FF66788A"/>
        <rFont val="Noto Sans CJK SC"/>
        <family val="2"/>
      </rPr>
      <t xml:space="preserve">与年末差额会受四舍五入影响。</t>
    </r>
  </si>
  <si>
    <t xml:space="preserve">• 研究展示用途，不构成买入、卖出、持有或目标价建议。</t>
  </si>
  <si>
    <t xml:space="preserve">游戏脚本与网页共用同一份题目、选项、分数和引文。网页仅讲历史决策，不放外部链接，不使用公司标志或国旗。</t>
  </si>
  <si>
    <t xml:space="preserve">原始数据与逐项出处</t>
  </si>
  <si>
    <t xml:space="preserve">记录</t>
  </si>
  <si>
    <t xml:space="preserve">类别</t>
  </si>
  <si>
    <t xml:space="preserve">指标</t>
  </si>
  <si>
    <t xml:space="preserve">期间</t>
  </si>
  <si>
    <t xml:space="preserve">数值</t>
  </si>
  <si>
    <t xml:space="preserve">单位</t>
  </si>
  <si>
    <t xml:space="preserve">来源编号</t>
  </si>
  <si>
    <r>
      <rPr>
        <sz val="11"/>
        <color theme="1"/>
        <rFont val="Noto Sans CJK SC"/>
        <family val="2"/>
      </rPr>
      <t xml:space="preserve">文件名＋章节</t>
    </r>
    <r>
      <rPr>
        <sz val="11"/>
        <color theme="1"/>
        <rFont val="Calibri"/>
        <family val="2"/>
        <charset val="1"/>
      </rPr>
      <t xml:space="preserve">/</t>
    </r>
    <r>
      <rPr>
        <sz val="11"/>
        <color theme="1"/>
        <rFont val="Noto Sans CJK SC"/>
        <family val="2"/>
      </rPr>
      <t xml:space="preserve">表名</t>
    </r>
  </si>
  <si>
    <t xml:space="preserve">口径与备注</t>
  </si>
  <si>
    <t xml:space="preserve">利润</t>
  </si>
  <si>
    <t xml:space="preserve">保险承保利润</t>
  </si>
  <si>
    <t xml:space="preserve">2022A</t>
  </si>
  <si>
    <t xml:space="preserve">百万美元</t>
  </si>
  <si>
    <t xml:space="preserve">AR23_MD</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</si>
  <si>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Item 7, MD&amp;A—Results of Operations</t>
    </r>
    <r>
      <rPr>
        <sz val="10"/>
        <color rgb="FF243447"/>
        <rFont val="Noto Sans CJK SC"/>
        <family val="2"/>
      </rPr>
      <t xml:space="preserve">（</t>
    </r>
    <r>
      <rPr>
        <sz val="10"/>
        <color rgb="FF243447"/>
        <rFont val="Microsoft YaHei"/>
        <family val="2"/>
        <charset val="1"/>
      </rPr>
      <t xml:space="preserve">K-34</t>
    </r>
    <r>
      <rPr>
        <sz val="10"/>
        <color rgb="FF243447"/>
        <rFont val="Noto Sans CJK SC"/>
        <family val="2"/>
      </rPr>
      <t xml:space="preserve">）</t>
    </r>
  </si>
  <si>
    <r>
      <rPr>
        <sz val="10"/>
        <color rgb="FF243447"/>
        <rFont val="Noto Sans CJK SC"/>
        <family val="2"/>
      </rPr>
      <t xml:space="preserve">税后、归属伯克希尔股东；</t>
    </r>
    <r>
      <rPr>
        <sz val="10"/>
        <color rgb="FF243447"/>
        <rFont val="Microsoft YaHei"/>
        <family val="2"/>
        <charset val="1"/>
      </rPr>
      <t xml:space="preserve">2021—2022</t>
    </r>
    <r>
      <rPr>
        <sz val="10"/>
        <color rgb="FF243447"/>
        <rFont val="Noto Sans CJK SC"/>
        <family val="2"/>
      </rPr>
      <t xml:space="preserve">采用</t>
    </r>
    <r>
      <rPr>
        <sz val="10"/>
        <color rgb="FF243447"/>
        <rFont val="Microsoft YaHei"/>
        <family val="2"/>
        <charset val="1"/>
      </rPr>
      <t xml:space="preserve">2023</t>
    </r>
    <r>
      <rPr>
        <sz val="10"/>
        <color rgb="FF243447"/>
        <rFont val="Noto Sans CJK SC"/>
        <family val="2"/>
      </rPr>
      <t xml:space="preserve">年报追溯调整口径</t>
    </r>
  </si>
  <si>
    <t xml:space="preserve">2023A</t>
  </si>
  <si>
    <t xml:space="preserve">AR25_MD</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</si>
  <si>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Item 7, MD&amp;A—Results of Operations</t>
    </r>
    <r>
      <rPr>
        <sz val="10"/>
        <color rgb="FF243447"/>
        <rFont val="Noto Sans CJK SC"/>
        <family val="2"/>
      </rPr>
      <t xml:space="preserve">（</t>
    </r>
    <r>
      <rPr>
        <sz val="10"/>
        <color rgb="FF243447"/>
        <rFont val="Microsoft YaHei"/>
        <family val="2"/>
        <charset val="1"/>
      </rPr>
      <t xml:space="preserve">K-34</t>
    </r>
    <r>
      <rPr>
        <sz val="10"/>
        <color rgb="FF243447"/>
        <rFont val="Noto Sans CJK SC"/>
        <family val="2"/>
      </rPr>
      <t xml:space="preserve">起）</t>
    </r>
  </si>
  <si>
    <t xml:space="preserve">2024A</t>
  </si>
  <si>
    <t xml:space="preserve">2025A</t>
  </si>
  <si>
    <t xml:space="preserve">2025H1</t>
  </si>
  <si>
    <t xml:space="preserve">Q226_MD</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</si>
  <si>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Item 2, MD&amp;A—Results of Operations</t>
    </r>
    <r>
      <rPr>
        <sz val="10"/>
        <color rgb="FF243447"/>
        <rFont val="Noto Sans CJK SC"/>
        <family val="2"/>
      </rPr>
      <t xml:space="preserve">（第</t>
    </r>
    <r>
      <rPr>
        <sz val="10"/>
        <color rgb="FF243447"/>
        <rFont val="Microsoft YaHei"/>
        <family val="2"/>
        <charset val="1"/>
      </rPr>
      <t xml:space="preserve">33</t>
    </r>
    <r>
      <rPr>
        <sz val="10"/>
        <color rgb="FF243447"/>
        <rFont val="Noto Sans CJK SC"/>
        <family val="2"/>
      </rPr>
      <t xml:space="preserve">页）</t>
    </r>
  </si>
  <si>
    <t xml:space="preserve">2026H1</t>
  </si>
  <si>
    <t xml:space="preserve">保险投资收益</t>
  </si>
  <si>
    <t xml:space="preserve">2021A</t>
  </si>
  <si>
    <r>
      <rPr>
        <sz val="10"/>
        <color rgb="FF243447"/>
        <rFont val="Noto Sans CJK SC"/>
        <family val="2"/>
      </rPr>
      <t xml:space="preserve">铁路（</t>
    </r>
    <r>
      <rPr>
        <sz val="10"/>
        <color rgb="FF243447"/>
        <rFont val="Microsoft YaHei"/>
        <family val="2"/>
        <charset val="1"/>
      </rPr>
      <t xml:space="preserve">BNSF</t>
    </r>
    <r>
      <rPr>
        <sz val="10"/>
        <color rgb="FF243447"/>
        <rFont val="Noto Sans CJK SC"/>
        <family val="2"/>
      </rPr>
      <t xml:space="preserve">）利润</t>
    </r>
  </si>
  <si>
    <r>
      <rPr>
        <sz val="10"/>
        <color rgb="FF243447"/>
        <rFont val="Noto Sans CJK SC"/>
        <family val="2"/>
      </rPr>
      <t xml:space="preserve">能源（</t>
    </r>
    <r>
      <rPr>
        <sz val="10"/>
        <color rgb="FF243447"/>
        <rFont val="Microsoft YaHei"/>
        <family val="2"/>
        <charset val="1"/>
      </rPr>
      <t xml:space="preserve">BHE</t>
    </r>
    <r>
      <rPr>
        <sz val="10"/>
        <color rgb="FF243447"/>
        <rFont val="Noto Sans CJK SC"/>
        <family val="2"/>
      </rPr>
      <t xml:space="preserve">）利润</t>
    </r>
  </si>
  <si>
    <t xml:space="preserve">制造、服务及零售利润</t>
  </si>
  <si>
    <r>
      <rPr>
        <sz val="10"/>
        <color rgb="FF243447"/>
        <rFont val="Noto Sans CJK SC"/>
        <family val="2"/>
      </rPr>
      <t xml:space="preserve">税后、归属伯克希尔股东；</t>
    </r>
    <r>
      <rPr>
        <sz val="10"/>
        <color rgb="FF243447"/>
        <rFont val="Microsoft YaHei"/>
        <family val="2"/>
        <charset val="1"/>
      </rPr>
      <t xml:space="preserve">2021—2022</t>
    </r>
    <r>
      <rPr>
        <sz val="10"/>
        <color rgb="FF243447"/>
        <rFont val="Noto Sans CJK SC"/>
        <family val="2"/>
      </rPr>
      <t xml:space="preserve">采用</t>
    </r>
    <r>
      <rPr>
        <sz val="10"/>
        <color rgb="FF243447"/>
        <rFont val="Microsoft YaHei"/>
        <family val="2"/>
        <charset val="1"/>
      </rPr>
      <t xml:space="preserve">2023</t>
    </r>
    <r>
      <rPr>
        <sz val="10"/>
        <color rgb="FF243447"/>
        <rFont val="Noto Sans CJK SC"/>
        <family val="2"/>
      </rPr>
      <t xml:space="preserve">年报追溯调整口径；</t>
    </r>
    <r>
      <rPr>
        <sz val="10"/>
        <color rgb="FF243447"/>
        <rFont val="Microsoft YaHei"/>
        <family val="2"/>
        <charset val="1"/>
      </rPr>
      <t xml:space="preserve">2025</t>
    </r>
    <r>
      <rPr>
        <sz val="10"/>
        <color rgb="FF243447"/>
        <rFont val="Noto Sans CJK SC"/>
        <family val="2"/>
      </rPr>
      <t xml:space="preserve">年报口径已包含</t>
    </r>
    <r>
      <rPr>
        <sz val="10"/>
        <color rgb="FF243447"/>
        <rFont val="Microsoft YaHei"/>
        <family val="2"/>
        <charset val="1"/>
      </rPr>
      <t xml:space="preserve">PTC</t>
    </r>
  </si>
  <si>
    <t xml:space="preserve">其他利润</t>
  </si>
  <si>
    <r>
      <rPr>
        <sz val="10"/>
        <color rgb="FF243447"/>
        <rFont val="Noto Sans CJK SC"/>
        <family val="2"/>
      </rPr>
      <t xml:space="preserve">税后、归属伯克希尔股东；</t>
    </r>
    <r>
      <rPr>
        <sz val="10"/>
        <color rgb="FF243447"/>
        <rFont val="Microsoft YaHei"/>
        <family val="2"/>
        <charset val="1"/>
      </rPr>
      <t xml:space="preserve">2021—2022</t>
    </r>
    <r>
      <rPr>
        <sz val="10"/>
        <color rgb="FF243447"/>
        <rFont val="Noto Sans CJK SC"/>
        <family val="2"/>
      </rPr>
      <t xml:space="preserve">采用</t>
    </r>
    <r>
      <rPr>
        <sz val="10"/>
        <color rgb="FF243447"/>
        <rFont val="Microsoft YaHei"/>
        <family val="2"/>
        <charset val="1"/>
      </rPr>
      <t xml:space="preserve">2023</t>
    </r>
    <r>
      <rPr>
        <sz val="10"/>
        <color rgb="FF243447"/>
        <rFont val="Noto Sans CJK SC"/>
        <family val="2"/>
      </rPr>
      <t xml:space="preserve">年报追溯调整口径；此行仍为旧表</t>
    </r>
    <r>
      <rPr>
        <sz val="10"/>
        <color rgb="FF243447"/>
        <rFont val="Microsoft YaHei"/>
        <family val="2"/>
        <charset val="1"/>
      </rPr>
      <t xml:space="preserve">Other</t>
    </r>
    <r>
      <rPr>
        <sz val="10"/>
        <color rgb="FF243447"/>
        <rFont val="Noto Sans CJK SC"/>
        <family val="2"/>
      </rPr>
      <t xml:space="preserve">，展示时与非控制企业利润合并</t>
    </r>
  </si>
  <si>
    <t xml:space="preserve">投资损益</t>
  </si>
  <si>
    <t xml:space="preserve">归母净利润</t>
  </si>
  <si>
    <t xml:space="preserve">非控制企业利润（旧口径）</t>
  </si>
  <si>
    <r>
      <rPr>
        <sz val="10"/>
        <color rgb="FF243447"/>
        <rFont val="Noto Sans CJK SC"/>
        <family val="2"/>
      </rPr>
      <t xml:space="preserve">为衔接</t>
    </r>
    <r>
      <rPr>
        <sz val="10"/>
        <color rgb="FF243447"/>
        <rFont val="Microsoft YaHei"/>
        <family val="2"/>
        <charset val="1"/>
      </rPr>
      <t xml:space="preserve">2025</t>
    </r>
    <r>
      <rPr>
        <sz val="10"/>
        <color rgb="FF243447"/>
        <rFont val="Noto Sans CJK SC"/>
        <family val="2"/>
      </rPr>
      <t xml:space="preserve">年报</t>
    </r>
    <r>
      <rPr>
        <sz val="10"/>
        <color rgb="FF243447"/>
        <rFont val="Microsoft YaHei"/>
        <family val="2"/>
        <charset val="1"/>
      </rPr>
      <t xml:space="preserve">Other</t>
    </r>
    <r>
      <rPr>
        <sz val="10"/>
        <color rgb="FF243447"/>
        <rFont val="Noto Sans CJK SC"/>
        <family val="2"/>
      </rPr>
      <t xml:space="preserve">列示，在展示表中与旧表</t>
    </r>
    <r>
      <rPr>
        <sz val="10"/>
        <color rgb="FF243447"/>
        <rFont val="Microsoft YaHei"/>
        <family val="2"/>
        <charset val="1"/>
      </rPr>
      <t xml:space="preserve">Other</t>
    </r>
    <r>
      <rPr>
        <sz val="10"/>
        <color rgb="FF243447"/>
        <rFont val="Noto Sans CJK SC"/>
        <family val="2"/>
      </rPr>
      <t xml:space="preserve">相加</t>
    </r>
  </si>
  <si>
    <t xml:space="preserve">权益法投资减值</t>
  </si>
  <si>
    <r>
      <rPr>
        <sz val="10"/>
        <color rgb="FF243447"/>
        <rFont val="Microsoft YaHei"/>
        <family val="2"/>
        <charset val="1"/>
      </rPr>
      <t xml:space="preserve">Kraft Heinz</t>
    </r>
    <r>
      <rPr>
        <sz val="10"/>
        <color rgb="FF243447"/>
        <rFont val="Noto Sans CJK SC"/>
        <family val="2"/>
      </rPr>
      <t xml:space="preserve">与</t>
    </r>
    <r>
      <rPr>
        <sz val="10"/>
        <color rgb="FF243447"/>
        <rFont val="Microsoft YaHei"/>
        <family val="2"/>
        <charset val="1"/>
      </rPr>
      <t xml:space="preserve">Occidental</t>
    </r>
    <r>
      <rPr>
        <sz val="10"/>
        <color rgb="FF243447"/>
        <rFont val="Noto Sans CJK SC"/>
        <family val="2"/>
      </rPr>
      <t xml:space="preserve">非暂时性减值</t>
    </r>
  </si>
  <si>
    <r>
      <rPr>
        <sz val="10"/>
        <color rgb="FF243447"/>
        <rFont val="Microsoft YaHei"/>
        <family val="2"/>
        <charset val="1"/>
      </rPr>
      <t xml:space="preserve">Kraft Heinz</t>
    </r>
    <r>
      <rPr>
        <sz val="10"/>
        <color rgb="FF243447"/>
        <rFont val="Noto Sans CJK SC"/>
        <family val="2"/>
      </rPr>
      <t xml:space="preserve">非暂时性减值</t>
    </r>
  </si>
  <si>
    <t xml:space="preserve">资产负债</t>
  </si>
  <si>
    <t xml:space="preserve">保险浮存金</t>
  </si>
  <si>
    <t xml:space="preserve">AR23_FLOAT</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</si>
  <si>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Item 7—Insurance—Investment Income</t>
    </r>
  </si>
  <si>
    <r>
      <rPr>
        <sz val="10"/>
        <color rgb="FF243447"/>
        <rFont val="Noto Sans CJK SC"/>
        <family val="2"/>
      </rPr>
      <t xml:space="preserve">原披露为约数；</t>
    </r>
    <r>
      <rPr>
        <sz val="10"/>
        <color rgb="FF243447"/>
        <rFont val="Microsoft YaHei"/>
        <family val="2"/>
        <charset val="1"/>
      </rPr>
      <t xml:space="preserve">2026</t>
    </r>
    <r>
      <rPr>
        <sz val="10"/>
        <color rgb="FF243447"/>
        <rFont val="Noto Sans CJK SC"/>
        <family val="2"/>
      </rPr>
      <t xml:space="preserve">年</t>
    </r>
    <r>
      <rPr>
        <sz val="10"/>
        <color rgb="FF243447"/>
        <rFont val="Microsoft YaHei"/>
        <family val="2"/>
        <charset val="1"/>
      </rPr>
      <t xml:space="preserve">6</t>
    </r>
    <r>
      <rPr>
        <sz val="10"/>
        <color rgb="FF243447"/>
        <rFont val="Noto Sans CJK SC"/>
        <family val="2"/>
      </rPr>
      <t xml:space="preserve">月末为约</t>
    </r>
    <r>
      <rPr>
        <sz val="10"/>
        <color rgb="FF243447"/>
        <rFont val="Microsoft YaHei"/>
        <family val="2"/>
        <charset val="1"/>
      </rPr>
      <t xml:space="preserve">1775</t>
    </r>
    <r>
      <rPr>
        <sz val="10"/>
        <color rgb="FF243447"/>
        <rFont val="Noto Sans CJK SC"/>
        <family val="2"/>
      </rPr>
      <t xml:space="preserve">亿美元</t>
    </r>
  </si>
  <si>
    <t xml:space="preserve">AR25_FLOAT</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</si>
  <si>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Item 7—Insurance—Investment Income</t>
    </r>
    <r>
      <rPr>
        <sz val="10"/>
        <color rgb="FF243447"/>
        <rFont val="Noto Sans CJK SC"/>
        <family val="2"/>
      </rPr>
      <t xml:space="preserve">（</t>
    </r>
    <r>
      <rPr>
        <sz val="10"/>
        <color rgb="FF243447"/>
        <rFont val="Microsoft YaHei"/>
        <family val="2"/>
        <charset val="1"/>
      </rPr>
      <t xml:space="preserve">K-40</t>
    </r>
    <r>
      <rPr>
        <sz val="10"/>
        <color rgb="FF243447"/>
        <rFont val="Noto Sans CJK SC"/>
        <family val="2"/>
      </rPr>
      <t xml:space="preserve">）</t>
    </r>
  </si>
  <si>
    <t xml:space="preserve">Q226_FLOAT</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</si>
  <si>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Item 2—Insurance—Investment Income</t>
    </r>
    <r>
      <rPr>
        <sz val="10"/>
        <color rgb="FF243447"/>
        <rFont val="Noto Sans CJK SC"/>
        <family val="2"/>
      </rPr>
      <t xml:space="preserve">（第</t>
    </r>
    <r>
      <rPr>
        <sz val="10"/>
        <color rgb="FF243447"/>
        <rFont val="Microsoft YaHei"/>
        <family val="2"/>
        <charset val="1"/>
      </rPr>
      <t xml:space="preserve">38</t>
    </r>
    <r>
      <rPr>
        <sz val="10"/>
        <color rgb="FF243447"/>
        <rFont val="Noto Sans CJK SC"/>
        <family val="2"/>
      </rPr>
      <t xml:space="preserve">页）</t>
    </r>
  </si>
  <si>
    <t xml:space="preserve">保险及其他现金及现金等价物</t>
  </si>
  <si>
    <t xml:space="preserve">AR22_BS</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</si>
  <si>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/Berkshire_2022</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Consolidated Balance Sheets</t>
    </r>
  </si>
  <si>
    <t xml:space="preserve">铁路、公用事业及能源现金</t>
  </si>
  <si>
    <t xml:space="preserve">短期美国国债</t>
  </si>
  <si>
    <t xml:space="preserve">合并资产负债表口径；现金及短期国债合计由公式计算</t>
  </si>
  <si>
    <t xml:space="preserve">AR23_BS</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</si>
  <si>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Consolidated Balance Sheets</t>
    </r>
    <r>
      <rPr>
        <sz val="10"/>
        <color rgb="FF243447"/>
        <rFont val="Noto Sans CJK SC"/>
        <family val="2"/>
      </rPr>
      <t xml:space="preserve">（</t>
    </r>
    <r>
      <rPr>
        <sz val="10"/>
        <color rgb="FF243447"/>
        <rFont val="Microsoft YaHei"/>
        <family val="2"/>
        <charset val="1"/>
      </rPr>
      <t xml:space="preserve">K-66</t>
    </r>
    <r>
      <rPr>
        <sz val="10"/>
        <color rgb="FF243447"/>
        <rFont val="Noto Sans CJK SC"/>
        <family val="2"/>
      </rPr>
      <t xml:space="preserve">）</t>
    </r>
  </si>
  <si>
    <t xml:space="preserve">AR25_BS</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</si>
  <si>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Consolidated Balance Sheets</t>
    </r>
    <r>
      <rPr>
        <sz val="10"/>
        <color rgb="FF243447"/>
        <rFont val="Noto Sans CJK SC"/>
        <family val="2"/>
      </rPr>
      <t xml:space="preserve">（</t>
    </r>
    <r>
      <rPr>
        <sz val="10"/>
        <color rgb="FF243447"/>
        <rFont val="Microsoft YaHei"/>
        <family val="2"/>
        <charset val="1"/>
      </rPr>
      <t xml:space="preserve">K-66</t>
    </r>
    <r>
      <rPr>
        <sz val="10"/>
        <color rgb="FF243447"/>
        <rFont val="Noto Sans CJK SC"/>
        <family val="2"/>
      </rPr>
      <t xml:space="preserve">）</t>
    </r>
  </si>
  <si>
    <t xml:space="preserve">Q226_BS</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</si>
  <si>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Consolidated Balance Sheets</t>
    </r>
    <r>
      <rPr>
        <sz val="10"/>
        <color rgb="FF243447"/>
        <rFont val="Noto Sans CJK SC"/>
        <family val="2"/>
      </rPr>
      <t xml:space="preserve">（第</t>
    </r>
    <r>
      <rPr>
        <sz val="10"/>
        <color rgb="FF243447"/>
        <rFont val="Microsoft YaHei"/>
        <family val="2"/>
        <charset val="1"/>
      </rPr>
      <t xml:space="preserve">2</t>
    </r>
    <r>
      <rPr>
        <sz val="10"/>
        <color rgb="FF243447"/>
        <rFont val="Noto Sans CJK SC"/>
        <family val="2"/>
      </rPr>
      <t xml:space="preserve">至</t>
    </r>
    <r>
      <rPr>
        <sz val="10"/>
        <color rgb="FF243447"/>
        <rFont val="Microsoft YaHei"/>
        <family val="2"/>
        <charset val="1"/>
      </rPr>
      <t xml:space="preserve">3</t>
    </r>
    <r>
      <rPr>
        <sz val="10"/>
        <color rgb="FF243447"/>
        <rFont val="Noto Sans CJK SC"/>
        <family val="2"/>
      </rPr>
      <t xml:space="preserve">页）</t>
    </r>
  </si>
  <si>
    <t xml:space="preserve">权益组成</t>
  </si>
  <si>
    <t xml:space="preserve">权益组成—股本及资本公积</t>
  </si>
  <si>
    <t xml:space="preserve">AR23_CF</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</si>
  <si>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Consolidated Statements of Cash Flows</t>
    </r>
    <r>
      <rPr>
        <sz val="10"/>
        <color rgb="FF243447"/>
        <rFont val="Noto Sans CJK SC"/>
        <family val="2"/>
      </rPr>
      <t xml:space="preserve">及</t>
    </r>
    <r>
      <rPr>
        <sz val="10"/>
        <color rgb="FF243447"/>
        <rFont val="Microsoft YaHei"/>
        <family val="2"/>
        <charset val="1"/>
      </rPr>
      <t xml:space="preserve">Statements of Changes in Shareholders’ Equity</t>
    </r>
  </si>
  <si>
    <r>
      <rPr>
        <sz val="10"/>
        <color rgb="FF243447"/>
        <rFont val="Microsoft YaHei"/>
        <family val="2"/>
        <charset val="1"/>
      </rPr>
      <t xml:space="preserve">2023</t>
    </r>
    <r>
      <rPr>
        <sz val="10"/>
        <color rgb="FF243447"/>
        <rFont val="Noto Sans CJK SC"/>
        <family val="2"/>
      </rPr>
      <t xml:space="preserve">年报追溯调整后</t>
    </r>
    <r>
      <rPr>
        <sz val="10"/>
        <color rgb="FF243447"/>
        <rFont val="Microsoft YaHei"/>
        <family val="2"/>
        <charset val="1"/>
      </rPr>
      <t xml:space="preserve">2021</t>
    </r>
    <r>
      <rPr>
        <sz val="10"/>
        <color rgb="FF243447"/>
        <rFont val="Noto Sans CJK SC"/>
        <family val="2"/>
      </rPr>
      <t xml:space="preserve">年末股东权益变动表</t>
    </r>
  </si>
  <si>
    <t xml:space="preserve">权益组成—其他综合收益</t>
  </si>
  <si>
    <t xml:space="preserve">权益组成—留存收益</t>
  </si>
  <si>
    <t xml:space="preserve">权益组成—库存股</t>
  </si>
  <si>
    <t xml:space="preserve">归母股东权益</t>
  </si>
  <si>
    <r>
      <rPr>
        <sz val="10"/>
        <color rgb="FF243447"/>
        <rFont val="Noto Sans CJK SC"/>
        <family val="2"/>
      </rPr>
      <t xml:space="preserve">公式：</t>
    </r>
    <r>
      <rPr>
        <sz val="10"/>
        <color rgb="FF243447"/>
        <rFont val="Microsoft YaHei"/>
        <family val="2"/>
        <charset val="1"/>
      </rPr>
      <t xml:space="preserve">2023</t>
    </r>
    <r>
      <rPr>
        <sz val="10"/>
        <color rgb="FF243447"/>
        <rFont val="Noto Sans CJK SC"/>
        <family val="2"/>
      </rPr>
      <t xml:space="preserve">年报追溯调整后四项归母权益组成之和；非</t>
    </r>
    <r>
      <rPr>
        <sz val="10"/>
        <color rgb="FF243447"/>
        <rFont val="Microsoft YaHei"/>
        <family val="2"/>
        <charset val="1"/>
      </rPr>
      <t xml:space="preserve">2022</t>
    </r>
    <r>
      <rPr>
        <sz val="10"/>
        <color rgb="FF243447"/>
        <rFont val="Noto Sans CJK SC"/>
        <family val="2"/>
      </rPr>
      <t xml:space="preserve">年报旧口径</t>
    </r>
  </si>
  <si>
    <t xml:space="preserve">归属伯克希尔股东</t>
  </si>
  <si>
    <r>
      <rPr>
        <sz val="10"/>
        <color rgb="FF243447"/>
        <rFont val="Noto Sans CJK SC"/>
        <family val="2"/>
      </rPr>
      <t xml:space="preserve">期末</t>
    </r>
    <r>
      <rPr>
        <sz val="10"/>
        <color rgb="FF243447"/>
        <rFont val="Microsoft YaHei"/>
        <family val="2"/>
        <charset val="1"/>
      </rPr>
      <t xml:space="preserve">A</t>
    </r>
    <r>
      <rPr>
        <sz val="10"/>
        <color rgb="FF243447"/>
        <rFont val="Noto Sans CJK SC"/>
        <family val="2"/>
      </rPr>
      <t xml:space="preserve">类等价股数</t>
    </r>
  </si>
  <si>
    <t xml:space="preserve">股</t>
  </si>
  <si>
    <t xml:space="preserve">AR22_EQ</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</si>
  <si>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/Berkshire_2022</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Notes—Common stock</t>
    </r>
  </si>
  <si>
    <r>
      <rPr>
        <sz val="10"/>
        <color rgb="FF243447"/>
        <rFont val="Noto Sans CJK SC"/>
        <family val="2"/>
      </rPr>
      <t xml:space="preserve">期末股数，不是加权平均股数；</t>
    </r>
    <r>
      <rPr>
        <sz val="10"/>
        <color rgb="FF243447"/>
        <rFont val="Microsoft YaHei"/>
        <family val="2"/>
        <charset val="1"/>
      </rPr>
      <t xml:space="preserve">B</t>
    </r>
    <r>
      <rPr>
        <sz val="10"/>
        <color rgb="FF243447"/>
        <rFont val="Noto Sans CJK SC"/>
        <family val="2"/>
      </rPr>
      <t xml:space="preserve">股按</t>
    </r>
    <r>
      <rPr>
        <sz val="10"/>
        <color rgb="FF243447"/>
        <rFont val="Microsoft YaHei"/>
        <family val="2"/>
        <charset val="1"/>
      </rPr>
      <t xml:space="preserve">1/1500</t>
    </r>
    <r>
      <rPr>
        <sz val="10"/>
        <color rgb="FF243447"/>
        <rFont val="Noto Sans CJK SC"/>
        <family val="2"/>
      </rPr>
      <t xml:space="preserve">折算</t>
    </r>
  </si>
  <si>
    <t xml:space="preserve">AR23_EQ</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</si>
  <si>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Notes—Common stock</t>
    </r>
  </si>
  <si>
    <t xml:space="preserve">AR25_EQ</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</si>
  <si>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Notes—Common stock</t>
    </r>
    <r>
      <rPr>
        <sz val="10"/>
        <color rgb="FF243447"/>
        <rFont val="Noto Sans CJK SC"/>
        <family val="2"/>
      </rPr>
      <t xml:space="preserve">（</t>
    </r>
    <r>
      <rPr>
        <sz val="10"/>
        <color rgb="FF243447"/>
        <rFont val="Microsoft YaHei"/>
        <family val="2"/>
        <charset val="1"/>
      </rPr>
      <t xml:space="preserve">K-101</t>
    </r>
    <r>
      <rPr>
        <sz val="10"/>
        <color rgb="FF243447"/>
        <rFont val="Noto Sans CJK SC"/>
        <family val="2"/>
      </rPr>
      <t xml:space="preserve">至</t>
    </r>
    <r>
      <rPr>
        <sz val="10"/>
        <color rgb="FF243447"/>
        <rFont val="Microsoft YaHei"/>
        <family val="2"/>
        <charset val="1"/>
      </rPr>
      <t xml:space="preserve">K-102</t>
    </r>
    <r>
      <rPr>
        <sz val="10"/>
        <color rgb="FF243447"/>
        <rFont val="Noto Sans CJK SC"/>
        <family val="2"/>
      </rPr>
      <t xml:space="preserve">）</t>
    </r>
  </si>
  <si>
    <t xml:space="preserve">Q226_EQ</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</si>
  <si>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Note 18—Common stock</t>
    </r>
    <r>
      <rPr>
        <sz val="10"/>
        <color rgb="FF243447"/>
        <rFont val="Noto Sans CJK SC"/>
        <family val="2"/>
      </rPr>
      <t xml:space="preserve">（第</t>
    </r>
    <r>
      <rPr>
        <sz val="10"/>
        <color rgb="FF243447"/>
        <rFont val="Microsoft YaHei"/>
        <family val="2"/>
        <charset val="1"/>
      </rPr>
      <t xml:space="preserve">21</t>
    </r>
    <r>
      <rPr>
        <sz val="10"/>
        <color rgb="FF243447"/>
        <rFont val="Noto Sans CJK SC"/>
        <family val="2"/>
      </rPr>
      <t xml:space="preserve">页）</t>
    </r>
  </si>
  <si>
    <t xml:space="preserve">资本配置</t>
  </si>
  <si>
    <t xml:space="preserve">回购金额（现金流量表）</t>
  </si>
  <si>
    <t xml:space="preserve">正数表示现金流出绝对值</t>
  </si>
  <si>
    <t xml:space="preserve">回购成本（权益变动表）</t>
  </si>
  <si>
    <t xml:space="preserve">取得库存股成本；与结算时点等有关，和现金流口径不同</t>
  </si>
  <si>
    <t xml:space="preserve">AR25_CF</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</si>
  <si>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Consolidated Statements of Cash Flows</t>
    </r>
    <r>
      <rPr>
        <sz val="10"/>
        <color rgb="FF243447"/>
        <rFont val="Noto Sans CJK SC"/>
        <family val="2"/>
      </rPr>
      <t xml:space="preserve">（</t>
    </r>
    <r>
      <rPr>
        <sz val="10"/>
        <color rgb="FF243447"/>
        <rFont val="Microsoft YaHei"/>
        <family val="2"/>
        <charset val="1"/>
      </rPr>
      <t xml:space="preserve">K-70</t>
    </r>
    <r>
      <rPr>
        <sz val="10"/>
        <color rgb="FF243447"/>
        <rFont val="Noto Sans CJK SC"/>
        <family val="2"/>
      </rPr>
      <t xml:space="preserve">）</t>
    </r>
  </si>
  <si>
    <t xml:space="preserve">AR25_SE</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</si>
  <si>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Consolidated Statements of Changes in Shareholders’ Equity</t>
    </r>
    <r>
      <rPr>
        <sz val="10"/>
        <color rgb="FF243447"/>
        <rFont val="Noto Sans CJK SC"/>
        <family val="2"/>
      </rPr>
      <t xml:space="preserve">（</t>
    </r>
    <r>
      <rPr>
        <sz val="10"/>
        <color rgb="FF243447"/>
        <rFont val="Microsoft YaHei"/>
        <family val="2"/>
        <charset val="1"/>
      </rPr>
      <t xml:space="preserve">K-69</t>
    </r>
    <r>
      <rPr>
        <sz val="10"/>
        <color rgb="FF243447"/>
        <rFont val="Noto Sans CJK SC"/>
        <family val="2"/>
      </rPr>
      <t xml:space="preserve">）</t>
    </r>
  </si>
  <si>
    <t xml:space="preserve">Q226_CF</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</si>
  <si>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Consolidated Statements of Cash Flows</t>
    </r>
    <r>
      <rPr>
        <sz val="10"/>
        <color rgb="FF243447"/>
        <rFont val="Noto Sans CJK SC"/>
        <family val="2"/>
      </rPr>
      <t xml:space="preserve">（第</t>
    </r>
    <r>
      <rPr>
        <sz val="10"/>
        <color rgb="FF243447"/>
        <rFont val="Microsoft YaHei"/>
        <family val="2"/>
        <charset val="1"/>
      </rPr>
      <t xml:space="preserve">7</t>
    </r>
    <r>
      <rPr>
        <sz val="10"/>
        <color rgb="FF243447"/>
        <rFont val="Noto Sans CJK SC"/>
        <family val="2"/>
      </rPr>
      <t xml:space="preserve">页）</t>
    </r>
  </si>
  <si>
    <t xml:space="preserve">Q226_SE</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</si>
  <si>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Consolidated Statements of Changes in Shareholders’ Equity</t>
    </r>
    <r>
      <rPr>
        <sz val="10"/>
        <color rgb="FF243447"/>
        <rFont val="Noto Sans CJK SC"/>
        <family val="2"/>
      </rPr>
      <t xml:space="preserve">（第</t>
    </r>
    <r>
      <rPr>
        <sz val="10"/>
        <color rgb="FF243447"/>
        <rFont val="Microsoft YaHei"/>
        <family val="2"/>
        <charset val="1"/>
      </rPr>
      <t xml:space="preserve">6</t>
    </r>
    <r>
      <rPr>
        <sz val="10"/>
        <color rgb="FF243447"/>
        <rFont val="Noto Sans CJK SC"/>
        <family val="2"/>
      </rPr>
      <t xml:space="preserve">页）</t>
    </r>
  </si>
  <si>
    <r>
      <rPr>
        <sz val="10"/>
        <color rgb="FF243447"/>
        <rFont val="Noto Sans CJK SC"/>
        <family val="2"/>
      </rPr>
      <t xml:space="preserve">正数表示现金流出绝对值；用于</t>
    </r>
    <r>
      <rPr>
        <sz val="10"/>
        <color rgb="FF243447"/>
        <rFont val="Microsoft YaHei"/>
        <family val="2"/>
        <charset val="1"/>
      </rPr>
      <t xml:space="preserve">2026</t>
    </r>
    <r>
      <rPr>
        <sz val="10"/>
        <color rgb="FF243447"/>
        <rFont val="Noto Sans CJK SC"/>
        <family val="2"/>
      </rPr>
      <t xml:space="preserve">年上半年同比</t>
    </r>
  </si>
  <si>
    <r>
      <rPr>
        <sz val="10"/>
        <color rgb="FF243447"/>
        <rFont val="Noto Sans CJK SC"/>
        <family val="2"/>
      </rPr>
      <t xml:space="preserve">取得库存股成本；用于</t>
    </r>
    <r>
      <rPr>
        <sz val="10"/>
        <color rgb="FF243447"/>
        <rFont val="Microsoft YaHei"/>
        <family val="2"/>
        <charset val="1"/>
      </rPr>
      <t xml:space="preserve">2026</t>
    </r>
    <r>
      <rPr>
        <sz val="10"/>
        <color rgb="FF243447"/>
        <rFont val="Noto Sans CJK SC"/>
        <family val="2"/>
      </rPr>
      <t xml:space="preserve">年上半年同比</t>
    </r>
  </si>
  <si>
    <t xml:space="preserve">股票组合</t>
  </si>
  <si>
    <t xml:space="preserve">股票—银行、保险及金融</t>
  </si>
  <si>
    <t xml:space="preserve">AR22_PORT</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</si>
  <si>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/Berkshire_2022</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Note 4—Investments in equity securities</t>
    </r>
    <r>
      <rPr>
        <sz val="10"/>
        <color rgb="FF243447"/>
        <rFont val="Noto Sans CJK SC"/>
        <family val="2"/>
      </rPr>
      <t xml:space="preserve">（</t>
    </r>
    <r>
      <rPr>
        <sz val="10"/>
        <color rgb="FF243447"/>
        <rFont val="Microsoft YaHei"/>
        <family val="2"/>
        <charset val="1"/>
      </rPr>
      <t xml:space="preserve">K-83</t>
    </r>
    <r>
      <rPr>
        <sz val="10"/>
        <color rgb="FF243447"/>
        <rFont val="Noto Sans CJK SC"/>
        <family val="2"/>
      </rPr>
      <t xml:space="preserve">至</t>
    </r>
    <r>
      <rPr>
        <sz val="10"/>
        <color rgb="FF243447"/>
        <rFont val="Microsoft YaHei"/>
        <family val="2"/>
        <charset val="1"/>
      </rPr>
      <t xml:space="preserve">K-84</t>
    </r>
    <r>
      <rPr>
        <sz val="10"/>
        <color rgb="FF243447"/>
        <rFont val="Noto Sans CJK SC"/>
        <family val="2"/>
      </rPr>
      <t xml:space="preserve">）</t>
    </r>
  </si>
  <si>
    <r>
      <rPr>
        <sz val="10"/>
        <color rgb="FF243447"/>
        <rFont val="Noto Sans CJK SC"/>
        <family val="2"/>
      </rPr>
      <t xml:space="preserve">公允价值；不含按权益法核算的</t>
    </r>
    <r>
      <rPr>
        <sz val="10"/>
        <color rgb="FF243447"/>
        <rFont val="Microsoft YaHei"/>
        <family val="2"/>
        <charset val="1"/>
      </rPr>
      <t xml:space="preserve">Kraft Heinz</t>
    </r>
    <r>
      <rPr>
        <sz val="10"/>
        <color rgb="FF243447"/>
        <rFont val="Noto Sans CJK SC"/>
        <family val="2"/>
      </rPr>
      <t xml:space="preserve">和</t>
    </r>
    <r>
      <rPr>
        <sz val="10"/>
        <color rgb="FF243447"/>
        <rFont val="Microsoft YaHei"/>
        <family val="2"/>
        <charset val="1"/>
      </rPr>
      <t xml:space="preserve">Occidental</t>
    </r>
    <r>
      <rPr>
        <sz val="10"/>
        <color rgb="FF243447"/>
        <rFont val="Noto Sans CJK SC"/>
        <family val="2"/>
      </rPr>
      <t xml:space="preserve">普通股</t>
    </r>
  </si>
  <si>
    <t xml:space="preserve">AR23_PORT</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</si>
  <si>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r>
      <rPr>
        <sz val="10"/>
        <color rgb="FF243447"/>
        <rFont val="Noto Sans CJK SC"/>
        <family val="2"/>
      </rPr>
      <t xml:space="preserve">｜</t>
    </r>
    <r>
      <rPr>
        <sz val="10"/>
        <color rgb="FF243447"/>
        <rFont val="Microsoft YaHei"/>
        <family val="2"/>
        <charset val="1"/>
      </rPr>
      <t xml:space="preserve">Note 4—Investments in equity securities</t>
    </r>
    <r>
      <rPr>
        <sz val="10"/>
        <color rgb="FF243447"/>
        <rFont val="Noto Sans CJK SC"/>
        <family val="2"/>
      </rPr>
      <t xml:space="preserve">（</t>
    </r>
    <r>
      <rPr>
        <sz val="10"/>
        <color rgb="FF243447"/>
        <rFont val="Microsoft YaHei"/>
        <family val="2"/>
        <charset val="1"/>
      </rPr>
      <t xml:space="preserve">K-84</t>
    </r>
    <r>
      <rPr>
        <sz val="10"/>
        <color rgb="FF243447"/>
        <rFont val="Noto Sans CJK SC"/>
        <family val="2"/>
      </rPr>
      <t xml:space="preserve">）</t>
    </r>
  </si>
  <si>
    <t xml:space="preserve">AR25_PORT</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</si>
  <si>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Note 4—Investments in equity securities</t>
    </r>
    <r>
      <rPr>
        <sz val="10"/>
        <color rgb="FF243447"/>
        <rFont val="Noto Sans CJK SC"/>
        <family val="2"/>
      </rPr>
      <t xml:space="preserve">（</t>
    </r>
    <r>
      <rPr>
        <sz val="10"/>
        <color rgb="FF243447"/>
        <rFont val="Microsoft YaHei"/>
        <family val="2"/>
        <charset val="1"/>
      </rPr>
      <t xml:space="preserve">K-79</t>
    </r>
    <r>
      <rPr>
        <sz val="10"/>
        <color rgb="FF243447"/>
        <rFont val="Noto Sans CJK SC"/>
        <family val="2"/>
      </rPr>
      <t xml:space="preserve">）</t>
    </r>
  </si>
  <si>
    <t xml:space="preserve">Q226_PORT</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</si>
  <si>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Note 4—Investments in equity securities</t>
    </r>
    <r>
      <rPr>
        <sz val="10"/>
        <color rgb="FF243447"/>
        <rFont val="Noto Sans CJK SC"/>
        <family val="2"/>
      </rPr>
      <t xml:space="preserve">（第</t>
    </r>
    <r>
      <rPr>
        <sz val="10"/>
        <color rgb="FF243447"/>
        <rFont val="Microsoft YaHei"/>
        <family val="2"/>
        <charset val="1"/>
      </rPr>
      <t xml:space="preserve">9</t>
    </r>
    <r>
      <rPr>
        <sz val="10"/>
        <color rgb="FF243447"/>
        <rFont val="Noto Sans CJK SC"/>
        <family val="2"/>
      </rPr>
      <t xml:space="preserve">页）</t>
    </r>
  </si>
  <si>
    <t xml:space="preserve">股票—消费品</t>
  </si>
  <si>
    <t xml:space="preserve">股票—商业、工业及其他</t>
  </si>
  <si>
    <t xml:space="preserve">股票组合合计（披露）</t>
  </si>
  <si>
    <t xml:space="preserve">主要持仓集中度</t>
  </si>
  <si>
    <t xml:space="preserve">百分比</t>
  </si>
  <si>
    <t xml:space="preserve">前四大持仓占比</t>
  </si>
  <si>
    <t xml:space="preserve">前五大持仓占比</t>
  </si>
  <si>
    <t xml:space="preserve">购买股票（现金流）</t>
  </si>
  <si>
    <t xml:space="preserve">出售股票（现金流）</t>
  </si>
  <si>
    <t xml:space="preserve">正数表示现金流入</t>
  </si>
  <si>
    <t xml:space="preserve">现金流</t>
  </si>
  <si>
    <t xml:space="preserve">经营活动现金流净额</t>
  </si>
  <si>
    <t xml:space="preserve">经营细节</t>
  </si>
  <si>
    <r>
      <rPr>
        <sz val="10"/>
        <color rgb="FF243447"/>
        <rFont val="Microsoft YaHei"/>
        <family val="2"/>
        <charset val="1"/>
      </rPr>
      <t xml:space="preserve">GEICO</t>
    </r>
    <r>
      <rPr>
        <sz val="10"/>
        <color rgb="FF243447"/>
        <rFont val="Noto Sans CJK SC"/>
        <family val="2"/>
      </rPr>
      <t xml:space="preserve">已赚保费</t>
    </r>
  </si>
  <si>
    <t xml:space="preserve">Q226_DETAIL</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</si>
  <si>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r>
      <rPr>
        <sz val="10"/>
        <color rgb="FF243447"/>
        <rFont val="Noto Sans CJK SC"/>
        <family val="2"/>
      </rPr>
      <t xml:space="preserve">｜</t>
    </r>
    <r>
      <rPr>
        <sz val="10"/>
        <color rgb="FF243447"/>
        <rFont val="Microsoft YaHei"/>
        <family val="2"/>
        <charset val="1"/>
      </rPr>
      <t xml:space="preserve">Item 2—GEICO</t>
    </r>
    <r>
      <rPr>
        <sz val="10"/>
        <color rgb="FF243447"/>
        <rFont val="Noto Sans CJK SC"/>
        <family val="2"/>
      </rPr>
      <t xml:space="preserve">、</t>
    </r>
    <r>
      <rPr>
        <sz val="10"/>
        <color rgb="FF243447"/>
        <rFont val="Microsoft YaHei"/>
        <family val="2"/>
        <charset val="1"/>
      </rPr>
      <t xml:space="preserve">BNSF</t>
    </r>
    <r>
      <rPr>
        <sz val="10"/>
        <color rgb="FF243447"/>
        <rFont val="Noto Sans CJK SC"/>
        <family val="2"/>
      </rPr>
      <t xml:space="preserve">、</t>
    </r>
    <r>
      <rPr>
        <sz val="10"/>
        <color rgb="FF243447"/>
        <rFont val="Microsoft YaHei"/>
        <family val="2"/>
        <charset val="1"/>
      </rPr>
      <t xml:space="preserve">BHE</t>
    </r>
    <r>
      <rPr>
        <sz val="10"/>
        <color rgb="FF243447"/>
        <rFont val="Noto Sans CJK SC"/>
        <family val="2"/>
      </rPr>
      <t xml:space="preserve">、</t>
    </r>
    <r>
      <rPr>
        <sz val="10"/>
        <color rgb="FF243447"/>
        <rFont val="Microsoft YaHei"/>
        <family val="2"/>
        <charset val="1"/>
      </rPr>
      <t xml:space="preserve">Manufacturing</t>
    </r>
    <r>
      <rPr>
        <sz val="10"/>
        <color rgb="FF243447"/>
        <rFont val="Noto Sans CJK SC"/>
        <family val="2"/>
      </rPr>
      <t xml:space="preserve">分段（第</t>
    </r>
    <r>
      <rPr>
        <sz val="10"/>
        <color rgb="FF243447"/>
        <rFont val="Microsoft YaHei"/>
        <family val="2"/>
        <charset val="1"/>
      </rPr>
      <t xml:space="preserve">34</t>
    </r>
    <r>
      <rPr>
        <sz val="10"/>
        <color rgb="FF243447"/>
        <rFont val="Noto Sans CJK SC"/>
        <family val="2"/>
      </rPr>
      <t xml:space="preserve">至</t>
    </r>
    <r>
      <rPr>
        <sz val="10"/>
        <color rgb="FF243447"/>
        <rFont val="Microsoft YaHei"/>
        <family val="2"/>
        <charset val="1"/>
      </rPr>
      <t xml:space="preserve">47</t>
    </r>
    <r>
      <rPr>
        <sz val="10"/>
        <color rgb="FF243447"/>
        <rFont val="Noto Sans CJK SC"/>
        <family val="2"/>
      </rPr>
      <t xml:space="preserve">页）</t>
    </r>
  </si>
  <si>
    <r>
      <rPr>
        <sz val="10"/>
        <color rgb="FF243447"/>
        <rFont val="Microsoft YaHei"/>
        <family val="2"/>
        <charset val="1"/>
      </rPr>
      <t xml:space="preserve">GEICO</t>
    </r>
    <r>
      <rPr>
        <sz val="10"/>
        <color rgb="FF243447"/>
        <rFont val="Noto Sans CJK SC"/>
        <family val="2"/>
      </rPr>
      <t xml:space="preserve">税前承保利润</t>
    </r>
  </si>
  <si>
    <r>
      <rPr>
        <sz val="10"/>
        <color rgb="FF243447"/>
        <rFont val="Microsoft YaHei"/>
        <family val="2"/>
        <charset val="1"/>
      </rPr>
      <t xml:space="preserve">GEICO</t>
    </r>
    <r>
      <rPr>
        <sz val="10"/>
        <color rgb="FF243447"/>
        <rFont val="Noto Sans CJK SC"/>
        <family val="2"/>
      </rPr>
      <t xml:space="preserve">赔付率</t>
    </r>
  </si>
  <si>
    <r>
      <rPr>
        <sz val="10"/>
        <color rgb="FF243447"/>
        <rFont val="Microsoft YaHei"/>
        <family val="2"/>
        <charset val="1"/>
      </rPr>
      <t xml:space="preserve">GEICO</t>
    </r>
    <r>
      <rPr>
        <sz val="10"/>
        <color rgb="FF243447"/>
        <rFont val="Noto Sans CJK SC"/>
        <family val="2"/>
      </rPr>
      <t xml:space="preserve">费用率</t>
    </r>
  </si>
  <si>
    <r>
      <rPr>
        <sz val="10"/>
        <color rgb="FF243447"/>
        <rFont val="Microsoft YaHei"/>
        <family val="2"/>
        <charset val="1"/>
      </rPr>
      <t xml:space="preserve">BH Primary</t>
    </r>
    <r>
      <rPr>
        <sz val="10"/>
        <color rgb="FF243447"/>
        <rFont val="Noto Sans CJK SC"/>
        <family val="2"/>
      </rPr>
      <t xml:space="preserve">税前承保利润</t>
    </r>
  </si>
  <si>
    <r>
      <rPr>
        <sz val="10"/>
        <color rgb="FF243447"/>
        <rFont val="Microsoft YaHei"/>
        <family val="2"/>
        <charset val="1"/>
      </rPr>
      <t xml:space="preserve">BHRG</t>
    </r>
    <r>
      <rPr>
        <sz val="10"/>
        <color rgb="FF243447"/>
        <rFont val="Noto Sans CJK SC"/>
        <family val="2"/>
      </rPr>
      <t xml:space="preserve">税前承保利润</t>
    </r>
  </si>
  <si>
    <r>
      <rPr>
        <sz val="10"/>
        <color rgb="FF243447"/>
        <rFont val="Microsoft YaHei"/>
        <family val="2"/>
        <charset val="1"/>
      </rPr>
      <t xml:space="preserve">BNSF</t>
    </r>
    <r>
      <rPr>
        <sz val="10"/>
        <color rgb="FF243447"/>
        <rFont val="Noto Sans CJK SC"/>
        <family val="2"/>
      </rPr>
      <t xml:space="preserve">铁路营业收入</t>
    </r>
  </si>
  <si>
    <r>
      <rPr>
        <sz val="10"/>
        <color rgb="FF243447"/>
        <rFont val="Microsoft YaHei"/>
        <family val="2"/>
        <charset val="1"/>
      </rPr>
      <t xml:space="preserve">BNSF</t>
    </r>
    <r>
      <rPr>
        <sz val="10"/>
        <color rgb="FF243447"/>
        <rFont val="Noto Sans CJK SC"/>
        <family val="2"/>
      </rPr>
      <t xml:space="preserve">货运量</t>
    </r>
  </si>
  <si>
    <r>
      <rPr>
        <sz val="10"/>
        <color rgb="FF243447"/>
        <rFont val="Noto Sans CJK SC"/>
        <family val="2"/>
      </rPr>
      <t xml:space="preserve">千车</t>
    </r>
    <r>
      <rPr>
        <sz val="10"/>
        <color rgb="FF243447"/>
        <rFont val="Microsoft YaHei"/>
        <family val="2"/>
        <charset val="1"/>
      </rPr>
      <t xml:space="preserve">/</t>
    </r>
    <r>
      <rPr>
        <sz val="10"/>
        <color rgb="FF243447"/>
        <rFont val="Noto Sans CJK SC"/>
        <family val="2"/>
      </rPr>
      <t xml:space="preserve">单元</t>
    </r>
  </si>
  <si>
    <r>
      <rPr>
        <sz val="10"/>
        <color rgb="FF243447"/>
        <rFont val="Microsoft YaHei"/>
        <family val="2"/>
        <charset val="1"/>
      </rPr>
      <t xml:space="preserve">BHE</t>
    </r>
    <r>
      <rPr>
        <sz val="10"/>
        <color rgb="FF243447"/>
        <rFont val="Noto Sans CJK SC"/>
        <family val="2"/>
      </rPr>
      <t xml:space="preserve">美国公用事业利润</t>
    </r>
  </si>
  <si>
    <r>
      <rPr>
        <sz val="10"/>
        <color rgb="FF243447"/>
        <rFont val="Microsoft YaHei"/>
        <family val="2"/>
        <charset val="1"/>
      </rPr>
      <t xml:space="preserve">BHE</t>
    </r>
    <r>
      <rPr>
        <sz val="10"/>
        <color rgb="FF243447"/>
        <rFont val="Noto Sans CJK SC"/>
        <family val="2"/>
      </rPr>
      <t xml:space="preserve">天然气管道利润</t>
    </r>
  </si>
  <si>
    <r>
      <rPr>
        <sz val="10"/>
        <color rgb="FF243447"/>
        <rFont val="Microsoft YaHei"/>
        <family val="2"/>
        <charset val="1"/>
      </rPr>
      <t xml:space="preserve">BHE</t>
    </r>
    <r>
      <rPr>
        <sz val="10"/>
        <color rgb="FF243447"/>
        <rFont val="Noto Sans CJK SC"/>
        <family val="2"/>
      </rPr>
      <t xml:space="preserve">其他能源利润</t>
    </r>
  </si>
  <si>
    <r>
      <rPr>
        <sz val="10"/>
        <color rgb="FF243447"/>
        <rFont val="Microsoft YaHei"/>
        <family val="2"/>
        <charset val="1"/>
      </rPr>
      <t xml:space="preserve">BHE</t>
    </r>
    <r>
      <rPr>
        <sz val="10"/>
        <color rgb="FF243447"/>
        <rFont val="Noto Sans CJK SC"/>
        <family val="2"/>
      </rPr>
      <t xml:space="preserve">房地产经纪利润</t>
    </r>
  </si>
  <si>
    <r>
      <rPr>
        <sz val="10"/>
        <color rgb="FF243447"/>
        <rFont val="Microsoft YaHei"/>
        <family val="2"/>
        <charset val="1"/>
      </rPr>
      <t xml:space="preserve">BHE</t>
    </r>
    <r>
      <rPr>
        <sz val="10"/>
        <color rgb="FF243447"/>
        <rFont val="Noto Sans CJK SC"/>
        <family val="2"/>
      </rPr>
      <t xml:space="preserve">公司利息及其他</t>
    </r>
  </si>
  <si>
    <t xml:space="preserve">工业产品税前利润</t>
  </si>
  <si>
    <r>
      <rPr>
        <sz val="10"/>
        <color rgb="FF243447"/>
        <rFont val="Microsoft YaHei"/>
        <family val="2"/>
        <charset val="1"/>
      </rPr>
      <t xml:space="preserve">OxyChem</t>
    </r>
    <r>
      <rPr>
        <sz val="10"/>
        <color rgb="FF243447"/>
        <rFont val="Noto Sans CJK SC"/>
        <family val="2"/>
      </rPr>
      <t xml:space="preserve">营业收入</t>
    </r>
  </si>
  <si>
    <r>
      <rPr>
        <sz val="10"/>
        <color rgb="FF243447"/>
        <rFont val="Microsoft YaHei"/>
        <family val="2"/>
        <charset val="1"/>
      </rPr>
      <t xml:space="preserve">2026</t>
    </r>
    <r>
      <rPr>
        <sz val="10"/>
        <color rgb="FF243447"/>
        <rFont val="Noto Sans CJK SC"/>
        <family val="2"/>
      </rPr>
      <t xml:space="preserve">年</t>
    </r>
    <r>
      <rPr>
        <sz val="10"/>
        <color rgb="FF243447"/>
        <rFont val="Microsoft YaHei"/>
        <family val="2"/>
        <charset val="1"/>
      </rPr>
      <t xml:space="preserve">1</t>
    </r>
    <r>
      <rPr>
        <sz val="10"/>
        <color rgb="FF243447"/>
        <rFont val="Noto Sans CJK SC"/>
        <family val="2"/>
      </rPr>
      <t xml:space="preserve">月</t>
    </r>
    <r>
      <rPr>
        <sz val="10"/>
        <color rgb="FF243447"/>
        <rFont val="Microsoft YaHei"/>
        <family val="2"/>
        <charset val="1"/>
      </rPr>
      <t xml:space="preserve">2</t>
    </r>
    <r>
      <rPr>
        <sz val="10"/>
        <color rgb="FF243447"/>
        <rFont val="Noto Sans CJK SC"/>
        <family val="2"/>
      </rPr>
      <t xml:space="preserve">日起并表</t>
    </r>
  </si>
  <si>
    <r>
      <rPr>
        <sz val="10"/>
        <color rgb="FF243447"/>
        <rFont val="Microsoft YaHei"/>
        <family val="2"/>
        <charset val="1"/>
      </rPr>
      <t xml:space="preserve">OxyChem</t>
    </r>
    <r>
      <rPr>
        <sz val="10"/>
        <color rgb="FF243447"/>
        <rFont val="Noto Sans CJK SC"/>
        <family val="2"/>
      </rPr>
      <t xml:space="preserve">税前利润</t>
    </r>
  </si>
  <si>
    <t xml:space="preserve">含收购会计折旧摊销及过渡成本影响</t>
  </si>
  <si>
    <r>
      <rPr>
        <sz val="10"/>
        <color rgb="FF243447"/>
        <rFont val="Microsoft YaHei"/>
        <family val="2"/>
        <charset val="1"/>
      </rPr>
      <t xml:space="preserve">OxyChem</t>
    </r>
    <r>
      <rPr>
        <sz val="10"/>
        <color rgb="FF243447"/>
        <rFont val="Noto Sans CJK SC"/>
        <family val="2"/>
      </rPr>
      <t xml:space="preserve">收购对价（约数）</t>
    </r>
  </si>
  <si>
    <t xml:space="preserve">AR25_ACQ</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</si>
  <si>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r>
      <rPr>
        <sz val="10"/>
        <color rgb="FF243447"/>
        <rFont val="Noto Sans CJK SC"/>
        <family val="2"/>
      </rPr>
      <t xml:space="preserve">｜</t>
    </r>
    <r>
      <rPr>
        <sz val="10"/>
        <color rgb="FF243447"/>
        <rFont val="Microsoft YaHei"/>
        <family val="2"/>
        <charset val="1"/>
      </rPr>
      <t xml:space="preserve">Note 2—Business acquisitions</t>
    </r>
    <r>
      <rPr>
        <sz val="10"/>
        <color rgb="FF243447"/>
        <rFont val="Noto Sans CJK SC"/>
        <family val="2"/>
      </rPr>
      <t xml:space="preserve">（</t>
    </r>
    <r>
      <rPr>
        <sz val="10"/>
        <color rgb="FF243447"/>
        <rFont val="Microsoft YaHei"/>
        <family val="2"/>
        <charset val="1"/>
      </rPr>
      <t xml:space="preserve">K-77</t>
    </r>
    <r>
      <rPr>
        <sz val="10"/>
        <color rgb="FF243447"/>
        <rFont val="Noto Sans CJK SC"/>
        <family val="2"/>
      </rPr>
      <t xml:space="preserve">至</t>
    </r>
    <r>
      <rPr>
        <sz val="10"/>
        <color rgb="FF243447"/>
        <rFont val="Microsoft YaHei"/>
        <family val="2"/>
        <charset val="1"/>
      </rPr>
      <t xml:space="preserve">K-78</t>
    </r>
    <r>
      <rPr>
        <sz val="10"/>
        <color rgb="FF243447"/>
        <rFont val="Noto Sans CJK SC"/>
        <family val="2"/>
      </rPr>
      <t xml:space="preserve">）</t>
    </r>
  </si>
  <si>
    <r>
      <rPr>
        <sz val="10"/>
        <color rgb="FF243447"/>
        <rFont val="Microsoft YaHei"/>
        <family val="2"/>
        <charset val="1"/>
      </rPr>
      <t xml:space="preserve">2026</t>
    </r>
    <r>
      <rPr>
        <sz val="10"/>
        <color rgb="FF243447"/>
        <rFont val="Noto Sans CJK SC"/>
        <family val="2"/>
      </rPr>
      <t xml:space="preserve">年</t>
    </r>
    <r>
      <rPr>
        <sz val="10"/>
        <color rgb="FF243447"/>
        <rFont val="Microsoft YaHei"/>
        <family val="2"/>
        <charset val="1"/>
      </rPr>
      <t xml:space="preserve">1</t>
    </r>
    <r>
      <rPr>
        <sz val="10"/>
        <color rgb="FF243447"/>
        <rFont val="Noto Sans CJK SC"/>
        <family val="2"/>
      </rPr>
      <t xml:space="preserve">月</t>
    </r>
    <r>
      <rPr>
        <sz val="10"/>
        <color rgb="FF243447"/>
        <rFont val="Microsoft YaHei"/>
        <family val="2"/>
        <charset val="1"/>
      </rPr>
      <t xml:space="preserve">2</t>
    </r>
    <r>
      <rPr>
        <sz val="10"/>
        <color rgb="FF243447"/>
        <rFont val="Noto Sans CJK SC"/>
        <family val="2"/>
      </rPr>
      <t xml:space="preserve">日支付，可按协议调整；</t>
    </r>
    <r>
      <rPr>
        <sz val="10"/>
        <color rgb="FF243447"/>
        <rFont val="Microsoft YaHei"/>
        <family val="2"/>
        <charset val="1"/>
      </rPr>
      <t xml:space="preserve">Occidental</t>
    </r>
    <r>
      <rPr>
        <sz val="10"/>
        <color rgb="FF243447"/>
        <rFont val="Noto Sans CJK SC"/>
        <family val="2"/>
      </rPr>
      <t xml:space="preserve">保留历史环境负债</t>
    </r>
  </si>
  <si>
    <t xml:space="preserve">各业务板块利润｜税后、归属伯克希尔股东</t>
  </si>
  <si>
    <r>
      <rPr>
        <sz val="11"/>
        <color rgb="FF66788A"/>
        <rFont val="Noto Sans CJK SC"/>
        <family val="2"/>
      </rPr>
      <t xml:space="preserve">单位：百万美元。核心五项与公司经营利润（含</t>
    </r>
    <r>
      <rPr>
        <sz val="11"/>
        <color rgb="FF66788A"/>
        <rFont val="Microsoft YaHei"/>
        <family val="2"/>
        <charset val="1"/>
      </rPr>
      <t xml:space="preserve">Other</t>
    </r>
    <r>
      <rPr>
        <sz val="11"/>
        <color rgb="FF66788A"/>
        <rFont val="Noto Sans CJK SC"/>
        <family val="2"/>
      </rPr>
      <t xml:space="preserve">）分列；投资损益及减值不混入核心经营表现。</t>
    </r>
  </si>
  <si>
    <r>
      <rPr>
        <b val="true"/>
        <sz val="10"/>
        <color rgb="FFFFFFFF"/>
        <rFont val="Microsoft YaHei"/>
        <family val="2"/>
        <charset val="1"/>
      </rPr>
      <t xml:space="preserve">2021</t>
    </r>
    <r>
      <rPr>
        <b val="true"/>
        <sz val="10"/>
        <color rgb="FFFFFFFF"/>
        <rFont val="Noto Sans CJK SC"/>
        <family val="2"/>
      </rPr>
      <t xml:space="preserve">年</t>
    </r>
  </si>
  <si>
    <r>
      <rPr>
        <b val="true"/>
        <sz val="10"/>
        <color rgb="FFFFFFFF"/>
        <rFont val="Microsoft YaHei"/>
        <family val="2"/>
        <charset val="1"/>
      </rPr>
      <t xml:space="preserve">2022</t>
    </r>
    <r>
      <rPr>
        <b val="true"/>
        <sz val="10"/>
        <color rgb="FFFFFFFF"/>
        <rFont val="Noto Sans CJK SC"/>
        <family val="2"/>
      </rPr>
      <t xml:space="preserve">年</t>
    </r>
  </si>
  <si>
    <r>
      <rPr>
        <b val="true"/>
        <sz val="10"/>
        <color rgb="FFFFFFFF"/>
        <rFont val="Microsoft YaHei"/>
        <family val="2"/>
        <charset val="1"/>
      </rPr>
      <t xml:space="preserve">2023</t>
    </r>
    <r>
      <rPr>
        <b val="true"/>
        <sz val="10"/>
        <color rgb="FFFFFFFF"/>
        <rFont val="Noto Sans CJK SC"/>
        <family val="2"/>
      </rPr>
      <t xml:space="preserve">年</t>
    </r>
  </si>
  <si>
    <r>
      <rPr>
        <b val="true"/>
        <sz val="10"/>
        <color rgb="FFFFFFFF"/>
        <rFont val="Microsoft YaHei"/>
        <family val="2"/>
        <charset val="1"/>
      </rPr>
      <t xml:space="preserve">2024</t>
    </r>
    <r>
      <rPr>
        <b val="true"/>
        <sz val="10"/>
        <color rgb="FFFFFFFF"/>
        <rFont val="Noto Sans CJK SC"/>
        <family val="2"/>
      </rPr>
      <t xml:space="preserve">年</t>
    </r>
  </si>
  <si>
    <r>
      <rPr>
        <b val="true"/>
        <sz val="10"/>
        <color rgb="FFFFFFFF"/>
        <rFont val="Microsoft YaHei"/>
        <family val="2"/>
        <charset val="1"/>
      </rPr>
      <t xml:space="preserve">2025</t>
    </r>
    <r>
      <rPr>
        <b val="true"/>
        <sz val="10"/>
        <color rgb="FFFFFFFF"/>
        <rFont val="Noto Sans CJK SC"/>
        <family val="2"/>
      </rPr>
      <t xml:space="preserve">年</t>
    </r>
  </si>
  <si>
    <r>
      <rPr>
        <b val="true"/>
        <sz val="10"/>
        <color rgb="FFFFFFFF"/>
        <rFont val="Microsoft YaHei"/>
        <family val="2"/>
        <charset val="1"/>
      </rPr>
      <t xml:space="preserve">2025</t>
    </r>
    <r>
      <rPr>
        <b val="true"/>
        <sz val="10"/>
        <color rgb="FFFFFFFF"/>
        <rFont val="Noto Sans CJK SC"/>
        <family val="2"/>
      </rPr>
      <t xml:space="preserve">年上半年</t>
    </r>
  </si>
  <si>
    <r>
      <rPr>
        <b val="true"/>
        <sz val="10"/>
        <color rgb="FFFFFFFF"/>
        <rFont val="Microsoft YaHei"/>
        <family val="2"/>
        <charset val="1"/>
      </rPr>
      <t xml:space="preserve">2026</t>
    </r>
    <r>
      <rPr>
        <b val="true"/>
        <sz val="10"/>
        <color rgb="FFFFFFFF"/>
        <rFont val="Noto Sans CJK SC"/>
        <family val="2"/>
      </rPr>
      <t xml:space="preserve">年上半年</t>
    </r>
  </si>
  <si>
    <r>
      <rPr>
        <b val="true"/>
        <sz val="10"/>
        <color rgb="FF243447"/>
        <rFont val="Noto Sans CJK SC"/>
        <family val="2"/>
      </rPr>
      <t xml:space="preserve">铁路（</t>
    </r>
    <r>
      <rPr>
        <b val="true"/>
        <sz val="10"/>
        <color rgb="FF243447"/>
        <rFont val="Microsoft YaHei"/>
        <family val="2"/>
        <charset val="1"/>
      </rPr>
      <t xml:space="preserve">BNSF</t>
    </r>
    <r>
      <rPr>
        <b val="true"/>
        <sz val="10"/>
        <color rgb="FF243447"/>
        <rFont val="Noto Sans CJK SC"/>
        <family val="2"/>
      </rPr>
      <t xml:space="preserve">）利润</t>
    </r>
  </si>
  <si>
    <r>
      <rPr>
        <b val="true"/>
        <sz val="10"/>
        <color rgb="FF243447"/>
        <rFont val="Noto Sans CJK SC"/>
        <family val="2"/>
      </rPr>
      <t xml:space="preserve">能源（</t>
    </r>
    <r>
      <rPr>
        <b val="true"/>
        <sz val="10"/>
        <color rgb="FF243447"/>
        <rFont val="Microsoft YaHei"/>
        <family val="2"/>
        <charset val="1"/>
      </rPr>
      <t xml:space="preserve">BHE</t>
    </r>
    <r>
      <rPr>
        <b val="true"/>
        <sz val="10"/>
        <color rgb="FF243447"/>
        <rFont val="Noto Sans CJK SC"/>
        <family val="2"/>
      </rPr>
      <t xml:space="preserve">）利润</t>
    </r>
  </si>
  <si>
    <t xml:space="preserve">核心五项经营利润小计</t>
  </si>
  <si>
    <t xml:space="preserve">其他（含旧口径非控制企业）</t>
  </si>
  <si>
    <t xml:space="preserve">公司经营利润（核心五项＋其他）</t>
  </si>
  <si>
    <t xml:space="preserve">权益法投资非暂时性减值</t>
  </si>
  <si>
    <r>
      <rPr>
        <b val="true"/>
        <sz val="10"/>
        <color rgb="FF243447"/>
        <rFont val="Noto Sans CJK SC"/>
        <family val="2"/>
      </rPr>
      <t xml:space="preserve">对账差异（应为</t>
    </r>
    <r>
      <rPr>
        <b val="true"/>
        <sz val="10"/>
        <color rgb="FF243447"/>
        <rFont val="Microsoft YaHei"/>
        <family val="2"/>
        <charset val="1"/>
      </rPr>
      <t xml:space="preserve">0</t>
    </r>
    <r>
      <rPr>
        <b val="true"/>
        <sz val="10"/>
        <color rgb="FF243447"/>
        <rFont val="Noto Sans CJK SC"/>
        <family val="2"/>
      </rPr>
      <t xml:space="preserve">）</t>
    </r>
  </si>
  <si>
    <r>
      <rPr>
        <sz val="9"/>
        <color rgb="FF66788A"/>
        <rFont val="Noto Sans CJK SC"/>
        <family val="2"/>
      </rPr>
      <t xml:space="preserve">口径说明：</t>
    </r>
    <r>
      <rPr>
        <sz val="9"/>
        <color rgb="FF66788A"/>
        <rFont val="Microsoft YaHei"/>
        <family val="2"/>
        <charset val="1"/>
      </rPr>
      <t xml:space="preserve">2021—2022</t>
    </r>
    <r>
      <rPr>
        <sz val="9"/>
        <color rgb="FF66788A"/>
        <rFont val="Noto Sans CJK SC"/>
        <family val="2"/>
      </rPr>
      <t xml:space="preserve">年采用</t>
    </r>
    <r>
      <rPr>
        <sz val="9"/>
        <color rgb="FF66788A"/>
        <rFont val="Microsoft YaHei"/>
        <family val="2"/>
        <charset val="1"/>
      </rPr>
      <t xml:space="preserve">2023</t>
    </r>
    <r>
      <rPr>
        <sz val="9"/>
        <color rgb="FF66788A"/>
        <rFont val="Noto Sans CJK SC"/>
        <family val="2"/>
      </rPr>
      <t xml:space="preserve">年报追溯调整数据；为衔接</t>
    </r>
    <r>
      <rPr>
        <sz val="9"/>
        <color rgb="FF66788A"/>
        <rFont val="Microsoft YaHei"/>
        <family val="2"/>
        <charset val="1"/>
      </rPr>
      <t xml:space="preserve">2025</t>
    </r>
    <r>
      <rPr>
        <sz val="9"/>
        <color rgb="FF66788A"/>
        <rFont val="Noto Sans CJK SC"/>
        <family val="2"/>
      </rPr>
      <t xml:space="preserve">年报，旧表</t>
    </r>
    <r>
      <rPr>
        <sz val="9"/>
        <color rgb="FF66788A"/>
        <rFont val="Microsoft YaHei"/>
        <family val="2"/>
        <charset val="1"/>
      </rPr>
      <t xml:space="preserve">Non-controlled businesses</t>
    </r>
    <r>
      <rPr>
        <sz val="9"/>
        <color rgb="FF66788A"/>
        <rFont val="Noto Sans CJK SC"/>
        <family val="2"/>
      </rPr>
      <t xml:space="preserve">并入</t>
    </r>
    <r>
      <rPr>
        <sz val="9"/>
        <color rgb="FF66788A"/>
        <rFont val="Microsoft YaHei"/>
        <family val="2"/>
        <charset val="1"/>
      </rPr>
      <t xml:space="preserve">Other</t>
    </r>
    <r>
      <rPr>
        <sz val="9"/>
        <color rgb="FF66788A"/>
        <rFont val="Noto Sans CJK SC"/>
        <family val="2"/>
      </rPr>
      <t xml:space="preserve">。</t>
    </r>
    <r>
      <rPr>
        <sz val="9"/>
        <color rgb="FF66788A"/>
        <rFont val="Microsoft YaHei"/>
        <family val="2"/>
        <charset val="1"/>
      </rPr>
      <t xml:space="preserve">2023</t>
    </r>
    <r>
      <rPr>
        <sz val="9"/>
        <color rgb="FF66788A"/>
        <rFont val="Noto Sans CJK SC"/>
        <family val="2"/>
      </rPr>
      <t xml:space="preserve">年制造、服务及零售采用</t>
    </r>
    <r>
      <rPr>
        <sz val="9"/>
        <color rgb="FF66788A"/>
        <rFont val="Microsoft YaHei"/>
        <family val="2"/>
        <charset val="1"/>
      </rPr>
      <t xml:space="preserve">2025</t>
    </r>
    <r>
      <rPr>
        <sz val="9"/>
        <color rgb="FF66788A"/>
        <rFont val="Noto Sans CJK SC"/>
        <family val="2"/>
      </rPr>
      <t xml:space="preserve">年报列示，已包含</t>
    </r>
    <r>
      <rPr>
        <sz val="9"/>
        <color rgb="FF66788A"/>
        <rFont val="Microsoft YaHei"/>
        <family val="2"/>
        <charset val="1"/>
      </rPr>
      <t xml:space="preserve">PTC</t>
    </r>
    <r>
      <rPr>
        <sz val="9"/>
        <color rgb="FF66788A"/>
        <rFont val="Noto Sans CJK SC"/>
        <family val="2"/>
      </rPr>
      <t xml:space="preserve">。半年数据不能与全年直接比较。</t>
    </r>
  </si>
  <si>
    <t xml:space="preserve">浮存金、流动性、每股账面价值与资本配置</t>
  </si>
  <si>
    <t xml:space="preserve">单位：百万美元；股数为股；每股账面价值为美元。存量项目取期末，流量项目取全年或半年。</t>
  </si>
  <si>
    <t xml:space="preserve">保险浮存金（约数）</t>
  </si>
  <si>
    <t xml:space="preserve">保险及其他：现金及现金等价物</t>
  </si>
  <si>
    <t xml:space="preserve">铁路、公用事业及能源：现金</t>
  </si>
  <si>
    <t xml:space="preserve">现金及短期国债合计（公式）</t>
  </si>
  <si>
    <t xml:space="preserve">股票投资组合（公允价值）</t>
  </si>
  <si>
    <r>
      <rPr>
        <b val="true"/>
        <sz val="10"/>
        <color rgb="FF243447"/>
        <rFont val="Noto Sans CJK SC"/>
        <family val="2"/>
      </rPr>
      <t xml:space="preserve">期末</t>
    </r>
    <r>
      <rPr>
        <b val="true"/>
        <sz val="10"/>
        <color rgb="FF243447"/>
        <rFont val="Microsoft YaHei"/>
        <family val="2"/>
        <charset val="1"/>
      </rPr>
      <t xml:space="preserve">A</t>
    </r>
    <r>
      <rPr>
        <b val="true"/>
        <sz val="10"/>
        <color rgb="FF243447"/>
        <rFont val="Noto Sans CJK SC"/>
        <family val="2"/>
      </rPr>
      <t xml:space="preserve">类等价股数</t>
    </r>
  </si>
  <si>
    <r>
      <rPr>
        <b val="true"/>
        <sz val="10"/>
        <color rgb="FF243447"/>
        <rFont val="Noto Sans CJK SC"/>
        <family val="2"/>
      </rPr>
      <t xml:space="preserve">每股账面价值—</t>
    </r>
    <r>
      <rPr>
        <b val="true"/>
        <sz val="10"/>
        <color rgb="FF243447"/>
        <rFont val="Microsoft YaHei"/>
        <family val="2"/>
        <charset val="1"/>
      </rPr>
      <t xml:space="preserve">A</t>
    </r>
    <r>
      <rPr>
        <b val="true"/>
        <sz val="10"/>
        <color rgb="FF243447"/>
        <rFont val="Noto Sans CJK SC"/>
        <family val="2"/>
      </rPr>
      <t xml:space="preserve">类（公式）</t>
    </r>
  </si>
  <si>
    <r>
      <rPr>
        <b val="true"/>
        <sz val="10"/>
        <color rgb="FF243447"/>
        <rFont val="Noto Sans CJK SC"/>
        <family val="2"/>
      </rPr>
      <t xml:space="preserve">每股账面价值—</t>
    </r>
    <r>
      <rPr>
        <b val="true"/>
        <sz val="10"/>
        <color rgb="FF243447"/>
        <rFont val="Microsoft YaHei"/>
        <family val="2"/>
        <charset val="1"/>
      </rPr>
      <t xml:space="preserve">B</t>
    </r>
    <r>
      <rPr>
        <b val="true"/>
        <sz val="10"/>
        <color rgb="FF243447"/>
        <rFont val="Noto Sans CJK SC"/>
        <family val="2"/>
      </rPr>
      <t xml:space="preserve">类（</t>
    </r>
    <r>
      <rPr>
        <b val="true"/>
        <sz val="10"/>
        <color rgb="FF243447"/>
        <rFont val="Microsoft YaHei"/>
        <family val="2"/>
        <charset val="1"/>
      </rPr>
      <t xml:space="preserve">A</t>
    </r>
    <r>
      <rPr>
        <b val="true"/>
        <sz val="10"/>
        <color rgb="FF243447"/>
        <rFont val="Noto Sans CJK SC"/>
        <family val="2"/>
      </rPr>
      <t xml:space="preserve">类</t>
    </r>
    <r>
      <rPr>
        <b val="true"/>
        <sz val="10"/>
        <color rgb="FF243447"/>
        <rFont val="Microsoft YaHei"/>
        <family val="2"/>
        <charset val="1"/>
      </rPr>
      <t xml:space="preserve">÷1500</t>
    </r>
    <r>
      <rPr>
        <b val="true"/>
        <sz val="10"/>
        <color rgb="FF243447"/>
        <rFont val="Noto Sans CJK SC"/>
        <family val="2"/>
      </rPr>
      <t xml:space="preserve">）</t>
    </r>
  </si>
  <si>
    <t xml:space="preserve">资本配置与股票现金流</t>
  </si>
  <si>
    <t xml:space="preserve">股票净购买（购买－出售）</t>
  </si>
  <si>
    <r>
      <rPr>
        <sz val="9"/>
        <color rgb="FF66788A"/>
        <rFont val="Noto Sans CJK SC"/>
        <family val="2"/>
      </rPr>
      <t xml:space="preserve">每股账面价值＝归母股东权益</t>
    </r>
    <r>
      <rPr>
        <sz val="9"/>
        <color rgb="FF66788A"/>
        <rFont val="Microsoft YaHei"/>
        <family val="2"/>
        <charset val="1"/>
      </rPr>
      <t xml:space="preserve">×1,000,000÷</t>
    </r>
    <r>
      <rPr>
        <sz val="9"/>
        <color rgb="FF66788A"/>
        <rFont val="Noto Sans CJK SC"/>
        <family val="2"/>
      </rPr>
      <t xml:space="preserve">期末</t>
    </r>
    <r>
      <rPr>
        <sz val="9"/>
        <color rgb="FF66788A"/>
        <rFont val="Microsoft YaHei"/>
        <family val="2"/>
        <charset val="1"/>
      </rPr>
      <t xml:space="preserve">A</t>
    </r>
    <r>
      <rPr>
        <sz val="9"/>
        <color rgb="FF66788A"/>
        <rFont val="Noto Sans CJK SC"/>
        <family val="2"/>
      </rPr>
      <t xml:space="preserve">类等价股数；不是公司披露的</t>
    </r>
    <r>
      <rPr>
        <sz val="9"/>
        <color rgb="FF66788A"/>
        <rFont val="Microsoft YaHei"/>
        <family val="2"/>
        <charset val="1"/>
      </rPr>
      <t xml:space="preserve">GAAP</t>
    </r>
    <r>
      <rPr>
        <sz val="9"/>
        <color rgb="FF66788A"/>
        <rFont val="Noto Sans CJK SC"/>
        <family val="2"/>
      </rPr>
      <t xml:space="preserve">每股指标。</t>
    </r>
    <r>
      <rPr>
        <sz val="9"/>
        <color rgb="FF66788A"/>
        <rFont val="Microsoft YaHei"/>
        <family val="2"/>
        <charset val="1"/>
      </rPr>
      <t xml:space="preserve">2021</t>
    </r>
    <r>
      <rPr>
        <sz val="9"/>
        <color rgb="FF66788A"/>
        <rFont val="Noto Sans CJK SC"/>
        <family val="2"/>
      </rPr>
      <t xml:space="preserve">年权益采用</t>
    </r>
    <r>
      <rPr>
        <sz val="9"/>
        <color rgb="FF66788A"/>
        <rFont val="Microsoft YaHei"/>
        <family val="2"/>
        <charset val="1"/>
      </rPr>
      <t xml:space="preserve">2023</t>
    </r>
    <r>
      <rPr>
        <sz val="9"/>
        <color rgb="FF66788A"/>
        <rFont val="Noto Sans CJK SC"/>
        <family val="2"/>
      </rPr>
      <t xml:space="preserve">年报追溯调整后的四项归母权益组成之和。回购现金流与库存股取得成本因口径及结算时点不同而并列。</t>
    </r>
    <r>
      <rPr>
        <sz val="9"/>
        <color rgb="FF66788A"/>
        <rFont val="Microsoft YaHei"/>
        <family val="2"/>
        <charset val="1"/>
      </rPr>
      <t xml:space="preserve">2026</t>
    </r>
    <r>
      <rPr>
        <sz val="9"/>
        <color rgb="FF66788A"/>
        <rFont val="Noto Sans CJK SC"/>
        <family val="2"/>
      </rPr>
      <t xml:space="preserve">年业绩公告约</t>
    </r>
    <r>
      <rPr>
        <sz val="9"/>
        <color rgb="FF66788A"/>
        <rFont val="Microsoft YaHei"/>
        <family val="2"/>
        <charset val="1"/>
      </rPr>
      <t xml:space="preserve">48</t>
    </r>
    <r>
      <rPr>
        <sz val="9"/>
        <color rgb="FF66788A"/>
        <rFont val="Noto Sans CJK SC"/>
        <family val="2"/>
      </rPr>
      <t xml:space="preserve">亿美元对应权益变动表口径。</t>
    </r>
  </si>
  <si>
    <t xml:space="preserve">股票投资组合｜披露行业与主要持仓</t>
  </si>
  <si>
    <r>
      <rPr>
        <sz val="11"/>
        <color rgb="FF66788A"/>
        <rFont val="Noto Sans CJK SC"/>
        <family val="2"/>
      </rPr>
      <t xml:space="preserve">单位：百万美元；按公允价值。行业合计不含按权益法核算的</t>
    </r>
    <r>
      <rPr>
        <sz val="11"/>
        <color rgb="FF66788A"/>
        <rFont val="Microsoft YaHei"/>
        <family val="2"/>
        <charset val="1"/>
      </rPr>
      <t xml:space="preserve">Kraft Heinz</t>
    </r>
    <r>
      <rPr>
        <sz val="11"/>
        <color rgb="FF66788A"/>
        <rFont val="Noto Sans CJK SC"/>
        <family val="2"/>
      </rPr>
      <t xml:space="preserve">与</t>
    </r>
    <r>
      <rPr>
        <sz val="11"/>
        <color rgb="FF66788A"/>
        <rFont val="Microsoft YaHei"/>
        <family val="2"/>
        <charset val="1"/>
      </rPr>
      <t xml:space="preserve">Occidental</t>
    </r>
    <r>
      <rPr>
        <sz val="11"/>
        <color rgb="FF66788A"/>
        <rFont val="Noto Sans CJK SC"/>
        <family val="2"/>
      </rPr>
      <t xml:space="preserve">普通股。</t>
    </r>
  </si>
  <si>
    <t xml:space="preserve">银行、保险及金融</t>
  </si>
  <si>
    <t xml:space="preserve">消费品</t>
  </si>
  <si>
    <t xml:space="preserve">商业、工业及其他</t>
  </si>
  <si>
    <t xml:space="preserve">行业合计（公式）</t>
  </si>
  <si>
    <t xml:space="preserve">披露合计</t>
  </si>
  <si>
    <t xml:space="preserve">行业占比（公式）</t>
  </si>
  <si>
    <t xml:space="preserve">银行、保险及金融占比</t>
  </si>
  <si>
    <t xml:space="preserve">消费品占比</t>
  </si>
  <si>
    <t xml:space="preserve">商业、工业及其他占比</t>
  </si>
  <si>
    <t xml:space="preserve">主要持仓名单</t>
  </si>
  <si>
    <r>
      <rPr>
        <sz val="10"/>
        <color rgb="FF243447"/>
        <rFont val="Microsoft YaHei"/>
        <family val="2"/>
        <charset val="1"/>
      </rPr>
      <t xml:space="preserve">American Express</t>
    </r>
    <r>
      <rPr>
        <sz val="10"/>
        <color rgb="FF243447"/>
        <rFont val="Noto Sans CJK SC"/>
        <family val="2"/>
      </rPr>
      <t xml:space="preserve">、</t>
    </r>
    <r>
      <rPr>
        <sz val="10"/>
        <color rgb="FF243447"/>
        <rFont val="Microsoft YaHei"/>
        <family val="2"/>
        <charset val="1"/>
      </rPr>
      <t xml:space="preserve">Apple</t>
    </r>
    <r>
      <rPr>
        <sz val="10"/>
        <color rgb="FF243447"/>
        <rFont val="Noto Sans CJK SC"/>
        <family val="2"/>
      </rPr>
      <t xml:space="preserve">、</t>
    </r>
    <r>
      <rPr>
        <sz val="10"/>
        <color rgb="FF243447"/>
        <rFont val="Microsoft YaHei"/>
        <family val="2"/>
        <charset val="1"/>
      </rPr>
      <t xml:space="preserve">Bank of America</t>
    </r>
    <r>
      <rPr>
        <sz val="10"/>
        <color rgb="FF243447"/>
        <rFont val="Noto Sans CJK SC"/>
        <family val="2"/>
      </rPr>
      <t xml:space="preserve">、</t>
    </r>
    <r>
      <rPr>
        <sz val="10"/>
        <color rgb="FF243447"/>
        <rFont val="Microsoft YaHei"/>
        <family val="2"/>
        <charset val="1"/>
      </rPr>
      <t xml:space="preserve">Coca-Cola</t>
    </r>
    <r>
      <rPr>
        <sz val="10"/>
        <color rgb="FF243447"/>
        <rFont val="Noto Sans CJK SC"/>
        <family val="2"/>
      </rPr>
      <t xml:space="preserve">（前四大）</t>
    </r>
  </si>
  <si>
    <r>
      <rPr>
        <sz val="10"/>
        <color rgb="FF243447"/>
        <rFont val="Microsoft YaHei"/>
        <family val="2"/>
        <charset val="1"/>
      </rPr>
      <t xml:space="preserve">American Express</t>
    </r>
    <r>
      <rPr>
        <sz val="10"/>
        <color rgb="FF243447"/>
        <rFont val="Noto Sans CJK SC"/>
        <family val="2"/>
      </rPr>
      <t xml:space="preserve">、</t>
    </r>
    <r>
      <rPr>
        <sz val="10"/>
        <color rgb="FF243447"/>
        <rFont val="Microsoft YaHei"/>
        <family val="2"/>
        <charset val="1"/>
      </rPr>
      <t xml:space="preserve">Apple</t>
    </r>
    <r>
      <rPr>
        <sz val="10"/>
        <color rgb="FF243447"/>
        <rFont val="Noto Sans CJK SC"/>
        <family val="2"/>
      </rPr>
      <t xml:space="preserve">、</t>
    </r>
    <r>
      <rPr>
        <sz val="10"/>
        <color rgb="FF243447"/>
        <rFont val="Microsoft YaHei"/>
        <family val="2"/>
        <charset val="1"/>
      </rPr>
      <t xml:space="preserve">Bank of America</t>
    </r>
    <r>
      <rPr>
        <sz val="10"/>
        <color rgb="FF243447"/>
        <rFont val="Noto Sans CJK SC"/>
        <family val="2"/>
      </rPr>
      <t xml:space="preserve">、</t>
    </r>
    <r>
      <rPr>
        <sz val="10"/>
        <color rgb="FF243447"/>
        <rFont val="Microsoft YaHei"/>
        <family val="2"/>
        <charset val="1"/>
      </rPr>
      <t xml:space="preserve">Coca-Cola</t>
    </r>
    <r>
      <rPr>
        <sz val="10"/>
        <color rgb="FF243447"/>
        <rFont val="Noto Sans CJK SC"/>
        <family val="2"/>
      </rPr>
      <t xml:space="preserve">、</t>
    </r>
    <r>
      <rPr>
        <sz val="10"/>
        <color rgb="FF243447"/>
        <rFont val="Microsoft YaHei"/>
        <family val="2"/>
        <charset val="1"/>
      </rPr>
      <t xml:space="preserve">Chevron</t>
    </r>
    <r>
      <rPr>
        <sz val="10"/>
        <color rgb="FF243447"/>
        <rFont val="Noto Sans CJK SC"/>
        <family val="2"/>
      </rPr>
      <t xml:space="preserve">（前五大）</t>
    </r>
  </si>
  <si>
    <r>
      <rPr>
        <sz val="10"/>
        <color rgb="FF243447"/>
        <rFont val="Microsoft YaHei"/>
        <family val="2"/>
        <charset val="1"/>
      </rPr>
      <t xml:space="preserve">Alphabet</t>
    </r>
    <r>
      <rPr>
        <sz val="10"/>
        <color rgb="FF243447"/>
        <rFont val="Noto Sans CJK SC"/>
        <family val="2"/>
      </rPr>
      <t xml:space="preserve">、</t>
    </r>
    <r>
      <rPr>
        <sz val="10"/>
        <color rgb="FF243447"/>
        <rFont val="Microsoft YaHei"/>
        <family val="2"/>
        <charset val="1"/>
      </rPr>
      <t xml:space="preserve">American Express</t>
    </r>
    <r>
      <rPr>
        <sz val="10"/>
        <color rgb="FF243447"/>
        <rFont val="Noto Sans CJK SC"/>
        <family val="2"/>
      </rPr>
      <t xml:space="preserve">、</t>
    </r>
    <r>
      <rPr>
        <sz val="10"/>
        <color rgb="FF243447"/>
        <rFont val="Microsoft YaHei"/>
        <family val="2"/>
        <charset val="1"/>
      </rPr>
      <t xml:space="preserve">Apple</t>
    </r>
    <r>
      <rPr>
        <sz val="10"/>
        <color rgb="FF243447"/>
        <rFont val="Noto Sans CJK SC"/>
        <family val="2"/>
      </rPr>
      <t xml:space="preserve">、</t>
    </r>
    <r>
      <rPr>
        <sz val="10"/>
        <color rgb="FF243447"/>
        <rFont val="Microsoft YaHei"/>
        <family val="2"/>
        <charset val="1"/>
      </rPr>
      <t xml:space="preserve">Bank of America</t>
    </r>
    <r>
      <rPr>
        <sz val="10"/>
        <color rgb="FF243447"/>
        <rFont val="Noto Sans CJK SC"/>
        <family val="2"/>
      </rPr>
      <t xml:space="preserve">、</t>
    </r>
    <r>
      <rPr>
        <sz val="10"/>
        <color rgb="FF243447"/>
        <rFont val="Microsoft YaHei"/>
        <family val="2"/>
        <charset val="1"/>
      </rPr>
      <t xml:space="preserve">Coca-Cola</t>
    </r>
    <r>
      <rPr>
        <sz val="10"/>
        <color rgb="FF243447"/>
        <rFont val="Noto Sans CJK SC"/>
        <family val="2"/>
      </rPr>
      <t xml:space="preserve">（前五大）</t>
    </r>
  </si>
  <si>
    <r>
      <rPr>
        <sz val="9"/>
        <color rgb="FF66788A"/>
        <rFont val="Microsoft YaHei"/>
        <family val="2"/>
        <charset val="1"/>
      </rPr>
      <t xml:space="preserve">2026</t>
    </r>
    <r>
      <rPr>
        <sz val="9"/>
        <color rgb="FF66788A"/>
        <rFont val="Noto Sans CJK SC"/>
        <family val="2"/>
      </rPr>
      <t xml:space="preserve">年</t>
    </r>
    <r>
      <rPr>
        <sz val="9"/>
        <color rgb="FF66788A"/>
        <rFont val="Microsoft YaHei"/>
        <family val="2"/>
        <charset val="1"/>
      </rPr>
      <t xml:space="preserve">6</t>
    </r>
    <r>
      <rPr>
        <sz val="9"/>
        <color rgb="FF66788A"/>
        <rFont val="Noto Sans CJK SC"/>
        <family val="2"/>
      </rPr>
      <t xml:space="preserve">月末前五大为</t>
    </r>
    <r>
      <rPr>
        <sz val="9"/>
        <color rgb="FF66788A"/>
        <rFont val="Microsoft YaHei"/>
        <family val="2"/>
        <charset val="1"/>
      </rPr>
      <t xml:space="preserve">Alphabet</t>
    </r>
    <r>
      <rPr>
        <sz val="9"/>
        <color rgb="FF66788A"/>
        <rFont val="Noto Sans CJK SC"/>
        <family val="2"/>
      </rPr>
      <t xml:space="preserve">、</t>
    </r>
    <r>
      <rPr>
        <sz val="9"/>
        <color rgb="FF66788A"/>
        <rFont val="Microsoft YaHei"/>
        <family val="2"/>
        <charset val="1"/>
      </rPr>
      <t xml:space="preserve">American Express</t>
    </r>
    <r>
      <rPr>
        <sz val="9"/>
        <color rgb="FF66788A"/>
        <rFont val="Noto Sans CJK SC"/>
        <family val="2"/>
      </rPr>
      <t xml:space="preserve">、</t>
    </r>
    <r>
      <rPr>
        <sz val="9"/>
        <color rgb="FF66788A"/>
        <rFont val="Microsoft YaHei"/>
        <family val="2"/>
        <charset val="1"/>
      </rPr>
      <t xml:space="preserve">Apple</t>
    </r>
    <r>
      <rPr>
        <sz val="9"/>
        <color rgb="FF66788A"/>
        <rFont val="Noto Sans CJK SC"/>
        <family val="2"/>
      </rPr>
      <t xml:space="preserve">、</t>
    </r>
    <r>
      <rPr>
        <sz val="9"/>
        <color rgb="FF66788A"/>
        <rFont val="Microsoft YaHei"/>
        <family val="2"/>
        <charset val="1"/>
      </rPr>
      <t xml:space="preserve">Bank of America</t>
    </r>
    <r>
      <rPr>
        <sz val="9"/>
        <color rgb="FF66788A"/>
        <rFont val="Noto Sans CJK SC"/>
        <family val="2"/>
      </rPr>
      <t xml:space="preserve">、</t>
    </r>
    <r>
      <rPr>
        <sz val="9"/>
        <color rgb="FF66788A"/>
        <rFont val="Microsoft YaHei"/>
        <family val="2"/>
        <charset val="1"/>
      </rPr>
      <t xml:space="preserve">Coca-Cola</t>
    </r>
    <r>
      <rPr>
        <sz val="9"/>
        <color rgb="FF66788A"/>
        <rFont val="Noto Sans CJK SC"/>
        <family val="2"/>
      </rPr>
      <t xml:space="preserve">；</t>
    </r>
    <r>
      <rPr>
        <sz val="9"/>
        <color rgb="FF66788A"/>
        <rFont val="Microsoft YaHei"/>
        <family val="2"/>
        <charset val="1"/>
      </rPr>
      <t xml:space="preserve">2025</t>
    </r>
    <r>
      <rPr>
        <sz val="9"/>
        <color rgb="FF66788A"/>
        <rFont val="Noto Sans CJK SC"/>
        <family val="2"/>
      </rPr>
      <t xml:space="preserve">年末为</t>
    </r>
    <r>
      <rPr>
        <sz val="9"/>
        <color rgb="FF66788A"/>
        <rFont val="Microsoft YaHei"/>
        <family val="2"/>
        <charset val="1"/>
      </rPr>
      <t xml:space="preserve">American Express</t>
    </r>
    <r>
      <rPr>
        <sz val="9"/>
        <color rgb="FF66788A"/>
        <rFont val="Noto Sans CJK SC"/>
        <family val="2"/>
      </rPr>
      <t xml:space="preserve">、</t>
    </r>
    <r>
      <rPr>
        <sz val="9"/>
        <color rgb="FF66788A"/>
        <rFont val="Microsoft YaHei"/>
        <family val="2"/>
        <charset val="1"/>
      </rPr>
      <t xml:space="preserve">Apple</t>
    </r>
    <r>
      <rPr>
        <sz val="9"/>
        <color rgb="FF66788A"/>
        <rFont val="Noto Sans CJK SC"/>
        <family val="2"/>
      </rPr>
      <t xml:space="preserve">、</t>
    </r>
    <r>
      <rPr>
        <sz val="9"/>
        <color rgb="FF66788A"/>
        <rFont val="Microsoft YaHei"/>
        <family val="2"/>
        <charset val="1"/>
      </rPr>
      <t xml:space="preserve">Bank of America</t>
    </r>
    <r>
      <rPr>
        <sz val="9"/>
        <color rgb="FF66788A"/>
        <rFont val="Noto Sans CJK SC"/>
        <family val="2"/>
      </rPr>
      <t xml:space="preserve">、</t>
    </r>
    <r>
      <rPr>
        <sz val="9"/>
        <color rgb="FF66788A"/>
        <rFont val="Microsoft YaHei"/>
        <family val="2"/>
        <charset val="1"/>
      </rPr>
      <t xml:space="preserve">Coca-Cola</t>
    </r>
    <r>
      <rPr>
        <sz val="9"/>
        <color rgb="FF66788A"/>
        <rFont val="Noto Sans CJK SC"/>
        <family val="2"/>
      </rPr>
      <t xml:space="preserve">、</t>
    </r>
    <r>
      <rPr>
        <sz val="9"/>
        <color rgb="FF66788A"/>
        <rFont val="Microsoft YaHei"/>
        <family val="2"/>
        <charset val="1"/>
      </rPr>
      <t xml:space="preserve">Chevron</t>
    </r>
    <r>
      <rPr>
        <sz val="9"/>
        <color rgb="FF66788A"/>
        <rFont val="Noto Sans CJK SC"/>
        <family val="2"/>
      </rPr>
      <t xml:space="preserve">。原始披露只给出前五大合计集中度，不给出本期每家公司的单独公允价值，本表不作拆分估算。</t>
    </r>
  </si>
  <si>
    <r>
      <rPr>
        <b val="true"/>
        <sz val="24"/>
        <color rgb="FF17324D"/>
        <rFont val="Microsoft YaHei"/>
        <family val="2"/>
        <charset val="1"/>
      </rPr>
      <t xml:space="preserve">2026</t>
    </r>
    <r>
      <rPr>
        <b val="true"/>
        <sz val="24"/>
        <color rgb="FF17324D"/>
        <rFont val="Noto Sans CJK SC"/>
        <family val="2"/>
      </rPr>
      <t xml:space="preserve">年上半年经营细节｜与</t>
    </r>
    <r>
      <rPr>
        <b val="true"/>
        <sz val="24"/>
        <color rgb="FF17324D"/>
        <rFont val="Microsoft YaHei"/>
        <family val="2"/>
        <charset val="1"/>
      </rPr>
      <t xml:space="preserve">2025</t>
    </r>
    <r>
      <rPr>
        <b val="true"/>
        <sz val="24"/>
        <color rgb="FF17324D"/>
        <rFont val="Noto Sans CJK SC"/>
        <family val="2"/>
      </rPr>
      <t xml:space="preserve">年上半年比较</t>
    </r>
  </si>
  <si>
    <r>
      <rPr>
        <sz val="11"/>
        <color rgb="FF66788A"/>
        <rFont val="Noto Sans CJK SC"/>
        <family val="2"/>
      </rPr>
      <t xml:space="preserve">单位依指标而定；变化额与变化率均为公式。基数小于等于</t>
    </r>
    <r>
      <rPr>
        <sz val="11"/>
        <color rgb="FF66788A"/>
        <rFont val="Microsoft YaHei"/>
        <family val="2"/>
        <charset val="1"/>
      </rPr>
      <t xml:space="preserve">0</t>
    </r>
    <r>
      <rPr>
        <sz val="11"/>
        <color rgb="FF66788A"/>
        <rFont val="Noto Sans CJK SC"/>
        <family val="2"/>
      </rPr>
      <t xml:space="preserve">时变化率标为</t>
    </r>
    <r>
      <rPr>
        <sz val="11"/>
        <color rgb="FF66788A"/>
        <rFont val="Microsoft YaHei"/>
        <family val="2"/>
        <charset val="1"/>
      </rPr>
      <t xml:space="preserve">N/M</t>
    </r>
    <r>
      <rPr>
        <sz val="11"/>
        <color rgb="FF66788A"/>
        <rFont val="Noto Sans CJK SC"/>
        <family val="2"/>
      </rPr>
      <t xml:space="preserve">。</t>
    </r>
  </si>
  <si>
    <t xml:space="preserve">变化额</t>
  </si>
  <si>
    <t xml:space="preserve">变化率</t>
  </si>
  <si>
    <t xml:space="preserve">说明</t>
  </si>
  <si>
    <r>
      <rPr>
        <b val="true"/>
        <sz val="10"/>
        <color rgb="FF243447"/>
        <rFont val="Microsoft YaHei"/>
        <family val="2"/>
        <charset val="1"/>
      </rPr>
      <t xml:space="preserve">GEICO</t>
    </r>
    <r>
      <rPr>
        <b val="true"/>
        <sz val="10"/>
        <color rgb="FF243447"/>
        <rFont val="Noto Sans CJK SC"/>
        <family val="2"/>
      </rPr>
      <t xml:space="preserve">已赚保费</t>
    </r>
  </si>
  <si>
    <r>
      <rPr>
        <b val="true"/>
        <sz val="10"/>
        <color rgb="FF243447"/>
        <rFont val="Microsoft YaHei"/>
        <family val="2"/>
        <charset val="1"/>
      </rPr>
      <t xml:space="preserve">GEICO</t>
    </r>
    <r>
      <rPr>
        <b val="true"/>
        <sz val="10"/>
        <color rgb="FF243447"/>
        <rFont val="Noto Sans CJK SC"/>
        <family val="2"/>
      </rPr>
      <t xml:space="preserve">税前承保利润</t>
    </r>
  </si>
  <si>
    <r>
      <rPr>
        <b val="true"/>
        <sz val="10"/>
        <color rgb="FF243447"/>
        <rFont val="Microsoft YaHei"/>
        <family val="2"/>
        <charset val="1"/>
      </rPr>
      <t xml:space="preserve">GEICO</t>
    </r>
    <r>
      <rPr>
        <b val="true"/>
        <sz val="10"/>
        <color rgb="FF243447"/>
        <rFont val="Noto Sans CJK SC"/>
        <family val="2"/>
      </rPr>
      <t xml:space="preserve">赔付率</t>
    </r>
  </si>
  <si>
    <r>
      <rPr>
        <b val="true"/>
        <sz val="10"/>
        <color rgb="FF243447"/>
        <rFont val="Microsoft YaHei"/>
        <family val="2"/>
        <charset val="1"/>
      </rPr>
      <t xml:space="preserve">GEICO</t>
    </r>
    <r>
      <rPr>
        <b val="true"/>
        <sz val="10"/>
        <color rgb="FF243447"/>
        <rFont val="Noto Sans CJK SC"/>
        <family val="2"/>
      </rPr>
      <t xml:space="preserve">费用率</t>
    </r>
  </si>
  <si>
    <r>
      <rPr>
        <b val="true"/>
        <sz val="10"/>
        <color rgb="FF243447"/>
        <rFont val="Microsoft YaHei"/>
        <family val="2"/>
        <charset val="1"/>
      </rPr>
      <t xml:space="preserve">BH Primary</t>
    </r>
    <r>
      <rPr>
        <b val="true"/>
        <sz val="10"/>
        <color rgb="FF243447"/>
        <rFont val="Noto Sans CJK SC"/>
        <family val="2"/>
      </rPr>
      <t xml:space="preserve">税前承保利润</t>
    </r>
  </si>
  <si>
    <r>
      <rPr>
        <b val="true"/>
        <sz val="10"/>
        <color rgb="FF243447"/>
        <rFont val="Microsoft YaHei"/>
        <family val="2"/>
        <charset val="1"/>
      </rPr>
      <t xml:space="preserve">BHRG</t>
    </r>
    <r>
      <rPr>
        <b val="true"/>
        <sz val="10"/>
        <color rgb="FF243447"/>
        <rFont val="Noto Sans CJK SC"/>
        <family val="2"/>
      </rPr>
      <t xml:space="preserve">税前承保利润</t>
    </r>
  </si>
  <si>
    <r>
      <rPr>
        <b val="true"/>
        <sz val="10"/>
        <color rgb="FF243447"/>
        <rFont val="Microsoft YaHei"/>
        <family val="2"/>
        <charset val="1"/>
      </rPr>
      <t xml:space="preserve">BNSF</t>
    </r>
    <r>
      <rPr>
        <b val="true"/>
        <sz val="10"/>
        <color rgb="FF243447"/>
        <rFont val="Noto Sans CJK SC"/>
        <family val="2"/>
      </rPr>
      <t xml:space="preserve">铁路营业收入</t>
    </r>
  </si>
  <si>
    <r>
      <rPr>
        <b val="true"/>
        <sz val="10"/>
        <color rgb="FF243447"/>
        <rFont val="Microsoft YaHei"/>
        <family val="2"/>
        <charset val="1"/>
      </rPr>
      <t xml:space="preserve">BNSF</t>
    </r>
    <r>
      <rPr>
        <b val="true"/>
        <sz val="10"/>
        <color rgb="FF243447"/>
        <rFont val="Noto Sans CJK SC"/>
        <family val="2"/>
      </rPr>
      <t xml:space="preserve">货运量</t>
    </r>
  </si>
  <si>
    <r>
      <rPr>
        <b val="true"/>
        <sz val="10"/>
        <color rgb="FF243447"/>
        <rFont val="Microsoft YaHei"/>
        <family val="2"/>
        <charset val="1"/>
      </rPr>
      <t xml:space="preserve">BHE</t>
    </r>
    <r>
      <rPr>
        <b val="true"/>
        <sz val="10"/>
        <color rgb="FF243447"/>
        <rFont val="Noto Sans CJK SC"/>
        <family val="2"/>
      </rPr>
      <t xml:space="preserve">美国公用事业利润</t>
    </r>
  </si>
  <si>
    <r>
      <rPr>
        <b val="true"/>
        <sz val="10"/>
        <color rgb="FF243447"/>
        <rFont val="Microsoft YaHei"/>
        <family val="2"/>
        <charset val="1"/>
      </rPr>
      <t xml:space="preserve">BHE</t>
    </r>
    <r>
      <rPr>
        <b val="true"/>
        <sz val="10"/>
        <color rgb="FF243447"/>
        <rFont val="Noto Sans CJK SC"/>
        <family val="2"/>
      </rPr>
      <t xml:space="preserve">天然气管道利润</t>
    </r>
  </si>
  <si>
    <r>
      <rPr>
        <b val="true"/>
        <sz val="10"/>
        <color rgb="FF243447"/>
        <rFont val="Microsoft YaHei"/>
        <family val="2"/>
        <charset val="1"/>
      </rPr>
      <t xml:space="preserve">BHE</t>
    </r>
    <r>
      <rPr>
        <b val="true"/>
        <sz val="10"/>
        <color rgb="FF243447"/>
        <rFont val="Noto Sans CJK SC"/>
        <family val="2"/>
      </rPr>
      <t xml:space="preserve">其他能源利润</t>
    </r>
  </si>
  <si>
    <r>
      <rPr>
        <b val="true"/>
        <sz val="10"/>
        <color rgb="FF243447"/>
        <rFont val="Microsoft YaHei"/>
        <family val="2"/>
        <charset val="1"/>
      </rPr>
      <t xml:space="preserve">BHE</t>
    </r>
    <r>
      <rPr>
        <b val="true"/>
        <sz val="10"/>
        <color rgb="FF243447"/>
        <rFont val="Noto Sans CJK SC"/>
        <family val="2"/>
      </rPr>
      <t xml:space="preserve">房地产经纪利润</t>
    </r>
  </si>
  <si>
    <r>
      <rPr>
        <b val="true"/>
        <sz val="10"/>
        <color rgb="FF243447"/>
        <rFont val="Microsoft YaHei"/>
        <family val="2"/>
        <charset val="1"/>
      </rPr>
      <t xml:space="preserve">BHE</t>
    </r>
    <r>
      <rPr>
        <b val="true"/>
        <sz val="10"/>
        <color rgb="FF243447"/>
        <rFont val="Noto Sans CJK SC"/>
        <family val="2"/>
      </rPr>
      <t xml:space="preserve">公司利息及其他</t>
    </r>
  </si>
  <si>
    <r>
      <rPr>
        <sz val="10"/>
        <color rgb="FF243447"/>
        <rFont val="Noto Sans CJK SC"/>
        <family val="2"/>
      </rPr>
      <t xml:space="preserve">负数表示净损失；变化率因负基数标为</t>
    </r>
    <r>
      <rPr>
        <sz val="10"/>
        <color rgb="FF243447"/>
        <rFont val="Microsoft YaHei"/>
        <family val="2"/>
        <charset val="1"/>
      </rPr>
      <t xml:space="preserve">N/M</t>
    </r>
  </si>
  <si>
    <r>
      <rPr>
        <b val="true"/>
        <sz val="10"/>
        <color rgb="FF243447"/>
        <rFont val="Microsoft YaHei"/>
        <family val="2"/>
        <charset val="1"/>
      </rPr>
      <t xml:space="preserve">OxyChem</t>
    </r>
    <r>
      <rPr>
        <b val="true"/>
        <sz val="10"/>
        <color rgb="FF243447"/>
        <rFont val="Noto Sans CJK SC"/>
        <family val="2"/>
      </rPr>
      <t xml:space="preserve">营业收入</t>
    </r>
  </si>
  <si>
    <r>
      <rPr>
        <sz val="10"/>
        <color rgb="FF243447"/>
        <rFont val="Microsoft YaHei"/>
        <family val="2"/>
        <charset val="1"/>
      </rPr>
      <t xml:space="preserve">2026</t>
    </r>
    <r>
      <rPr>
        <sz val="10"/>
        <color rgb="FF243447"/>
        <rFont val="Noto Sans CJK SC"/>
        <family val="2"/>
      </rPr>
      <t xml:space="preserve">年</t>
    </r>
    <r>
      <rPr>
        <sz val="10"/>
        <color rgb="FF243447"/>
        <rFont val="Microsoft YaHei"/>
        <family val="2"/>
        <charset val="1"/>
      </rPr>
      <t xml:space="preserve">1</t>
    </r>
    <r>
      <rPr>
        <sz val="10"/>
        <color rgb="FF243447"/>
        <rFont val="Noto Sans CJK SC"/>
        <family val="2"/>
      </rPr>
      <t xml:space="preserve">月</t>
    </r>
    <r>
      <rPr>
        <sz val="10"/>
        <color rgb="FF243447"/>
        <rFont val="Microsoft YaHei"/>
        <family val="2"/>
        <charset val="1"/>
      </rPr>
      <t xml:space="preserve">2</t>
    </r>
    <r>
      <rPr>
        <sz val="10"/>
        <color rgb="FF243447"/>
        <rFont val="Noto Sans CJK SC"/>
        <family val="2"/>
      </rPr>
      <t xml:space="preserve">日起并表；上年同期无同口径数据</t>
    </r>
  </si>
  <si>
    <r>
      <rPr>
        <b val="true"/>
        <sz val="10"/>
        <color rgb="FF243447"/>
        <rFont val="Microsoft YaHei"/>
        <family val="2"/>
        <charset val="1"/>
      </rPr>
      <t xml:space="preserve">OxyChem</t>
    </r>
    <r>
      <rPr>
        <b val="true"/>
        <sz val="10"/>
        <color rgb="FF243447"/>
        <rFont val="Noto Sans CJK SC"/>
        <family val="2"/>
      </rPr>
      <t xml:space="preserve">税前利润</t>
    </r>
  </si>
  <si>
    <r>
      <rPr>
        <b val="true"/>
        <sz val="10"/>
        <color rgb="FF243447"/>
        <rFont val="Microsoft YaHei"/>
        <family val="2"/>
        <charset val="1"/>
      </rPr>
      <t xml:space="preserve">OxyChem</t>
    </r>
    <r>
      <rPr>
        <b val="true"/>
        <sz val="10"/>
        <color rgb="FF243447"/>
        <rFont val="Noto Sans CJK SC"/>
        <family val="2"/>
      </rPr>
      <t xml:space="preserve">收购对价（约数）</t>
    </r>
  </si>
  <si>
    <r>
      <rPr>
        <sz val="9"/>
        <color rgb="FF66788A"/>
        <rFont val="Microsoft YaHei"/>
        <family val="2"/>
        <charset val="1"/>
      </rPr>
      <t xml:space="preserve">GEICO</t>
    </r>
    <r>
      <rPr>
        <sz val="9"/>
        <color rgb="FF66788A"/>
        <rFont val="Noto Sans CJK SC"/>
        <family val="2"/>
      </rPr>
      <t xml:space="preserve">需要同时看已赚保费、赔付率和费用率；</t>
    </r>
    <r>
      <rPr>
        <sz val="9"/>
        <color rgb="FF66788A"/>
        <rFont val="Microsoft YaHei"/>
        <family val="2"/>
        <charset val="1"/>
      </rPr>
      <t xml:space="preserve">BHE</t>
    </r>
    <r>
      <rPr>
        <sz val="9"/>
        <color rgb="FF66788A"/>
        <rFont val="Noto Sans CJK SC"/>
        <family val="2"/>
      </rPr>
      <t xml:space="preserve">分部明细为归属</t>
    </r>
    <r>
      <rPr>
        <sz val="9"/>
        <color rgb="FF66788A"/>
        <rFont val="Microsoft YaHei"/>
        <family val="2"/>
        <charset val="1"/>
      </rPr>
      <t xml:space="preserve">BHE</t>
    </r>
    <r>
      <rPr>
        <sz val="9"/>
        <color rgb="FF66788A"/>
        <rFont val="Noto Sans CJK SC"/>
        <family val="2"/>
      </rPr>
      <t xml:space="preserve">口径，房地产及优先股调节后才到归属伯克希尔股东利润。</t>
    </r>
    <r>
      <rPr>
        <sz val="9"/>
        <color rgb="FF66788A"/>
        <rFont val="Microsoft YaHei"/>
        <family val="2"/>
        <charset val="1"/>
      </rPr>
      <t xml:space="preserve">OxyChem</t>
    </r>
    <r>
      <rPr>
        <sz val="9"/>
        <color rgb="FF66788A"/>
        <rFont val="Noto Sans CJK SC"/>
        <family val="2"/>
      </rPr>
      <t xml:space="preserve">收购对价约</t>
    </r>
    <r>
      <rPr>
        <sz val="9"/>
        <color rgb="FF66788A"/>
        <rFont val="Microsoft YaHei"/>
        <family val="2"/>
        <charset val="1"/>
      </rPr>
      <t xml:space="preserve">95</t>
    </r>
    <r>
      <rPr>
        <sz val="9"/>
        <color rgb="FF66788A"/>
        <rFont val="Noto Sans CJK SC"/>
        <family val="2"/>
      </rPr>
      <t xml:space="preserve">亿美元，可按协议调整。</t>
    </r>
  </si>
  <si>
    <t xml:space="preserve">变化｜同比、占比与图表</t>
  </si>
  <si>
    <r>
      <rPr>
        <sz val="11"/>
        <color rgb="FF66788A"/>
        <rFont val="Noto Sans CJK SC"/>
        <family val="2"/>
      </rPr>
      <t xml:space="preserve">利润按可比期间同比；存量指标</t>
    </r>
    <r>
      <rPr>
        <sz val="11"/>
        <color rgb="FF66788A"/>
        <rFont val="Microsoft YaHei"/>
        <family val="2"/>
        <charset val="1"/>
      </rPr>
      <t xml:space="preserve">2026H1</t>
    </r>
    <r>
      <rPr>
        <sz val="11"/>
        <color rgb="FF66788A"/>
        <rFont val="Noto Sans CJK SC"/>
        <family val="2"/>
      </rPr>
      <t xml:space="preserve">与</t>
    </r>
    <r>
      <rPr>
        <sz val="11"/>
        <color rgb="FF66788A"/>
        <rFont val="Microsoft YaHei"/>
        <family val="2"/>
        <charset val="1"/>
      </rPr>
      <t xml:space="preserve">2025</t>
    </r>
    <r>
      <rPr>
        <sz val="11"/>
        <color rgb="FF66788A"/>
        <rFont val="Noto Sans CJK SC"/>
        <family val="2"/>
      </rPr>
      <t xml:space="preserve">年末比较；比例仅在有经济意义时计算。</t>
    </r>
  </si>
  <si>
    <r>
      <rPr>
        <b val="true"/>
        <sz val="13"/>
        <color rgb="FFFFFFFF"/>
        <rFont val="Microsoft YaHei"/>
        <family val="2"/>
        <charset val="1"/>
      </rPr>
      <t xml:space="preserve">① 2026</t>
    </r>
    <r>
      <rPr>
        <b val="true"/>
        <sz val="13"/>
        <color rgb="FFFFFFFF"/>
        <rFont val="Noto Sans CJK SC"/>
        <family val="2"/>
      </rPr>
      <t xml:space="preserve">年上半年核心经营利润：同比与占比</t>
    </r>
  </si>
  <si>
    <t xml:space="preserve">同比</t>
  </si>
  <si>
    <r>
      <rPr>
        <b val="true"/>
        <sz val="10"/>
        <color rgb="FFFFFFFF"/>
        <rFont val="Microsoft YaHei"/>
        <family val="2"/>
        <charset val="1"/>
      </rPr>
      <t xml:space="preserve">2025H1</t>
    </r>
    <r>
      <rPr>
        <b val="true"/>
        <sz val="10"/>
        <color rgb="FFFFFFFF"/>
        <rFont val="Noto Sans CJK SC"/>
        <family val="2"/>
      </rPr>
      <t xml:space="preserve">占比</t>
    </r>
  </si>
  <si>
    <r>
      <rPr>
        <b val="true"/>
        <sz val="10"/>
        <color rgb="FFFFFFFF"/>
        <rFont val="Microsoft YaHei"/>
        <family val="2"/>
        <charset val="1"/>
      </rPr>
      <t xml:space="preserve">2026H1</t>
    </r>
    <r>
      <rPr>
        <b val="true"/>
        <sz val="10"/>
        <color rgb="FFFFFFFF"/>
        <rFont val="Noto Sans CJK SC"/>
        <family val="2"/>
      </rPr>
      <t xml:space="preserve">占比</t>
    </r>
  </si>
  <si>
    <t xml:space="preserve">读法</t>
  </si>
  <si>
    <r>
      <rPr>
        <sz val="10"/>
        <color rgb="FF243447"/>
        <rFont val="Microsoft YaHei"/>
        <family val="2"/>
        <charset val="1"/>
      </rPr>
      <t xml:space="preserve">GEICO</t>
    </r>
    <r>
      <rPr>
        <sz val="10"/>
        <color rgb="FF243447"/>
        <rFont val="Noto Sans CJK SC"/>
        <family val="2"/>
      </rPr>
      <t xml:space="preserve">承压，再保险与</t>
    </r>
    <r>
      <rPr>
        <sz val="10"/>
        <color rgb="FF243447"/>
        <rFont val="Microsoft YaHei"/>
        <family val="2"/>
        <charset val="1"/>
      </rPr>
      <t xml:space="preserve">Primary</t>
    </r>
    <r>
      <rPr>
        <sz val="10"/>
        <color rgb="FF243447"/>
        <rFont val="Noto Sans CJK SC"/>
        <family val="2"/>
      </rPr>
      <t xml:space="preserve">改善</t>
    </r>
  </si>
  <si>
    <t xml:space="preserve">短端利率下降</t>
  </si>
  <si>
    <t xml:space="preserve">运量与效率改善</t>
  </si>
  <si>
    <t xml:space="preserve">公用事业与管道推动</t>
  </si>
  <si>
    <t xml:space="preserve">工业与服务推动，含并购影响</t>
  </si>
  <si>
    <t xml:space="preserve">核心五项合计</t>
  </si>
  <si>
    <r>
      <rPr>
        <sz val="10"/>
        <color rgb="FF243447"/>
        <rFont val="Noto Sans CJK SC"/>
        <family val="2"/>
      </rPr>
      <t xml:space="preserve">合计增长</t>
    </r>
    <r>
      <rPr>
        <sz val="10"/>
        <color rgb="FF243447"/>
        <rFont val="Microsoft YaHei"/>
        <family val="2"/>
        <charset val="1"/>
      </rPr>
      <t xml:space="preserve">5.1%</t>
    </r>
    <r>
      <rPr>
        <sz val="10"/>
        <color rgb="FF243447"/>
        <rFont val="Noto Sans CJK SC"/>
        <family val="2"/>
      </rPr>
      <t xml:space="preserve">；不要把</t>
    </r>
    <r>
      <rPr>
        <sz val="10"/>
        <color rgb="FF243447"/>
        <rFont val="Microsoft YaHei"/>
        <family val="2"/>
        <charset val="1"/>
      </rPr>
      <t xml:space="preserve">Other</t>
    </r>
    <r>
      <rPr>
        <sz val="10"/>
        <color rgb="FF243447"/>
        <rFont val="Noto Sans CJK SC"/>
        <family val="2"/>
      </rPr>
      <t xml:space="preserve">的汇率收益当作核心经营改善</t>
    </r>
  </si>
  <si>
    <r>
      <rPr>
        <b val="true"/>
        <sz val="13"/>
        <color rgb="FFFFFFFF"/>
        <rFont val="Microsoft YaHei"/>
        <family val="2"/>
        <charset val="1"/>
      </rPr>
      <t xml:space="preserve">② 2025</t>
    </r>
    <r>
      <rPr>
        <b val="true"/>
        <sz val="13"/>
        <color rgb="FFFFFFFF"/>
        <rFont val="Noto Sans CJK SC"/>
        <family val="2"/>
      </rPr>
      <t xml:space="preserve">年核心经营利润：同比与占比</t>
    </r>
  </si>
  <si>
    <r>
      <rPr>
        <b val="true"/>
        <sz val="10"/>
        <color rgb="FFFFFFFF"/>
        <rFont val="Microsoft YaHei"/>
        <family val="2"/>
        <charset val="1"/>
      </rPr>
      <t xml:space="preserve">2024</t>
    </r>
    <r>
      <rPr>
        <b val="true"/>
        <sz val="10"/>
        <color rgb="FFFFFFFF"/>
        <rFont val="Noto Sans CJK SC"/>
        <family val="2"/>
      </rPr>
      <t xml:space="preserve">占比</t>
    </r>
  </si>
  <si>
    <r>
      <rPr>
        <b val="true"/>
        <sz val="10"/>
        <color rgb="FFFFFFFF"/>
        <rFont val="Microsoft YaHei"/>
        <family val="2"/>
        <charset val="1"/>
      </rPr>
      <t xml:space="preserve">2025</t>
    </r>
    <r>
      <rPr>
        <b val="true"/>
        <sz val="10"/>
        <color rgb="FFFFFFFF"/>
        <rFont val="Noto Sans CJK SC"/>
        <family val="2"/>
      </rPr>
      <t xml:space="preserve">占比</t>
    </r>
  </si>
  <si>
    <t xml:space="preserve">承保利润回落</t>
  </si>
  <si>
    <t xml:space="preserve">利息及股息下降</t>
  </si>
  <si>
    <t xml:space="preserve">成本效率改善</t>
  </si>
  <si>
    <t xml:space="preserve">野火计提压力缓和</t>
  </si>
  <si>
    <t xml:space="preserve">制造与服务增长、零售偏弱</t>
  </si>
  <si>
    <r>
      <rPr>
        <b val="true"/>
        <sz val="13"/>
        <color rgb="FFFFFFFF"/>
        <rFont val="Noto Sans CJK SC"/>
        <family val="2"/>
      </rPr>
      <t xml:space="preserve">③ 股票组合：行业同比、占比与</t>
    </r>
    <r>
      <rPr>
        <b val="true"/>
        <sz val="13"/>
        <color rgb="FFFFFFFF"/>
        <rFont val="Microsoft YaHei"/>
        <family val="2"/>
        <charset val="1"/>
      </rPr>
      <t xml:space="preserve">2026H1</t>
    </r>
    <r>
      <rPr>
        <b val="true"/>
        <sz val="13"/>
        <color rgb="FFFFFFFF"/>
        <rFont val="Noto Sans CJK SC"/>
        <family val="2"/>
      </rPr>
      <t xml:space="preserve">变化</t>
    </r>
  </si>
  <si>
    <t xml:space="preserve">行业</t>
  </si>
  <si>
    <r>
      <rPr>
        <b val="true"/>
        <sz val="10"/>
        <color rgb="FFFFFFFF"/>
        <rFont val="Microsoft YaHei"/>
        <family val="2"/>
        <charset val="1"/>
      </rPr>
      <t xml:space="preserve">2024</t>
    </r>
    <r>
      <rPr>
        <b val="true"/>
        <sz val="10"/>
        <color rgb="FFFFFFFF"/>
        <rFont val="Noto Sans CJK SC"/>
        <family val="2"/>
      </rPr>
      <t xml:space="preserve">年末</t>
    </r>
  </si>
  <si>
    <r>
      <rPr>
        <b val="true"/>
        <sz val="10"/>
        <color rgb="FFFFFFFF"/>
        <rFont val="Microsoft YaHei"/>
        <family val="2"/>
        <charset val="1"/>
      </rPr>
      <t xml:space="preserve">2025</t>
    </r>
    <r>
      <rPr>
        <b val="true"/>
        <sz val="10"/>
        <color rgb="FFFFFFFF"/>
        <rFont val="Noto Sans CJK SC"/>
        <family val="2"/>
      </rPr>
      <t xml:space="preserve">年末</t>
    </r>
  </si>
  <si>
    <r>
      <rPr>
        <b val="true"/>
        <sz val="10"/>
        <color rgb="FFFFFFFF"/>
        <rFont val="Microsoft YaHei"/>
        <family val="2"/>
        <charset val="1"/>
      </rPr>
      <t xml:space="preserve">2025</t>
    </r>
    <r>
      <rPr>
        <b val="true"/>
        <sz val="10"/>
        <color rgb="FFFFFFFF"/>
        <rFont val="Noto Sans CJK SC"/>
        <family val="2"/>
      </rPr>
      <t xml:space="preserve">同比</t>
    </r>
  </si>
  <si>
    <r>
      <rPr>
        <b val="true"/>
        <sz val="10"/>
        <color rgb="FFFFFFFF"/>
        <rFont val="Noto Sans CJK SC"/>
        <family val="2"/>
      </rPr>
      <t xml:space="preserve">较</t>
    </r>
    <r>
      <rPr>
        <b val="true"/>
        <sz val="10"/>
        <color rgb="FFFFFFFF"/>
        <rFont val="Microsoft YaHei"/>
        <family val="2"/>
        <charset val="1"/>
      </rPr>
      <t xml:space="preserve">2025</t>
    </r>
    <r>
      <rPr>
        <b val="true"/>
        <sz val="10"/>
        <color rgb="FFFFFFFF"/>
        <rFont val="Noto Sans CJK SC"/>
        <family val="2"/>
      </rPr>
      <t xml:space="preserve">年末</t>
    </r>
  </si>
  <si>
    <t xml:space="preserve">合计</t>
  </si>
  <si>
    <t xml:space="preserve">④ 关键账面与资本配置指标</t>
  </si>
  <si>
    <t xml:space="preserve">2024</t>
  </si>
  <si>
    <t xml:space="preserve">2025</t>
  </si>
  <si>
    <r>
      <rPr>
        <b val="true"/>
        <sz val="10"/>
        <color rgb="FFFFFFFF"/>
        <rFont val="Microsoft YaHei"/>
        <family val="2"/>
        <charset val="1"/>
      </rPr>
      <t xml:space="preserve">2025</t>
    </r>
    <r>
      <rPr>
        <b val="true"/>
        <sz val="10"/>
        <color rgb="FFFFFFFF"/>
        <rFont val="Noto Sans CJK SC"/>
        <family val="2"/>
      </rPr>
      <t xml:space="preserve">变化额</t>
    </r>
  </si>
  <si>
    <r>
      <rPr>
        <b val="true"/>
        <sz val="10"/>
        <color rgb="FFFFFFFF"/>
        <rFont val="Microsoft YaHei"/>
        <family val="2"/>
        <charset val="1"/>
      </rPr>
      <t xml:space="preserve">H1</t>
    </r>
    <r>
      <rPr>
        <b val="true"/>
        <sz val="10"/>
        <color rgb="FFFFFFFF"/>
        <rFont val="Noto Sans CJK SC"/>
        <family val="2"/>
      </rPr>
      <t xml:space="preserve">比较变化额</t>
    </r>
    <r>
      <rPr>
        <b val="true"/>
        <sz val="10"/>
        <color rgb="FFFFFFFF"/>
        <rFont val="Microsoft YaHei"/>
        <family val="2"/>
        <charset val="1"/>
      </rPr>
      <t xml:space="preserve">*</t>
    </r>
  </si>
  <si>
    <t xml:space="preserve">比较口径</t>
  </si>
  <si>
    <r>
      <rPr>
        <sz val="10"/>
        <color rgb="FF243447"/>
        <rFont val="Microsoft YaHei"/>
        <family val="2"/>
        <charset val="1"/>
      </rPr>
      <t xml:space="preserve">2026H1</t>
    </r>
    <r>
      <rPr>
        <sz val="10"/>
        <color rgb="FF243447"/>
        <rFont val="Noto Sans CJK SC"/>
        <family val="2"/>
      </rPr>
      <t xml:space="preserve">末 </t>
    </r>
    <r>
      <rPr>
        <sz val="10"/>
        <color rgb="FF243447"/>
        <rFont val="Microsoft YaHei"/>
        <family val="2"/>
        <charset val="1"/>
      </rPr>
      <t xml:space="preserve">vs 2025</t>
    </r>
    <r>
      <rPr>
        <sz val="10"/>
        <color rgb="FF243447"/>
        <rFont val="Noto Sans CJK SC"/>
        <family val="2"/>
      </rPr>
      <t xml:space="preserve">年末</t>
    </r>
  </si>
  <si>
    <t xml:space="preserve">现金及短期国债</t>
  </si>
  <si>
    <r>
      <rPr>
        <b val="true"/>
        <sz val="10"/>
        <color rgb="FF243447"/>
        <rFont val="Microsoft YaHei"/>
        <family val="2"/>
        <charset val="1"/>
      </rPr>
      <t xml:space="preserve">A</t>
    </r>
    <r>
      <rPr>
        <b val="true"/>
        <sz val="10"/>
        <color rgb="FF243447"/>
        <rFont val="Noto Sans CJK SC"/>
        <family val="2"/>
      </rPr>
      <t xml:space="preserve">类每股账面价值</t>
    </r>
  </si>
  <si>
    <r>
      <rPr>
        <sz val="10"/>
        <color rgb="FF243447"/>
        <rFont val="Microsoft YaHei"/>
        <family val="2"/>
        <charset val="1"/>
      </rPr>
      <t xml:space="preserve">2026H1 vs 2025H1</t>
    </r>
    <r>
      <rPr>
        <sz val="10"/>
        <color rgb="FF243447"/>
        <rFont val="Noto Sans CJK SC"/>
        <family val="2"/>
      </rPr>
      <t xml:space="preserve">（流量）</t>
    </r>
  </si>
  <si>
    <t xml:space="preserve">股票净购买</t>
  </si>
  <si>
    <r>
      <rPr>
        <sz val="9"/>
        <color rgb="FF66788A"/>
        <rFont val="Microsoft YaHei"/>
        <family val="2"/>
        <charset val="1"/>
      </rPr>
      <t xml:space="preserve">* </t>
    </r>
    <r>
      <rPr>
        <sz val="9"/>
        <color rgb="FF66788A"/>
        <rFont val="Noto Sans CJK SC"/>
        <family val="2"/>
      </rPr>
      <t xml:space="preserve">浮存金为约数，</t>
    </r>
    <r>
      <rPr>
        <sz val="9"/>
        <color rgb="FF66788A"/>
        <rFont val="Microsoft YaHei"/>
        <family val="2"/>
        <charset val="1"/>
      </rPr>
      <t xml:space="preserve">2026H1</t>
    </r>
    <r>
      <rPr>
        <sz val="9"/>
        <color rgb="FF66788A"/>
        <rFont val="Noto Sans CJK SC"/>
        <family val="2"/>
      </rPr>
      <t xml:space="preserve">与</t>
    </r>
    <r>
      <rPr>
        <sz val="9"/>
        <color rgb="FF66788A"/>
        <rFont val="Microsoft YaHei"/>
        <family val="2"/>
        <charset val="1"/>
      </rPr>
      <t xml:space="preserve">2025</t>
    </r>
    <r>
      <rPr>
        <sz val="9"/>
        <color rgb="FF66788A"/>
        <rFont val="Noto Sans CJK SC"/>
        <family val="2"/>
      </rPr>
      <t xml:space="preserve">年末差额受四舍五入影响；季报自身披露增加约</t>
    </r>
    <r>
      <rPr>
        <sz val="9"/>
        <color rgb="FF66788A"/>
        <rFont val="Microsoft YaHei"/>
        <family val="2"/>
        <charset val="1"/>
      </rPr>
      <t xml:space="preserve">11</t>
    </r>
    <r>
      <rPr>
        <sz val="9"/>
        <color rgb="FF66788A"/>
        <rFont val="Noto Sans CJK SC"/>
        <family val="2"/>
      </rPr>
      <t xml:space="preserve">亿美元。回购和股票净购买是流量，使用上半年同比；其余为期末存量或每股指标。现金及短期国债不是“可自由分配现金”，其中包含支持保险与极端情景所需资金。</t>
    </r>
  </si>
  <si>
    <t xml:space="preserve">⑤ 假设联动的简化情景（不是预测）</t>
  </si>
  <si>
    <r>
      <rPr>
        <b val="true"/>
        <sz val="10"/>
        <color rgb="FF243447"/>
        <rFont val="Microsoft YaHei"/>
        <family val="2"/>
        <charset val="1"/>
      </rPr>
      <t xml:space="preserve">2026</t>
    </r>
    <r>
      <rPr>
        <b val="true"/>
        <sz val="10"/>
        <color rgb="FF243447"/>
        <rFont val="Noto Sans CJK SC"/>
        <family val="2"/>
      </rPr>
      <t xml:space="preserve">全年核心五项利润情景</t>
    </r>
  </si>
  <si>
    <r>
      <rPr>
        <sz val="10"/>
        <color rgb="FF243447"/>
        <rFont val="Noto Sans CJK SC"/>
        <family val="2"/>
      </rPr>
      <t xml:space="preserve">修改『假设』</t>
    </r>
    <r>
      <rPr>
        <sz val="10"/>
        <color rgb="FF243447"/>
        <rFont val="Microsoft YaHei"/>
        <family val="2"/>
        <charset val="1"/>
      </rPr>
      <t xml:space="preserve">B3</t>
    </r>
    <r>
      <rPr>
        <sz val="10"/>
        <color rgb="FF243447"/>
        <rFont val="Noto Sans CJK SC"/>
        <family val="2"/>
      </rPr>
      <t xml:space="preserve">自动更新</t>
    </r>
  </si>
  <si>
    <r>
      <rPr>
        <b val="true"/>
        <sz val="10"/>
        <color rgb="FF243447"/>
        <rFont val="Microsoft YaHei"/>
        <family val="2"/>
        <charset val="1"/>
      </rPr>
      <t xml:space="preserve">2026</t>
    </r>
    <r>
      <rPr>
        <b val="true"/>
        <sz val="10"/>
        <color rgb="FF243447"/>
        <rFont val="Noto Sans CJK SC"/>
        <family val="2"/>
      </rPr>
      <t xml:space="preserve">年末现金及短期国债情景</t>
    </r>
  </si>
  <si>
    <r>
      <rPr>
        <sz val="10"/>
        <color rgb="FF243447"/>
        <rFont val="Noto Sans CJK SC"/>
        <family val="2"/>
      </rPr>
      <t xml:space="preserve">修改『假设』</t>
    </r>
    <r>
      <rPr>
        <sz val="10"/>
        <color rgb="FF243447"/>
        <rFont val="Microsoft YaHei"/>
        <family val="2"/>
        <charset val="1"/>
      </rPr>
      <t xml:space="preserve">B4</t>
    </r>
    <r>
      <rPr>
        <sz val="10"/>
        <color rgb="FF243447"/>
        <rFont val="Noto Sans CJK SC"/>
        <family val="2"/>
      </rPr>
      <t xml:space="preserve">自动更新</t>
    </r>
  </si>
  <si>
    <r>
      <rPr>
        <b val="true"/>
        <sz val="24"/>
        <color rgb="FF17324D"/>
        <rFont val="Noto Sans CJK SC"/>
        <family val="2"/>
      </rPr>
      <t xml:space="preserve">可修改假设｜</t>
    </r>
    <r>
      <rPr>
        <b val="true"/>
        <sz val="24"/>
        <color rgb="FF17324D"/>
        <rFont val="Microsoft YaHei"/>
        <family val="2"/>
        <charset val="1"/>
      </rPr>
      <t xml:space="preserve">2026</t>
    </r>
    <r>
      <rPr>
        <b val="true"/>
        <sz val="24"/>
        <color rgb="FF17324D"/>
        <rFont val="Noto Sans CJK SC"/>
        <family val="2"/>
      </rPr>
      <t xml:space="preserve">全年简化情景</t>
    </r>
  </si>
  <si>
    <t xml:space="preserve">橙色为假设输入；蓝色为公式。仅作敏感性演示，不是预测，也不是投资建议。</t>
  </si>
  <si>
    <r>
      <rPr>
        <b val="true"/>
        <sz val="10"/>
        <color rgb="FF243447"/>
        <rFont val="Noto Sans CJK SC"/>
        <family val="2"/>
      </rPr>
      <t xml:space="preserve">假设：</t>
    </r>
    <r>
      <rPr>
        <b val="true"/>
        <sz val="10"/>
        <color rgb="FF243447"/>
        <rFont val="Microsoft YaHei"/>
        <family val="2"/>
        <charset val="1"/>
      </rPr>
      <t xml:space="preserve">2026H2</t>
    </r>
    <r>
      <rPr>
        <b val="true"/>
        <sz val="10"/>
        <color rgb="FF243447"/>
        <rFont val="Noto Sans CJK SC"/>
        <family val="2"/>
      </rPr>
      <t xml:space="preserve">核心五项利润较</t>
    </r>
    <r>
      <rPr>
        <b val="true"/>
        <sz val="10"/>
        <color rgb="FF243447"/>
        <rFont val="Microsoft YaHei"/>
        <family val="2"/>
        <charset val="1"/>
      </rPr>
      <t xml:space="preserve">2025H2</t>
    </r>
    <r>
      <rPr>
        <b val="true"/>
        <sz val="10"/>
        <color rgb="FF243447"/>
        <rFont val="Noto Sans CJK SC"/>
        <family val="2"/>
      </rPr>
      <t xml:space="preserve">变动</t>
    </r>
  </si>
  <si>
    <r>
      <rPr>
        <b val="true"/>
        <sz val="10"/>
        <color rgb="FF243447"/>
        <rFont val="Noto Sans CJK SC"/>
        <family val="2"/>
      </rPr>
      <t xml:space="preserve">假设：</t>
    </r>
    <r>
      <rPr>
        <b val="true"/>
        <sz val="10"/>
        <color rgb="FF243447"/>
        <rFont val="Microsoft YaHei"/>
        <family val="2"/>
        <charset val="1"/>
      </rPr>
      <t xml:space="preserve">2026H2</t>
    </r>
    <r>
      <rPr>
        <b val="true"/>
        <sz val="10"/>
        <color rgb="FF243447"/>
        <rFont val="Noto Sans CJK SC"/>
        <family val="2"/>
      </rPr>
      <t xml:space="preserve">现金及短期国债净变动（百万美元）</t>
    </r>
  </si>
  <si>
    <r>
      <rPr>
        <b val="true"/>
        <sz val="10"/>
        <color rgb="FFFFFFFF"/>
        <rFont val="Microsoft YaHei"/>
        <family val="2"/>
        <charset val="1"/>
      </rPr>
      <t xml:space="preserve">2025</t>
    </r>
    <r>
      <rPr>
        <b val="true"/>
        <sz val="10"/>
        <color rgb="FFFFFFFF"/>
        <rFont val="Noto Sans CJK SC"/>
        <family val="2"/>
      </rPr>
      <t xml:space="preserve">全年</t>
    </r>
  </si>
  <si>
    <t xml:space="preserve">2025H2</t>
  </si>
  <si>
    <r>
      <rPr>
        <b val="true"/>
        <sz val="10"/>
        <color rgb="FFFFFFFF"/>
        <rFont val="Microsoft YaHei"/>
        <family val="2"/>
        <charset val="1"/>
      </rPr>
      <t xml:space="preserve">2026H2</t>
    </r>
    <r>
      <rPr>
        <b val="true"/>
        <sz val="10"/>
        <color rgb="FFFFFFFF"/>
        <rFont val="Noto Sans CJK SC"/>
        <family val="2"/>
      </rPr>
      <t xml:space="preserve">情景</t>
    </r>
  </si>
  <si>
    <r>
      <rPr>
        <b val="true"/>
        <sz val="10"/>
        <color rgb="FFFFFFFF"/>
        <rFont val="Microsoft YaHei"/>
        <family val="2"/>
        <charset val="1"/>
      </rPr>
      <t xml:space="preserve">2026</t>
    </r>
    <r>
      <rPr>
        <b val="true"/>
        <sz val="10"/>
        <color rgb="FFFFFFFF"/>
        <rFont val="Noto Sans CJK SC"/>
        <family val="2"/>
      </rPr>
      <t xml:space="preserve">全年情景</t>
    </r>
  </si>
  <si>
    <t xml:space="preserve">核心五项经营利润合计</t>
  </si>
  <si>
    <t xml:space="preserve">流动性情景</t>
  </si>
  <si>
    <r>
      <rPr>
        <b val="true"/>
        <sz val="10"/>
        <color rgb="FF243447"/>
        <rFont val="Microsoft YaHei"/>
        <family val="2"/>
        <charset val="1"/>
      </rPr>
      <t xml:space="preserve">2026H1</t>
    </r>
    <r>
      <rPr>
        <b val="true"/>
        <sz val="10"/>
        <color rgb="FF243447"/>
        <rFont val="Noto Sans CJK SC"/>
        <family val="2"/>
      </rPr>
      <t xml:space="preserve">现金及短期国债</t>
    </r>
  </si>
  <si>
    <r>
      <rPr>
        <b val="true"/>
        <sz val="10"/>
        <color rgb="FF243447"/>
        <rFont val="Microsoft YaHei"/>
        <family val="2"/>
        <charset val="1"/>
      </rPr>
      <t xml:space="preserve">2026H2</t>
    </r>
    <r>
      <rPr>
        <b val="true"/>
        <sz val="10"/>
        <color rgb="FF243447"/>
        <rFont val="Noto Sans CJK SC"/>
        <family val="2"/>
      </rPr>
      <t xml:space="preserve">净变动（链接假设）</t>
    </r>
  </si>
  <si>
    <r>
      <rPr>
        <sz val="9"/>
        <color rgb="FF66788A"/>
        <rFont val="Noto Sans CJK SC"/>
        <family val="2"/>
      </rPr>
      <t xml:space="preserve">方法：</t>
    </r>
    <r>
      <rPr>
        <sz val="9"/>
        <color rgb="FF66788A"/>
        <rFont val="Microsoft YaHei"/>
        <family val="2"/>
        <charset val="1"/>
      </rPr>
      <t xml:space="preserve">2025H2</t>
    </r>
    <r>
      <rPr>
        <sz val="9"/>
        <color rgb="FF66788A"/>
        <rFont val="Noto Sans CJK SC"/>
        <family val="2"/>
      </rPr>
      <t xml:space="preserve">＝</t>
    </r>
    <r>
      <rPr>
        <sz val="9"/>
        <color rgb="FF66788A"/>
        <rFont val="Microsoft YaHei"/>
        <family val="2"/>
        <charset val="1"/>
      </rPr>
      <t xml:space="preserve">2025</t>
    </r>
    <r>
      <rPr>
        <sz val="9"/>
        <color rgb="FF66788A"/>
        <rFont val="Noto Sans CJK SC"/>
        <family val="2"/>
      </rPr>
      <t xml:space="preserve">全年－</t>
    </r>
    <r>
      <rPr>
        <sz val="9"/>
        <color rgb="FF66788A"/>
        <rFont val="Microsoft YaHei"/>
        <family val="2"/>
        <charset val="1"/>
      </rPr>
      <t xml:space="preserve">2025H1</t>
    </r>
    <r>
      <rPr>
        <sz val="9"/>
        <color rgb="FF66788A"/>
        <rFont val="Noto Sans CJK SC"/>
        <family val="2"/>
      </rPr>
      <t xml:space="preserve">；</t>
    </r>
    <r>
      <rPr>
        <sz val="9"/>
        <color rgb="FF66788A"/>
        <rFont val="Microsoft YaHei"/>
        <family val="2"/>
        <charset val="1"/>
      </rPr>
      <t xml:space="preserve">2026H2</t>
    </r>
    <r>
      <rPr>
        <sz val="9"/>
        <color rgb="FF66788A"/>
        <rFont val="Noto Sans CJK SC"/>
        <family val="2"/>
      </rPr>
      <t xml:space="preserve">情景＝</t>
    </r>
    <r>
      <rPr>
        <sz val="9"/>
        <color rgb="FF66788A"/>
        <rFont val="Microsoft YaHei"/>
        <family val="2"/>
        <charset val="1"/>
      </rPr>
      <t xml:space="preserve">2025H2×</t>
    </r>
    <r>
      <rPr>
        <sz val="9"/>
        <color rgb="FF66788A"/>
        <rFont val="Noto Sans CJK SC"/>
        <family val="2"/>
      </rPr>
      <t xml:space="preserve">（</t>
    </r>
    <r>
      <rPr>
        <sz val="9"/>
        <color rgb="FF66788A"/>
        <rFont val="Microsoft YaHei"/>
        <family val="2"/>
        <charset val="1"/>
      </rPr>
      <t xml:space="preserve">1</t>
    </r>
    <r>
      <rPr>
        <sz val="9"/>
        <color rgb="FF66788A"/>
        <rFont val="Noto Sans CJK SC"/>
        <family val="2"/>
      </rPr>
      <t xml:space="preserve">＋假设变动率）；</t>
    </r>
    <r>
      <rPr>
        <sz val="9"/>
        <color rgb="FF66788A"/>
        <rFont val="Microsoft YaHei"/>
        <family val="2"/>
        <charset val="1"/>
      </rPr>
      <t xml:space="preserve">2026</t>
    </r>
    <r>
      <rPr>
        <sz val="9"/>
        <color rgb="FF66788A"/>
        <rFont val="Noto Sans CJK SC"/>
        <family val="2"/>
      </rPr>
      <t xml:space="preserve">全年情景＝</t>
    </r>
    <r>
      <rPr>
        <sz val="9"/>
        <color rgb="FF66788A"/>
        <rFont val="Microsoft YaHei"/>
        <family val="2"/>
        <charset val="1"/>
      </rPr>
      <t xml:space="preserve">2026H1</t>
    </r>
    <r>
      <rPr>
        <sz val="9"/>
        <color rgb="FF66788A"/>
        <rFont val="Noto Sans CJK SC"/>
        <family val="2"/>
      </rPr>
      <t xml:space="preserve">实际＋</t>
    </r>
    <r>
      <rPr>
        <sz val="9"/>
        <color rgb="FF66788A"/>
        <rFont val="Microsoft YaHei"/>
        <family val="2"/>
        <charset val="1"/>
      </rPr>
      <t xml:space="preserve">2026H2</t>
    </r>
    <r>
      <rPr>
        <sz val="9"/>
        <color rgb="FF66788A"/>
        <rFont val="Noto Sans CJK SC"/>
        <family val="2"/>
      </rPr>
      <t xml:space="preserve">情景。未建模并购、投资损益、税项、汇率或股数变化，不能把结果理解为业绩预测。</t>
    </r>
  </si>
  <si>
    <t xml:space="preserve">和巴菲特一起做决定｜网页脚本与数字镜像</t>
  </si>
  <si>
    <r>
      <rPr>
        <sz val="11"/>
        <color rgb="FF66788A"/>
        <rFont val="Microsoft YaHei"/>
        <family val="2"/>
        <charset val="1"/>
      </rPr>
      <t xml:space="preserve">10</t>
    </r>
    <r>
      <rPr>
        <sz val="11"/>
        <color rgb="FF66788A"/>
        <rFont val="Noto Sans CJK SC"/>
        <family val="2"/>
      </rPr>
      <t xml:space="preserve">个真实历史决策；每段英文引文不超过两句。契合度衡量思路，不代表事后结果正确；不涉及当前买卖建议。</t>
    </r>
  </si>
  <si>
    <t xml:space="preserve">题号</t>
  </si>
  <si>
    <t xml:space="preserve">决策年份</t>
  </si>
  <si>
    <t xml:space="preserve">标题</t>
  </si>
  <si>
    <t xml:space="preserve">当时处境</t>
  </si>
  <si>
    <t xml:space="preserve">选项与契合分</t>
  </si>
  <si>
    <t xml:space="preserve">实际做法</t>
  </si>
  <si>
    <t xml:space="preserve">为什么</t>
  </si>
  <si>
    <t xml:space="preserve">股东信原文</t>
  </si>
  <si>
    <t xml:space="preserve">引文年份</t>
  </si>
  <si>
    <t xml:space="preserve">出处</t>
  </si>
  <si>
    <t xml:space="preserve">本题要点</t>
  </si>
  <si>
    <t xml:space="preserve">一颗糖果，值多少经济商誉？</t>
  </si>
  <si>
    <r>
      <rPr>
        <sz val="10"/>
        <color rgb="FF243447"/>
        <rFont val="Microsoft YaHei"/>
        <family val="2"/>
        <charset val="1"/>
      </rPr>
      <t xml:space="preserve">1972</t>
    </r>
    <r>
      <rPr>
        <sz val="10"/>
        <color rgb="FF243447"/>
        <rFont val="Noto Sans CJK SC"/>
        <family val="2"/>
      </rPr>
      <t xml:space="preserve">年，喜诗糖果年销售约</t>
    </r>
    <r>
      <rPr>
        <sz val="10"/>
        <color rgb="FF243447"/>
        <rFont val="Microsoft YaHei"/>
        <family val="2"/>
        <charset val="1"/>
      </rPr>
      <t xml:space="preserve">3000</t>
    </r>
    <r>
      <rPr>
        <sz val="10"/>
        <color rgb="FF243447"/>
        <rFont val="Noto Sans CJK SC"/>
        <family val="2"/>
      </rPr>
      <t xml:space="preserve">万美元、税前利润不足</t>
    </r>
    <r>
      <rPr>
        <sz val="10"/>
        <color rgb="FF243447"/>
        <rFont val="Microsoft YaHei"/>
        <family val="2"/>
        <charset val="1"/>
      </rPr>
      <t xml:space="preserve">500</t>
    </r>
    <r>
      <rPr>
        <sz val="10"/>
        <color rgb="FF243447"/>
        <rFont val="Noto Sans CJK SC"/>
        <family val="2"/>
      </rPr>
      <t xml:space="preserve">万美元，经营所需资本约</t>
    </r>
    <r>
      <rPr>
        <sz val="10"/>
        <color rgb="FF243447"/>
        <rFont val="Microsoft YaHei"/>
        <family val="2"/>
        <charset val="1"/>
      </rPr>
      <t xml:space="preserve">800</t>
    </r>
    <r>
      <rPr>
        <sz val="10"/>
        <color rgb="FF243447"/>
        <rFont val="Noto Sans CJK SC"/>
        <family val="2"/>
      </rPr>
      <t xml:space="preserve">万美元。卖方要价</t>
    </r>
    <r>
      <rPr>
        <sz val="10"/>
        <color rgb="FF243447"/>
        <rFont val="Microsoft YaHei"/>
        <family val="2"/>
        <charset val="1"/>
      </rPr>
      <t xml:space="preserve">3000</t>
    </r>
    <r>
      <rPr>
        <sz val="10"/>
        <color rgb="FF243447"/>
        <rFont val="Noto Sans CJK SC"/>
        <family val="2"/>
      </rPr>
      <t xml:space="preserve">万美元，而你坚持不超过</t>
    </r>
    <r>
      <rPr>
        <sz val="10"/>
        <color rgb="FF243447"/>
        <rFont val="Microsoft YaHei"/>
        <family val="2"/>
        <charset val="1"/>
      </rPr>
      <t xml:space="preserve">2500</t>
    </r>
    <r>
      <rPr>
        <sz val="10"/>
        <color rgb="FF243447"/>
        <rFont val="Noto Sans CJK SC"/>
        <family val="2"/>
      </rPr>
      <t xml:space="preserve">万美元。行业增长并不快，你会怎么做？</t>
    </r>
  </si>
  <si>
    <r>
      <rPr>
        <sz val="10"/>
        <color rgb="FF243447"/>
        <rFont val="Microsoft YaHei"/>
        <family val="2"/>
        <charset val="1"/>
      </rPr>
      <t xml:space="preserve">1. </t>
    </r>
    <r>
      <rPr>
        <sz val="10"/>
        <color rgb="FF243447"/>
        <rFont val="Noto Sans CJK SC"/>
        <family val="2"/>
      </rPr>
      <t xml:space="preserve">只按有形资产砍价（契合</t>
    </r>
    <r>
      <rPr>
        <sz val="10"/>
        <color rgb="FF243447"/>
        <rFont val="Microsoft YaHei"/>
        <family val="2"/>
        <charset val="1"/>
      </rPr>
      <t xml:space="preserve">45</t>
    </r>
    <r>
      <rPr>
        <sz val="10"/>
        <color rgb="FF243447"/>
        <rFont val="Noto Sans CJK SC"/>
        <family val="2"/>
      </rPr>
      <t xml:space="preserve">；商业质量</t>
    </r>
    <r>
      <rPr>
        <sz val="10"/>
        <color rgb="FF243447"/>
        <rFont val="Microsoft YaHei"/>
        <family val="2"/>
        <charset val="1"/>
      </rPr>
      <t xml:space="preserve">55</t>
    </r>
    <r>
      <rPr>
        <sz val="10"/>
        <color rgb="FF243447"/>
        <rFont val="Noto Sans CJK SC"/>
        <family val="2"/>
      </rPr>
      <t xml:space="preserve">、价格纪律</t>
    </r>
    <r>
      <rPr>
        <sz val="10"/>
        <color rgb="FF243447"/>
        <rFont val="Microsoft YaHei"/>
        <family val="2"/>
        <charset val="1"/>
      </rPr>
      <t xml:space="preserve">90</t>
    </r>
    <r>
      <rPr>
        <sz val="10"/>
        <color rgb="FF243447"/>
        <rFont val="Noto Sans CJK SC"/>
        <family val="2"/>
      </rPr>
      <t xml:space="preserve">、风险边界</t>
    </r>
    <r>
      <rPr>
        <sz val="10"/>
        <color rgb="FF243447"/>
        <rFont val="Microsoft YaHei"/>
        <family val="2"/>
        <charset val="1"/>
      </rPr>
      <t xml:space="preserve">65</t>
    </r>
    <r>
      <rPr>
        <sz val="10"/>
        <color rgb="FF243447"/>
        <rFont val="Noto Sans CJK SC"/>
        <family val="2"/>
      </rPr>
      <t xml:space="preserve">、长期耐心</t>
    </r>
    <r>
      <rPr>
        <sz val="10"/>
        <color rgb="FF243447"/>
        <rFont val="Microsoft YaHei"/>
        <family val="2"/>
        <charset val="1"/>
      </rPr>
      <t xml:space="preserve">40</t>
    </r>
    <r>
      <rPr>
        <sz val="10"/>
        <color rgb="FF243447"/>
        <rFont val="Noto Sans CJK SC"/>
        <family val="2"/>
      </rPr>
      <t xml:space="preserve">）：无形资产难以丈量，价格必须贴近可辨认资产。</t>
    </r>
    <r>
      <rPr>
        <sz val="10"/>
        <color rgb="FF243447"/>
        <rFont val="Microsoft YaHei"/>
        <family val="2"/>
        <charset val="1"/>
      </rPr>
      <t xml:space="preserve">
2. </t>
    </r>
    <r>
      <rPr>
        <sz val="10"/>
        <color rgb="FF243447"/>
        <rFont val="Noto Sans CJK SC"/>
        <family val="2"/>
      </rPr>
      <t xml:space="preserve">不超过</t>
    </r>
    <r>
      <rPr>
        <sz val="10"/>
        <color rgb="FF243447"/>
        <rFont val="Microsoft YaHei"/>
        <family val="2"/>
        <charset val="1"/>
      </rPr>
      <t xml:space="preserve">2500</t>
    </r>
    <r>
      <rPr>
        <sz val="10"/>
        <color rgb="FF243447"/>
        <rFont val="Noto Sans CJK SC"/>
        <family val="2"/>
      </rPr>
      <t xml:space="preserve">万美元买下（契合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95</t>
    </r>
    <r>
      <rPr>
        <sz val="10"/>
        <color rgb="FF243447"/>
        <rFont val="Noto Sans CJK SC"/>
        <family val="2"/>
      </rPr>
      <t xml:space="preserve">、价格纪律</t>
    </r>
    <r>
      <rPr>
        <sz val="10"/>
        <color rgb="FF243447"/>
        <rFont val="Microsoft YaHei"/>
        <family val="2"/>
        <charset val="1"/>
      </rPr>
      <t xml:space="preserve">90</t>
    </r>
    <r>
      <rPr>
        <sz val="10"/>
        <color rgb="FF243447"/>
        <rFont val="Noto Sans CJK SC"/>
        <family val="2"/>
      </rPr>
      <t xml:space="preserve">、风险边界</t>
    </r>
    <r>
      <rPr>
        <sz val="10"/>
        <color rgb="FF243447"/>
        <rFont val="Microsoft YaHei"/>
        <family val="2"/>
        <charset val="1"/>
      </rPr>
      <t xml:space="preserve">85</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）：为持久品牌与定价权付费，同时守住价格上限。</t>
    </r>
    <r>
      <rPr>
        <sz val="10"/>
        <color rgb="FF243447"/>
        <rFont val="Microsoft YaHei"/>
        <family val="2"/>
        <charset val="1"/>
      </rPr>
      <t xml:space="preserve">
3. </t>
    </r>
    <r>
      <rPr>
        <sz val="10"/>
        <color rgb="FF243447"/>
        <rFont val="Noto Sans CJK SC"/>
        <family val="2"/>
      </rPr>
      <t xml:space="preserve">行业不增长，直接放弃（契合</t>
    </r>
    <r>
      <rPr>
        <sz val="10"/>
        <color rgb="FF243447"/>
        <rFont val="Microsoft YaHei"/>
        <family val="2"/>
        <charset val="1"/>
      </rPr>
      <t xml:space="preserve">30</t>
    </r>
    <r>
      <rPr>
        <sz val="10"/>
        <color rgb="FF243447"/>
        <rFont val="Noto Sans CJK SC"/>
        <family val="2"/>
      </rPr>
      <t xml:space="preserve">；商业质量</t>
    </r>
    <r>
      <rPr>
        <sz val="10"/>
        <color rgb="FF243447"/>
        <rFont val="Microsoft YaHei"/>
        <family val="2"/>
        <charset val="1"/>
      </rPr>
      <t xml:space="preserve">40</t>
    </r>
    <r>
      <rPr>
        <sz val="10"/>
        <color rgb="FF243447"/>
        <rFont val="Noto Sans CJK SC"/>
        <family val="2"/>
      </rPr>
      <t xml:space="preserve">、价格纪律</t>
    </r>
    <r>
      <rPr>
        <sz val="10"/>
        <color rgb="FF243447"/>
        <rFont val="Microsoft YaHei"/>
        <family val="2"/>
        <charset val="1"/>
      </rPr>
      <t xml:space="preserve">70</t>
    </r>
    <r>
      <rPr>
        <sz val="10"/>
        <color rgb="FF243447"/>
        <rFont val="Noto Sans CJK SC"/>
        <family val="2"/>
      </rPr>
      <t xml:space="preserve">、风险边界</t>
    </r>
    <r>
      <rPr>
        <sz val="10"/>
        <color rgb="FF243447"/>
        <rFont val="Microsoft YaHei"/>
        <family val="2"/>
        <charset val="1"/>
      </rPr>
      <t xml:space="preserve">55</t>
    </r>
    <r>
      <rPr>
        <sz val="10"/>
        <color rgb="FF243447"/>
        <rFont val="Noto Sans CJK SC"/>
        <family val="2"/>
      </rPr>
      <t xml:space="preserve">、长期耐心</t>
    </r>
    <r>
      <rPr>
        <sz val="10"/>
        <color rgb="FF243447"/>
        <rFont val="Microsoft YaHei"/>
        <family val="2"/>
        <charset val="1"/>
      </rPr>
      <t xml:space="preserve">25</t>
    </r>
    <r>
      <rPr>
        <sz val="10"/>
        <color rgb="FF243447"/>
        <rFont val="Noto Sans CJK SC"/>
        <family val="2"/>
      </rPr>
      <t xml:space="preserve">）：只有高销量增长才值得投入资本。</t>
    </r>
  </si>
  <si>
    <r>
      <rPr>
        <sz val="10"/>
        <color rgb="FF243447"/>
        <rFont val="Noto Sans CJK SC"/>
        <family val="2"/>
      </rPr>
      <t xml:space="preserve">通过</t>
    </r>
    <r>
      <rPr>
        <sz val="10"/>
        <color rgb="FF243447"/>
        <rFont val="Microsoft YaHei"/>
        <family val="2"/>
        <charset val="1"/>
      </rPr>
      <t xml:space="preserve">Blue Chip Stamps</t>
    </r>
    <r>
      <rPr>
        <sz val="10"/>
        <color rgb="FF243447"/>
        <rFont val="Noto Sans CJK SC"/>
        <family val="2"/>
      </rPr>
      <t xml:space="preserve">以</t>
    </r>
    <r>
      <rPr>
        <sz val="10"/>
        <color rgb="FF243447"/>
        <rFont val="Microsoft YaHei"/>
        <family val="2"/>
        <charset val="1"/>
      </rPr>
      <t xml:space="preserve">2500</t>
    </r>
    <r>
      <rPr>
        <sz val="10"/>
        <color rgb="FF243447"/>
        <rFont val="Noto Sans CJK SC"/>
        <family val="2"/>
      </rPr>
      <t xml:space="preserve">万美元买入喜诗。卖方最终接受了这一上限；巴菲特后来承认，自己险些因价格坚持而错失它。</t>
    </r>
  </si>
  <si>
    <t xml:space="preserve">关键不是糖果销量能否高速增长，而是品牌带来的定价权，以及利润增长时是否需要同比例追加资本。这是从“便宜资产”走向“优质企业”的重要一课。</t>
  </si>
  <si>
    <t xml:space="preserve">We bought See’s for $25 million when its sales were $30 million and pre-tax earnings were less than $5 million. The capital then required to conduct the business was $8 million.</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</si>
  <si>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/2007ltr.pdf</t>
    </r>
    <r>
      <rPr>
        <sz val="10"/>
        <color rgb="FF243447"/>
        <rFont val="Noto Sans CJK SC"/>
        <family val="2"/>
      </rPr>
      <t xml:space="preserve">，</t>
    </r>
    <r>
      <rPr>
        <sz val="10"/>
        <color rgb="FF243447"/>
        <rFont val="Microsoft YaHei"/>
        <family val="2"/>
        <charset val="1"/>
      </rPr>
      <t xml:space="preserve">Dream Businesses / See’s Candy</t>
    </r>
    <r>
      <rPr>
        <sz val="10"/>
        <color rgb="FF243447"/>
        <rFont val="Noto Sans CJK SC"/>
        <family val="2"/>
      </rPr>
      <t xml:space="preserve">段</t>
    </r>
  </si>
  <si>
    <r>
      <rPr>
        <sz val="10"/>
        <color rgb="FF243447"/>
        <rFont val="Noto Sans CJK SC"/>
        <family val="2"/>
      </rPr>
      <t xml:space="preserve">经济商誉：持久的定价权 </t>
    </r>
    <r>
      <rPr>
        <sz val="10"/>
        <color rgb="FF243447"/>
        <rFont val="Microsoft YaHei"/>
        <family val="2"/>
        <charset val="1"/>
      </rPr>
      <t xml:space="preserve">+ </t>
    </r>
    <r>
      <rPr>
        <sz val="10"/>
        <color rgb="FF243447"/>
        <rFont val="Noto Sans CJK SC"/>
        <family val="2"/>
      </rPr>
      <t xml:space="preserve">较低的增量资本需求。</t>
    </r>
  </si>
  <si>
    <t xml:space="preserve">买店，还是买下这支管理团队？</t>
  </si>
  <si>
    <r>
      <rPr>
        <sz val="10"/>
        <color rgb="FF243447"/>
        <rFont val="Microsoft YaHei"/>
        <family val="2"/>
        <charset val="1"/>
      </rPr>
      <t xml:space="preserve">1983</t>
    </r>
    <r>
      <rPr>
        <sz val="10"/>
        <color rgb="FF243447"/>
        <rFont val="Noto Sans CJK SC"/>
        <family val="2"/>
      </rPr>
      <t xml:space="preserve">年，</t>
    </r>
    <r>
      <rPr>
        <sz val="10"/>
        <color rgb="FF243447"/>
        <rFont val="Microsoft YaHei"/>
        <family val="2"/>
        <charset val="1"/>
      </rPr>
      <t xml:space="preserve">Rose Blumkin</t>
    </r>
    <r>
      <rPr>
        <sz val="10"/>
        <color rgb="FF243447"/>
        <rFont val="Noto Sans CJK SC"/>
        <family val="2"/>
      </rPr>
      <t xml:space="preserve">家族经营的一家约</t>
    </r>
    <r>
      <rPr>
        <sz val="10"/>
        <color rgb="FF243447"/>
        <rFont val="Microsoft YaHei"/>
        <family val="2"/>
        <charset val="1"/>
      </rPr>
      <t xml:space="preserve">20</t>
    </r>
    <r>
      <rPr>
        <sz val="10"/>
        <color rgb="FF243447"/>
        <rFont val="Noto Sans CJK SC"/>
        <family val="2"/>
      </rPr>
      <t xml:space="preserve">万平方英尺门店，年销售已超过</t>
    </r>
    <r>
      <rPr>
        <sz val="10"/>
        <color rgb="FF243447"/>
        <rFont val="Microsoft YaHei"/>
        <family val="2"/>
        <charset val="1"/>
      </rPr>
      <t xml:space="preserve">1</t>
    </r>
    <r>
      <rPr>
        <sz val="10"/>
        <color rgb="FF243447"/>
        <rFont val="Noto Sans CJK SC"/>
        <family val="2"/>
      </rPr>
      <t xml:space="preserve">亿美元。创始人已</t>
    </r>
    <r>
      <rPr>
        <sz val="10"/>
        <color rgb="FF243447"/>
        <rFont val="Microsoft YaHei"/>
        <family val="2"/>
        <charset val="1"/>
      </rPr>
      <t xml:space="preserve">90</t>
    </r>
    <r>
      <rPr>
        <sz val="10"/>
        <color rgb="FF243447"/>
        <rFont val="Noto Sans CJK SC"/>
        <family val="2"/>
      </rPr>
      <t xml:space="preserve">岁，成本低、顾客价值突出，家族希望解决所有权传承。你会如何安排交易？</t>
    </r>
  </si>
  <si>
    <r>
      <rPr>
        <sz val="10"/>
        <color rgb="FF243447"/>
        <rFont val="Microsoft YaHei"/>
        <family val="2"/>
        <charset val="1"/>
      </rPr>
      <t xml:space="preserve">1. </t>
    </r>
    <r>
      <rPr>
        <sz val="10"/>
        <color rgb="FF243447"/>
        <rFont val="Noto Sans CJK SC"/>
        <family val="2"/>
      </rPr>
      <t xml:space="preserve">买</t>
    </r>
    <r>
      <rPr>
        <sz val="10"/>
        <color rgb="FF243447"/>
        <rFont val="Microsoft YaHei"/>
        <family val="2"/>
        <charset val="1"/>
      </rPr>
      <t xml:space="preserve">90%</t>
    </r>
    <r>
      <rPr>
        <sz val="10"/>
        <color rgb="FF243447"/>
        <rFont val="Noto Sans CJK SC"/>
        <family val="2"/>
      </rPr>
      <t xml:space="preserve">，家族继续经营（契合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100</t>
    </r>
    <r>
      <rPr>
        <sz val="10"/>
        <color rgb="FF243447"/>
        <rFont val="Noto Sans CJK SC"/>
        <family val="2"/>
      </rPr>
      <t xml:space="preserve">、价格纪律</t>
    </r>
    <r>
      <rPr>
        <sz val="10"/>
        <color rgb="FF243447"/>
        <rFont val="Microsoft YaHei"/>
        <family val="2"/>
        <charset val="1"/>
      </rPr>
      <t xml:space="preserve">80</t>
    </r>
    <r>
      <rPr>
        <sz val="10"/>
        <color rgb="FF243447"/>
        <rFont val="Noto Sans CJK SC"/>
        <family val="2"/>
      </rPr>
      <t xml:space="preserve">、风险边界</t>
    </r>
    <r>
      <rPr>
        <sz val="10"/>
        <color rgb="FF243447"/>
        <rFont val="Microsoft YaHei"/>
        <family val="2"/>
        <charset val="1"/>
      </rPr>
      <t xml:space="preserve">90</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）：保留家族</t>
    </r>
    <r>
      <rPr>
        <sz val="10"/>
        <color rgb="FF243447"/>
        <rFont val="Microsoft YaHei"/>
        <family val="2"/>
        <charset val="1"/>
      </rPr>
      <t xml:space="preserve">10%</t>
    </r>
    <r>
      <rPr>
        <sz val="10"/>
        <color rgb="FF243447"/>
        <rFont val="Noto Sans CJK SC"/>
        <family val="2"/>
      </rPr>
      <t xml:space="preserve">，并向关键年轻家族经理授予另外</t>
    </r>
    <r>
      <rPr>
        <sz val="10"/>
        <color rgb="FF243447"/>
        <rFont val="Microsoft YaHei"/>
        <family val="2"/>
        <charset val="1"/>
      </rPr>
      <t xml:space="preserve">10%</t>
    </r>
    <r>
      <rPr>
        <sz val="10"/>
        <color rgb="FF243447"/>
        <rFont val="Noto Sans CJK SC"/>
        <family val="2"/>
      </rPr>
      <t xml:space="preserve">的选择权。</t>
    </r>
    <r>
      <rPr>
        <sz val="10"/>
        <color rgb="FF243447"/>
        <rFont val="Microsoft YaHei"/>
        <family val="2"/>
        <charset val="1"/>
      </rPr>
      <t xml:space="preserve">
2. </t>
    </r>
    <r>
      <rPr>
        <sz val="10"/>
        <color rgb="FF243447"/>
        <rFont val="Noto Sans CJK SC"/>
        <family val="2"/>
      </rPr>
      <t xml:space="preserve">买</t>
    </r>
    <r>
      <rPr>
        <sz val="10"/>
        <color rgb="FF243447"/>
        <rFont val="Microsoft YaHei"/>
        <family val="2"/>
        <charset val="1"/>
      </rPr>
      <t xml:space="preserve">100%</t>
    </r>
    <r>
      <rPr>
        <sz val="10"/>
        <color rgb="FF243447"/>
        <rFont val="Noto Sans CJK SC"/>
        <family val="2"/>
      </rPr>
      <t xml:space="preserve">，总部接管（契合</t>
    </r>
    <r>
      <rPr>
        <sz val="10"/>
        <color rgb="FF243447"/>
        <rFont val="Microsoft YaHei"/>
        <family val="2"/>
        <charset val="1"/>
      </rPr>
      <t xml:space="preserve">35</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65</t>
    </r>
    <r>
      <rPr>
        <sz val="10"/>
        <color rgb="FF243447"/>
        <rFont val="Noto Sans CJK SC"/>
        <family val="2"/>
      </rPr>
      <t xml:space="preserve">、风险边界</t>
    </r>
    <r>
      <rPr>
        <sz val="10"/>
        <color rgb="FF243447"/>
        <rFont val="Microsoft YaHei"/>
        <family val="2"/>
        <charset val="1"/>
      </rPr>
      <t xml:space="preserve">40</t>
    </r>
    <r>
      <rPr>
        <sz val="10"/>
        <color rgb="FF243447"/>
        <rFont val="Noto Sans CJK SC"/>
        <family val="2"/>
      </rPr>
      <t xml:space="preserve">、长期耐心</t>
    </r>
    <r>
      <rPr>
        <sz val="10"/>
        <color rgb="FF243447"/>
        <rFont val="Microsoft YaHei"/>
        <family val="2"/>
        <charset val="1"/>
      </rPr>
      <t xml:space="preserve">35</t>
    </r>
    <r>
      <rPr>
        <sz val="10"/>
        <color rgb="FF243447"/>
        <rFont val="Noto Sans CJK SC"/>
        <family val="2"/>
      </rPr>
      <t xml:space="preserve">）：获得完整控制权，再派新团队替换原有管理层。</t>
    </r>
    <r>
      <rPr>
        <sz val="10"/>
        <color rgb="FF243447"/>
        <rFont val="Microsoft YaHei"/>
        <family val="2"/>
        <charset val="1"/>
      </rPr>
      <t xml:space="preserve">
3. </t>
    </r>
    <r>
      <rPr>
        <sz val="10"/>
        <color rgb="FF243447"/>
        <rFont val="Noto Sans CJK SC"/>
        <family val="2"/>
      </rPr>
      <t xml:space="preserve">创始人高龄，放弃（契合</t>
    </r>
    <r>
      <rPr>
        <sz val="10"/>
        <color rgb="FF243447"/>
        <rFont val="Microsoft YaHei"/>
        <family val="2"/>
        <charset val="1"/>
      </rPr>
      <t xml:space="preserve">25</t>
    </r>
    <r>
      <rPr>
        <sz val="10"/>
        <color rgb="FF243447"/>
        <rFont val="Noto Sans CJK SC"/>
        <family val="2"/>
      </rPr>
      <t xml:space="preserve">；商业质量</t>
    </r>
    <r>
      <rPr>
        <sz val="10"/>
        <color rgb="FF243447"/>
        <rFont val="Microsoft YaHei"/>
        <family val="2"/>
        <charset val="1"/>
      </rPr>
      <t xml:space="preserve">35</t>
    </r>
    <r>
      <rPr>
        <sz val="10"/>
        <color rgb="FF243447"/>
        <rFont val="Noto Sans CJK SC"/>
        <family val="2"/>
      </rPr>
      <t xml:space="preserve">、价格纪律</t>
    </r>
    <r>
      <rPr>
        <sz val="10"/>
        <color rgb="FF243447"/>
        <rFont val="Microsoft YaHei"/>
        <family val="2"/>
        <charset val="1"/>
      </rPr>
      <t xml:space="preserve">55</t>
    </r>
    <r>
      <rPr>
        <sz val="10"/>
        <color rgb="FF243447"/>
        <rFont val="Noto Sans CJK SC"/>
        <family val="2"/>
      </rPr>
      <t xml:space="preserve">、风险边界</t>
    </r>
    <r>
      <rPr>
        <sz val="10"/>
        <color rgb="FF243447"/>
        <rFont val="Microsoft YaHei"/>
        <family val="2"/>
        <charset val="1"/>
      </rPr>
      <t xml:space="preserve">60</t>
    </r>
    <r>
      <rPr>
        <sz val="10"/>
        <color rgb="FF243447"/>
        <rFont val="Noto Sans CJK SC"/>
        <family val="2"/>
      </rPr>
      <t xml:space="preserve">、长期耐心</t>
    </r>
    <r>
      <rPr>
        <sz val="10"/>
        <color rgb="FF243447"/>
        <rFont val="Microsoft YaHei"/>
        <family val="2"/>
        <charset val="1"/>
      </rPr>
      <t xml:space="preserve">20</t>
    </r>
    <r>
      <rPr>
        <sz val="10"/>
        <color rgb="FF243447"/>
        <rFont val="Noto Sans CJK SC"/>
        <family val="2"/>
      </rPr>
      <t xml:space="preserve">）：把年龄当作否决项，不评估团队与企业文化。</t>
    </r>
  </si>
  <si>
    <r>
      <rPr>
        <sz val="10"/>
        <color rgb="FF243447"/>
        <rFont val="Noto Sans CJK SC"/>
        <family val="2"/>
      </rPr>
      <t xml:space="preserve">收购</t>
    </r>
    <r>
      <rPr>
        <sz val="10"/>
        <color rgb="FF243447"/>
        <rFont val="Microsoft YaHei"/>
        <family val="2"/>
        <charset val="1"/>
      </rPr>
      <t xml:space="preserve">90%</t>
    </r>
    <r>
      <rPr>
        <sz val="10"/>
        <color rgb="FF243447"/>
        <rFont val="Noto Sans CJK SC"/>
        <family val="2"/>
      </rPr>
      <t xml:space="preserve">，给经营家族保留</t>
    </r>
    <r>
      <rPr>
        <sz val="10"/>
        <color rgb="FF243447"/>
        <rFont val="Microsoft YaHei"/>
        <family val="2"/>
        <charset val="1"/>
      </rPr>
      <t xml:space="preserve">10%</t>
    </r>
    <r>
      <rPr>
        <sz val="10"/>
        <color rgb="FF243447"/>
        <rFont val="Noto Sans CJK SC"/>
        <family val="2"/>
      </rPr>
      <t xml:space="preserve">，并向关键年轻家族经理授予另外</t>
    </r>
    <r>
      <rPr>
        <sz val="10"/>
        <color rgb="FF243447"/>
        <rFont val="Microsoft YaHei"/>
        <family val="2"/>
        <charset val="1"/>
      </rPr>
      <t xml:space="preserve">10%</t>
    </r>
    <r>
      <rPr>
        <sz val="10"/>
        <color rgb="FF243447"/>
        <rFont val="Noto Sans CJK SC"/>
        <family val="2"/>
      </rPr>
      <t xml:space="preserve">的选择权；</t>
    </r>
    <r>
      <rPr>
        <sz val="10"/>
        <color rgb="FF243447"/>
        <rFont val="Microsoft YaHei"/>
        <family val="2"/>
        <charset val="1"/>
      </rPr>
      <t xml:space="preserve">Blumkin</t>
    </r>
    <r>
      <rPr>
        <sz val="10"/>
        <color rgb="FF243447"/>
        <rFont val="Noto Sans CJK SC"/>
        <family val="2"/>
      </rPr>
      <t xml:space="preserve">家族继续管理。</t>
    </r>
  </si>
  <si>
    <t xml:space="preserve">巴菲特买下的不仅是门店，更是难以复制的低价运营能力、顾客信任和经营者文化。交易结构让原来的主人仍然有动力继续创造价值。</t>
  </si>
  <si>
    <t xml:space="preserve">One question I always ask myself in appraising a business is how I would like, assuming I had ample capital and skilled personnel, to compete with it. I’d rather wrestle grizzlies than compete with Mrs. B and her progeny.</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</si>
  <si>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/1983ltr.html</t>
    </r>
    <r>
      <rPr>
        <sz val="10"/>
        <color rgb="FF243447"/>
        <rFont val="Noto Sans CJK SC"/>
        <family val="2"/>
      </rPr>
      <t xml:space="preserve">，</t>
    </r>
    <r>
      <rPr>
        <sz val="10"/>
        <color rgb="FF243447"/>
        <rFont val="Microsoft YaHei"/>
        <family val="2"/>
        <charset val="1"/>
      </rPr>
      <t xml:space="preserve">Nebraska Furniture Mart</t>
    </r>
    <r>
      <rPr>
        <sz val="10"/>
        <color rgb="FF243447"/>
        <rFont val="Noto Sans CJK SC"/>
        <family val="2"/>
      </rPr>
      <t xml:space="preserve">段</t>
    </r>
  </si>
  <si>
    <t xml:space="preserve">优秀企业的价值，常常写在“谁在读懂顾客、谁在长期经营”里。</t>
  </si>
  <si>
    <t xml:space="preserve">看了五十年，终于看见什么？</t>
  </si>
  <si>
    <r>
      <rPr>
        <sz val="10"/>
        <color rgb="FF243447"/>
        <rFont val="Microsoft YaHei"/>
        <family val="2"/>
        <charset val="1"/>
      </rPr>
      <t xml:space="preserve">1988</t>
    </r>
    <r>
      <rPr>
        <sz val="10"/>
        <color rgb="FF243447"/>
        <rFont val="Noto Sans CJK SC"/>
        <family val="2"/>
      </rPr>
      <t xml:space="preserve">年，这种饮料你早已熟悉数十年。</t>
    </r>
    <r>
      <rPr>
        <sz val="10"/>
        <color rgb="FF243447"/>
        <rFont val="Microsoft YaHei"/>
        <family val="2"/>
        <charset val="1"/>
      </rPr>
      <t xml:space="preserve">1981</t>
    </r>
    <r>
      <rPr>
        <sz val="10"/>
        <color rgb="FF243447"/>
        <rFont val="Noto Sans CJK SC"/>
        <family val="2"/>
      </rPr>
      <t xml:space="preserve">年后新管理层重新聚焦经营，海外销售加速；但企业的优点也并非无人知晓。你会如何决策？</t>
    </r>
  </si>
  <si>
    <r>
      <rPr>
        <sz val="10"/>
        <color rgb="FF243447"/>
        <rFont val="Microsoft YaHei"/>
        <family val="2"/>
        <charset val="1"/>
      </rPr>
      <t xml:space="preserve">1. </t>
    </r>
    <r>
      <rPr>
        <sz val="10"/>
        <color rgb="FF243447"/>
        <rFont val="Noto Sans CJK SC"/>
        <family val="2"/>
      </rPr>
      <t xml:space="preserve">只因市场都知道，继续等待（契合</t>
    </r>
    <r>
      <rPr>
        <sz val="10"/>
        <color rgb="FF243447"/>
        <rFont val="Microsoft YaHei"/>
        <family val="2"/>
        <charset val="1"/>
      </rPr>
      <t xml:space="preserve">45</t>
    </r>
    <r>
      <rPr>
        <sz val="10"/>
        <color rgb="FF243447"/>
        <rFont val="Noto Sans CJK SC"/>
        <family val="2"/>
      </rPr>
      <t xml:space="preserve">；商业质量</t>
    </r>
    <r>
      <rPr>
        <sz val="10"/>
        <color rgb="FF243447"/>
        <rFont val="Microsoft YaHei"/>
        <family val="2"/>
        <charset val="1"/>
      </rPr>
      <t xml:space="preserve">65</t>
    </r>
    <r>
      <rPr>
        <sz val="10"/>
        <color rgb="FF243447"/>
        <rFont val="Noto Sans CJK SC"/>
        <family val="2"/>
      </rPr>
      <t xml:space="preserve">、价格纪律</t>
    </r>
    <r>
      <rPr>
        <sz val="10"/>
        <color rgb="FF243447"/>
        <rFont val="Microsoft YaHei"/>
        <family val="2"/>
        <charset val="1"/>
      </rPr>
      <t xml:space="preserve">80</t>
    </r>
    <r>
      <rPr>
        <sz val="10"/>
        <color rgb="FF243447"/>
        <rFont val="Noto Sans CJK SC"/>
        <family val="2"/>
      </rPr>
      <t xml:space="preserve">、风险边界</t>
    </r>
    <r>
      <rPr>
        <sz val="10"/>
        <color rgb="FF243447"/>
        <rFont val="Microsoft YaHei"/>
        <family val="2"/>
        <charset val="1"/>
      </rPr>
      <t xml:space="preserve">65</t>
    </r>
    <r>
      <rPr>
        <sz val="10"/>
        <color rgb="FF243447"/>
        <rFont val="Noto Sans CJK SC"/>
        <family val="2"/>
      </rPr>
      <t xml:space="preserve">、长期耐心</t>
    </r>
    <r>
      <rPr>
        <sz val="10"/>
        <color rgb="FF243447"/>
        <rFont val="Microsoft YaHei"/>
        <family val="2"/>
        <charset val="1"/>
      </rPr>
      <t xml:space="preserve">55</t>
    </r>
    <r>
      <rPr>
        <sz val="10"/>
        <color rgb="FF243447"/>
        <rFont val="Noto Sans CJK SC"/>
        <family val="2"/>
      </rPr>
      <t xml:space="preserve">）：人尽皆知的优点不可能形成可投框架。</t>
    </r>
    <r>
      <rPr>
        <sz val="10"/>
        <color rgb="FF243447"/>
        <rFont val="Microsoft YaHei"/>
        <family val="2"/>
        <charset val="1"/>
      </rPr>
      <t xml:space="preserve">
2. </t>
    </r>
    <r>
      <rPr>
        <sz val="10"/>
        <color rgb="FF243447"/>
        <rFont val="Noto Sans CJK SC"/>
        <family val="2"/>
      </rPr>
      <t xml:space="preserve">做短线，先赚预期差（契合</t>
    </r>
    <r>
      <rPr>
        <sz val="10"/>
        <color rgb="FF243447"/>
        <rFont val="Microsoft YaHei"/>
        <family val="2"/>
        <charset val="1"/>
      </rPr>
      <t xml:space="preserve">25</t>
    </r>
    <r>
      <rPr>
        <sz val="10"/>
        <color rgb="FF243447"/>
        <rFont val="Noto Sans CJK SC"/>
        <family val="2"/>
      </rPr>
      <t xml:space="preserve">；商业质量</t>
    </r>
    <r>
      <rPr>
        <sz val="10"/>
        <color rgb="FF243447"/>
        <rFont val="Microsoft YaHei"/>
        <family val="2"/>
        <charset val="1"/>
      </rPr>
      <t xml:space="preserve">40</t>
    </r>
    <r>
      <rPr>
        <sz val="10"/>
        <color rgb="FF243447"/>
        <rFont val="Noto Sans CJK SC"/>
        <family val="2"/>
      </rPr>
      <t xml:space="preserve">、价格纪律</t>
    </r>
    <r>
      <rPr>
        <sz val="10"/>
        <color rgb="FF243447"/>
        <rFont val="Microsoft YaHei"/>
        <family val="2"/>
        <charset val="1"/>
      </rPr>
      <t xml:space="preserve">45</t>
    </r>
    <r>
      <rPr>
        <sz val="10"/>
        <color rgb="FF243447"/>
        <rFont val="Noto Sans CJK SC"/>
        <family val="2"/>
      </rPr>
      <t xml:space="preserve">、风险边界</t>
    </r>
    <r>
      <rPr>
        <sz val="10"/>
        <color rgb="FF243447"/>
        <rFont val="Microsoft YaHei"/>
        <family val="2"/>
        <charset val="1"/>
      </rPr>
      <t xml:space="preserve">35</t>
    </r>
    <r>
      <rPr>
        <sz val="10"/>
        <color rgb="FF243447"/>
        <rFont val="Noto Sans CJK SC"/>
        <family val="2"/>
      </rPr>
      <t xml:space="preserve">、长期耐心</t>
    </r>
    <r>
      <rPr>
        <sz val="10"/>
        <color rgb="FF243447"/>
        <rFont val="Microsoft YaHei"/>
        <family val="2"/>
        <charset val="1"/>
      </rPr>
      <t xml:space="preserve">10</t>
    </r>
    <r>
      <rPr>
        <sz val="10"/>
        <color rgb="FF243447"/>
        <rFont val="Noto Sans CJK SC"/>
        <family val="2"/>
      </rPr>
      <t xml:space="preserve">）：以季度消息决定进出，不准备长期持有。</t>
    </r>
    <r>
      <rPr>
        <sz val="10"/>
        <color rgb="FF243447"/>
        <rFont val="Microsoft YaHei"/>
        <family val="2"/>
        <charset val="1"/>
      </rPr>
      <t xml:space="preserve">
3. </t>
    </r>
    <r>
      <rPr>
        <sz val="10"/>
        <color rgb="FF243447"/>
        <rFont val="Noto Sans CJK SC"/>
        <family val="2"/>
      </rPr>
      <t xml:space="preserve">理解焕新后的企业，开始买入（契合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100</t>
    </r>
    <r>
      <rPr>
        <sz val="10"/>
        <color rgb="FF243447"/>
        <rFont val="Noto Sans CJK SC"/>
        <family val="2"/>
      </rPr>
      <t xml:space="preserve">、价格纪律</t>
    </r>
    <r>
      <rPr>
        <sz val="10"/>
        <color rgb="FF243447"/>
        <rFont val="Microsoft YaHei"/>
        <family val="2"/>
        <charset val="1"/>
      </rPr>
      <t xml:space="preserve">75</t>
    </r>
    <r>
      <rPr>
        <sz val="10"/>
        <color rgb="FF243447"/>
        <rFont val="Noto Sans CJK SC"/>
        <family val="2"/>
      </rPr>
      <t xml:space="preserve">、风险边界</t>
    </r>
    <r>
      <rPr>
        <sz val="10"/>
        <color rgb="FF243447"/>
        <rFont val="Microsoft YaHei"/>
        <family val="2"/>
        <charset val="1"/>
      </rPr>
      <t xml:space="preserve">80</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）：看见产品优势与管理层执行形成合力，以长期企业所有者方式行动。</t>
    </r>
  </si>
  <si>
    <r>
      <rPr>
        <sz val="10"/>
        <color rgb="FF243447"/>
        <rFont val="Microsoft YaHei"/>
        <family val="2"/>
        <charset val="1"/>
      </rPr>
      <t xml:space="preserve">1988</t>
    </r>
    <r>
      <rPr>
        <sz val="10"/>
        <color rgb="FF243447"/>
        <rFont val="Noto Sans CJK SC"/>
        <family val="2"/>
      </rPr>
      <t xml:space="preserve">年夏开始买入，年末持有</t>
    </r>
    <r>
      <rPr>
        <sz val="10"/>
        <color rgb="FF243447"/>
        <rFont val="Microsoft YaHei"/>
        <family val="2"/>
        <charset val="1"/>
      </rPr>
      <t xml:space="preserve">14,172,500</t>
    </r>
    <r>
      <rPr>
        <sz val="10"/>
        <color rgb="FF243447"/>
        <rFont val="Noto Sans CJK SC"/>
        <family val="2"/>
      </rPr>
      <t xml:space="preserve">股；</t>
    </r>
    <r>
      <rPr>
        <sz val="10"/>
        <color rgb="FF243447"/>
        <rFont val="Microsoft YaHei"/>
        <family val="2"/>
        <charset val="1"/>
      </rPr>
      <t xml:space="preserve">1989</t>
    </r>
    <r>
      <rPr>
        <sz val="10"/>
        <color rgb="FF243447"/>
        <rFont val="Noto Sans CJK SC"/>
        <family val="2"/>
      </rPr>
      <t xml:space="preserve">年继续增至</t>
    </r>
    <r>
      <rPr>
        <sz val="10"/>
        <color rgb="FF243447"/>
        <rFont val="Microsoft YaHei"/>
        <family val="2"/>
        <charset val="1"/>
      </rPr>
      <t xml:space="preserve">23,350,000</t>
    </r>
    <r>
      <rPr>
        <sz val="10"/>
        <color rgb="FF243447"/>
        <rFont val="Noto Sans CJK SC"/>
        <family val="2"/>
      </rPr>
      <t xml:space="preserve">股，</t>
    </r>
    <r>
      <rPr>
        <sz val="10"/>
        <color rgb="FF243447"/>
        <rFont val="Microsoft YaHei"/>
        <family val="2"/>
        <charset val="1"/>
      </rPr>
      <t xml:space="preserve">1989</t>
    </r>
    <r>
      <rPr>
        <sz val="10"/>
        <color rgb="FF243447"/>
        <rFont val="Noto Sans CJK SC"/>
        <family val="2"/>
      </rPr>
      <t xml:space="preserve">年末披露成本约</t>
    </r>
    <r>
      <rPr>
        <sz val="10"/>
        <color rgb="FF243447"/>
        <rFont val="Microsoft YaHei"/>
        <family val="2"/>
        <charset val="1"/>
      </rPr>
      <t xml:space="preserve">10.239</t>
    </r>
    <r>
      <rPr>
        <sz val="10"/>
        <color rgb="FF243447"/>
        <rFont val="Noto Sans CJK SC"/>
        <family val="2"/>
      </rPr>
      <t xml:space="preserve">亿美元。</t>
    </r>
  </si>
  <si>
    <t xml:space="preserve">重要的不是“从未听过这家公司”，而是何时真正理解产品与管理层组合的经济意义。巴菲特在信中还自嘲，自己本可以更早想明白。</t>
  </si>
  <si>
    <t xml:space="preserve">What I then perceived was both clear and fascinating. After drifting somewhat in the 1970's, Coca-Cola had in 1981 become a new company with the move of Roberto Goizueta to CEO.</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</si>
  <si>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/1989ltr.html</t>
    </r>
    <r>
      <rPr>
        <sz val="10"/>
        <color rgb="FF243447"/>
        <rFont val="Noto Sans CJK SC"/>
        <family val="2"/>
      </rPr>
      <t xml:space="preserve">，</t>
    </r>
    <r>
      <rPr>
        <sz val="10"/>
        <color rgb="FF243447"/>
        <rFont val="Microsoft YaHei"/>
        <family val="2"/>
        <charset val="1"/>
      </rPr>
      <t xml:space="preserve">Common Stocks / Coca-Cola</t>
    </r>
    <r>
      <rPr>
        <sz val="10"/>
        <color rgb="FF243447"/>
        <rFont val="Noto Sans CJK SC"/>
        <family val="2"/>
      </rPr>
      <t xml:space="preserve">段</t>
    </r>
  </si>
  <si>
    <t xml:space="preserve">认知到位比动作新奇更重要；熟悉不等于理解。</t>
  </si>
  <si>
    <t xml:space="preserve">好公司，可以用股票随便换吗？</t>
  </si>
  <si>
    <r>
      <rPr>
        <sz val="10"/>
        <color rgb="FF243447"/>
        <rFont val="Microsoft YaHei"/>
        <family val="2"/>
        <charset val="1"/>
      </rPr>
      <t xml:space="preserve">1993</t>
    </r>
    <r>
      <rPr>
        <sz val="10"/>
        <color rgb="FF243447"/>
        <rFont val="Noto Sans CJK SC"/>
        <family val="2"/>
      </rPr>
      <t xml:space="preserve">年，</t>
    </r>
    <r>
      <rPr>
        <sz val="10"/>
        <color rgb="FF243447"/>
        <rFont val="Microsoft YaHei"/>
        <family val="2"/>
        <charset val="1"/>
      </rPr>
      <t xml:space="preserve">Dexter</t>
    </r>
    <r>
      <rPr>
        <sz val="10"/>
        <color rgb="FF243447"/>
        <rFont val="Noto Sans CJK SC"/>
        <family val="2"/>
      </rPr>
      <t xml:space="preserve">管理优秀，年产超过</t>
    </r>
    <r>
      <rPr>
        <sz val="10"/>
        <color rgb="FF243447"/>
        <rFont val="Microsoft YaHei"/>
        <family val="2"/>
        <charset val="1"/>
      </rPr>
      <t xml:space="preserve">750</t>
    </r>
    <r>
      <rPr>
        <sz val="10"/>
        <color rgb="FF243447"/>
        <rFont val="Noto Sans CJK SC"/>
        <family val="2"/>
      </rPr>
      <t xml:space="preserve">万双鞋；但美国鞋业正面对低工资地区进口竞争。卖方不想要现金，更希望换得伯克希尔股票。你会怎么做？</t>
    </r>
  </si>
  <si>
    <r>
      <rPr>
        <sz val="10"/>
        <color rgb="FF243447"/>
        <rFont val="Microsoft YaHei"/>
        <family val="2"/>
        <charset val="1"/>
      </rPr>
      <t xml:space="preserve">1. </t>
    </r>
    <r>
      <rPr>
        <sz val="10"/>
        <color rgb="FF243447"/>
        <rFont val="Noto Sans CJK SC"/>
        <family val="2"/>
      </rPr>
      <t xml:space="preserve">完全拒绝研究这个行业（契合</t>
    </r>
    <r>
      <rPr>
        <sz val="10"/>
        <color rgb="FF243447"/>
        <rFont val="Microsoft YaHei"/>
        <family val="2"/>
        <charset val="1"/>
      </rPr>
      <t xml:space="preserve">40</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70</t>
    </r>
    <r>
      <rPr>
        <sz val="10"/>
        <color rgb="FF243447"/>
        <rFont val="Noto Sans CJK SC"/>
        <family val="2"/>
      </rPr>
      <t xml:space="preserve">、风险边界</t>
    </r>
    <r>
      <rPr>
        <sz val="10"/>
        <color rgb="FF243447"/>
        <rFont val="Microsoft YaHei"/>
        <family val="2"/>
        <charset val="1"/>
      </rPr>
      <t xml:space="preserve">80</t>
    </r>
    <r>
      <rPr>
        <sz val="10"/>
        <color rgb="FF243447"/>
        <rFont val="Noto Sans CJK SC"/>
        <family val="2"/>
      </rPr>
      <t xml:space="preserve">、长期耐心</t>
    </r>
    <r>
      <rPr>
        <sz val="10"/>
        <color rgb="FF243447"/>
        <rFont val="Microsoft YaHei"/>
        <family val="2"/>
        <charset val="1"/>
      </rPr>
      <t xml:space="preserve">45</t>
    </r>
    <r>
      <rPr>
        <sz val="10"/>
        <color rgb="FF243447"/>
        <rFont val="Noto Sans CJK SC"/>
        <family val="2"/>
      </rPr>
      <t xml:space="preserve">）：进口压力已经说明一切，不需要评估具体企业。</t>
    </r>
    <r>
      <rPr>
        <sz val="10"/>
        <color rgb="FF243447"/>
        <rFont val="Microsoft YaHei"/>
        <family val="2"/>
        <charset val="1"/>
      </rPr>
      <t xml:space="preserve">
2. </t>
    </r>
    <r>
      <rPr>
        <sz val="10"/>
        <color rgb="FF243447"/>
        <rFont val="Noto Sans CJK SC"/>
        <family val="2"/>
      </rPr>
      <t xml:space="preserve">坚持用现金，否则不做（契合</t>
    </r>
    <r>
      <rPr>
        <sz val="10"/>
        <color rgb="FF243447"/>
        <rFont val="Microsoft YaHei"/>
        <family val="2"/>
        <charset val="1"/>
      </rPr>
      <t xml:space="preserve">65</t>
    </r>
    <r>
      <rPr>
        <sz val="10"/>
        <color rgb="FF243447"/>
        <rFont val="Noto Sans CJK SC"/>
        <family val="2"/>
      </rPr>
      <t xml:space="preserve">；商业质量</t>
    </r>
    <r>
      <rPr>
        <sz val="10"/>
        <color rgb="FF243447"/>
        <rFont val="Microsoft YaHei"/>
        <family val="2"/>
        <charset val="1"/>
      </rPr>
      <t xml:space="preserve">70</t>
    </r>
    <r>
      <rPr>
        <sz val="10"/>
        <color rgb="FF243447"/>
        <rFont val="Noto Sans CJK SC"/>
        <family val="2"/>
      </rPr>
      <t xml:space="preserve">、价格纪律</t>
    </r>
    <r>
      <rPr>
        <sz val="10"/>
        <color rgb="FF243447"/>
        <rFont val="Microsoft YaHei"/>
        <family val="2"/>
        <charset val="1"/>
      </rPr>
      <t xml:space="preserve">85</t>
    </r>
    <r>
      <rPr>
        <sz val="10"/>
        <color rgb="FF243447"/>
        <rFont val="Noto Sans CJK SC"/>
        <family val="2"/>
      </rPr>
      <t xml:space="preserve">、风险边界</t>
    </r>
    <r>
      <rPr>
        <sz val="10"/>
        <color rgb="FF243447"/>
        <rFont val="Microsoft YaHei"/>
        <family val="2"/>
        <charset val="1"/>
      </rPr>
      <t xml:space="preserve">90</t>
    </r>
    <r>
      <rPr>
        <sz val="10"/>
        <color rgb="FF243447"/>
        <rFont val="Noto Sans CJK SC"/>
        <family val="2"/>
      </rPr>
      <t xml:space="preserve">、长期耐心</t>
    </r>
    <r>
      <rPr>
        <sz val="10"/>
        <color rgb="FF243447"/>
        <rFont val="Microsoft YaHei"/>
        <family val="2"/>
        <charset val="1"/>
      </rPr>
      <t xml:space="preserve">65</t>
    </r>
    <r>
      <rPr>
        <sz val="10"/>
        <color rgb="FF243447"/>
        <rFont val="Noto Sans CJK SC"/>
        <family val="2"/>
      </rPr>
      <t xml:space="preserve">）：避免交出伯克希尔的股权，把支付货币当作风险边界。</t>
    </r>
    <r>
      <rPr>
        <sz val="10"/>
        <color rgb="FF243447"/>
        <rFont val="Microsoft YaHei"/>
        <family val="2"/>
        <charset val="1"/>
      </rPr>
      <t xml:space="preserve">
3. </t>
    </r>
    <r>
      <rPr>
        <sz val="10"/>
        <color rgb="FF243447"/>
        <rFont val="Noto Sans CJK SC"/>
        <family val="2"/>
      </rPr>
      <t xml:space="preserve">发行</t>
    </r>
    <r>
      <rPr>
        <sz val="10"/>
        <color rgb="FF243447"/>
        <rFont val="Microsoft YaHei"/>
        <family val="2"/>
        <charset val="1"/>
      </rPr>
      <t xml:space="preserve">25,203</t>
    </r>
    <r>
      <rPr>
        <sz val="10"/>
        <color rgb="FF243447"/>
        <rFont val="Noto Sans CJK SC"/>
        <family val="2"/>
      </rPr>
      <t xml:space="preserve">股</t>
    </r>
    <r>
      <rPr>
        <sz val="10"/>
        <color rgb="FF243447"/>
        <rFont val="Microsoft YaHei"/>
        <family val="2"/>
        <charset val="1"/>
      </rPr>
      <t xml:space="preserve">A</t>
    </r>
    <r>
      <rPr>
        <sz val="10"/>
        <color rgb="FF243447"/>
        <rFont val="Noto Sans CJK SC"/>
        <family val="2"/>
      </rPr>
      <t xml:space="preserve">股收购（契合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70</t>
    </r>
    <r>
      <rPr>
        <sz val="10"/>
        <color rgb="FF243447"/>
        <rFont val="Noto Sans CJK SC"/>
        <family val="2"/>
      </rPr>
      <t xml:space="preserve">、价格纪律</t>
    </r>
    <r>
      <rPr>
        <sz val="10"/>
        <color rgb="FF243447"/>
        <rFont val="Microsoft YaHei"/>
        <family val="2"/>
        <charset val="1"/>
      </rPr>
      <t xml:space="preserve">35</t>
    </r>
    <r>
      <rPr>
        <sz val="10"/>
        <color rgb="FF243447"/>
        <rFont val="Noto Sans CJK SC"/>
        <family val="2"/>
      </rPr>
      <t xml:space="preserve">、风险边界</t>
    </r>
    <r>
      <rPr>
        <sz val="10"/>
        <color rgb="FF243447"/>
        <rFont val="Microsoft YaHei"/>
        <family val="2"/>
        <charset val="1"/>
      </rPr>
      <t xml:space="preserve">35</t>
    </r>
    <r>
      <rPr>
        <sz val="10"/>
        <color rgb="FF243447"/>
        <rFont val="Noto Sans CJK SC"/>
        <family val="2"/>
      </rPr>
      <t xml:space="preserve">、长期耐心</t>
    </r>
    <r>
      <rPr>
        <sz val="10"/>
        <color rgb="FF243447"/>
        <rFont val="Microsoft YaHei"/>
        <family val="2"/>
        <charset val="1"/>
      </rPr>
      <t xml:space="preserve">85</t>
    </r>
    <r>
      <rPr>
        <sz val="10"/>
        <color rgb="FF243447"/>
        <rFont val="Noto Sans CJK SC"/>
        <family val="2"/>
      </rPr>
      <t xml:space="preserve">）：按当时披露约</t>
    </r>
    <r>
      <rPr>
        <sz val="10"/>
        <color rgb="FF243447"/>
        <rFont val="Microsoft YaHei"/>
        <family val="2"/>
        <charset val="1"/>
      </rPr>
      <t xml:space="preserve">4.33</t>
    </r>
    <r>
      <rPr>
        <sz val="10"/>
        <color rgb="FF243447"/>
        <rFont val="Noto Sans CJK SC"/>
        <family val="2"/>
      </rPr>
      <t xml:space="preserve">亿美元，以伯克希尔股票完成交易。</t>
    </r>
  </si>
  <si>
    <r>
      <rPr>
        <sz val="10"/>
        <color rgb="FF243447"/>
        <rFont val="Noto Sans CJK SC"/>
        <family val="2"/>
      </rPr>
      <t xml:space="preserve">发行</t>
    </r>
    <r>
      <rPr>
        <sz val="10"/>
        <color rgb="FF243447"/>
        <rFont val="Microsoft YaHei"/>
        <family val="2"/>
        <charset val="1"/>
      </rPr>
      <t xml:space="preserve">25,203</t>
    </r>
    <r>
      <rPr>
        <sz val="10"/>
        <color rgb="FF243447"/>
        <rFont val="Noto Sans CJK SC"/>
        <family val="2"/>
      </rPr>
      <t xml:space="preserve">股伯克希尔</t>
    </r>
    <r>
      <rPr>
        <sz val="10"/>
        <color rgb="FF243447"/>
        <rFont val="Microsoft YaHei"/>
        <family val="2"/>
        <charset val="1"/>
      </rPr>
      <t xml:space="preserve">A</t>
    </r>
    <r>
      <rPr>
        <sz val="10"/>
        <color rgb="FF243447"/>
        <rFont val="Noto Sans CJK SC"/>
        <family val="2"/>
      </rPr>
      <t xml:space="preserve">股收购，披露成本约</t>
    </r>
    <r>
      <rPr>
        <sz val="10"/>
        <color rgb="FF243447"/>
        <rFont val="Microsoft YaHei"/>
        <family val="2"/>
        <charset val="1"/>
      </rPr>
      <t xml:space="preserve">4.33</t>
    </r>
    <r>
      <rPr>
        <sz val="10"/>
        <color rgb="FF243447"/>
        <rFont val="Noto Sans CJK SC"/>
        <family val="2"/>
      </rPr>
      <t xml:space="preserve">亿美元。后来</t>
    </r>
    <r>
      <rPr>
        <sz val="10"/>
        <color rgb="FF243447"/>
        <rFont val="Microsoft YaHei"/>
        <family val="2"/>
        <charset val="1"/>
      </rPr>
      <t xml:space="preserve">Dexter</t>
    </r>
    <r>
      <rPr>
        <sz val="10"/>
        <color rgb="FF243447"/>
        <rFont val="Noto Sans CJK SC"/>
        <family val="2"/>
      </rPr>
      <t xml:space="preserve">竞争优势消失，巴菲特把这笔交易称为当时最糟糕的交易。</t>
    </r>
  </si>
  <si>
    <t xml:space="preserve">这一题故意保留“契合不等于正确”：管理层优秀不等于竞争优势持久；用本身很优质的股票支付，又放大了误判的代价。</t>
  </si>
  <si>
    <t xml:space="preserve">Finally, I made an even worse mistake when I said “yes” to Dexter, a shoe business I bought in 1993 for $433 million in Berkshire stock (25,203 shares of A). What I had assessed as durable competitive advantage vanished within a few years.</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</si>
  <si>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/2007ltr.pdf</t>
    </r>
    <r>
      <rPr>
        <sz val="10"/>
        <color rgb="FF243447"/>
        <rFont val="Noto Sans CJK SC"/>
        <family val="2"/>
      </rPr>
      <t xml:space="preserve">，</t>
    </r>
    <r>
      <rPr>
        <sz val="10"/>
        <color rgb="FF243447"/>
        <rFont val="Microsoft YaHei"/>
        <family val="2"/>
        <charset val="1"/>
      </rPr>
      <t xml:space="preserve">Acquisition Mistakes / Dexter</t>
    </r>
    <r>
      <rPr>
        <sz val="10"/>
        <color rgb="FF243447"/>
        <rFont val="Noto Sans CJK SC"/>
        <family val="2"/>
      </rPr>
      <t xml:space="preserve">段</t>
    </r>
  </si>
  <si>
    <t xml:space="preserve">既要问“得到的值多少”，也要问“交出去的到底值多少”。</t>
  </si>
  <si>
    <t xml:space="preserve">已经持有一半，还要买下其余吗？</t>
  </si>
  <si>
    <r>
      <rPr>
        <sz val="10"/>
        <color rgb="FF243447"/>
        <rFont val="Microsoft YaHei"/>
        <family val="2"/>
        <charset val="1"/>
      </rPr>
      <t xml:space="preserve">1995</t>
    </r>
    <r>
      <rPr>
        <sz val="10"/>
        <color rgb="FF243447"/>
        <rFont val="Noto Sans CJK SC"/>
        <family val="2"/>
      </rPr>
      <t xml:space="preserve">年，伯克希尔已持有</t>
    </r>
    <r>
      <rPr>
        <sz val="10"/>
        <color rgb="FF243447"/>
        <rFont val="Microsoft YaHei"/>
        <family val="2"/>
        <charset val="1"/>
      </rPr>
      <t xml:space="preserve">GEICO</t>
    </r>
    <r>
      <rPr>
        <sz val="10"/>
        <color rgb="FF243447"/>
        <rFont val="Noto Sans CJK SC"/>
        <family val="2"/>
      </rPr>
      <t xml:space="preserve">约</t>
    </r>
    <r>
      <rPr>
        <sz val="10"/>
        <color rgb="FF243447"/>
        <rFont val="Microsoft YaHei"/>
        <family val="2"/>
        <charset val="1"/>
      </rPr>
      <t xml:space="preserve">51%</t>
    </r>
    <r>
      <rPr>
        <sz val="10"/>
        <color rgb="FF243447"/>
        <rFont val="Noto Sans CJK SC"/>
        <family val="2"/>
      </rPr>
      <t xml:space="preserve">。这家汽车保险公司以低成本运营形成低价格、留住客户、再降低获客费用的循环；剩余</t>
    </r>
    <r>
      <rPr>
        <sz val="10"/>
        <color rgb="FF243447"/>
        <rFont val="Microsoft YaHei"/>
        <family val="2"/>
        <charset val="1"/>
      </rPr>
      <t xml:space="preserve">49%</t>
    </r>
    <r>
      <rPr>
        <sz val="10"/>
        <color rgb="FF243447"/>
        <rFont val="Noto Sans CJK SC"/>
        <family val="2"/>
      </rPr>
      <t xml:space="preserve">需要约</t>
    </r>
    <r>
      <rPr>
        <sz val="10"/>
        <color rgb="FF243447"/>
        <rFont val="Microsoft YaHei"/>
        <family val="2"/>
        <charset val="1"/>
      </rPr>
      <t xml:space="preserve">23</t>
    </r>
    <r>
      <rPr>
        <sz val="10"/>
        <color rgb="FF243447"/>
        <rFont val="Noto Sans CJK SC"/>
        <family val="2"/>
      </rPr>
      <t xml:space="preserve">亿美元。你会怎么做？</t>
    </r>
  </si>
  <si>
    <r>
      <rPr>
        <sz val="10"/>
        <color rgb="FF243447"/>
        <rFont val="Microsoft YaHei"/>
        <family val="2"/>
        <charset val="1"/>
      </rPr>
      <t xml:space="preserve">1. </t>
    </r>
    <r>
      <rPr>
        <sz val="10"/>
        <color rgb="FF243447"/>
        <rFont val="Noto Sans CJK SC"/>
        <family val="2"/>
      </rPr>
      <t xml:space="preserve">收购剩余</t>
    </r>
    <r>
      <rPr>
        <sz val="10"/>
        <color rgb="FF243447"/>
        <rFont val="Microsoft YaHei"/>
        <family val="2"/>
        <charset val="1"/>
      </rPr>
      <t xml:space="preserve">49%</t>
    </r>
    <r>
      <rPr>
        <sz val="10"/>
        <color rgb="FF243447"/>
        <rFont val="Noto Sans CJK SC"/>
        <family val="2"/>
      </rPr>
      <t xml:space="preserve">（契合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100</t>
    </r>
    <r>
      <rPr>
        <sz val="10"/>
        <color rgb="FF243447"/>
        <rFont val="Noto Sans CJK SC"/>
        <family val="2"/>
      </rPr>
      <t xml:space="preserve">、价格纪律</t>
    </r>
    <r>
      <rPr>
        <sz val="10"/>
        <color rgb="FF243447"/>
        <rFont val="Microsoft YaHei"/>
        <family val="2"/>
        <charset val="1"/>
      </rPr>
      <t xml:space="preserve">80</t>
    </r>
    <r>
      <rPr>
        <sz val="10"/>
        <color rgb="FF243447"/>
        <rFont val="Noto Sans CJK SC"/>
        <family val="2"/>
      </rPr>
      <t xml:space="preserve">、风险边界</t>
    </r>
    <r>
      <rPr>
        <sz val="10"/>
        <color rgb="FF243447"/>
        <rFont val="Microsoft YaHei"/>
        <family val="2"/>
        <charset val="1"/>
      </rPr>
      <t xml:space="preserve">85</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）：把已理解多年的低成本优势完整纳入保险主业。</t>
    </r>
    <r>
      <rPr>
        <sz val="10"/>
        <color rgb="FF243447"/>
        <rFont val="Microsoft YaHei"/>
        <family val="2"/>
        <charset val="1"/>
      </rPr>
      <t xml:space="preserve">
2. </t>
    </r>
    <r>
      <rPr>
        <sz val="10"/>
        <color rgb="FF243447"/>
        <rFont val="Noto Sans CJK SC"/>
        <family val="2"/>
      </rPr>
      <t xml:space="preserve">维持</t>
    </r>
    <r>
      <rPr>
        <sz val="10"/>
        <color rgb="FF243447"/>
        <rFont val="Microsoft YaHei"/>
        <family val="2"/>
        <charset val="1"/>
      </rPr>
      <t xml:space="preserve">51%</t>
    </r>
    <r>
      <rPr>
        <sz val="10"/>
        <color rgb="FF243447"/>
        <rFont val="Noto Sans CJK SC"/>
        <family val="2"/>
      </rPr>
      <t xml:space="preserve">，不再投入（契合</t>
    </r>
    <r>
      <rPr>
        <sz val="10"/>
        <color rgb="FF243447"/>
        <rFont val="Microsoft YaHei"/>
        <family val="2"/>
        <charset val="1"/>
      </rPr>
      <t xml:space="preserve">45</t>
    </r>
    <r>
      <rPr>
        <sz val="10"/>
        <color rgb="FF243447"/>
        <rFont val="Noto Sans CJK SC"/>
        <family val="2"/>
      </rPr>
      <t xml:space="preserve">；商业质量</t>
    </r>
    <r>
      <rPr>
        <sz val="10"/>
        <color rgb="FF243447"/>
        <rFont val="Microsoft YaHei"/>
        <family val="2"/>
        <charset val="1"/>
      </rPr>
      <t xml:space="preserve">65</t>
    </r>
    <r>
      <rPr>
        <sz val="10"/>
        <color rgb="FF243447"/>
        <rFont val="Noto Sans CJK SC"/>
        <family val="2"/>
      </rPr>
      <t xml:space="preserve">、价格纪律</t>
    </r>
    <r>
      <rPr>
        <sz val="10"/>
        <color rgb="FF243447"/>
        <rFont val="Microsoft YaHei"/>
        <family val="2"/>
        <charset val="1"/>
      </rPr>
      <t xml:space="preserve">75</t>
    </r>
    <r>
      <rPr>
        <sz val="10"/>
        <color rgb="FF243447"/>
        <rFont val="Noto Sans CJK SC"/>
        <family val="2"/>
      </rPr>
      <t xml:space="preserve">、风险边界</t>
    </r>
    <r>
      <rPr>
        <sz val="10"/>
        <color rgb="FF243447"/>
        <rFont val="Microsoft YaHei"/>
        <family val="2"/>
        <charset val="1"/>
      </rPr>
      <t xml:space="preserve">65</t>
    </r>
    <r>
      <rPr>
        <sz val="10"/>
        <color rgb="FF243447"/>
        <rFont val="Noto Sans CJK SC"/>
        <family val="2"/>
      </rPr>
      <t xml:space="preserve">、长期耐心</t>
    </r>
    <r>
      <rPr>
        <sz val="10"/>
        <color rgb="FF243447"/>
        <rFont val="Microsoft YaHei"/>
        <family val="2"/>
        <charset val="1"/>
      </rPr>
      <t xml:space="preserve">55</t>
    </r>
    <r>
      <rPr>
        <sz val="10"/>
        <color rgb="FF243447"/>
        <rFont val="Noto Sans CJK SC"/>
        <family val="2"/>
      </rPr>
      <t xml:space="preserve">）：已经控制，额外持股不会增加经济价值。</t>
    </r>
    <r>
      <rPr>
        <sz val="10"/>
        <color rgb="FF243447"/>
        <rFont val="Microsoft YaHei"/>
        <family val="2"/>
        <charset val="1"/>
      </rPr>
      <t xml:space="preserve">
3. </t>
    </r>
    <r>
      <rPr>
        <sz val="10"/>
        <color rgb="FF243447"/>
        <rFont val="Noto Sans CJK SC"/>
        <family val="2"/>
      </rPr>
      <t xml:space="preserve">卖掉原有持股（契合</t>
    </r>
    <r>
      <rPr>
        <sz val="10"/>
        <color rgb="FF243447"/>
        <rFont val="Microsoft YaHei"/>
        <family val="2"/>
        <charset val="1"/>
      </rPr>
      <t xml:space="preserve">25</t>
    </r>
    <r>
      <rPr>
        <sz val="10"/>
        <color rgb="FF243447"/>
        <rFont val="Noto Sans CJK SC"/>
        <family val="2"/>
      </rPr>
      <t xml:space="preserve">；商业质量</t>
    </r>
    <r>
      <rPr>
        <sz val="10"/>
        <color rgb="FF243447"/>
        <rFont val="Microsoft YaHei"/>
        <family val="2"/>
        <charset val="1"/>
      </rPr>
      <t xml:space="preserve">30</t>
    </r>
    <r>
      <rPr>
        <sz val="10"/>
        <color rgb="FF243447"/>
        <rFont val="Noto Sans CJK SC"/>
        <family val="2"/>
      </rPr>
      <t xml:space="preserve">、价格纪律</t>
    </r>
    <r>
      <rPr>
        <sz val="10"/>
        <color rgb="FF243447"/>
        <rFont val="Microsoft YaHei"/>
        <family val="2"/>
        <charset val="1"/>
      </rPr>
      <t xml:space="preserve">40</t>
    </r>
    <r>
      <rPr>
        <sz val="10"/>
        <color rgb="FF243447"/>
        <rFont val="Noto Sans CJK SC"/>
        <family val="2"/>
      </rPr>
      <t xml:space="preserve">、风险边界</t>
    </r>
    <r>
      <rPr>
        <sz val="10"/>
        <color rgb="FF243447"/>
        <rFont val="Microsoft YaHei"/>
        <family val="2"/>
        <charset val="1"/>
      </rPr>
      <t xml:space="preserve">50</t>
    </r>
    <r>
      <rPr>
        <sz val="10"/>
        <color rgb="FF243447"/>
        <rFont val="Noto Sans CJK SC"/>
        <family val="2"/>
      </rPr>
      <t xml:space="preserve">、长期耐心</t>
    </r>
    <r>
      <rPr>
        <sz val="10"/>
        <color rgb="FF243447"/>
        <rFont val="Microsoft YaHei"/>
        <family val="2"/>
        <charset val="1"/>
      </rPr>
      <t xml:space="preserve">15</t>
    </r>
    <r>
      <rPr>
        <sz val="10"/>
        <color rgb="FF243447"/>
        <rFont val="Noto Sans CJK SC"/>
        <family val="2"/>
      </rPr>
      <t xml:space="preserve">）：保险利润有波动，因此不再承担承保风险。</t>
    </r>
  </si>
  <si>
    <r>
      <rPr>
        <sz val="10"/>
        <color rgb="FF243447"/>
        <rFont val="Noto Sans CJK SC"/>
        <family val="2"/>
      </rPr>
      <t xml:space="preserve">同意以约</t>
    </r>
    <r>
      <rPr>
        <sz val="10"/>
        <color rgb="FF243447"/>
        <rFont val="Microsoft YaHei"/>
        <family val="2"/>
        <charset val="1"/>
      </rPr>
      <t xml:space="preserve">23</t>
    </r>
    <r>
      <rPr>
        <sz val="10"/>
        <color rgb="FF243447"/>
        <rFont val="Noto Sans CJK SC"/>
        <family val="2"/>
      </rPr>
      <t xml:space="preserve">亿美元收购剩余</t>
    </r>
    <r>
      <rPr>
        <sz val="10"/>
        <color rgb="FF243447"/>
        <rFont val="Microsoft YaHei"/>
        <family val="2"/>
        <charset val="1"/>
      </rPr>
      <t xml:space="preserve">49%</t>
    </r>
    <r>
      <rPr>
        <sz val="10"/>
        <color rgb="FF243447"/>
        <rFont val="Noto Sans CJK SC"/>
        <family val="2"/>
      </rPr>
      <t xml:space="preserve">，交易于</t>
    </r>
    <r>
      <rPr>
        <sz val="10"/>
        <color rgb="FF243447"/>
        <rFont val="Microsoft YaHei"/>
        <family val="2"/>
        <charset val="1"/>
      </rPr>
      <t xml:space="preserve">1996</t>
    </r>
    <r>
      <rPr>
        <sz val="10"/>
        <color rgb="FF243447"/>
        <rFont val="Noto Sans CJK SC"/>
        <family val="2"/>
      </rPr>
      <t xml:space="preserve">年</t>
    </r>
    <r>
      <rPr>
        <sz val="10"/>
        <color rgb="FF243447"/>
        <rFont val="Microsoft YaHei"/>
        <family val="2"/>
        <charset val="1"/>
      </rPr>
      <t xml:space="preserve">1</t>
    </r>
    <r>
      <rPr>
        <sz val="10"/>
        <color rgb="FF243447"/>
        <rFont val="Noto Sans CJK SC"/>
        <family val="2"/>
      </rPr>
      <t xml:space="preserve">月</t>
    </r>
    <r>
      <rPr>
        <sz val="10"/>
        <color rgb="FF243447"/>
        <rFont val="Microsoft YaHei"/>
        <family val="2"/>
        <charset val="1"/>
      </rPr>
      <t xml:space="preserve">2</t>
    </r>
    <r>
      <rPr>
        <sz val="10"/>
        <color rgb="FF243447"/>
        <rFont val="Noto Sans CJK SC"/>
        <family val="2"/>
      </rPr>
      <t xml:space="preserve">日完成，</t>
    </r>
    <r>
      <rPr>
        <sz val="10"/>
        <color rgb="FF243447"/>
        <rFont val="Microsoft YaHei"/>
        <family val="2"/>
        <charset val="1"/>
      </rPr>
      <t xml:space="preserve">GEICO</t>
    </r>
    <r>
      <rPr>
        <sz val="10"/>
        <color rgb="FF243447"/>
        <rFont val="Noto Sans CJK SC"/>
        <family val="2"/>
      </rPr>
      <t xml:space="preserve">成为全资子公司。</t>
    </r>
  </si>
  <si>
    <t xml:space="preserve">低成本不是静态标签，而是能自我强化的经营系统。长期跟踪降低了理解企业的难度，全资持有也让伯克希尔完整获得浮存金与经营成果。</t>
  </si>
  <si>
    <t xml:space="preserve">GEICO's sustainable cost advantage is what attracted me to the company way back in 1951, when the entire business was valued at $7 million. It is also why I felt Berkshire should pay $2.3 billion last year for the 49% of the company that we didn't then own.</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</si>
  <si>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/1996ltr.html</t>
    </r>
    <r>
      <rPr>
        <sz val="10"/>
        <color rgb="FF243447"/>
        <rFont val="Noto Sans CJK SC"/>
        <family val="2"/>
      </rPr>
      <t xml:space="preserve">，</t>
    </r>
    <r>
      <rPr>
        <sz val="10"/>
        <color rgb="FF243447"/>
        <rFont val="Microsoft YaHei"/>
        <family val="2"/>
        <charset val="1"/>
      </rPr>
      <t xml:space="preserve">Insurance—GEICO and Other Primary Operations</t>
    </r>
  </si>
  <si>
    <t xml:space="preserve">低成本飞轮：成本、价格、客户留存与获客费用彼此强化。</t>
  </si>
  <si>
    <t xml:space="preserve">一封短笺，能不能通向跨国收购？</t>
  </si>
  <si>
    <r>
      <rPr>
        <sz val="10"/>
        <color rgb="FF243447"/>
        <rFont val="Microsoft YaHei"/>
        <family val="2"/>
        <charset val="1"/>
      </rPr>
      <t xml:space="preserve">2005</t>
    </r>
    <r>
      <rPr>
        <sz val="10"/>
        <color rgb="FF243447"/>
        <rFont val="Noto Sans CJK SC"/>
        <family val="2"/>
      </rPr>
      <t xml:space="preserve">年，你收到一封约</t>
    </r>
    <r>
      <rPr>
        <sz val="10"/>
        <color rgb="FF243447"/>
        <rFont val="Microsoft YaHei"/>
        <family val="2"/>
        <charset val="1"/>
      </rPr>
      <t xml:space="preserve">1.25</t>
    </r>
    <r>
      <rPr>
        <sz val="10"/>
        <color rgb="FF243447"/>
        <rFont val="Noto Sans CJK SC"/>
        <family val="2"/>
      </rPr>
      <t xml:space="preserve">页的介绍信：一家在</t>
    </r>
    <r>
      <rPr>
        <sz val="10"/>
        <color rgb="FF243447"/>
        <rFont val="Microsoft YaHei"/>
        <family val="2"/>
        <charset val="1"/>
      </rPr>
      <t xml:space="preserve">61</t>
    </r>
    <r>
      <rPr>
        <sz val="10"/>
        <color rgb="FF243447"/>
        <rFont val="Noto Sans CJK SC"/>
        <family val="2"/>
      </rPr>
      <t xml:space="preserve">个国家经营的切削工具家族企业正在考虑传承。你从未收购过美国以外的企业，管理层看起来非常出色。下一步怎么做？</t>
    </r>
  </si>
  <si>
    <r>
      <rPr>
        <sz val="10"/>
        <color rgb="FF243447"/>
        <rFont val="Microsoft YaHei"/>
        <family val="2"/>
        <charset val="1"/>
      </rPr>
      <t xml:space="preserve">1. </t>
    </r>
    <r>
      <rPr>
        <sz val="10"/>
        <color rgb="FF243447"/>
        <rFont val="Noto Sans CJK SC"/>
        <family val="2"/>
      </rPr>
      <t xml:space="preserve">不熟的地域一律回避（契合</t>
    </r>
    <r>
      <rPr>
        <sz val="10"/>
        <color rgb="FF243447"/>
        <rFont val="Microsoft YaHei"/>
        <family val="2"/>
        <charset val="1"/>
      </rPr>
      <t xml:space="preserve">35</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60</t>
    </r>
    <r>
      <rPr>
        <sz val="10"/>
        <color rgb="FF243447"/>
        <rFont val="Noto Sans CJK SC"/>
        <family val="2"/>
      </rPr>
      <t xml:space="preserve">、风险边界</t>
    </r>
    <r>
      <rPr>
        <sz val="10"/>
        <color rgb="FF243447"/>
        <rFont val="Microsoft YaHei"/>
        <family val="2"/>
        <charset val="1"/>
      </rPr>
      <t xml:space="preserve">75</t>
    </r>
    <r>
      <rPr>
        <sz val="10"/>
        <color rgb="FF243447"/>
        <rFont val="Noto Sans CJK SC"/>
        <family val="2"/>
      </rPr>
      <t xml:space="preserve">、长期耐心</t>
    </r>
    <r>
      <rPr>
        <sz val="10"/>
        <color rgb="FF243447"/>
        <rFont val="Microsoft YaHei"/>
        <family val="2"/>
        <charset val="1"/>
      </rPr>
      <t xml:space="preserve">40</t>
    </r>
    <r>
      <rPr>
        <sz val="10"/>
        <color rgb="FF243447"/>
        <rFont val="Noto Sans CJK SC"/>
        <family val="2"/>
      </rPr>
      <t xml:space="preserve">）：不把学习税务、法律与商业环境列入流程。</t>
    </r>
    <r>
      <rPr>
        <sz val="10"/>
        <color rgb="FF243447"/>
        <rFont val="Microsoft YaHei"/>
        <family val="2"/>
        <charset val="1"/>
      </rPr>
      <t xml:space="preserve">
2. </t>
    </r>
    <r>
      <rPr>
        <sz val="10"/>
        <color rgb="FF243447"/>
        <rFont val="Noto Sans CJK SC"/>
        <family val="2"/>
      </rPr>
      <t xml:space="preserve">研究后买</t>
    </r>
    <r>
      <rPr>
        <sz val="10"/>
        <color rgb="FF243447"/>
        <rFont val="Microsoft YaHei"/>
        <family val="2"/>
        <charset val="1"/>
      </rPr>
      <t xml:space="preserve">80%</t>
    </r>
    <r>
      <rPr>
        <sz val="10"/>
        <color rgb="FF243447"/>
        <rFont val="Noto Sans CJK SC"/>
        <family val="2"/>
      </rPr>
      <t xml:space="preserve">，家族留</t>
    </r>
    <r>
      <rPr>
        <sz val="10"/>
        <color rgb="FF243447"/>
        <rFont val="Microsoft YaHei"/>
        <family val="2"/>
        <charset val="1"/>
      </rPr>
      <t xml:space="preserve">20%</t>
    </r>
    <r>
      <rPr>
        <sz val="10"/>
        <color rgb="FF243447"/>
        <rFont val="Noto Sans CJK SC"/>
        <family val="2"/>
      </rPr>
      <t xml:space="preserve">（契合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100</t>
    </r>
    <r>
      <rPr>
        <sz val="10"/>
        <color rgb="FF243447"/>
        <rFont val="Noto Sans CJK SC"/>
        <family val="2"/>
      </rPr>
      <t xml:space="preserve">、价格纪律</t>
    </r>
    <r>
      <rPr>
        <sz val="10"/>
        <color rgb="FF243447"/>
        <rFont val="Microsoft YaHei"/>
        <family val="2"/>
        <charset val="1"/>
      </rPr>
      <t xml:space="preserve">80</t>
    </r>
    <r>
      <rPr>
        <sz val="10"/>
        <color rgb="FF243447"/>
        <rFont val="Noto Sans CJK SC"/>
        <family val="2"/>
      </rPr>
      <t xml:space="preserve">、风险边界</t>
    </r>
    <r>
      <rPr>
        <sz val="10"/>
        <color rgb="FF243447"/>
        <rFont val="Microsoft YaHei"/>
        <family val="2"/>
        <charset val="1"/>
      </rPr>
      <t xml:space="preserve">90</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）：先补齐跨国知识，再以约</t>
    </r>
    <r>
      <rPr>
        <sz val="10"/>
        <color rgb="FF243447"/>
        <rFont val="Microsoft YaHei"/>
        <family val="2"/>
        <charset val="1"/>
      </rPr>
      <t xml:space="preserve">40</t>
    </r>
    <r>
      <rPr>
        <sz val="10"/>
        <color rgb="FF243447"/>
        <rFont val="Noto Sans CJK SC"/>
        <family val="2"/>
      </rPr>
      <t xml:space="preserve">亿美元收购并保留经营团队。</t>
    </r>
    <r>
      <rPr>
        <sz val="10"/>
        <color rgb="FF243447"/>
        <rFont val="Microsoft YaHei"/>
        <family val="2"/>
        <charset val="1"/>
      </rPr>
      <t xml:space="preserve">
3. </t>
    </r>
    <r>
      <rPr>
        <sz val="10"/>
        <color rgb="FF243447"/>
        <rFont val="Noto Sans CJK SC"/>
        <family val="2"/>
      </rPr>
      <t xml:space="preserve">买</t>
    </r>
    <r>
      <rPr>
        <sz val="10"/>
        <color rgb="FF243447"/>
        <rFont val="Microsoft YaHei"/>
        <family val="2"/>
        <charset val="1"/>
      </rPr>
      <t xml:space="preserve">100%</t>
    </r>
    <r>
      <rPr>
        <sz val="10"/>
        <color rgb="FF243447"/>
        <rFont val="Noto Sans CJK SC"/>
        <family val="2"/>
      </rPr>
      <t xml:space="preserve">并迅速整合（契合</t>
    </r>
    <r>
      <rPr>
        <sz val="10"/>
        <color rgb="FF243447"/>
        <rFont val="Microsoft YaHei"/>
        <family val="2"/>
        <charset val="1"/>
      </rPr>
      <t xml:space="preserve">40</t>
    </r>
    <r>
      <rPr>
        <sz val="10"/>
        <color rgb="FF243447"/>
        <rFont val="Noto Sans CJK SC"/>
        <family val="2"/>
      </rPr>
      <t xml:space="preserve">；商业质量</t>
    </r>
    <r>
      <rPr>
        <sz val="10"/>
        <color rgb="FF243447"/>
        <rFont val="Microsoft YaHei"/>
        <family val="2"/>
        <charset val="1"/>
      </rPr>
      <t xml:space="preserve">50</t>
    </r>
    <r>
      <rPr>
        <sz val="10"/>
        <color rgb="FF243447"/>
        <rFont val="Noto Sans CJK SC"/>
        <family val="2"/>
      </rPr>
      <t xml:space="preserve">、价格纪律</t>
    </r>
    <r>
      <rPr>
        <sz val="10"/>
        <color rgb="FF243447"/>
        <rFont val="Microsoft YaHei"/>
        <family val="2"/>
        <charset val="1"/>
      </rPr>
      <t xml:space="preserve">65</t>
    </r>
    <r>
      <rPr>
        <sz val="10"/>
        <color rgb="FF243447"/>
        <rFont val="Noto Sans CJK SC"/>
        <family val="2"/>
      </rPr>
      <t xml:space="preserve">、风险边界</t>
    </r>
    <r>
      <rPr>
        <sz val="10"/>
        <color rgb="FF243447"/>
        <rFont val="Microsoft YaHei"/>
        <family val="2"/>
        <charset val="1"/>
      </rPr>
      <t xml:space="preserve">45</t>
    </r>
    <r>
      <rPr>
        <sz val="10"/>
        <color rgb="FF243447"/>
        <rFont val="Noto Sans CJK SC"/>
        <family val="2"/>
      </rPr>
      <t xml:space="preserve">、长期耐心</t>
    </r>
    <r>
      <rPr>
        <sz val="10"/>
        <color rgb="FF243447"/>
        <rFont val="Microsoft YaHei"/>
        <family val="2"/>
        <charset val="1"/>
      </rPr>
      <t xml:space="preserve">40</t>
    </r>
    <r>
      <rPr>
        <sz val="10"/>
        <color rgb="FF243447"/>
        <rFont val="Noto Sans CJK SC"/>
        <family val="2"/>
      </rPr>
      <t xml:space="preserve">）：消除家族影响，用统一总部流程改造企业。</t>
    </r>
  </si>
  <si>
    <r>
      <rPr>
        <sz val="10"/>
        <color rgb="FF243447"/>
        <rFont val="Noto Sans CJK SC"/>
        <family val="2"/>
      </rPr>
      <t xml:space="preserve">先学习税务和司法管辖事项，再于</t>
    </r>
    <r>
      <rPr>
        <sz val="10"/>
        <color rgb="FF243447"/>
        <rFont val="Microsoft YaHei"/>
        <family val="2"/>
        <charset val="1"/>
      </rPr>
      <t xml:space="preserve">2006</t>
    </r>
    <r>
      <rPr>
        <sz val="10"/>
        <color rgb="FF243447"/>
        <rFont val="Noto Sans CJK SC"/>
        <family val="2"/>
      </rPr>
      <t xml:space="preserve">年</t>
    </r>
    <r>
      <rPr>
        <sz val="10"/>
        <color rgb="FF243447"/>
        <rFont val="Microsoft YaHei"/>
        <family val="2"/>
        <charset val="1"/>
      </rPr>
      <t xml:space="preserve">7</t>
    </r>
    <r>
      <rPr>
        <sz val="10"/>
        <color rgb="FF243447"/>
        <rFont val="Noto Sans CJK SC"/>
        <family val="2"/>
      </rPr>
      <t xml:space="preserve">月</t>
    </r>
    <r>
      <rPr>
        <sz val="10"/>
        <color rgb="FF243447"/>
        <rFont val="Microsoft YaHei"/>
        <family val="2"/>
        <charset val="1"/>
      </rPr>
      <t xml:space="preserve">5</t>
    </r>
    <r>
      <rPr>
        <sz val="10"/>
        <color rgb="FF243447"/>
        <rFont val="Noto Sans CJK SC"/>
        <family val="2"/>
      </rPr>
      <t xml:space="preserve">日以约</t>
    </r>
    <r>
      <rPr>
        <sz val="10"/>
        <color rgb="FF243447"/>
        <rFont val="Microsoft YaHei"/>
        <family val="2"/>
        <charset val="1"/>
      </rPr>
      <t xml:space="preserve">40</t>
    </r>
    <r>
      <rPr>
        <sz val="10"/>
        <color rgb="FF243447"/>
        <rFont val="Noto Sans CJK SC"/>
        <family val="2"/>
      </rPr>
      <t xml:space="preserve">亿美元收购</t>
    </r>
    <r>
      <rPr>
        <sz val="10"/>
        <color rgb="FF243447"/>
        <rFont val="Microsoft YaHei"/>
        <family val="2"/>
        <charset val="1"/>
      </rPr>
      <t xml:space="preserve">Iscar 80%</t>
    </r>
    <r>
      <rPr>
        <sz val="10"/>
        <color rgb="FF243447"/>
        <rFont val="Noto Sans CJK SC"/>
        <family val="2"/>
      </rPr>
      <t xml:space="preserve">；</t>
    </r>
    <r>
      <rPr>
        <sz val="10"/>
        <color rgb="FF243447"/>
        <rFont val="Microsoft YaHei"/>
        <family val="2"/>
        <charset val="1"/>
      </rPr>
      <t xml:space="preserve">Wertheimer</t>
    </r>
    <r>
      <rPr>
        <sz val="10"/>
        <color rgb="FF243447"/>
        <rFont val="Noto Sans CJK SC"/>
        <family val="2"/>
      </rPr>
      <t xml:space="preserve">家族保留</t>
    </r>
    <r>
      <rPr>
        <sz val="10"/>
        <color rgb="FF243447"/>
        <rFont val="Microsoft YaHei"/>
        <family val="2"/>
        <charset val="1"/>
      </rPr>
      <t xml:space="preserve">20%</t>
    </r>
    <r>
      <rPr>
        <sz val="10"/>
        <color rgb="FF243447"/>
        <rFont val="Noto Sans CJK SC"/>
        <family val="2"/>
      </rPr>
      <t xml:space="preserve">并继续经营。</t>
    </r>
  </si>
  <si>
    <t xml:space="preserve">能力圈可以通过学习拓展，而不是靠跳过尽调拓展。小型耗材帮助昂贵机床提高生产率，客户越成功，企业自身也越有价值。</t>
  </si>
  <si>
    <t xml:space="preserve">The result: ISCAR makes money because it enables its customers to make more money. There is no better recipe for continued success.</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</si>
  <si>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/2006ltr.pdf</t>
    </r>
    <r>
      <rPr>
        <sz val="10"/>
        <color rgb="FF243447"/>
        <rFont val="Noto Sans CJK SC"/>
        <family val="2"/>
      </rPr>
      <t xml:space="preserve">，</t>
    </r>
    <r>
      <rPr>
        <sz val="10"/>
        <color rgb="FF243447"/>
        <rFont val="Microsoft YaHei"/>
        <family val="2"/>
        <charset val="1"/>
      </rPr>
      <t xml:space="preserve">Acquisitions / ISCAR</t>
    </r>
    <r>
      <rPr>
        <sz val="10"/>
        <color rgb="FF243447"/>
        <rFont val="Noto Sans CJK SC"/>
        <family val="2"/>
      </rPr>
      <t xml:space="preserve">段</t>
    </r>
  </si>
  <si>
    <t xml:space="preserve">好产品让客户更赚钱；好交易让原团队愿意继续留下。</t>
  </si>
  <si>
    <t xml:space="preserve">风暴中，现金要不要上场？</t>
  </si>
  <si>
    <r>
      <rPr>
        <sz val="10"/>
        <color rgb="FF243447"/>
        <rFont val="Microsoft YaHei"/>
        <family val="2"/>
        <charset val="1"/>
      </rPr>
      <t xml:space="preserve">2008</t>
    </r>
    <r>
      <rPr>
        <sz val="10"/>
        <color rgb="FF243447"/>
        <rFont val="Noto Sans CJK SC"/>
        <family val="2"/>
      </rPr>
      <t xml:space="preserve">年金融市场承压， </t>
    </r>
    <r>
      <rPr>
        <sz val="10"/>
        <color rgb="FF243447"/>
        <rFont val="Microsoft YaHei"/>
        <family val="2"/>
        <charset val="1"/>
      </rPr>
      <t xml:space="preserve">Wrigley</t>
    </r>
    <r>
      <rPr>
        <sz val="10"/>
        <color rgb="FF243447"/>
        <rFont val="Noto Sans CJK SC"/>
        <family val="2"/>
      </rPr>
      <t xml:space="preserve">、</t>
    </r>
    <r>
      <rPr>
        <sz val="10"/>
        <color rgb="FF243447"/>
        <rFont val="Microsoft YaHei"/>
        <family val="2"/>
        <charset val="1"/>
      </rPr>
      <t xml:space="preserve">Goldman Sachs</t>
    </r>
    <r>
      <rPr>
        <sz val="10"/>
        <color rgb="FF243447"/>
        <rFont val="Noto Sans CJK SC"/>
        <family val="2"/>
      </rPr>
      <t xml:space="preserve">与</t>
    </r>
    <r>
      <rPr>
        <sz val="10"/>
        <color rgb="FF243447"/>
        <rFont val="Microsoft YaHei"/>
        <family val="2"/>
        <charset val="1"/>
      </rPr>
      <t xml:space="preserve">General Electric</t>
    </r>
    <r>
      <rPr>
        <sz val="10"/>
        <color rgb="FF243447"/>
        <rFont val="Noto Sans CJK SC"/>
        <family val="2"/>
      </rPr>
      <t xml:space="preserve">能提供高当前收益率的固定收益工具，并附带额外股权参与。你拥有充足现金，但未来仍充满不确定性。</t>
    </r>
  </si>
  <si>
    <r>
      <rPr>
        <sz val="10"/>
        <color rgb="FF243447"/>
        <rFont val="Microsoft YaHei"/>
        <family val="2"/>
        <charset val="1"/>
      </rPr>
      <t xml:space="preserve">1. </t>
    </r>
    <r>
      <rPr>
        <sz val="10"/>
        <color rgb="FF243447"/>
        <rFont val="Noto Sans CJK SC"/>
        <family val="2"/>
      </rPr>
      <t xml:space="preserve">全部现金，不做任何承诺（契合</t>
    </r>
    <r>
      <rPr>
        <sz val="10"/>
        <color rgb="FF243447"/>
        <rFont val="Microsoft YaHei"/>
        <family val="2"/>
        <charset val="1"/>
      </rPr>
      <t xml:space="preserve">55</t>
    </r>
    <r>
      <rPr>
        <sz val="10"/>
        <color rgb="FF243447"/>
        <rFont val="Noto Sans CJK SC"/>
        <family val="2"/>
      </rPr>
      <t xml:space="preserve">；商业质量</t>
    </r>
    <r>
      <rPr>
        <sz val="10"/>
        <color rgb="FF243447"/>
        <rFont val="Microsoft YaHei"/>
        <family val="2"/>
        <charset val="1"/>
      </rPr>
      <t xml:space="preserve">55</t>
    </r>
    <r>
      <rPr>
        <sz val="10"/>
        <color rgb="FF243447"/>
        <rFont val="Noto Sans CJK SC"/>
        <family val="2"/>
      </rPr>
      <t xml:space="preserve">、价格纪律</t>
    </r>
    <r>
      <rPr>
        <sz val="10"/>
        <color rgb="FF243447"/>
        <rFont val="Microsoft YaHei"/>
        <family val="2"/>
        <charset val="1"/>
      </rPr>
      <t xml:space="preserve">80</t>
    </r>
    <r>
      <rPr>
        <sz val="10"/>
        <color rgb="FF243447"/>
        <rFont val="Noto Sans CJK SC"/>
        <family val="2"/>
      </rPr>
      <t xml:space="preserve">、风险边界</t>
    </r>
    <r>
      <rPr>
        <sz val="10"/>
        <color rgb="FF243447"/>
        <rFont val="Microsoft YaHei"/>
        <family val="2"/>
        <charset val="1"/>
      </rPr>
      <t xml:space="preserve">95</t>
    </r>
    <r>
      <rPr>
        <sz val="10"/>
        <color rgb="FF243447"/>
        <rFont val="Noto Sans CJK SC"/>
        <family val="2"/>
      </rPr>
      <t xml:space="preserve">、长期耐心</t>
    </r>
    <r>
      <rPr>
        <sz val="10"/>
        <color rgb="FF243447"/>
        <rFont val="Microsoft YaHei"/>
        <family val="2"/>
        <charset val="1"/>
      </rPr>
      <t xml:space="preserve">70</t>
    </r>
    <r>
      <rPr>
        <sz val="10"/>
        <color rgb="FF243447"/>
        <rFont val="Noto Sans CJK SC"/>
        <family val="2"/>
      </rPr>
      <t xml:space="preserve">）：只要环境不确定，就把等待本身当作唯一答案。</t>
    </r>
    <r>
      <rPr>
        <sz val="10"/>
        <color rgb="FF243447"/>
        <rFont val="Microsoft YaHei"/>
        <family val="2"/>
        <charset val="1"/>
      </rPr>
      <t xml:space="preserve">
2. </t>
    </r>
    <r>
      <rPr>
        <sz val="10"/>
        <color rgb="FF243447"/>
        <rFont val="Noto Sans CJK SC"/>
        <family val="2"/>
      </rPr>
      <t xml:space="preserve">借款放大这类机会（契合</t>
    </r>
    <r>
      <rPr>
        <sz val="10"/>
        <color rgb="FF243447"/>
        <rFont val="Microsoft YaHei"/>
        <family val="2"/>
        <charset val="1"/>
      </rPr>
      <t xml:space="preserve">10</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30</t>
    </r>
    <r>
      <rPr>
        <sz val="10"/>
        <color rgb="FF243447"/>
        <rFont val="Noto Sans CJK SC"/>
        <family val="2"/>
      </rPr>
      <t xml:space="preserve">、风险边界</t>
    </r>
    <r>
      <rPr>
        <sz val="10"/>
        <color rgb="FF243447"/>
        <rFont val="Microsoft YaHei"/>
        <family val="2"/>
        <charset val="1"/>
      </rPr>
      <t xml:space="preserve">0</t>
    </r>
    <r>
      <rPr>
        <sz val="10"/>
        <color rgb="FF243447"/>
        <rFont val="Noto Sans CJK SC"/>
        <family val="2"/>
      </rPr>
      <t xml:space="preserve">、长期耐心</t>
    </r>
    <r>
      <rPr>
        <sz val="10"/>
        <color rgb="FF243447"/>
        <rFont val="Microsoft YaHei"/>
        <family val="2"/>
        <charset val="1"/>
      </rPr>
      <t xml:space="preserve">20</t>
    </r>
    <r>
      <rPr>
        <sz val="10"/>
        <color rgb="FF243447"/>
        <rFont val="Noto Sans CJK SC"/>
        <family val="2"/>
      </rPr>
      <t xml:space="preserve">）：收益率已经很高，再加杠杆追求更大结果。</t>
    </r>
    <r>
      <rPr>
        <sz val="10"/>
        <color rgb="FF243447"/>
        <rFont val="Microsoft YaHei"/>
        <family val="2"/>
        <charset val="1"/>
      </rPr>
      <t xml:space="preserve">
3. </t>
    </r>
    <r>
      <rPr>
        <sz val="10"/>
        <color rgb="FF243447"/>
        <rFont val="Noto Sans CJK SC"/>
        <family val="2"/>
      </rPr>
      <t xml:space="preserve">投入</t>
    </r>
    <r>
      <rPr>
        <sz val="10"/>
        <color rgb="FF243447"/>
        <rFont val="Microsoft YaHei"/>
        <family val="2"/>
        <charset val="1"/>
      </rPr>
      <t xml:space="preserve">145</t>
    </r>
    <r>
      <rPr>
        <sz val="10"/>
        <color rgb="FF243447"/>
        <rFont val="Noto Sans CJK SC"/>
        <family val="2"/>
      </rPr>
      <t xml:space="preserve">亿美元，仍保留充裕现金（契合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85</t>
    </r>
    <r>
      <rPr>
        <sz val="10"/>
        <color rgb="FF243447"/>
        <rFont val="Noto Sans CJK SC"/>
        <family val="2"/>
      </rPr>
      <t xml:space="preserve">、价格纪律</t>
    </r>
    <r>
      <rPr>
        <sz val="10"/>
        <color rgb="FF243447"/>
        <rFont val="Microsoft YaHei"/>
        <family val="2"/>
        <charset val="1"/>
      </rPr>
      <t xml:space="preserve">95</t>
    </r>
    <r>
      <rPr>
        <sz val="10"/>
        <color rgb="FF243447"/>
        <rFont val="Noto Sans CJK SC"/>
        <family val="2"/>
      </rPr>
      <t xml:space="preserve">、风险边界</t>
    </r>
    <r>
      <rPr>
        <sz val="10"/>
        <color rgb="FF243447"/>
        <rFont val="Microsoft YaHei"/>
        <family val="2"/>
        <charset val="1"/>
      </rPr>
      <t xml:space="preserve">100</t>
    </r>
    <r>
      <rPr>
        <sz val="10"/>
        <color rgb="FF243447"/>
        <rFont val="Noto Sans CJK SC"/>
        <family val="2"/>
      </rPr>
      <t xml:space="preserve">、长期耐心</t>
    </r>
    <r>
      <rPr>
        <sz val="10"/>
        <color rgb="FF243447"/>
        <rFont val="Microsoft YaHei"/>
        <family val="2"/>
        <charset val="1"/>
      </rPr>
      <t xml:space="preserve">90</t>
    </r>
    <r>
      <rPr>
        <sz val="10"/>
        <color rgb="FF243447"/>
        <rFont val="Noto Sans CJK SC"/>
        <family val="2"/>
      </rPr>
      <t xml:space="preserve">）：要求高当前收益率与股权参与，同时不以牺牲流动性为代价。</t>
    </r>
  </si>
  <si>
    <r>
      <rPr>
        <sz val="10"/>
        <color rgb="FF243447"/>
        <rFont val="Microsoft YaHei"/>
        <family val="2"/>
        <charset val="1"/>
      </rPr>
      <t xml:space="preserve">2008</t>
    </r>
    <r>
      <rPr>
        <sz val="10"/>
        <color rgb="FF243447"/>
        <rFont val="Noto Sans CJK SC"/>
        <family val="2"/>
      </rPr>
      <t xml:space="preserve">年合计投入</t>
    </r>
    <r>
      <rPr>
        <sz val="10"/>
        <color rgb="FF243447"/>
        <rFont val="Microsoft YaHei"/>
        <family val="2"/>
        <charset val="1"/>
      </rPr>
      <t xml:space="preserve">145</t>
    </r>
    <r>
      <rPr>
        <sz val="10"/>
        <color rgb="FF243447"/>
        <rFont val="Noto Sans CJK SC"/>
        <family val="2"/>
      </rPr>
      <t xml:space="preserve">亿美元购买</t>
    </r>
    <r>
      <rPr>
        <sz val="10"/>
        <color rgb="FF243447"/>
        <rFont val="Microsoft YaHei"/>
        <family val="2"/>
        <charset val="1"/>
      </rPr>
      <t xml:space="preserve">Wrigley</t>
    </r>
    <r>
      <rPr>
        <sz val="10"/>
        <color rgb="FF243447"/>
        <rFont val="Noto Sans CJK SC"/>
        <family val="2"/>
      </rPr>
      <t xml:space="preserve">、</t>
    </r>
    <r>
      <rPr>
        <sz val="10"/>
        <color rgb="FF243447"/>
        <rFont val="Microsoft YaHei"/>
        <family val="2"/>
        <charset val="1"/>
      </rPr>
      <t xml:space="preserve">Goldman Sachs</t>
    </r>
    <r>
      <rPr>
        <sz val="10"/>
        <color rgb="FF243447"/>
        <rFont val="Noto Sans CJK SC"/>
        <family val="2"/>
      </rPr>
      <t xml:space="preserve">和</t>
    </r>
    <r>
      <rPr>
        <sz val="10"/>
        <color rgb="FF243447"/>
        <rFont val="Microsoft YaHei"/>
        <family val="2"/>
        <charset val="1"/>
      </rPr>
      <t xml:space="preserve">General Electric</t>
    </r>
    <r>
      <rPr>
        <sz val="10"/>
        <color rgb="FF243447"/>
        <rFont val="Noto Sans CJK SC"/>
        <family val="2"/>
      </rPr>
      <t xml:space="preserve">的固定收益工具，并获得额外股权参与；同时坚持保留充裕现金。</t>
    </r>
  </si>
  <si>
    <t xml:space="preserve">危机本身不是行动理由，条款才是。高当前收益率提供基础回报，股权参与提供额外可能，而流动性底线避免把明天寄托于外部融资。</t>
  </si>
  <si>
    <t xml:space="preserve">On the plus side last year, we made purchases totaling $14.5 billion in fixed-income securities issued by Wrigley, Goldman Sachs and General Electric. We very much like these commitments, which carry high current yields that, in themselves, make the investments more than satisfactory.</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</si>
  <si>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/2008ltr.pdf</t>
    </r>
    <r>
      <rPr>
        <sz val="10"/>
        <color rgb="FF243447"/>
        <rFont val="Noto Sans CJK SC"/>
        <family val="2"/>
      </rPr>
      <t xml:space="preserve">，</t>
    </r>
    <r>
      <rPr>
        <sz val="10"/>
        <color rgb="FF243447"/>
        <rFont val="Microsoft YaHei"/>
        <family val="2"/>
        <charset val="1"/>
      </rPr>
      <t xml:space="preserve">Investments</t>
    </r>
    <r>
      <rPr>
        <sz val="10"/>
        <color rgb="FF243447"/>
        <rFont val="Noto Sans CJK SC"/>
        <family val="2"/>
      </rPr>
      <t xml:space="preserve">段</t>
    </r>
  </si>
  <si>
    <t xml:space="preserve">既利用机会，也不拿一夜安眠去换额外利润。</t>
  </si>
  <si>
    <t xml:space="preserve">一列火车，值得交出股票吗？</t>
  </si>
  <si>
    <r>
      <rPr>
        <sz val="10"/>
        <color rgb="FF243447"/>
        <rFont val="Microsoft YaHei"/>
        <family val="2"/>
        <charset val="1"/>
      </rPr>
      <t xml:space="preserve">2009</t>
    </r>
    <r>
      <rPr>
        <sz val="10"/>
        <color rgb="FF243447"/>
        <rFont val="Noto Sans CJK SC"/>
        <family val="2"/>
      </rPr>
      <t xml:space="preserve">年，你考虑以每股</t>
    </r>
    <r>
      <rPr>
        <sz val="10"/>
        <color rgb="FF243447"/>
        <rFont val="Microsoft YaHei"/>
        <family val="2"/>
        <charset val="1"/>
      </rPr>
      <t xml:space="preserve">100</t>
    </r>
    <r>
      <rPr>
        <sz val="10"/>
        <color rgb="FF243447"/>
        <rFont val="Noto Sans CJK SC"/>
        <family val="2"/>
      </rPr>
      <t xml:space="preserve">美元收购</t>
    </r>
    <r>
      <rPr>
        <sz val="10"/>
        <color rgb="FF243447"/>
        <rFont val="Microsoft YaHei"/>
        <family val="2"/>
        <charset val="1"/>
      </rPr>
      <t xml:space="preserve">BNSF</t>
    </r>
    <r>
      <rPr>
        <sz val="10"/>
        <color rgb="FF243447"/>
        <rFont val="Noto Sans CJK SC"/>
        <family val="2"/>
      </rPr>
      <t xml:space="preserve">。铁路服务长期必需，但需要持续巨额资本投入；交易若全用股票会稀释伯克希尔，若全用现金又会压缩机动空间。</t>
    </r>
  </si>
  <si>
    <r>
      <rPr>
        <sz val="10"/>
        <color rgb="FF243447"/>
        <rFont val="Microsoft YaHei"/>
        <family val="2"/>
        <charset val="1"/>
      </rPr>
      <t xml:space="preserve">1. </t>
    </r>
    <r>
      <rPr>
        <sz val="10"/>
        <color rgb="FF243447"/>
        <rFont val="Noto Sans CJK SC"/>
        <family val="2"/>
      </rPr>
      <t xml:space="preserve">混合支付，限制股票比例（契合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95</t>
    </r>
    <r>
      <rPr>
        <sz val="10"/>
        <color rgb="FF243447"/>
        <rFont val="Noto Sans CJK SC"/>
        <family val="2"/>
      </rPr>
      <t xml:space="preserve">、价格纪律</t>
    </r>
    <r>
      <rPr>
        <sz val="10"/>
        <color rgb="FF243447"/>
        <rFont val="Microsoft YaHei"/>
        <family val="2"/>
        <charset val="1"/>
      </rPr>
      <t xml:space="preserve">85</t>
    </r>
    <r>
      <rPr>
        <sz val="10"/>
        <color rgb="FF243447"/>
        <rFont val="Noto Sans CJK SC"/>
        <family val="2"/>
      </rPr>
      <t xml:space="preserve">、风险边界</t>
    </r>
    <r>
      <rPr>
        <sz val="10"/>
        <color rgb="FF243447"/>
        <rFont val="Microsoft YaHei"/>
        <family val="2"/>
        <charset val="1"/>
      </rPr>
      <t xml:space="preserve">90</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）：部署约</t>
    </r>
    <r>
      <rPr>
        <sz val="10"/>
        <color rgb="FF243447"/>
        <rFont val="Microsoft YaHei"/>
        <family val="2"/>
        <charset val="1"/>
      </rPr>
      <t xml:space="preserve">220</t>
    </r>
    <r>
      <rPr>
        <sz val="10"/>
        <color rgb="FF243447"/>
        <rFont val="Noto Sans CJK SC"/>
        <family val="2"/>
      </rPr>
      <t xml:space="preserve">亿美元现金，整体约</t>
    </r>
    <r>
      <rPr>
        <sz val="10"/>
        <color rgb="FF243447"/>
        <rFont val="Microsoft YaHei"/>
        <family val="2"/>
        <charset val="1"/>
      </rPr>
      <t xml:space="preserve">30%</t>
    </r>
    <r>
      <rPr>
        <sz val="10"/>
        <color rgb="FF243447"/>
        <rFont val="Noto Sans CJK SC"/>
        <family val="2"/>
      </rPr>
      <t xml:space="preserve">成本用股票支付，并保留长期经营团队。</t>
    </r>
    <r>
      <rPr>
        <sz val="10"/>
        <color rgb="FF243447"/>
        <rFont val="Microsoft YaHei"/>
        <family val="2"/>
        <charset val="1"/>
      </rPr>
      <t xml:space="preserve">
2. </t>
    </r>
    <r>
      <rPr>
        <sz val="10"/>
        <color rgb="FF243447"/>
        <rFont val="Noto Sans CJK SC"/>
        <family val="2"/>
      </rPr>
      <t xml:space="preserve">全部用股票，现金一分不动（契合</t>
    </r>
    <r>
      <rPr>
        <sz val="10"/>
        <color rgb="FF243447"/>
        <rFont val="Microsoft YaHei"/>
        <family val="2"/>
        <charset val="1"/>
      </rPr>
      <t xml:space="preserve">30</t>
    </r>
    <r>
      <rPr>
        <sz val="10"/>
        <color rgb="FF243447"/>
        <rFont val="Noto Sans CJK SC"/>
        <family val="2"/>
      </rPr>
      <t xml:space="preserve">；商业质量</t>
    </r>
    <r>
      <rPr>
        <sz val="10"/>
        <color rgb="FF243447"/>
        <rFont val="Microsoft YaHei"/>
        <family val="2"/>
        <charset val="1"/>
      </rPr>
      <t xml:space="preserve">65</t>
    </r>
    <r>
      <rPr>
        <sz val="10"/>
        <color rgb="FF243447"/>
        <rFont val="Noto Sans CJK SC"/>
        <family val="2"/>
      </rPr>
      <t xml:space="preserve">、价格纪律</t>
    </r>
    <r>
      <rPr>
        <sz val="10"/>
        <color rgb="FF243447"/>
        <rFont val="Microsoft YaHei"/>
        <family val="2"/>
        <charset val="1"/>
      </rPr>
      <t xml:space="preserve">20</t>
    </r>
    <r>
      <rPr>
        <sz val="10"/>
        <color rgb="FF243447"/>
        <rFont val="Noto Sans CJK SC"/>
        <family val="2"/>
      </rPr>
      <t xml:space="preserve">、风险边界</t>
    </r>
    <r>
      <rPr>
        <sz val="10"/>
        <color rgb="FF243447"/>
        <rFont val="Microsoft YaHei"/>
        <family val="2"/>
        <charset val="1"/>
      </rPr>
      <t xml:space="preserve">55</t>
    </r>
    <r>
      <rPr>
        <sz val="10"/>
        <color rgb="FF243447"/>
        <rFont val="Noto Sans CJK SC"/>
        <family val="2"/>
      </rPr>
      <t xml:space="preserve">、长期耐心</t>
    </r>
    <r>
      <rPr>
        <sz val="10"/>
        <color rgb="FF243447"/>
        <rFont val="Microsoft YaHei"/>
        <family val="2"/>
        <charset val="1"/>
      </rPr>
      <t xml:space="preserve">70</t>
    </r>
    <r>
      <rPr>
        <sz val="10"/>
        <color rgb="FF243447"/>
        <rFont val="Noto Sans CJK SC"/>
        <family val="2"/>
      </rPr>
      <t xml:space="preserve">）：把股票价格当作唯一成本，不考虑交出企业的内在价值。</t>
    </r>
    <r>
      <rPr>
        <sz val="10"/>
        <color rgb="FF243447"/>
        <rFont val="Microsoft YaHei"/>
        <family val="2"/>
        <charset val="1"/>
      </rPr>
      <t xml:space="preserve">
3. </t>
    </r>
    <r>
      <rPr>
        <sz val="10"/>
        <color rgb="FF243447"/>
        <rFont val="Noto Sans CJK SC"/>
        <family val="2"/>
      </rPr>
      <t xml:space="preserve">资本密集，坚决不碰（契合</t>
    </r>
    <r>
      <rPr>
        <sz val="10"/>
        <color rgb="FF243447"/>
        <rFont val="Microsoft YaHei"/>
        <family val="2"/>
        <charset val="1"/>
      </rPr>
      <t xml:space="preserve">40</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60</t>
    </r>
    <r>
      <rPr>
        <sz val="10"/>
        <color rgb="FF243447"/>
        <rFont val="Noto Sans CJK SC"/>
        <family val="2"/>
      </rPr>
      <t xml:space="preserve">、风险边界</t>
    </r>
    <r>
      <rPr>
        <sz val="10"/>
        <color rgb="FF243447"/>
        <rFont val="Microsoft YaHei"/>
        <family val="2"/>
        <charset val="1"/>
      </rPr>
      <t xml:space="preserve">75</t>
    </r>
    <r>
      <rPr>
        <sz val="10"/>
        <color rgb="FF243447"/>
        <rFont val="Noto Sans CJK SC"/>
        <family val="2"/>
      </rPr>
      <t xml:space="preserve">、长期耐心</t>
    </r>
    <r>
      <rPr>
        <sz val="10"/>
        <color rgb="FF243447"/>
        <rFont val="Microsoft YaHei"/>
        <family val="2"/>
        <charset val="1"/>
      </rPr>
      <t xml:space="preserve">45</t>
    </r>
    <r>
      <rPr>
        <sz val="10"/>
        <color rgb="FF243447"/>
        <rFont val="Noto Sans CJK SC"/>
        <family val="2"/>
      </rPr>
      <t xml:space="preserve">）：任何需要持续再投资的企业都不值得研究。</t>
    </r>
  </si>
  <si>
    <r>
      <rPr>
        <sz val="10"/>
        <color rgb="FF243447"/>
        <rFont val="Noto Sans CJK SC"/>
        <family val="2"/>
      </rPr>
      <t xml:space="preserve">按每股</t>
    </r>
    <r>
      <rPr>
        <sz val="10"/>
        <color rgb="FF243447"/>
        <rFont val="Microsoft YaHei"/>
        <family val="2"/>
        <charset val="1"/>
      </rPr>
      <t xml:space="preserve">100</t>
    </r>
    <r>
      <rPr>
        <sz val="10"/>
        <color rgb="FF243447"/>
        <rFont val="Noto Sans CJK SC"/>
        <family val="2"/>
      </rPr>
      <t xml:space="preserve">美元推进收购，整体约</t>
    </r>
    <r>
      <rPr>
        <sz val="10"/>
        <color rgb="FF243447"/>
        <rFont val="Microsoft YaHei"/>
        <family val="2"/>
        <charset val="1"/>
      </rPr>
      <t xml:space="preserve">30%</t>
    </r>
    <r>
      <rPr>
        <sz val="10"/>
        <color rgb="FF243447"/>
        <rFont val="Noto Sans CJK SC"/>
        <family val="2"/>
      </rPr>
      <t xml:space="preserve">成本以伯克希尔股票支付，并部署约</t>
    </r>
    <r>
      <rPr>
        <sz val="10"/>
        <color rgb="FF243447"/>
        <rFont val="Microsoft YaHei"/>
        <family val="2"/>
        <charset val="1"/>
      </rPr>
      <t xml:space="preserve">220</t>
    </r>
    <r>
      <rPr>
        <sz val="10"/>
        <color rgb="FF243447"/>
        <rFont val="Noto Sans CJK SC"/>
        <family val="2"/>
      </rPr>
      <t xml:space="preserve">亿美元现金；交易于</t>
    </r>
    <r>
      <rPr>
        <sz val="10"/>
        <color rgb="FF243447"/>
        <rFont val="Microsoft YaHei"/>
        <family val="2"/>
        <charset val="1"/>
      </rPr>
      <t xml:space="preserve">2010</t>
    </r>
    <r>
      <rPr>
        <sz val="10"/>
        <color rgb="FF243447"/>
        <rFont val="Noto Sans CJK SC"/>
        <family val="2"/>
      </rPr>
      <t xml:space="preserve">年完成，</t>
    </r>
    <r>
      <rPr>
        <sz val="10"/>
        <color rgb="FF243447"/>
        <rFont val="Microsoft YaHei"/>
        <family val="2"/>
        <charset val="1"/>
      </rPr>
      <t xml:space="preserve">Matt Rose</t>
    </r>
    <r>
      <rPr>
        <sz val="10"/>
        <color rgb="FF243447"/>
        <rFont val="Noto Sans CJK SC"/>
        <family val="2"/>
      </rPr>
      <t xml:space="preserve">团队继续经营。</t>
    </r>
  </si>
  <si>
    <t xml:space="preserve">巴菲特并不喜欢发股，因此必须衡量换来的长期盈利与额外再投资机会是否足以抵消稀释。他明确说，如果需要使用更多股票，交易就不成立。</t>
  </si>
  <si>
    <t xml:space="preserve">In the end, Charlie and I decided that the disadvantage of paying 30% of the price through stock was offset by the opportunity the acquisition gave us to deploy $22 billion of cash in a business we understood and liked for the long term. It has the additional virtue of being run by Matt Rose, whom we trust and admire.</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</si>
  <si>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/2009ltr.pdf</t>
    </r>
    <r>
      <rPr>
        <sz val="10"/>
        <color rgb="FF243447"/>
        <rFont val="Noto Sans CJK SC"/>
        <family val="2"/>
      </rPr>
      <t xml:space="preserve">，</t>
    </r>
    <r>
      <rPr>
        <sz val="10"/>
        <color rgb="FF243447"/>
        <rFont val="Microsoft YaHei"/>
        <family val="2"/>
        <charset val="1"/>
      </rPr>
      <t xml:space="preserve">An Inconvenient Truth (Boardroom Overheating)</t>
    </r>
  </si>
  <si>
    <t xml:space="preserve">支付工具也是交易价格的一部分；资本密集不等于没有合理回报。</t>
  </si>
  <si>
    <t xml:space="preserve">精密零件，怎样变成长期现金机器？</t>
  </si>
  <si>
    <r>
      <rPr>
        <sz val="10"/>
        <color rgb="FF243447"/>
        <rFont val="Microsoft YaHei"/>
        <family val="2"/>
        <charset val="1"/>
      </rPr>
      <t xml:space="preserve">2015</t>
    </r>
    <r>
      <rPr>
        <sz val="10"/>
        <color rgb="FF243447"/>
        <rFont val="Noto Sans CJK SC"/>
        <family val="2"/>
      </rPr>
      <t xml:space="preserve">年，</t>
    </r>
    <r>
      <rPr>
        <sz val="10"/>
        <color rgb="FF243447"/>
        <rFont val="Microsoft YaHei"/>
        <family val="2"/>
        <charset val="1"/>
      </rPr>
      <t xml:space="preserve">Precision Castparts</t>
    </r>
    <r>
      <rPr>
        <sz val="10"/>
        <color rgb="FF243447"/>
        <rFont val="Noto Sans CJK SC"/>
        <family val="2"/>
      </rPr>
      <t xml:space="preserve">是航空零部件供应商，许多产品来自多年合同。</t>
    </r>
    <r>
      <rPr>
        <sz val="10"/>
        <color rgb="FF243447"/>
        <rFont val="Microsoft YaHei"/>
        <family val="2"/>
        <charset val="1"/>
      </rPr>
      <t xml:space="preserve">CEO Mark Donegan</t>
    </r>
    <r>
      <rPr>
        <sz val="10"/>
        <color rgb="FF243447"/>
        <rFont val="Noto Sans CJK SC"/>
        <family val="2"/>
      </rPr>
      <t xml:space="preserve">把普通原材料变成高附加值组件；收购需要逾</t>
    </r>
    <r>
      <rPr>
        <sz val="10"/>
        <color rgb="FF243447"/>
        <rFont val="Microsoft YaHei"/>
        <family val="2"/>
        <charset val="1"/>
      </rPr>
      <t xml:space="preserve">320</t>
    </r>
    <r>
      <rPr>
        <sz val="10"/>
        <color rgb="FF243447"/>
        <rFont val="Noto Sans CJK SC"/>
        <family val="2"/>
      </rPr>
      <t xml:space="preserve">亿美元现金。</t>
    </r>
  </si>
  <si>
    <r>
      <rPr>
        <sz val="10"/>
        <color rgb="FF243447"/>
        <rFont val="Microsoft YaHei"/>
        <family val="2"/>
        <charset val="1"/>
      </rPr>
      <t xml:space="preserve">1. </t>
    </r>
    <r>
      <rPr>
        <sz val="10"/>
        <color rgb="FF243447"/>
        <rFont val="Noto Sans CJK SC"/>
        <family val="2"/>
      </rPr>
      <t xml:space="preserve">收购后由总部接管（契合</t>
    </r>
    <r>
      <rPr>
        <sz val="10"/>
        <color rgb="FF243447"/>
        <rFont val="Microsoft YaHei"/>
        <family val="2"/>
        <charset val="1"/>
      </rPr>
      <t xml:space="preserve">35</t>
    </r>
    <r>
      <rPr>
        <sz val="10"/>
        <color rgb="FF243447"/>
        <rFont val="Noto Sans CJK SC"/>
        <family val="2"/>
      </rPr>
      <t xml:space="preserve">；商业质量</t>
    </r>
    <r>
      <rPr>
        <sz val="10"/>
        <color rgb="FF243447"/>
        <rFont val="Microsoft YaHei"/>
        <family val="2"/>
        <charset val="1"/>
      </rPr>
      <t xml:space="preserve">55</t>
    </r>
    <r>
      <rPr>
        <sz val="10"/>
        <color rgb="FF243447"/>
        <rFont val="Noto Sans CJK SC"/>
        <family val="2"/>
      </rPr>
      <t xml:space="preserve">、价格纪律</t>
    </r>
    <r>
      <rPr>
        <sz val="10"/>
        <color rgb="FF243447"/>
        <rFont val="Microsoft YaHei"/>
        <family val="2"/>
        <charset val="1"/>
      </rPr>
      <t xml:space="preserve">65</t>
    </r>
    <r>
      <rPr>
        <sz val="10"/>
        <color rgb="FF243447"/>
        <rFont val="Noto Sans CJK SC"/>
        <family val="2"/>
      </rPr>
      <t xml:space="preserve">、风险边界</t>
    </r>
    <r>
      <rPr>
        <sz val="10"/>
        <color rgb="FF243447"/>
        <rFont val="Microsoft YaHei"/>
        <family val="2"/>
        <charset val="1"/>
      </rPr>
      <t xml:space="preserve">40</t>
    </r>
    <r>
      <rPr>
        <sz val="10"/>
        <color rgb="FF243447"/>
        <rFont val="Noto Sans CJK SC"/>
        <family val="2"/>
      </rPr>
      <t xml:space="preserve">、长期耐心</t>
    </r>
    <r>
      <rPr>
        <sz val="10"/>
        <color rgb="FF243447"/>
        <rFont val="Microsoft YaHei"/>
        <family val="2"/>
        <charset val="1"/>
      </rPr>
      <t xml:space="preserve">35</t>
    </r>
    <r>
      <rPr>
        <sz val="10"/>
        <color rgb="FF243447"/>
        <rFont val="Noto Sans CJK SC"/>
        <family val="2"/>
      </rPr>
      <t xml:space="preserve">）：支付价格后，用集中管控取代原有管理层。</t>
    </r>
    <r>
      <rPr>
        <sz val="10"/>
        <color rgb="FF243447"/>
        <rFont val="Microsoft YaHei"/>
        <family val="2"/>
        <charset val="1"/>
      </rPr>
      <t xml:space="preserve">
2. </t>
    </r>
    <r>
      <rPr>
        <sz val="10"/>
        <color rgb="FF243447"/>
        <rFont val="Noto Sans CJK SC"/>
        <family val="2"/>
      </rPr>
      <t xml:space="preserve">航空业有周期，直接放弃（契合</t>
    </r>
    <r>
      <rPr>
        <sz val="10"/>
        <color rgb="FF243447"/>
        <rFont val="Microsoft YaHei"/>
        <family val="2"/>
        <charset val="1"/>
      </rPr>
      <t xml:space="preserve">40</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60</t>
    </r>
    <r>
      <rPr>
        <sz val="10"/>
        <color rgb="FF243447"/>
        <rFont val="Noto Sans CJK SC"/>
        <family val="2"/>
      </rPr>
      <t xml:space="preserve">、风险边界</t>
    </r>
    <r>
      <rPr>
        <sz val="10"/>
        <color rgb="FF243447"/>
        <rFont val="Microsoft YaHei"/>
        <family val="2"/>
        <charset val="1"/>
      </rPr>
      <t xml:space="preserve">70</t>
    </r>
    <r>
      <rPr>
        <sz val="10"/>
        <color rgb="FF243447"/>
        <rFont val="Noto Sans CJK SC"/>
        <family val="2"/>
      </rPr>
      <t xml:space="preserve">、长期耐心</t>
    </r>
    <r>
      <rPr>
        <sz val="10"/>
        <color rgb="FF243447"/>
        <rFont val="Microsoft YaHei"/>
        <family val="2"/>
        <charset val="1"/>
      </rPr>
      <t xml:space="preserve">40</t>
    </r>
    <r>
      <rPr>
        <sz val="10"/>
        <color rgb="FF243447"/>
        <rFont val="Noto Sans CJK SC"/>
        <family val="2"/>
      </rPr>
      <t xml:space="preserve">）：不评估产品关键性、合同与管理者，只看行业标签。</t>
    </r>
    <r>
      <rPr>
        <sz val="10"/>
        <color rgb="FF243447"/>
        <rFont val="Microsoft YaHei"/>
        <family val="2"/>
        <charset val="1"/>
      </rPr>
      <t xml:space="preserve">
3. </t>
    </r>
    <r>
      <rPr>
        <sz val="10"/>
        <color rgb="FF243447"/>
        <rFont val="Noto Sans CJK SC"/>
        <family val="2"/>
      </rPr>
      <t xml:space="preserve">逾</t>
    </r>
    <r>
      <rPr>
        <sz val="10"/>
        <color rgb="FF243447"/>
        <rFont val="Microsoft YaHei"/>
        <family val="2"/>
        <charset val="1"/>
      </rPr>
      <t xml:space="preserve">320</t>
    </r>
    <r>
      <rPr>
        <sz val="10"/>
        <color rgb="FF243447"/>
        <rFont val="Noto Sans CJK SC"/>
        <family val="2"/>
      </rPr>
      <t xml:space="preserve">亿美元现金收购并留任团队（契合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100</t>
    </r>
    <r>
      <rPr>
        <sz val="10"/>
        <color rgb="FF243447"/>
        <rFont val="Noto Sans CJK SC"/>
        <family val="2"/>
      </rPr>
      <t xml:space="preserve">、价格纪律</t>
    </r>
    <r>
      <rPr>
        <sz val="10"/>
        <color rgb="FF243447"/>
        <rFont val="Microsoft YaHei"/>
        <family val="2"/>
        <charset val="1"/>
      </rPr>
      <t xml:space="preserve">75</t>
    </r>
    <r>
      <rPr>
        <sz val="10"/>
        <color rgb="FF243447"/>
        <rFont val="Noto Sans CJK SC"/>
        <family val="2"/>
      </rPr>
      <t xml:space="preserve">、风险边界</t>
    </r>
    <r>
      <rPr>
        <sz val="10"/>
        <color rgb="FF243447"/>
        <rFont val="Microsoft YaHei"/>
        <family val="2"/>
        <charset val="1"/>
      </rPr>
      <t xml:space="preserve">85</t>
    </r>
    <r>
      <rPr>
        <sz val="10"/>
        <color rgb="FF243447"/>
        <rFont val="Noto Sans CJK SC"/>
        <family val="2"/>
      </rPr>
      <t xml:space="preserve">、长期耐心</t>
    </r>
    <r>
      <rPr>
        <sz val="10"/>
        <color rgb="FF243447"/>
        <rFont val="Microsoft YaHei"/>
        <family val="2"/>
        <charset val="1"/>
      </rPr>
      <t xml:space="preserve">100</t>
    </r>
    <r>
      <rPr>
        <sz val="10"/>
        <color rgb="FF243447"/>
        <rFont val="Noto Sans CJK SC"/>
        <family val="2"/>
      </rPr>
      <t xml:space="preserve">）：认可关键组件与经理人的组合，让</t>
    </r>
    <r>
      <rPr>
        <sz val="10"/>
        <color rgb="FF243447"/>
        <rFont val="Microsoft YaHei"/>
        <family val="2"/>
        <charset val="1"/>
      </rPr>
      <t xml:space="preserve">Donegan</t>
    </r>
    <r>
      <rPr>
        <sz val="10"/>
        <color rgb="FF243447"/>
        <rFont val="Noto Sans CJK SC"/>
        <family val="2"/>
      </rPr>
      <t xml:space="preserve">继续配置经营资本。</t>
    </r>
  </si>
  <si>
    <r>
      <rPr>
        <sz val="10"/>
        <color rgb="FF243447"/>
        <rFont val="Microsoft YaHei"/>
        <family val="2"/>
        <charset val="1"/>
      </rPr>
      <t xml:space="preserve">2015</t>
    </r>
    <r>
      <rPr>
        <sz val="10"/>
        <color rgb="FF243447"/>
        <rFont val="Noto Sans CJK SC"/>
        <family val="2"/>
      </rPr>
      <t xml:space="preserve">年宣布、</t>
    </r>
    <r>
      <rPr>
        <sz val="10"/>
        <color rgb="FF243447"/>
        <rFont val="Microsoft YaHei"/>
        <family val="2"/>
        <charset val="1"/>
      </rPr>
      <t xml:space="preserve">2016</t>
    </r>
    <r>
      <rPr>
        <sz val="10"/>
        <color rgb="FF243447"/>
        <rFont val="Noto Sans CJK SC"/>
        <family val="2"/>
      </rPr>
      <t xml:space="preserve">年</t>
    </r>
    <r>
      <rPr>
        <sz val="10"/>
        <color rgb="FF243447"/>
        <rFont val="Microsoft YaHei"/>
        <family val="2"/>
        <charset val="1"/>
      </rPr>
      <t xml:space="preserve">1</t>
    </r>
    <r>
      <rPr>
        <sz val="10"/>
        <color rgb="FF243447"/>
        <rFont val="Noto Sans CJK SC"/>
        <family val="2"/>
      </rPr>
      <t xml:space="preserve">月完成，以逾</t>
    </r>
    <r>
      <rPr>
        <sz val="10"/>
        <color rgb="FF243447"/>
        <rFont val="Microsoft YaHei"/>
        <family val="2"/>
        <charset val="1"/>
      </rPr>
      <t xml:space="preserve">320</t>
    </r>
    <r>
      <rPr>
        <sz val="10"/>
        <color rgb="FF243447"/>
        <rFont val="Noto Sans CJK SC"/>
        <family val="2"/>
      </rPr>
      <t xml:space="preserve">亿美元现金收购</t>
    </r>
    <r>
      <rPr>
        <sz val="10"/>
        <color rgb="FF243447"/>
        <rFont val="Microsoft YaHei"/>
        <family val="2"/>
        <charset val="1"/>
      </rPr>
      <t xml:space="preserve">PCC</t>
    </r>
    <r>
      <rPr>
        <sz val="10"/>
        <color rgb="FF243447"/>
        <rFont val="Noto Sans CJK SC"/>
        <family val="2"/>
      </rPr>
      <t xml:space="preserve">；</t>
    </r>
    <r>
      <rPr>
        <sz val="10"/>
        <color rgb="FF243447"/>
        <rFont val="Microsoft YaHei"/>
        <family val="2"/>
        <charset val="1"/>
      </rPr>
      <t xml:space="preserve">Mark Donegan</t>
    </r>
    <r>
      <rPr>
        <sz val="10"/>
        <color rgb="FF243447"/>
        <rFont val="Noto Sans CJK SC"/>
        <family val="2"/>
      </rPr>
      <t xml:space="preserve">继续领导，并可利用伯克希尔资本进行后续收购。</t>
    </r>
  </si>
  <si>
    <t xml:space="preserve">产品虽小，却是大型飞机的关键组件；多年合同、制造能力与经理人共同构成经营质量。伯克希尔的角色不是接管日常经营，而是提供长期资本与自主空间。</t>
  </si>
  <si>
    <t xml:space="preserve">Under CEO Mark Donegan, PCC has become the world’s premier supplier of aerospace components (most of them destined to be original equipment, though spares are important to the company as well). Mark’s accomplishments remind me of the magic regularly performed by Jacob Harpaz at IMC, our remarkable Israeli manufacturer of cutting tools.</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</si>
  <si>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/2015ltr.pdf</t>
    </r>
    <r>
      <rPr>
        <sz val="10"/>
        <color rgb="FF243447"/>
        <rFont val="Noto Sans CJK SC"/>
        <family val="2"/>
      </rPr>
      <t xml:space="preserve">，</t>
    </r>
    <r>
      <rPr>
        <sz val="10"/>
        <color rgb="FF243447"/>
        <rFont val="Microsoft YaHei"/>
        <family val="2"/>
        <charset val="1"/>
      </rPr>
      <t xml:space="preserve">Precision Castparts</t>
    </r>
    <r>
      <rPr>
        <sz val="10"/>
        <color rgb="FF243447"/>
        <rFont val="Noto Sans CJK SC"/>
        <family val="2"/>
      </rPr>
      <t xml:space="preserve">段</t>
    </r>
  </si>
  <si>
    <r>
      <rPr>
        <sz val="10"/>
        <color rgb="FF243447"/>
        <rFont val="Noto Sans CJK SC"/>
        <family val="2"/>
      </rPr>
      <t xml:space="preserve">关键组件 </t>
    </r>
    <r>
      <rPr>
        <sz val="10"/>
        <color rgb="FF243447"/>
        <rFont val="Microsoft YaHei"/>
        <family val="2"/>
        <charset val="1"/>
      </rPr>
      <t xml:space="preserve">+ </t>
    </r>
    <r>
      <rPr>
        <sz val="10"/>
        <color rgb="FF243447"/>
        <rFont val="Noto Sans CJK SC"/>
        <family val="2"/>
      </rPr>
      <t xml:space="preserve">优秀经理人 </t>
    </r>
    <r>
      <rPr>
        <sz val="10"/>
        <color rgb="FF243447"/>
        <rFont val="Microsoft YaHei"/>
        <family val="2"/>
        <charset val="1"/>
      </rPr>
      <t xml:space="preserve">+ </t>
    </r>
    <r>
      <rPr>
        <sz val="10"/>
        <color rgb="FF243447"/>
        <rFont val="Noto Sans CJK SC"/>
        <family val="2"/>
      </rPr>
      <t xml:space="preserve">不轻易干预，是伯克希尔式收购组合。</t>
    </r>
  </si>
  <si>
    <t xml:space="preserve">没有大收购，资本还能去哪？</t>
  </si>
  <si>
    <r>
      <rPr>
        <sz val="10"/>
        <color rgb="FF243447"/>
        <rFont val="Microsoft YaHei"/>
        <family val="2"/>
        <charset val="1"/>
      </rPr>
      <t xml:space="preserve">2020</t>
    </r>
    <r>
      <rPr>
        <sz val="10"/>
        <color rgb="FF243447"/>
        <rFont val="Noto Sans CJK SC"/>
        <family val="2"/>
      </rPr>
      <t xml:space="preserve">年，伯克希尔没有完成大型收购，经营利润下降</t>
    </r>
    <r>
      <rPr>
        <sz val="10"/>
        <color rgb="FF243447"/>
        <rFont val="Microsoft YaHei"/>
        <family val="2"/>
        <charset val="1"/>
      </rPr>
      <t xml:space="preserve">9%</t>
    </r>
    <r>
      <rPr>
        <sz val="10"/>
        <color rgb="FF243447"/>
        <rFont val="Noto Sans CJK SC"/>
        <family val="2"/>
      </rPr>
      <t xml:space="preserve">。管理层认为公司股票低于保守估计的内在价值，同时希望保留足以应对机会与问题的资金。你会怎么做？</t>
    </r>
  </si>
  <si>
    <r>
      <rPr>
        <sz val="10"/>
        <color rgb="FF243447"/>
        <rFont val="Microsoft YaHei"/>
        <family val="2"/>
        <charset val="1"/>
      </rPr>
      <t xml:space="preserve">1. </t>
    </r>
    <r>
      <rPr>
        <sz val="10"/>
        <color rgb="FF243447"/>
        <rFont val="Noto Sans CJK SC"/>
        <family val="2"/>
      </rPr>
      <t xml:space="preserve">只要现金多就持续回购（契合</t>
    </r>
    <r>
      <rPr>
        <sz val="10"/>
        <color rgb="FF243447"/>
        <rFont val="Microsoft YaHei"/>
        <family val="2"/>
        <charset val="1"/>
      </rPr>
      <t xml:space="preserve">35</t>
    </r>
    <r>
      <rPr>
        <sz val="10"/>
        <color rgb="FF243447"/>
        <rFont val="Noto Sans CJK SC"/>
        <family val="2"/>
      </rPr>
      <t xml:space="preserve">；商业质量</t>
    </r>
    <r>
      <rPr>
        <sz val="10"/>
        <color rgb="FF243447"/>
        <rFont val="Microsoft YaHei"/>
        <family val="2"/>
        <charset val="1"/>
      </rPr>
      <t xml:space="preserve">45</t>
    </r>
    <r>
      <rPr>
        <sz val="10"/>
        <color rgb="FF243447"/>
        <rFont val="Noto Sans CJK SC"/>
        <family val="2"/>
      </rPr>
      <t xml:space="preserve">、价格纪律</t>
    </r>
    <r>
      <rPr>
        <sz val="10"/>
        <color rgb="FF243447"/>
        <rFont val="Microsoft YaHei"/>
        <family val="2"/>
        <charset val="1"/>
      </rPr>
      <t xml:space="preserve">10</t>
    </r>
    <r>
      <rPr>
        <sz val="10"/>
        <color rgb="FF243447"/>
        <rFont val="Noto Sans CJK SC"/>
        <family val="2"/>
      </rPr>
      <t xml:space="preserve">、风险边界</t>
    </r>
    <r>
      <rPr>
        <sz val="10"/>
        <color rgb="FF243447"/>
        <rFont val="Microsoft YaHei"/>
        <family val="2"/>
        <charset val="1"/>
      </rPr>
      <t xml:space="preserve">55</t>
    </r>
    <r>
      <rPr>
        <sz val="10"/>
        <color rgb="FF243447"/>
        <rFont val="Noto Sans CJK SC"/>
        <family val="2"/>
      </rPr>
      <t xml:space="preserve">、长期耐心</t>
    </r>
    <r>
      <rPr>
        <sz val="10"/>
        <color rgb="FF243447"/>
        <rFont val="Microsoft YaHei"/>
        <family val="2"/>
        <charset val="1"/>
      </rPr>
      <t xml:space="preserve">55</t>
    </r>
    <r>
      <rPr>
        <sz val="10"/>
        <color rgb="FF243447"/>
        <rFont val="Noto Sans CJK SC"/>
        <family val="2"/>
      </rPr>
      <t xml:space="preserve">）：无需考虑价格，回购本身总能创造价值。</t>
    </r>
    <r>
      <rPr>
        <sz val="10"/>
        <color rgb="FF243447"/>
        <rFont val="Microsoft YaHei"/>
        <family val="2"/>
        <charset val="1"/>
      </rPr>
      <t xml:space="preserve">
2. </t>
    </r>
    <r>
      <rPr>
        <sz val="10"/>
        <color rgb="FF243447"/>
        <rFont val="Noto Sans CJK SC"/>
        <family val="2"/>
      </rPr>
      <t xml:space="preserve">满足两个条件才回购（契合</t>
    </r>
    <r>
      <rPr>
        <sz val="10"/>
        <color rgb="FF243447"/>
        <rFont val="Microsoft YaHei"/>
        <family val="2"/>
        <charset val="1"/>
      </rPr>
      <t xml:space="preserve">100</t>
    </r>
    <r>
      <rPr>
        <sz val="10"/>
        <color rgb="FF243447"/>
        <rFont val="Noto Sans CJK SC"/>
        <family val="2"/>
      </rPr>
      <t xml:space="preserve">；商业质量</t>
    </r>
    <r>
      <rPr>
        <sz val="10"/>
        <color rgb="FF243447"/>
        <rFont val="Microsoft YaHei"/>
        <family val="2"/>
        <charset val="1"/>
      </rPr>
      <t xml:space="preserve">85</t>
    </r>
    <r>
      <rPr>
        <sz val="10"/>
        <color rgb="FF243447"/>
        <rFont val="Noto Sans CJK SC"/>
        <family val="2"/>
      </rPr>
      <t xml:space="preserve">、价格纪律</t>
    </r>
    <r>
      <rPr>
        <sz val="10"/>
        <color rgb="FF243447"/>
        <rFont val="Microsoft YaHei"/>
        <family val="2"/>
        <charset val="1"/>
      </rPr>
      <t xml:space="preserve">100</t>
    </r>
    <r>
      <rPr>
        <sz val="10"/>
        <color rgb="FF243447"/>
        <rFont val="Noto Sans CJK SC"/>
        <family val="2"/>
      </rPr>
      <t xml:space="preserve">、风险边界</t>
    </r>
    <r>
      <rPr>
        <sz val="10"/>
        <color rgb="FF243447"/>
        <rFont val="Microsoft YaHei"/>
        <family val="2"/>
        <charset val="1"/>
      </rPr>
      <t xml:space="preserve">100</t>
    </r>
    <r>
      <rPr>
        <sz val="10"/>
        <color rgb="FF243447"/>
        <rFont val="Noto Sans CJK SC"/>
        <family val="2"/>
      </rPr>
      <t xml:space="preserve">、长期耐心</t>
    </r>
    <r>
      <rPr>
        <sz val="10"/>
        <color rgb="FF243447"/>
        <rFont val="Microsoft YaHei"/>
        <family val="2"/>
        <charset val="1"/>
      </rPr>
      <t xml:space="preserve">95</t>
    </r>
    <r>
      <rPr>
        <sz val="10"/>
        <color rgb="FF243447"/>
        <rFont val="Noto Sans CJK SC"/>
        <family val="2"/>
      </rPr>
      <t xml:space="preserve">）：提升持续股东的每股内在价值，并在回购后仍保留充裕资金。</t>
    </r>
    <r>
      <rPr>
        <sz val="10"/>
        <color rgb="FF243447"/>
        <rFont val="Microsoft YaHei"/>
        <family val="2"/>
        <charset val="1"/>
      </rPr>
      <t xml:space="preserve">
3. </t>
    </r>
    <r>
      <rPr>
        <sz val="10"/>
        <color rgb="FF243447"/>
        <rFont val="Noto Sans CJK SC"/>
        <family val="2"/>
      </rPr>
      <t xml:space="preserve">为维持股价而借款回购（契合</t>
    </r>
    <r>
      <rPr>
        <sz val="10"/>
        <color rgb="FF243447"/>
        <rFont val="Microsoft YaHei"/>
        <family val="2"/>
        <charset val="1"/>
      </rPr>
      <t xml:space="preserve">5</t>
    </r>
    <r>
      <rPr>
        <sz val="10"/>
        <color rgb="FF243447"/>
        <rFont val="Noto Sans CJK SC"/>
        <family val="2"/>
      </rPr>
      <t xml:space="preserve">；商业质量</t>
    </r>
    <r>
      <rPr>
        <sz val="10"/>
        <color rgb="FF243447"/>
        <rFont val="Microsoft YaHei"/>
        <family val="2"/>
        <charset val="1"/>
      </rPr>
      <t xml:space="preserve">20</t>
    </r>
    <r>
      <rPr>
        <sz val="10"/>
        <color rgb="FF243447"/>
        <rFont val="Noto Sans CJK SC"/>
        <family val="2"/>
      </rPr>
      <t xml:space="preserve">、价格纪律</t>
    </r>
    <r>
      <rPr>
        <sz val="10"/>
        <color rgb="FF243447"/>
        <rFont val="Microsoft YaHei"/>
        <family val="2"/>
        <charset val="1"/>
      </rPr>
      <t xml:space="preserve">15</t>
    </r>
    <r>
      <rPr>
        <sz val="10"/>
        <color rgb="FF243447"/>
        <rFont val="Noto Sans CJK SC"/>
        <family val="2"/>
      </rPr>
      <t xml:space="preserve">、风险边界</t>
    </r>
    <r>
      <rPr>
        <sz val="10"/>
        <color rgb="FF243447"/>
        <rFont val="Microsoft YaHei"/>
        <family val="2"/>
        <charset val="1"/>
      </rPr>
      <t xml:space="preserve">0</t>
    </r>
    <r>
      <rPr>
        <sz val="10"/>
        <color rgb="FF243447"/>
        <rFont val="Noto Sans CJK SC"/>
        <family val="2"/>
      </rPr>
      <t xml:space="preserve">、长期耐心</t>
    </r>
    <r>
      <rPr>
        <sz val="10"/>
        <color rgb="FF243447"/>
        <rFont val="Microsoft YaHei"/>
        <family val="2"/>
        <charset val="1"/>
      </rPr>
      <t xml:space="preserve">10</t>
    </r>
    <r>
      <rPr>
        <sz val="10"/>
        <color rgb="FF243447"/>
        <rFont val="Noto Sans CJK SC"/>
        <family val="2"/>
      </rPr>
      <t xml:space="preserve">）：把短期市场反应置于财务韧性之上。</t>
    </r>
  </si>
  <si>
    <r>
      <rPr>
        <sz val="10"/>
        <color rgb="FF243447"/>
        <rFont val="Microsoft YaHei"/>
        <family val="2"/>
        <charset val="1"/>
      </rPr>
      <t xml:space="preserve">2020</t>
    </r>
    <r>
      <rPr>
        <sz val="10"/>
        <color rgb="FF243447"/>
        <rFont val="Noto Sans CJK SC"/>
        <family val="2"/>
      </rPr>
      <t xml:space="preserve">年回购</t>
    </r>
    <r>
      <rPr>
        <sz val="10"/>
        <color rgb="FF243447"/>
        <rFont val="Microsoft YaHei"/>
        <family val="2"/>
        <charset val="1"/>
      </rPr>
      <t xml:space="preserve">80,998</t>
    </r>
    <r>
      <rPr>
        <sz val="10"/>
        <color rgb="FF243447"/>
        <rFont val="Noto Sans CJK SC"/>
        <family val="2"/>
      </rPr>
      <t xml:space="preserve">股</t>
    </r>
    <r>
      <rPr>
        <sz val="10"/>
        <color rgb="FF243447"/>
        <rFont val="Microsoft YaHei"/>
        <family val="2"/>
        <charset val="1"/>
      </rPr>
      <t xml:space="preserve">A</t>
    </r>
    <r>
      <rPr>
        <sz val="10"/>
        <color rgb="FF243447"/>
        <rFont val="Noto Sans CJK SC"/>
        <family val="2"/>
      </rPr>
      <t xml:space="preserve">类等价股，耗资</t>
    </r>
    <r>
      <rPr>
        <sz val="10"/>
        <color rgb="FF243447"/>
        <rFont val="Microsoft YaHei"/>
        <family val="2"/>
        <charset val="1"/>
      </rPr>
      <t xml:space="preserve">247</t>
    </r>
    <r>
      <rPr>
        <sz val="10"/>
        <color rgb="FF243447"/>
        <rFont val="Noto Sans CJK SC"/>
        <family val="2"/>
      </rPr>
      <t xml:space="preserve">亿美元；持续股东对伯克希尔各项业务的持股比例因此提高</t>
    </r>
    <r>
      <rPr>
        <sz val="10"/>
        <color rgb="FF243447"/>
        <rFont val="Microsoft YaHei"/>
        <family val="2"/>
        <charset val="1"/>
      </rPr>
      <t xml:space="preserve">5.2%</t>
    </r>
    <r>
      <rPr>
        <sz val="10"/>
        <color rgb="FF243447"/>
        <rFont val="Noto Sans CJK SC"/>
        <family val="2"/>
      </rPr>
      <t xml:space="preserve">。</t>
    </r>
  </si>
  <si>
    <t xml:space="preserve">回购不是天然正确：价格必须低于保守内在价值，且不能耗尽应对风险与机会的资金。对持续股东而言，重点是每股所代表的企业权益是否增加。</t>
  </si>
  <si>
    <t xml:space="preserve">Last year we demonstrated our enthusiasm for Berkshire’s spread of properties by repurchasing the equivalent of 80,998 “A” shares, spending $24.7 billion in the process. That action increased your ownership in all of Berkshire’s businesses by 5.2% without requiring you to so much as touch your wallet.</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</si>
  <si>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/2020ltr.pdf</t>
    </r>
    <r>
      <rPr>
        <sz val="10"/>
        <color rgb="FF243447"/>
        <rFont val="Noto Sans CJK SC"/>
        <family val="2"/>
      </rPr>
      <t xml:space="preserve">，</t>
    </r>
    <r>
      <rPr>
        <sz val="10"/>
        <color rgb="FF243447"/>
        <rFont val="Microsoft YaHei"/>
        <family val="2"/>
        <charset val="1"/>
      </rPr>
      <t xml:space="preserve">Share Repurchases</t>
    </r>
    <r>
      <rPr>
        <sz val="10"/>
        <color rgb="FF243447"/>
        <rFont val="Noto Sans CJK SC"/>
        <family val="2"/>
      </rPr>
      <t xml:space="preserve">段</t>
    </r>
  </si>
  <si>
    <r>
      <rPr>
        <sz val="10"/>
        <color rgb="FF243447"/>
        <rFont val="Noto Sans CJK SC"/>
        <family val="2"/>
      </rPr>
      <t xml:space="preserve">回购的两道门：每股价值提升 </t>
    </r>
    <r>
      <rPr>
        <sz val="10"/>
        <color rgb="FF243447"/>
        <rFont val="Microsoft YaHei"/>
        <family val="2"/>
        <charset val="1"/>
      </rPr>
      <t xml:space="preserve">+ </t>
    </r>
    <r>
      <rPr>
        <sz val="10"/>
        <color rgb="FF243447"/>
        <rFont val="Noto Sans CJK SC"/>
        <family val="2"/>
      </rPr>
      <t xml:space="preserve">回购后仍有充裕资金。</t>
    </r>
  </si>
  <si>
    <t xml:space="preserve">来源登记｜文件、章节、网页与访问日期</t>
  </si>
  <si>
    <r>
      <rPr>
        <sz val="11"/>
        <color rgb="FF66788A"/>
        <rFont val="Microsoft YaHei"/>
        <family val="2"/>
        <charset val="1"/>
      </rPr>
      <t xml:space="preserve">2022</t>
    </r>
    <r>
      <rPr>
        <sz val="11"/>
        <color rgb="FF66788A"/>
        <rFont val="Noto Sans CJK SC"/>
        <family val="2"/>
      </rPr>
      <t xml:space="preserve">、</t>
    </r>
    <r>
      <rPr>
        <sz val="11"/>
        <color rgb="FF66788A"/>
        <rFont val="Microsoft YaHei"/>
        <family val="2"/>
        <charset val="1"/>
      </rPr>
      <t xml:space="preserve">2023</t>
    </r>
    <r>
      <rPr>
        <sz val="11"/>
        <color rgb="FF66788A"/>
        <rFont val="Noto Sans CJK SC"/>
        <family val="2"/>
      </rPr>
      <t xml:space="preserve">官方年报用于补齐历史序列；下载件保留于交付</t>
    </r>
    <r>
      <rPr>
        <sz val="11"/>
        <color rgb="FF66788A"/>
        <rFont val="Microsoft YaHei"/>
        <family val="2"/>
        <charset val="1"/>
      </rPr>
      <t xml:space="preserve">/</t>
    </r>
    <r>
      <rPr>
        <sz val="11"/>
        <color rgb="FF66788A"/>
        <rFont val="Noto Sans CJK SC"/>
        <family val="2"/>
      </rPr>
      <t xml:space="preserve">来源。网页出处只在</t>
    </r>
    <r>
      <rPr>
        <sz val="11"/>
        <color rgb="FF66788A"/>
        <rFont val="Microsoft YaHei"/>
        <family val="2"/>
        <charset val="1"/>
      </rPr>
      <t xml:space="preserve">Excel/README</t>
    </r>
    <r>
      <rPr>
        <sz val="11"/>
        <color rgb="FF66788A"/>
        <rFont val="Noto Sans CJK SC"/>
        <family val="2"/>
      </rPr>
      <t xml:space="preserve">列示，游戏网页不放外部链接。</t>
    </r>
  </si>
  <si>
    <t xml:space="preserve">文件名</t>
  </si>
  <si>
    <t xml:space="preserve">章节或表名</t>
  </si>
  <si>
    <t xml:space="preserve">网页链接（如有）</t>
  </si>
  <si>
    <t xml:space="preserve">访问日期</t>
  </si>
  <si>
    <r>
      <rPr>
        <sz val="10"/>
        <color rgb="FF243447"/>
        <rFont val="Noto Sans CJK SC"/>
        <family val="2"/>
      </rPr>
      <t xml:space="preserve">材料</t>
    </r>
    <r>
      <rPr>
        <sz val="10"/>
        <color rgb="FF243447"/>
        <rFont val="Microsoft YaHei"/>
        <family val="2"/>
        <charset val="1"/>
      </rPr>
      <t xml:space="preserve">/Berkshire_2025</t>
    </r>
    <r>
      <rPr>
        <sz val="10"/>
        <color rgb="FF243447"/>
        <rFont val="Noto Sans CJK SC"/>
        <family val="2"/>
      </rPr>
      <t xml:space="preserve">年报</t>
    </r>
    <r>
      <rPr>
        <sz val="10"/>
        <color rgb="FF243447"/>
        <rFont val="Microsoft YaHei"/>
        <family val="2"/>
        <charset val="1"/>
      </rPr>
      <t xml:space="preserve">__brka-20251231.htm</t>
    </r>
  </si>
  <si>
    <r>
      <rPr>
        <sz val="10"/>
        <color rgb="FF243447"/>
        <rFont val="Microsoft YaHei"/>
        <family val="2"/>
        <charset val="1"/>
      </rPr>
      <t xml:space="preserve">Item 7, MD&amp;A—Results of Operations</t>
    </r>
    <r>
      <rPr>
        <sz val="10"/>
        <color rgb="FF243447"/>
        <rFont val="Noto Sans CJK SC"/>
        <family val="2"/>
      </rPr>
      <t xml:space="preserve">（</t>
    </r>
    <r>
      <rPr>
        <sz val="10"/>
        <color rgb="FF243447"/>
        <rFont val="Microsoft YaHei"/>
        <family val="2"/>
        <charset val="1"/>
      </rPr>
      <t xml:space="preserve">K-34</t>
    </r>
    <r>
      <rPr>
        <sz val="10"/>
        <color rgb="FF243447"/>
        <rFont val="Noto Sans CJK SC"/>
        <family val="2"/>
      </rPr>
      <t xml:space="preserve">起）</t>
    </r>
  </si>
  <si>
    <t xml:space="preserve">—</t>
  </si>
  <si>
    <t xml:space="preserve">原始材料</t>
  </si>
  <si>
    <r>
      <rPr>
        <sz val="10"/>
        <color rgb="FF243447"/>
        <rFont val="Microsoft YaHei"/>
        <family val="2"/>
        <charset val="1"/>
      </rPr>
      <t xml:space="preserve">Consolidated Balance Sheets</t>
    </r>
    <r>
      <rPr>
        <sz val="10"/>
        <color rgb="FF243447"/>
        <rFont val="Noto Sans CJK SC"/>
        <family val="2"/>
      </rPr>
      <t xml:space="preserve">（</t>
    </r>
    <r>
      <rPr>
        <sz val="10"/>
        <color rgb="FF243447"/>
        <rFont val="Microsoft YaHei"/>
        <family val="2"/>
        <charset val="1"/>
      </rPr>
      <t xml:space="preserve">K-66</t>
    </r>
    <r>
      <rPr>
        <sz val="10"/>
        <color rgb="FF243447"/>
        <rFont val="Noto Sans CJK SC"/>
        <family val="2"/>
      </rPr>
      <t xml:space="preserve">）</t>
    </r>
  </si>
  <si>
    <r>
      <rPr>
        <sz val="10"/>
        <color rgb="FF243447"/>
        <rFont val="Microsoft YaHei"/>
        <family val="2"/>
        <charset val="1"/>
      </rPr>
      <t xml:space="preserve">Consolidated Statements of Cash Flows</t>
    </r>
    <r>
      <rPr>
        <sz val="10"/>
        <color rgb="FF243447"/>
        <rFont val="Noto Sans CJK SC"/>
        <family val="2"/>
      </rPr>
      <t xml:space="preserve">（</t>
    </r>
    <r>
      <rPr>
        <sz val="10"/>
        <color rgb="FF243447"/>
        <rFont val="Microsoft YaHei"/>
        <family val="2"/>
        <charset val="1"/>
      </rPr>
      <t xml:space="preserve">K-70</t>
    </r>
    <r>
      <rPr>
        <sz val="10"/>
        <color rgb="FF243447"/>
        <rFont val="Noto Sans CJK SC"/>
        <family val="2"/>
      </rPr>
      <t xml:space="preserve">）</t>
    </r>
  </si>
  <si>
    <r>
      <rPr>
        <sz val="10"/>
        <color rgb="FF243447"/>
        <rFont val="Microsoft YaHei"/>
        <family val="2"/>
        <charset val="1"/>
      </rPr>
      <t xml:space="preserve">Consolidated Statements of Changes in Shareholders’ Equity</t>
    </r>
    <r>
      <rPr>
        <sz val="10"/>
        <color rgb="FF243447"/>
        <rFont val="Noto Sans CJK SC"/>
        <family val="2"/>
      </rPr>
      <t xml:space="preserve">（</t>
    </r>
    <r>
      <rPr>
        <sz val="10"/>
        <color rgb="FF243447"/>
        <rFont val="Microsoft YaHei"/>
        <family val="2"/>
        <charset val="1"/>
      </rPr>
      <t xml:space="preserve">K-69</t>
    </r>
    <r>
      <rPr>
        <sz val="10"/>
        <color rgb="FF243447"/>
        <rFont val="Noto Sans CJK SC"/>
        <family val="2"/>
      </rPr>
      <t xml:space="preserve">）</t>
    </r>
  </si>
  <si>
    <r>
      <rPr>
        <sz val="10"/>
        <color rgb="FF243447"/>
        <rFont val="Microsoft YaHei"/>
        <family val="2"/>
        <charset val="1"/>
      </rPr>
      <t xml:space="preserve">Notes—Common stock</t>
    </r>
    <r>
      <rPr>
        <sz val="10"/>
        <color rgb="FF243447"/>
        <rFont val="Noto Sans CJK SC"/>
        <family val="2"/>
      </rPr>
      <t xml:space="preserve">（</t>
    </r>
    <r>
      <rPr>
        <sz val="10"/>
        <color rgb="FF243447"/>
        <rFont val="Microsoft YaHei"/>
        <family val="2"/>
        <charset val="1"/>
      </rPr>
      <t xml:space="preserve">K-101</t>
    </r>
    <r>
      <rPr>
        <sz val="10"/>
        <color rgb="FF243447"/>
        <rFont val="Noto Sans CJK SC"/>
        <family val="2"/>
      </rPr>
      <t xml:space="preserve">至</t>
    </r>
    <r>
      <rPr>
        <sz val="10"/>
        <color rgb="FF243447"/>
        <rFont val="Microsoft YaHei"/>
        <family val="2"/>
        <charset val="1"/>
      </rPr>
      <t xml:space="preserve">K-102</t>
    </r>
    <r>
      <rPr>
        <sz val="10"/>
        <color rgb="FF243447"/>
        <rFont val="Noto Sans CJK SC"/>
        <family val="2"/>
      </rPr>
      <t xml:space="preserve">）</t>
    </r>
  </si>
  <si>
    <r>
      <rPr>
        <sz val="10"/>
        <color rgb="FF243447"/>
        <rFont val="Microsoft YaHei"/>
        <family val="2"/>
        <charset val="1"/>
      </rPr>
      <t xml:space="preserve">Note 4—Investments in equity securities</t>
    </r>
    <r>
      <rPr>
        <sz val="10"/>
        <color rgb="FF243447"/>
        <rFont val="Noto Sans CJK SC"/>
        <family val="2"/>
      </rPr>
      <t xml:space="preserve">（</t>
    </r>
    <r>
      <rPr>
        <sz val="10"/>
        <color rgb="FF243447"/>
        <rFont val="Microsoft YaHei"/>
        <family val="2"/>
        <charset val="1"/>
      </rPr>
      <t xml:space="preserve">K-79</t>
    </r>
    <r>
      <rPr>
        <sz val="10"/>
        <color rgb="FF243447"/>
        <rFont val="Noto Sans CJK SC"/>
        <family val="2"/>
      </rPr>
      <t xml:space="preserve">）</t>
    </r>
  </si>
  <si>
    <r>
      <rPr>
        <sz val="10"/>
        <color rgb="FF243447"/>
        <rFont val="Microsoft YaHei"/>
        <family val="2"/>
        <charset val="1"/>
      </rPr>
      <t xml:space="preserve">Item 7—Insurance—Investment Income</t>
    </r>
    <r>
      <rPr>
        <sz val="10"/>
        <color rgb="FF243447"/>
        <rFont val="Noto Sans CJK SC"/>
        <family val="2"/>
      </rPr>
      <t xml:space="preserve">（</t>
    </r>
    <r>
      <rPr>
        <sz val="10"/>
        <color rgb="FF243447"/>
        <rFont val="Microsoft YaHei"/>
        <family val="2"/>
        <charset val="1"/>
      </rPr>
      <t xml:space="preserve">K-40</t>
    </r>
    <r>
      <rPr>
        <sz val="10"/>
        <color rgb="FF243447"/>
        <rFont val="Noto Sans CJK SC"/>
        <family val="2"/>
      </rPr>
      <t xml:space="preserve">）</t>
    </r>
  </si>
  <si>
    <r>
      <rPr>
        <sz val="10"/>
        <color rgb="FF243447"/>
        <rFont val="Microsoft YaHei"/>
        <family val="2"/>
        <charset val="1"/>
      </rPr>
      <t xml:space="preserve">Note 2—Business acquisitions</t>
    </r>
    <r>
      <rPr>
        <sz val="10"/>
        <color rgb="FF243447"/>
        <rFont val="Noto Sans CJK SC"/>
        <family val="2"/>
      </rPr>
      <t xml:space="preserve">（</t>
    </r>
    <r>
      <rPr>
        <sz val="10"/>
        <color rgb="FF243447"/>
        <rFont val="Microsoft YaHei"/>
        <family val="2"/>
        <charset val="1"/>
      </rPr>
      <t xml:space="preserve">K-77</t>
    </r>
    <r>
      <rPr>
        <sz val="10"/>
        <color rgb="FF243447"/>
        <rFont val="Noto Sans CJK SC"/>
        <family val="2"/>
      </rPr>
      <t xml:space="preserve">至</t>
    </r>
    <r>
      <rPr>
        <sz val="10"/>
        <color rgb="FF243447"/>
        <rFont val="Microsoft YaHei"/>
        <family val="2"/>
        <charset val="1"/>
      </rPr>
      <t xml:space="preserve">K-78</t>
    </r>
    <r>
      <rPr>
        <sz val="10"/>
        <color rgb="FF243447"/>
        <rFont val="Noto Sans CJK SC"/>
        <family val="2"/>
      </rPr>
      <t xml:space="preserve">）</t>
    </r>
  </si>
  <si>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季报</t>
    </r>
    <r>
      <rPr>
        <sz val="10"/>
        <color rgb="FF243447"/>
        <rFont val="Microsoft YaHei"/>
        <family val="2"/>
        <charset val="1"/>
      </rPr>
      <t xml:space="preserve">__brka-20260630.htm</t>
    </r>
  </si>
  <si>
    <r>
      <rPr>
        <sz val="10"/>
        <color rgb="FF243447"/>
        <rFont val="Microsoft YaHei"/>
        <family val="2"/>
        <charset val="1"/>
      </rPr>
      <t xml:space="preserve">Item 2, MD&amp;A—Results of Operations</t>
    </r>
    <r>
      <rPr>
        <sz val="10"/>
        <color rgb="FF243447"/>
        <rFont val="Noto Sans CJK SC"/>
        <family val="2"/>
      </rPr>
      <t xml:space="preserve">（第</t>
    </r>
    <r>
      <rPr>
        <sz val="10"/>
        <color rgb="FF243447"/>
        <rFont val="Microsoft YaHei"/>
        <family val="2"/>
        <charset val="1"/>
      </rPr>
      <t xml:space="preserve">33</t>
    </r>
    <r>
      <rPr>
        <sz val="10"/>
        <color rgb="FF243447"/>
        <rFont val="Noto Sans CJK SC"/>
        <family val="2"/>
      </rPr>
      <t xml:space="preserve">页）</t>
    </r>
  </si>
  <si>
    <r>
      <rPr>
        <sz val="10"/>
        <color rgb="FF243447"/>
        <rFont val="Microsoft YaHei"/>
        <family val="2"/>
        <charset val="1"/>
      </rPr>
      <t xml:space="preserve">Consolidated Balance Sheets</t>
    </r>
    <r>
      <rPr>
        <sz val="10"/>
        <color rgb="FF243447"/>
        <rFont val="Noto Sans CJK SC"/>
        <family val="2"/>
      </rPr>
      <t xml:space="preserve">（第</t>
    </r>
    <r>
      <rPr>
        <sz val="10"/>
        <color rgb="FF243447"/>
        <rFont val="Microsoft YaHei"/>
        <family val="2"/>
        <charset val="1"/>
      </rPr>
      <t xml:space="preserve">2</t>
    </r>
    <r>
      <rPr>
        <sz val="10"/>
        <color rgb="FF243447"/>
        <rFont val="Noto Sans CJK SC"/>
        <family val="2"/>
      </rPr>
      <t xml:space="preserve">至</t>
    </r>
    <r>
      <rPr>
        <sz val="10"/>
        <color rgb="FF243447"/>
        <rFont val="Microsoft YaHei"/>
        <family val="2"/>
        <charset val="1"/>
      </rPr>
      <t xml:space="preserve">3</t>
    </r>
    <r>
      <rPr>
        <sz val="10"/>
        <color rgb="FF243447"/>
        <rFont val="Noto Sans CJK SC"/>
        <family val="2"/>
      </rPr>
      <t xml:space="preserve">页）</t>
    </r>
  </si>
  <si>
    <r>
      <rPr>
        <sz val="10"/>
        <color rgb="FF243447"/>
        <rFont val="Microsoft YaHei"/>
        <family val="2"/>
        <charset val="1"/>
      </rPr>
      <t xml:space="preserve">Consolidated Statements of Cash Flows</t>
    </r>
    <r>
      <rPr>
        <sz val="10"/>
        <color rgb="FF243447"/>
        <rFont val="Noto Sans CJK SC"/>
        <family val="2"/>
      </rPr>
      <t xml:space="preserve">（第</t>
    </r>
    <r>
      <rPr>
        <sz val="10"/>
        <color rgb="FF243447"/>
        <rFont val="Microsoft YaHei"/>
        <family val="2"/>
        <charset val="1"/>
      </rPr>
      <t xml:space="preserve">7</t>
    </r>
    <r>
      <rPr>
        <sz val="10"/>
        <color rgb="FF243447"/>
        <rFont val="Noto Sans CJK SC"/>
        <family val="2"/>
      </rPr>
      <t xml:space="preserve">页）</t>
    </r>
  </si>
  <si>
    <r>
      <rPr>
        <sz val="10"/>
        <color rgb="FF243447"/>
        <rFont val="Microsoft YaHei"/>
        <family val="2"/>
        <charset val="1"/>
      </rPr>
      <t xml:space="preserve">Consolidated Statements of Changes in Shareholders’ Equity</t>
    </r>
    <r>
      <rPr>
        <sz val="10"/>
        <color rgb="FF243447"/>
        <rFont val="Noto Sans CJK SC"/>
        <family val="2"/>
      </rPr>
      <t xml:space="preserve">（第</t>
    </r>
    <r>
      <rPr>
        <sz val="10"/>
        <color rgb="FF243447"/>
        <rFont val="Microsoft YaHei"/>
        <family val="2"/>
        <charset val="1"/>
      </rPr>
      <t xml:space="preserve">6</t>
    </r>
    <r>
      <rPr>
        <sz val="10"/>
        <color rgb="FF243447"/>
        <rFont val="Noto Sans CJK SC"/>
        <family val="2"/>
      </rPr>
      <t xml:space="preserve">页）</t>
    </r>
  </si>
  <si>
    <r>
      <rPr>
        <sz val="10"/>
        <color rgb="FF243447"/>
        <rFont val="Microsoft YaHei"/>
        <family val="2"/>
        <charset val="1"/>
      </rPr>
      <t xml:space="preserve">Note 18—Common stock</t>
    </r>
    <r>
      <rPr>
        <sz val="10"/>
        <color rgb="FF243447"/>
        <rFont val="Noto Sans CJK SC"/>
        <family val="2"/>
      </rPr>
      <t xml:space="preserve">（第</t>
    </r>
    <r>
      <rPr>
        <sz val="10"/>
        <color rgb="FF243447"/>
        <rFont val="Microsoft YaHei"/>
        <family val="2"/>
        <charset val="1"/>
      </rPr>
      <t xml:space="preserve">21</t>
    </r>
    <r>
      <rPr>
        <sz val="10"/>
        <color rgb="FF243447"/>
        <rFont val="Noto Sans CJK SC"/>
        <family val="2"/>
      </rPr>
      <t xml:space="preserve">页）</t>
    </r>
  </si>
  <si>
    <r>
      <rPr>
        <sz val="10"/>
        <color rgb="FF243447"/>
        <rFont val="Microsoft YaHei"/>
        <family val="2"/>
        <charset val="1"/>
      </rPr>
      <t xml:space="preserve">Note 4—Investments in equity securities</t>
    </r>
    <r>
      <rPr>
        <sz val="10"/>
        <color rgb="FF243447"/>
        <rFont val="Noto Sans CJK SC"/>
        <family val="2"/>
      </rPr>
      <t xml:space="preserve">（第</t>
    </r>
    <r>
      <rPr>
        <sz val="10"/>
        <color rgb="FF243447"/>
        <rFont val="Microsoft YaHei"/>
        <family val="2"/>
        <charset val="1"/>
      </rPr>
      <t xml:space="preserve">9</t>
    </r>
    <r>
      <rPr>
        <sz val="10"/>
        <color rgb="FF243447"/>
        <rFont val="Noto Sans CJK SC"/>
        <family val="2"/>
      </rPr>
      <t xml:space="preserve">页）</t>
    </r>
  </si>
  <si>
    <r>
      <rPr>
        <sz val="10"/>
        <color rgb="FF243447"/>
        <rFont val="Microsoft YaHei"/>
        <family val="2"/>
        <charset val="1"/>
      </rPr>
      <t xml:space="preserve">Item 2—Insurance—Investment Income</t>
    </r>
    <r>
      <rPr>
        <sz val="10"/>
        <color rgb="FF243447"/>
        <rFont val="Noto Sans CJK SC"/>
        <family val="2"/>
      </rPr>
      <t xml:space="preserve">（第</t>
    </r>
    <r>
      <rPr>
        <sz val="10"/>
        <color rgb="FF243447"/>
        <rFont val="Microsoft YaHei"/>
        <family val="2"/>
        <charset val="1"/>
      </rPr>
      <t xml:space="preserve">38</t>
    </r>
    <r>
      <rPr>
        <sz val="10"/>
        <color rgb="FF243447"/>
        <rFont val="Noto Sans CJK SC"/>
        <family val="2"/>
      </rPr>
      <t xml:space="preserve">页）</t>
    </r>
  </si>
  <si>
    <r>
      <rPr>
        <sz val="10"/>
        <color rgb="FF243447"/>
        <rFont val="Microsoft YaHei"/>
        <family val="2"/>
        <charset val="1"/>
      </rPr>
      <t xml:space="preserve">Item 2—GEICO</t>
    </r>
    <r>
      <rPr>
        <sz val="10"/>
        <color rgb="FF243447"/>
        <rFont val="Noto Sans CJK SC"/>
        <family val="2"/>
      </rPr>
      <t xml:space="preserve">、</t>
    </r>
    <r>
      <rPr>
        <sz val="10"/>
        <color rgb="FF243447"/>
        <rFont val="Microsoft YaHei"/>
        <family val="2"/>
        <charset val="1"/>
      </rPr>
      <t xml:space="preserve">BNSF</t>
    </r>
    <r>
      <rPr>
        <sz val="10"/>
        <color rgb="FF243447"/>
        <rFont val="Noto Sans CJK SC"/>
        <family val="2"/>
      </rPr>
      <t xml:space="preserve">、</t>
    </r>
    <r>
      <rPr>
        <sz val="10"/>
        <color rgb="FF243447"/>
        <rFont val="Microsoft YaHei"/>
        <family val="2"/>
        <charset val="1"/>
      </rPr>
      <t xml:space="preserve">BHE</t>
    </r>
    <r>
      <rPr>
        <sz val="10"/>
        <color rgb="FF243447"/>
        <rFont val="Noto Sans CJK SC"/>
        <family val="2"/>
      </rPr>
      <t xml:space="preserve">、</t>
    </r>
    <r>
      <rPr>
        <sz val="10"/>
        <color rgb="FF243447"/>
        <rFont val="Microsoft YaHei"/>
        <family val="2"/>
        <charset val="1"/>
      </rPr>
      <t xml:space="preserve">Manufacturing</t>
    </r>
    <r>
      <rPr>
        <sz val="10"/>
        <color rgb="FF243447"/>
        <rFont val="Noto Sans CJK SC"/>
        <family val="2"/>
      </rPr>
      <t xml:space="preserve">分段（第</t>
    </r>
    <r>
      <rPr>
        <sz val="10"/>
        <color rgb="FF243447"/>
        <rFont val="Microsoft YaHei"/>
        <family val="2"/>
        <charset val="1"/>
      </rPr>
      <t xml:space="preserve">34</t>
    </r>
    <r>
      <rPr>
        <sz val="10"/>
        <color rgb="FF243447"/>
        <rFont val="Noto Sans CJK SC"/>
        <family val="2"/>
      </rPr>
      <t xml:space="preserve">至</t>
    </r>
    <r>
      <rPr>
        <sz val="10"/>
        <color rgb="FF243447"/>
        <rFont val="Microsoft YaHei"/>
        <family val="2"/>
        <charset val="1"/>
      </rPr>
      <t xml:space="preserve">47</t>
    </r>
    <r>
      <rPr>
        <sz val="10"/>
        <color rgb="FF243447"/>
        <rFont val="Noto Sans CJK SC"/>
        <family val="2"/>
      </rPr>
      <t xml:space="preserve">页）</t>
    </r>
  </si>
  <si>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/Berkshire_2023</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</si>
  <si>
    <r>
      <rPr>
        <sz val="10"/>
        <color rgb="FF243447"/>
        <rFont val="Microsoft YaHei"/>
        <family val="2"/>
        <charset val="1"/>
      </rPr>
      <t xml:space="preserve">Item 7, MD&amp;A—Results of Operations</t>
    </r>
    <r>
      <rPr>
        <sz val="10"/>
        <color rgb="FF243447"/>
        <rFont val="Noto Sans CJK SC"/>
        <family val="2"/>
      </rPr>
      <t xml:space="preserve">（</t>
    </r>
    <r>
      <rPr>
        <sz val="10"/>
        <color rgb="FF243447"/>
        <rFont val="Microsoft YaHei"/>
        <family val="2"/>
        <charset val="1"/>
      </rPr>
      <t xml:space="preserve">K-34</t>
    </r>
    <r>
      <rPr>
        <sz val="10"/>
        <color rgb="FF243447"/>
        <rFont val="Noto Sans CJK SC"/>
        <family val="2"/>
      </rPr>
      <t xml:space="preserve">）</t>
    </r>
  </si>
  <si>
    <t xml:space="preserve">https://www.berkshirehathaway.com/2023ar/2023ar.pdf</t>
  </si>
  <si>
    <t xml:space="preserve">2026-10-22</t>
  </si>
  <si>
    <r>
      <rPr>
        <sz val="10"/>
        <color rgb="FF243447"/>
        <rFont val="Microsoft YaHei"/>
        <family val="2"/>
        <charset val="1"/>
      </rPr>
      <t xml:space="preserve">Consolidated Statements of Cash Flows</t>
    </r>
    <r>
      <rPr>
        <sz val="10"/>
        <color rgb="FF243447"/>
        <rFont val="Noto Sans CJK SC"/>
        <family val="2"/>
      </rPr>
      <t xml:space="preserve">及</t>
    </r>
    <r>
      <rPr>
        <sz val="10"/>
        <color rgb="FF243447"/>
        <rFont val="Microsoft YaHei"/>
        <family val="2"/>
        <charset val="1"/>
      </rPr>
      <t xml:space="preserve">Statements of Changes in Shareholders’ Equity</t>
    </r>
  </si>
  <si>
    <t xml:space="preserve">Notes—Common stock</t>
  </si>
  <si>
    <r>
      <rPr>
        <sz val="10"/>
        <color rgb="FF243447"/>
        <rFont val="Microsoft YaHei"/>
        <family val="2"/>
        <charset val="1"/>
      </rPr>
      <t xml:space="preserve">Note 4—Investments in equity securities</t>
    </r>
    <r>
      <rPr>
        <sz val="10"/>
        <color rgb="FF243447"/>
        <rFont val="Noto Sans CJK SC"/>
        <family val="2"/>
      </rPr>
      <t xml:space="preserve">（</t>
    </r>
    <r>
      <rPr>
        <sz val="10"/>
        <color rgb="FF243447"/>
        <rFont val="Microsoft YaHei"/>
        <family val="2"/>
        <charset val="1"/>
      </rPr>
      <t xml:space="preserve">K-84</t>
    </r>
    <r>
      <rPr>
        <sz val="10"/>
        <color rgb="FF243447"/>
        <rFont val="Noto Sans CJK SC"/>
        <family val="2"/>
      </rPr>
      <t xml:space="preserve">）</t>
    </r>
  </si>
  <si>
    <t xml:space="preserve">Item 7—Insurance—Investment Income</t>
  </si>
  <si>
    <r>
      <rPr>
        <sz val="10"/>
        <color rgb="FF243447"/>
        <rFont val="Noto Sans CJK SC"/>
        <family val="2"/>
      </rPr>
      <t xml:space="preserve">交付</t>
    </r>
    <r>
      <rPr>
        <sz val="10"/>
        <color rgb="FF243447"/>
        <rFont val="Microsoft YaHei"/>
        <family val="2"/>
        <charset val="1"/>
      </rPr>
      <t xml:space="preserve">/</t>
    </r>
    <r>
      <rPr>
        <sz val="10"/>
        <color rgb="FF243447"/>
        <rFont val="Noto Sans CJK SC"/>
        <family val="2"/>
      </rPr>
      <t xml:space="preserve">来源</t>
    </r>
    <r>
      <rPr>
        <sz val="10"/>
        <color rgb="FF243447"/>
        <rFont val="Microsoft YaHei"/>
        <family val="2"/>
        <charset val="1"/>
      </rPr>
      <t xml:space="preserve">/Berkshire_2022</t>
    </r>
    <r>
      <rPr>
        <sz val="10"/>
        <color rgb="FF243447"/>
        <rFont val="Noto Sans CJK SC"/>
        <family val="2"/>
      </rPr>
      <t xml:space="preserve">年报</t>
    </r>
    <r>
      <rPr>
        <sz val="10"/>
        <color rgb="FF243447"/>
        <rFont val="Microsoft YaHei"/>
        <family val="2"/>
        <charset val="1"/>
      </rPr>
      <t xml:space="preserve">_</t>
    </r>
    <r>
      <rPr>
        <sz val="10"/>
        <color rgb="FF243447"/>
        <rFont val="Noto Sans CJK SC"/>
        <family val="2"/>
      </rPr>
      <t xml:space="preserve">官方</t>
    </r>
    <r>
      <rPr>
        <sz val="10"/>
        <color rgb="FF243447"/>
        <rFont val="Microsoft YaHei"/>
        <family val="2"/>
        <charset val="1"/>
      </rPr>
      <t xml:space="preserve">.pdf</t>
    </r>
  </si>
  <si>
    <t xml:space="preserve">Consolidated Balance Sheets</t>
  </si>
  <si>
    <t xml:space="preserve">https://www.berkshirehathaway.com/2022ar/2022ar.pdf</t>
  </si>
  <si>
    <r>
      <rPr>
        <sz val="10"/>
        <color rgb="FF243447"/>
        <rFont val="Microsoft YaHei"/>
        <family val="2"/>
        <charset val="1"/>
      </rPr>
      <t xml:space="preserve">Note 4—Investments in equity securities</t>
    </r>
    <r>
      <rPr>
        <sz val="10"/>
        <color rgb="FF243447"/>
        <rFont val="Noto Sans CJK SC"/>
        <family val="2"/>
      </rPr>
      <t xml:space="preserve">（</t>
    </r>
    <r>
      <rPr>
        <sz val="10"/>
        <color rgb="FF243447"/>
        <rFont val="Microsoft YaHei"/>
        <family val="2"/>
        <charset val="1"/>
      </rPr>
      <t xml:space="preserve">K-83</t>
    </r>
    <r>
      <rPr>
        <sz val="10"/>
        <color rgb="FF243447"/>
        <rFont val="Noto Sans CJK SC"/>
        <family val="2"/>
      </rPr>
      <t xml:space="preserve">至</t>
    </r>
    <r>
      <rPr>
        <sz val="10"/>
        <color rgb="FF243447"/>
        <rFont val="Microsoft YaHei"/>
        <family val="2"/>
        <charset val="1"/>
      </rPr>
      <t xml:space="preserve">K-84</t>
    </r>
    <r>
      <rPr>
        <sz val="10"/>
        <color rgb="FF243447"/>
        <rFont val="Noto Sans CJK SC"/>
        <family val="2"/>
      </rPr>
      <t xml:space="preserve">）</t>
    </r>
  </si>
  <si>
    <t xml:space="preserve">RELEASE26</t>
  </si>
  <si>
    <r>
      <rPr>
        <sz val="10"/>
        <color rgb="FF243447"/>
        <rFont val="Noto Sans CJK SC"/>
        <family val="2"/>
      </rPr>
      <t xml:space="preserve">材料</t>
    </r>
    <r>
      <rPr>
        <sz val="10"/>
        <color rgb="FF243447"/>
        <rFont val="Microsoft YaHei"/>
        <family val="2"/>
        <charset val="1"/>
      </rPr>
      <t xml:space="preserve">/Berkshire_2026Q2</t>
    </r>
    <r>
      <rPr>
        <sz val="10"/>
        <color rgb="FF243447"/>
        <rFont val="Noto Sans CJK SC"/>
        <family val="2"/>
      </rPr>
      <t xml:space="preserve">业绩公告</t>
    </r>
    <r>
      <rPr>
        <sz val="10"/>
        <color rgb="FF243447"/>
        <rFont val="Microsoft YaHei"/>
        <family val="2"/>
        <charset val="1"/>
      </rPr>
      <t xml:space="preserve">__d159922dex991.htm</t>
    </r>
  </si>
  <si>
    <r>
      <rPr>
        <sz val="10"/>
        <color rgb="FF243447"/>
        <rFont val="Microsoft YaHei"/>
        <family val="2"/>
        <charset val="1"/>
      </rPr>
      <t xml:space="preserve">2026</t>
    </r>
    <r>
      <rPr>
        <sz val="10"/>
        <color rgb="FF243447"/>
        <rFont val="Noto Sans CJK SC"/>
        <family val="2"/>
      </rPr>
      <t xml:space="preserve">年</t>
    </r>
    <r>
      <rPr>
        <sz val="10"/>
        <color rgb="FF243447"/>
        <rFont val="Microsoft YaHei"/>
        <family val="2"/>
        <charset val="1"/>
      </rPr>
      <t xml:space="preserve">8</t>
    </r>
    <r>
      <rPr>
        <sz val="10"/>
        <color rgb="FF243447"/>
        <rFont val="Noto Sans CJK SC"/>
        <family val="2"/>
      </rPr>
      <t xml:space="preserve">月</t>
    </r>
    <r>
      <rPr>
        <sz val="10"/>
        <color rgb="FF243447"/>
        <rFont val="Microsoft YaHei"/>
        <family val="2"/>
        <charset val="1"/>
      </rPr>
      <t xml:space="preserve">8</t>
    </r>
    <r>
      <rPr>
        <sz val="10"/>
        <color rgb="FF243447"/>
        <rFont val="Noto Sans CJK SC"/>
        <family val="2"/>
      </rPr>
      <t xml:space="preserve">日业绩公告—</t>
    </r>
    <r>
      <rPr>
        <sz val="10"/>
        <color rgb="FF243447"/>
        <rFont val="Microsoft YaHei"/>
        <family val="2"/>
        <charset val="1"/>
      </rPr>
      <t xml:space="preserve">Operating earnings</t>
    </r>
    <r>
      <rPr>
        <sz val="10"/>
        <color rgb="FF243447"/>
        <rFont val="Noto Sans CJK SC"/>
        <family val="2"/>
      </rPr>
      <t xml:space="preserve">及回购说明</t>
    </r>
  </si>
  <si>
    <t xml:space="preserve">LETTER25</t>
  </si>
  <si>
    <r>
      <rPr>
        <sz val="10"/>
        <color rgb="FF243447"/>
        <rFont val="Noto Sans CJK SC"/>
        <family val="2"/>
      </rPr>
      <t xml:space="preserve">材料</t>
    </r>
    <r>
      <rPr>
        <sz val="10"/>
        <color rgb="FF243447"/>
        <rFont val="Microsoft YaHei"/>
        <family val="2"/>
        <charset val="1"/>
      </rPr>
      <t xml:space="preserve">/</t>
    </r>
    <r>
      <rPr>
        <sz val="10"/>
        <color rgb="FF243447"/>
        <rFont val="Noto Sans CJK SC"/>
        <family val="2"/>
      </rPr>
      <t xml:space="preserve">股东信</t>
    </r>
    <r>
      <rPr>
        <sz val="10"/>
        <color rgb="FF243447"/>
        <rFont val="Microsoft YaHei"/>
        <family val="2"/>
        <charset val="1"/>
      </rPr>
      <t xml:space="preserve">/2025ltr.pdf</t>
    </r>
  </si>
  <si>
    <r>
      <rPr>
        <sz val="10"/>
        <color rgb="FF243447"/>
        <rFont val="Microsoft YaHei"/>
        <family val="2"/>
        <charset val="1"/>
      </rPr>
      <t xml:space="preserve">Greg Abel</t>
    </r>
    <r>
      <rPr>
        <sz val="10"/>
        <color rgb="FF243447"/>
        <rFont val="Noto Sans CJK SC"/>
        <family val="2"/>
      </rPr>
      <t xml:space="preserve">首封年度股东信—文化、资本配置与业务讨论</t>
    </r>
  </si>
  <si>
    <t xml:space="preserve">自动校验｜公式、对账与来源完整性</t>
  </si>
  <si>
    <r>
      <rPr>
        <sz val="11"/>
        <color rgb="FF66788A"/>
        <rFont val="Noto Sans CJK SC"/>
        <family val="2"/>
      </rPr>
      <t xml:space="preserve">所有检查项应为</t>
    </r>
    <r>
      <rPr>
        <sz val="11"/>
        <color rgb="FF66788A"/>
        <rFont val="Microsoft YaHei"/>
        <family val="2"/>
        <charset val="1"/>
      </rPr>
      <t xml:space="preserve">0</t>
    </r>
    <r>
      <rPr>
        <sz val="11"/>
        <color rgb="FF66788A"/>
        <rFont val="Noto Sans CJK SC"/>
        <family val="2"/>
      </rPr>
      <t xml:space="preserve">；总状态为</t>
    </r>
    <r>
      <rPr>
        <sz val="11"/>
        <color rgb="FF66788A"/>
        <rFont val="Microsoft YaHei"/>
        <family val="2"/>
        <charset val="1"/>
      </rPr>
      <t xml:space="preserve">PASS</t>
    </r>
    <r>
      <rPr>
        <sz val="11"/>
        <color rgb="FF66788A"/>
        <rFont val="Noto Sans CJK SC"/>
        <family val="2"/>
      </rPr>
      <t xml:space="preserve">才通过。另在外部用</t>
    </r>
    <r>
      <rPr>
        <sz val="11"/>
        <color rgb="FF66788A"/>
        <rFont val="Microsoft YaHei"/>
        <family val="2"/>
        <charset val="1"/>
      </rPr>
      <t xml:space="preserve">LibreOffice</t>
    </r>
    <r>
      <rPr>
        <sz val="11"/>
        <color rgb="FF66788A"/>
        <rFont val="Noto Sans CJK SC"/>
        <family val="2"/>
      </rPr>
      <t xml:space="preserve">重算并扫描错误值。</t>
    </r>
  </si>
  <si>
    <t xml:space="preserve">检查项</t>
  </si>
  <si>
    <t xml:space="preserve">结果</t>
  </si>
  <si>
    <t xml:space="preserve">目标</t>
  </si>
  <si>
    <r>
      <rPr>
        <b val="true"/>
        <sz val="10"/>
        <color rgb="FF243447"/>
        <rFont val="Noto Sans CJK SC"/>
        <family val="2"/>
      </rPr>
      <t xml:space="preserve">归母净利润对账｜</t>
    </r>
    <r>
      <rPr>
        <b val="true"/>
        <sz val="10"/>
        <color rgb="FF243447"/>
        <rFont val="Microsoft YaHei"/>
        <family val="2"/>
        <charset val="1"/>
      </rPr>
      <t xml:space="preserve">2021</t>
    </r>
    <r>
      <rPr>
        <b val="true"/>
        <sz val="10"/>
        <color rgb="FF243447"/>
        <rFont val="Noto Sans CJK SC"/>
        <family val="2"/>
      </rPr>
      <t xml:space="preserve">年</t>
    </r>
  </si>
  <si>
    <t xml:space="preserve">公司经营利润＋投资损益＋权益法投资减值＝归母净利润</t>
  </si>
  <si>
    <r>
      <rPr>
        <b val="true"/>
        <sz val="10"/>
        <color rgb="FF243447"/>
        <rFont val="Noto Sans CJK SC"/>
        <family val="2"/>
      </rPr>
      <t xml:space="preserve">归母净利润对账｜</t>
    </r>
    <r>
      <rPr>
        <b val="true"/>
        <sz val="10"/>
        <color rgb="FF243447"/>
        <rFont val="Microsoft YaHei"/>
        <family val="2"/>
        <charset val="1"/>
      </rPr>
      <t xml:space="preserve">2022</t>
    </r>
    <r>
      <rPr>
        <b val="true"/>
        <sz val="10"/>
        <color rgb="FF243447"/>
        <rFont val="Noto Sans CJK SC"/>
        <family val="2"/>
      </rPr>
      <t xml:space="preserve">年</t>
    </r>
  </si>
  <si>
    <r>
      <rPr>
        <b val="true"/>
        <sz val="10"/>
        <color rgb="FF243447"/>
        <rFont val="Noto Sans CJK SC"/>
        <family val="2"/>
      </rPr>
      <t xml:space="preserve">归母净利润对账｜</t>
    </r>
    <r>
      <rPr>
        <b val="true"/>
        <sz val="10"/>
        <color rgb="FF243447"/>
        <rFont val="Microsoft YaHei"/>
        <family val="2"/>
        <charset val="1"/>
      </rPr>
      <t xml:space="preserve">2023</t>
    </r>
    <r>
      <rPr>
        <b val="true"/>
        <sz val="10"/>
        <color rgb="FF243447"/>
        <rFont val="Noto Sans CJK SC"/>
        <family val="2"/>
      </rPr>
      <t xml:space="preserve">年</t>
    </r>
  </si>
  <si>
    <r>
      <rPr>
        <b val="true"/>
        <sz val="10"/>
        <color rgb="FF243447"/>
        <rFont val="Noto Sans CJK SC"/>
        <family val="2"/>
      </rPr>
      <t xml:space="preserve">归母净利润对账｜</t>
    </r>
    <r>
      <rPr>
        <b val="true"/>
        <sz val="10"/>
        <color rgb="FF243447"/>
        <rFont val="Microsoft YaHei"/>
        <family val="2"/>
        <charset val="1"/>
      </rPr>
      <t xml:space="preserve">2024</t>
    </r>
    <r>
      <rPr>
        <b val="true"/>
        <sz val="10"/>
        <color rgb="FF243447"/>
        <rFont val="Noto Sans CJK SC"/>
        <family val="2"/>
      </rPr>
      <t xml:space="preserve">年</t>
    </r>
  </si>
  <si>
    <r>
      <rPr>
        <b val="true"/>
        <sz val="10"/>
        <color rgb="FF243447"/>
        <rFont val="Noto Sans CJK SC"/>
        <family val="2"/>
      </rPr>
      <t xml:space="preserve">归母净利润对账｜</t>
    </r>
    <r>
      <rPr>
        <b val="true"/>
        <sz val="10"/>
        <color rgb="FF243447"/>
        <rFont val="Microsoft YaHei"/>
        <family val="2"/>
        <charset val="1"/>
      </rPr>
      <t xml:space="preserve">2025</t>
    </r>
    <r>
      <rPr>
        <b val="true"/>
        <sz val="10"/>
        <color rgb="FF243447"/>
        <rFont val="Noto Sans CJK SC"/>
        <family val="2"/>
      </rPr>
      <t xml:space="preserve">年</t>
    </r>
  </si>
  <si>
    <r>
      <rPr>
        <b val="true"/>
        <sz val="10"/>
        <color rgb="FF243447"/>
        <rFont val="Noto Sans CJK SC"/>
        <family val="2"/>
      </rPr>
      <t xml:space="preserve">归母净利润对账｜</t>
    </r>
    <r>
      <rPr>
        <b val="true"/>
        <sz val="10"/>
        <color rgb="FF243447"/>
        <rFont val="Microsoft YaHei"/>
        <family val="2"/>
        <charset val="1"/>
      </rPr>
      <t xml:space="preserve">2025</t>
    </r>
    <r>
      <rPr>
        <b val="true"/>
        <sz val="10"/>
        <color rgb="FF243447"/>
        <rFont val="Noto Sans CJK SC"/>
        <family val="2"/>
      </rPr>
      <t xml:space="preserve">年上半年</t>
    </r>
  </si>
  <si>
    <r>
      <rPr>
        <b val="true"/>
        <sz val="10"/>
        <color rgb="FF243447"/>
        <rFont val="Noto Sans CJK SC"/>
        <family val="2"/>
      </rPr>
      <t xml:space="preserve">归母净利润对账｜</t>
    </r>
    <r>
      <rPr>
        <b val="true"/>
        <sz val="10"/>
        <color rgb="FF243447"/>
        <rFont val="Microsoft YaHei"/>
        <family val="2"/>
        <charset val="1"/>
      </rPr>
      <t xml:space="preserve">2026</t>
    </r>
    <r>
      <rPr>
        <b val="true"/>
        <sz val="10"/>
        <color rgb="FF243447"/>
        <rFont val="Noto Sans CJK SC"/>
        <family val="2"/>
      </rPr>
      <t xml:space="preserve">年上半年</t>
    </r>
  </si>
  <si>
    <r>
      <rPr>
        <b val="true"/>
        <sz val="10"/>
        <color rgb="FF243447"/>
        <rFont val="Noto Sans CJK SC"/>
        <family val="2"/>
      </rPr>
      <t xml:space="preserve">股票行业合计对账｜</t>
    </r>
    <r>
      <rPr>
        <b val="true"/>
        <sz val="10"/>
        <color rgb="FF243447"/>
        <rFont val="Microsoft YaHei"/>
        <family val="2"/>
        <charset val="1"/>
      </rPr>
      <t xml:space="preserve">2021</t>
    </r>
    <r>
      <rPr>
        <b val="true"/>
        <sz val="10"/>
        <color rgb="FF243447"/>
        <rFont val="Noto Sans CJK SC"/>
        <family val="2"/>
      </rPr>
      <t xml:space="preserve">年</t>
    </r>
  </si>
  <si>
    <t xml:space="preserve">三行业之和＝披露合计</t>
  </si>
  <si>
    <r>
      <rPr>
        <b val="true"/>
        <sz val="10"/>
        <color rgb="FF243447"/>
        <rFont val="Noto Sans CJK SC"/>
        <family val="2"/>
      </rPr>
      <t xml:space="preserve">股票行业合计对账｜</t>
    </r>
    <r>
      <rPr>
        <b val="true"/>
        <sz val="10"/>
        <color rgb="FF243447"/>
        <rFont val="Microsoft YaHei"/>
        <family val="2"/>
        <charset val="1"/>
      </rPr>
      <t xml:space="preserve">2022</t>
    </r>
    <r>
      <rPr>
        <b val="true"/>
        <sz val="10"/>
        <color rgb="FF243447"/>
        <rFont val="Noto Sans CJK SC"/>
        <family val="2"/>
      </rPr>
      <t xml:space="preserve">年</t>
    </r>
  </si>
  <si>
    <r>
      <rPr>
        <b val="true"/>
        <sz val="10"/>
        <color rgb="FF243447"/>
        <rFont val="Noto Sans CJK SC"/>
        <family val="2"/>
      </rPr>
      <t xml:space="preserve">股票行业合计对账｜</t>
    </r>
    <r>
      <rPr>
        <b val="true"/>
        <sz val="10"/>
        <color rgb="FF243447"/>
        <rFont val="Microsoft YaHei"/>
        <family val="2"/>
        <charset val="1"/>
      </rPr>
      <t xml:space="preserve">2023</t>
    </r>
    <r>
      <rPr>
        <b val="true"/>
        <sz val="10"/>
        <color rgb="FF243447"/>
        <rFont val="Noto Sans CJK SC"/>
        <family val="2"/>
      </rPr>
      <t xml:space="preserve">年</t>
    </r>
  </si>
  <si>
    <r>
      <rPr>
        <b val="true"/>
        <sz val="10"/>
        <color rgb="FF243447"/>
        <rFont val="Noto Sans CJK SC"/>
        <family val="2"/>
      </rPr>
      <t xml:space="preserve">股票行业合计对账｜</t>
    </r>
    <r>
      <rPr>
        <b val="true"/>
        <sz val="10"/>
        <color rgb="FF243447"/>
        <rFont val="Microsoft YaHei"/>
        <family val="2"/>
        <charset val="1"/>
      </rPr>
      <t xml:space="preserve">2024</t>
    </r>
    <r>
      <rPr>
        <b val="true"/>
        <sz val="10"/>
        <color rgb="FF243447"/>
        <rFont val="Noto Sans CJK SC"/>
        <family val="2"/>
      </rPr>
      <t xml:space="preserve">年</t>
    </r>
  </si>
  <si>
    <r>
      <rPr>
        <b val="true"/>
        <sz val="10"/>
        <color rgb="FF243447"/>
        <rFont val="Noto Sans CJK SC"/>
        <family val="2"/>
      </rPr>
      <t xml:space="preserve">股票行业合计对账｜</t>
    </r>
    <r>
      <rPr>
        <b val="true"/>
        <sz val="10"/>
        <color rgb="FF243447"/>
        <rFont val="Microsoft YaHei"/>
        <family val="2"/>
        <charset val="1"/>
      </rPr>
      <t xml:space="preserve">2025</t>
    </r>
    <r>
      <rPr>
        <b val="true"/>
        <sz val="10"/>
        <color rgb="FF243447"/>
        <rFont val="Noto Sans CJK SC"/>
        <family val="2"/>
      </rPr>
      <t xml:space="preserve">年</t>
    </r>
  </si>
  <si>
    <r>
      <rPr>
        <b val="true"/>
        <sz val="10"/>
        <color rgb="FF243447"/>
        <rFont val="Noto Sans CJK SC"/>
        <family val="2"/>
      </rPr>
      <t xml:space="preserve">股票行业合计对账｜</t>
    </r>
    <r>
      <rPr>
        <b val="true"/>
        <sz val="10"/>
        <color rgb="FF243447"/>
        <rFont val="Microsoft YaHei"/>
        <family val="2"/>
        <charset val="1"/>
      </rPr>
      <t xml:space="preserve">2026</t>
    </r>
    <r>
      <rPr>
        <b val="true"/>
        <sz val="10"/>
        <color rgb="FF243447"/>
        <rFont val="Noto Sans CJK SC"/>
        <family val="2"/>
      </rPr>
      <t xml:space="preserve">年上半年</t>
    </r>
  </si>
  <si>
    <t xml:space="preserve">数据键重复数</t>
  </si>
  <si>
    <t xml:space="preserve">指标＋期间应唯一</t>
  </si>
  <si>
    <t xml:space="preserve">来源编号空白数</t>
  </si>
  <si>
    <t xml:space="preserve">每个原始数值必须有来源编号</t>
  </si>
  <si>
    <t xml:space="preserve">分部利润公式错误数</t>
  </si>
  <si>
    <r>
      <rPr>
        <sz val="10"/>
        <color rgb="FF243447"/>
        <rFont val="Noto Sans CJK SC"/>
        <family val="2"/>
      </rPr>
      <t xml:space="preserve">不得出现</t>
    </r>
    <r>
      <rPr>
        <sz val="10"/>
        <color rgb="FF243447"/>
        <rFont val="Microsoft YaHei"/>
        <family val="2"/>
        <charset val="1"/>
      </rPr>
      <t xml:space="preserve">#REF!</t>
    </r>
    <r>
      <rPr>
        <sz val="10"/>
        <color rgb="FF243447"/>
        <rFont val="Noto Sans CJK SC"/>
        <family val="2"/>
      </rPr>
      <t xml:space="preserve">、</t>
    </r>
    <r>
      <rPr>
        <sz val="10"/>
        <color rgb="FF243447"/>
        <rFont val="Microsoft YaHei"/>
        <family val="2"/>
        <charset val="1"/>
      </rPr>
      <t xml:space="preserve">#DIV/0!</t>
    </r>
    <r>
      <rPr>
        <sz val="10"/>
        <color rgb="FF243447"/>
        <rFont val="Noto Sans CJK SC"/>
        <family val="2"/>
      </rPr>
      <t xml:space="preserve">、</t>
    </r>
    <r>
      <rPr>
        <sz val="10"/>
        <color rgb="FF243447"/>
        <rFont val="Microsoft YaHei"/>
        <family val="2"/>
        <charset val="1"/>
      </rPr>
      <t xml:space="preserve">#VALUE!</t>
    </r>
    <r>
      <rPr>
        <sz val="10"/>
        <color rgb="FF243447"/>
        <rFont val="Noto Sans CJK SC"/>
        <family val="2"/>
      </rPr>
      <t xml:space="preserve">等</t>
    </r>
  </si>
  <si>
    <t xml:space="preserve">资产负债公式错误数</t>
  </si>
  <si>
    <t xml:space="preserve">不得出现公式错误值</t>
  </si>
  <si>
    <t xml:space="preserve">变化页公式错误数</t>
  </si>
  <si>
    <t xml:space="preserve">总状态</t>
  </si>
  <si>
    <r>
      <rPr>
        <b val="true"/>
        <sz val="10"/>
        <color rgb="FF243447"/>
        <rFont val="Microsoft YaHei"/>
        <family val="2"/>
        <charset val="1"/>
      </rPr>
      <t xml:space="preserve">PASS</t>
    </r>
    <r>
      <rPr>
        <b val="true"/>
        <sz val="10"/>
        <color rgb="FF243447"/>
        <rFont val="Noto Sans CJK SC"/>
        <family val="2"/>
      </rPr>
      <t xml:space="preserve">表示当前工作簿内对账及结构检查通过</t>
    </r>
  </si>
</sst>
</file>

<file path=xl/styles.xml><?xml version="1.0" encoding="utf-8"?>
<styleSheet xmlns="http://schemas.openxmlformats.org/spreadsheetml/2006/main">
  <numFmts count="9">
    <numFmt numFmtId="164" formatCode="General"/>
    <numFmt numFmtId="165" formatCode="#,##0.0"/>
    <numFmt numFmtId="166" formatCode="#,##0;[RED]\-#,##0;\—"/>
    <numFmt numFmtId="167" formatCode="0.0%"/>
    <numFmt numFmtId="168" formatCode="0.0"/>
    <numFmt numFmtId="169" formatCode="\$#,##0;[RED]&quot;-$&quot;#,##0;\—"/>
    <numFmt numFmtId="170" formatCode="0.0%;[RED]\-0.0%;\—"/>
    <numFmt numFmtId="171" formatCode="0%"/>
    <numFmt numFmtId="172" formatCode="#,##0"/>
  </numFmts>
  <fonts count="26">
    <font>
      <sz val="11"/>
      <color theme="1"/>
      <name val="Noto Sans CJK SC"/>
      <family val="2"/>
    </font>
    <font>
      <sz val="10"/>
      <name val="Arial"/>
      <family val="0"/>
    </font>
    <font>
      <sz val="10"/>
      <name val="Arial"/>
      <family val="0"/>
    </font>
    <font>
      <sz val="10"/>
      <name val="Arial"/>
      <family val="0"/>
    </font>
    <font>
      <b val="true"/>
      <sz val="24"/>
      <color rgb="FF17324D"/>
      <name val="Noto Sans CJK SC"/>
      <family val="2"/>
    </font>
    <font>
      <sz val="11"/>
      <color rgb="FF66788A"/>
      <name val="Microsoft YaHei"/>
      <family val="2"/>
      <charset val="1"/>
    </font>
    <font>
      <sz val="11"/>
      <color rgb="FF66788A"/>
      <name val="Noto Sans CJK SC"/>
      <family val="2"/>
    </font>
    <font>
      <sz val="10"/>
      <color rgb="FF243447"/>
      <name val="Noto Sans CJK SC"/>
      <family val="2"/>
    </font>
    <font>
      <b val="true"/>
      <sz val="19"/>
      <color rgb="FF2D6CDF"/>
      <name val="Microsoft YaHei"/>
      <family val="2"/>
      <charset val="1"/>
    </font>
    <font>
      <sz val="9"/>
      <color rgb="FF66788A"/>
      <name val="Noto Sans CJK SC"/>
      <family val="2"/>
    </font>
    <font>
      <sz val="9"/>
      <color rgb="FF66788A"/>
      <name val="Microsoft YaHei"/>
      <family val="2"/>
      <charset val="1"/>
    </font>
    <font>
      <b val="true"/>
      <sz val="13"/>
      <color rgb="FFFFFFFF"/>
      <name val="Noto Sans CJK SC"/>
      <family val="2"/>
    </font>
    <font>
      <b val="true"/>
      <sz val="10"/>
      <color rgb="FFFFFFFF"/>
      <name val="Microsoft YaHei"/>
      <family val="2"/>
      <charset val="1"/>
    </font>
    <font>
      <b val="true"/>
      <sz val="10"/>
      <color rgb="FF243447"/>
      <name val="Noto Sans CJK SC"/>
      <family val="2"/>
    </font>
    <font>
      <b val="true"/>
      <sz val="10"/>
      <color rgb="FF243447"/>
      <name val="Microsoft YaHei"/>
      <family val="2"/>
      <charset val="1"/>
    </font>
    <font>
      <sz val="10"/>
      <color rgb="FF243447"/>
      <name val="Microsoft YaHei"/>
      <family val="2"/>
      <charset val="1"/>
    </font>
    <font>
      <sz val="11"/>
      <color theme="1"/>
      <name val="Calibri"/>
      <family val="2"/>
      <charset val="1"/>
    </font>
    <font>
      <sz val="10"/>
      <name val="Noto Sans CJK SC"/>
      <family val="2"/>
    </font>
    <font>
      <sz val="10"/>
      <name val="Arial"/>
      <family val="2"/>
    </font>
    <font>
      <b val="true"/>
      <sz val="10"/>
      <color rgb="FFFFFFFF"/>
      <name val="Noto Sans CJK SC"/>
      <family val="2"/>
    </font>
    <font>
      <b val="true"/>
      <sz val="24"/>
      <color rgb="FF17324D"/>
      <name val="Microsoft YaHei"/>
      <family val="2"/>
      <charset val="1"/>
    </font>
    <font>
      <b val="true"/>
      <sz val="13"/>
      <color rgb="FFFFFFFF"/>
      <name val="Microsoft YaHei"/>
      <family val="2"/>
      <charset val="1"/>
    </font>
    <font>
      <b val="true"/>
      <sz val="18"/>
      <color rgb="FF000000"/>
      <name val="Noto Sans CJK SC"/>
      <family val="2"/>
    </font>
    <font>
      <b val="true"/>
      <sz val="18"/>
      <color rgb="FF000000"/>
      <name val="Calibri"/>
      <family val="2"/>
    </font>
    <font>
      <sz val="10"/>
      <color rgb="FF000000"/>
      <name val="Noto Sans CJK SC"/>
      <family val="2"/>
    </font>
    <font>
      <b val="true"/>
      <sz val="10"/>
      <color rgb="FF216E39"/>
      <name val="Microsoft YaHei"/>
      <family val="2"/>
      <charset val="1"/>
    </font>
  </fonts>
  <fills count="11">
    <fill>
      <patternFill patternType="none"/>
    </fill>
    <fill>
      <patternFill patternType="gray125"/>
    </fill>
    <fill>
      <patternFill patternType="solid">
        <fgColor rgb="FFE8F1FF"/>
        <bgColor rgb="FFEEF3F7"/>
      </patternFill>
    </fill>
    <fill>
      <patternFill patternType="solid">
        <fgColor rgb="FF17324D"/>
        <bgColor rgb="FF243447"/>
      </patternFill>
    </fill>
    <fill>
      <patternFill patternType="solid">
        <fgColor rgb="FF2D6CDF"/>
        <bgColor rgb="FF0066CC"/>
      </patternFill>
    </fill>
    <fill>
      <patternFill patternType="solid">
        <fgColor rgb="FFEEF3F7"/>
        <bgColor rgb="FFE8F1FF"/>
      </patternFill>
    </fill>
    <fill>
      <patternFill patternType="solid">
        <fgColor rgb="FFFFF3C4"/>
        <bgColor rgb="FFFCE3CF"/>
      </patternFill>
    </fill>
    <fill>
      <patternFill patternType="solid">
        <fgColor rgb="FFFCE3CF"/>
        <bgColor rgb="FFFCE1E1"/>
      </patternFill>
    </fill>
    <fill>
      <patternFill patternType="solid">
        <fgColor rgb="FFF5F7FA"/>
        <bgColor rgb="FFF9F9F9"/>
      </patternFill>
    </fill>
    <fill>
      <patternFill patternType="solid">
        <fgColor rgb="FFDCE9F8"/>
        <bgColor rgb="FFE5EBF0"/>
      </patternFill>
    </fill>
    <fill>
      <patternFill patternType="solid">
        <fgColor rgb="FFDDF3E5"/>
        <bgColor rgb="FFE5EBF0"/>
      </patternFill>
    </fill>
  </fills>
  <borders count="5">
    <border diagonalUp="false" diagonalDown="false">
      <left/>
      <right/>
      <top/>
      <bottom/>
      <diagonal/>
    </border>
    <border diagonalUp="false" diagonalDown="false">
      <left style="thin">
        <color rgb="FFD7E0E8"/>
      </left>
      <right style="thin">
        <color rgb="FFD7E0E8"/>
      </right>
      <top style="thin">
        <color rgb="FFD7E0E8"/>
      </top>
      <bottom style="thin">
        <color rgb="FFD7E0E8"/>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2D6CDF"/>
      </left>
      <right style="thin">
        <color rgb="FF2D6CDF"/>
      </right>
      <top style="thin">
        <color rgb="FF2D6CDF"/>
      </top>
      <bottom style="thin">
        <color rgb="FF2D6CDF"/>
      </bottom>
      <diagonal/>
    </border>
    <border diagonalUp="false" diagonalDown="false">
      <left style="thin">
        <color rgb="FFE7B44A"/>
      </left>
      <right style="thin">
        <color rgb="FFE7B44A"/>
      </right>
      <top style="thin">
        <color rgb="FFE7B44A"/>
      </top>
      <bottom style="thin">
        <color rgb="FFE7B4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8"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9" fillId="8"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6" fontId="15" fillId="6"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6" fontId="15" fillId="2" borderId="1" xfId="0" applyFont="true" applyBorder="true" applyAlignment="true" applyProtection="false">
      <alignment horizontal="general" vertical="center" textRotation="0" wrapText="false" indent="0" shrinkToFit="false"/>
      <protection locked="true" hidden="false"/>
    </xf>
    <xf numFmtId="167" fontId="15" fillId="6" borderId="1"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19" fillId="4" borderId="2" xfId="0" applyFont="true" applyBorder="true" applyAlignment="true" applyProtection="false">
      <alignment horizontal="center" vertical="center" textRotation="0" wrapText="true" indent="0" shrinkToFit="false"/>
      <protection locked="true" hidden="false"/>
    </xf>
    <xf numFmtId="164" fontId="13" fillId="9" borderId="3" xfId="0" applyFont="true" applyBorder="true" applyAlignment="true" applyProtection="false">
      <alignment horizontal="general" vertical="center" textRotation="0" wrapText="true" indent="0" shrinkToFit="false"/>
      <protection locked="true" hidden="false"/>
    </xf>
    <xf numFmtId="166" fontId="14" fillId="9" borderId="3" xfId="0" applyFont="true" applyBorder="true" applyAlignment="true" applyProtection="false">
      <alignment horizontal="general" vertical="center" textRotation="0" wrapText="false" indent="0" shrinkToFit="false"/>
      <protection locked="true" hidden="false"/>
    </xf>
    <xf numFmtId="168" fontId="15" fillId="2" borderId="1" xfId="0" applyFont="true" applyBorder="true" applyAlignment="true" applyProtection="false">
      <alignment horizontal="general" vertical="center" textRotation="0" wrapText="false" indent="0" shrinkToFit="false"/>
      <protection locked="true" hidden="false"/>
    </xf>
    <xf numFmtId="169" fontId="15" fillId="2" borderId="1" xfId="0" applyFont="true" applyBorder="true" applyAlignment="true" applyProtection="false">
      <alignment horizontal="general" vertical="center" textRotation="0" wrapText="false" indent="0" shrinkToFit="false"/>
      <protection locked="true" hidden="false"/>
    </xf>
    <xf numFmtId="170" fontId="15" fillId="2" borderId="1" xfId="0" applyFont="true" applyBorder="true" applyAlignment="true" applyProtection="false">
      <alignment horizontal="general" vertical="center" textRotation="0" wrapText="false" indent="0" shrinkToFit="false"/>
      <protection locked="true" hidden="false"/>
    </xf>
    <xf numFmtId="164" fontId="10" fillId="8" borderId="0" xfId="0" applyFont="true" applyBorder="true" applyAlignment="true" applyProtection="false">
      <alignment horizontal="general" vertical="center" textRotation="0" wrapText="true" indent="0" shrinkToFit="false"/>
      <protection locked="true" hidden="false"/>
    </xf>
    <xf numFmtId="164" fontId="20" fillId="0" borderId="0" xfId="0" applyFont="true" applyBorder="true" applyAlignment="true" applyProtection="false">
      <alignment horizontal="general" vertical="center" textRotation="0" wrapText="false" indent="0" shrinkToFit="false"/>
      <protection locked="true" hidden="false"/>
    </xf>
    <xf numFmtId="164" fontId="14" fillId="5" borderId="1" xfId="0" applyFont="true" applyBorder="true" applyAlignment="true" applyProtection="false">
      <alignment horizontal="general" vertical="center" textRotation="0" wrapText="true" indent="0" shrinkToFit="false"/>
      <protection locked="true" hidden="false"/>
    </xf>
    <xf numFmtId="164" fontId="21" fillId="3" borderId="0" xfId="0" applyFont="true" applyBorder="true" applyAlignment="true" applyProtection="false">
      <alignment horizontal="left" vertical="center" textRotation="0" wrapText="false" indent="0" shrinkToFit="false"/>
      <protection locked="true" hidden="false"/>
    </xf>
    <xf numFmtId="167" fontId="14" fillId="7" borderId="4" xfId="0" applyFont="true" applyBorder="true" applyAlignment="true" applyProtection="false">
      <alignment horizontal="general" vertical="center" textRotation="0" wrapText="false" indent="0" shrinkToFit="false"/>
      <protection locked="true" hidden="false"/>
    </xf>
    <xf numFmtId="172" fontId="14" fillId="7" borderId="4" xfId="0" applyFont="true" applyBorder="true" applyAlignment="true" applyProtection="false">
      <alignment horizontal="general" vertical="center" textRotation="0" wrapText="false" indent="0" shrinkToFit="false"/>
      <protection locked="true" hidden="false"/>
    </xf>
    <xf numFmtId="164" fontId="14" fillId="9" borderId="3" xfId="0" applyFont="true" applyBorder="true" applyAlignment="true" applyProtection="false">
      <alignment horizontal="general" vertical="center" textRotation="0" wrapText="true" indent="0" shrinkToFit="false"/>
      <protection locked="true" hidden="false"/>
    </xf>
    <xf numFmtId="166" fontId="7" fillId="6" borderId="1" xfId="0" applyFont="true" applyBorder="true" applyAlignment="true" applyProtection="false">
      <alignment horizontal="general" vertical="center" textRotation="0" wrapText="false" indent="0" shrinkToFit="false"/>
      <protection locked="true" hidden="false"/>
    </xf>
    <xf numFmtId="164" fontId="25" fillId="1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bgColor rgb="FF000000"/>
        </patternFill>
      </fill>
    </dxf>
    <dxf>
      <fill>
        <patternFill patternType="solid">
          <fgColor rgb="FF000000"/>
          <bgColor rgb="FF000000"/>
        </patternFill>
      </fill>
    </dxf>
    <dxf>
      <fill>
        <patternFill patternType="solid">
          <fgColor rgb="FF243447"/>
          <bgColor rgb="FF000000"/>
        </patternFill>
      </fill>
    </dxf>
    <dxf>
      <fill>
        <patternFill patternType="solid">
          <fgColor rgb="FFE8F1FF"/>
          <bgColor rgb="FF000000"/>
        </patternFill>
      </fill>
    </dxf>
    <dxf>
      <fill>
        <patternFill patternType="solid">
          <fgColor rgb="FFFFF3C4"/>
          <bgColor rgb="FF000000"/>
        </patternFill>
      </fill>
    </dxf>
    <dxf>
      <fill>
        <patternFill patternType="solid">
          <fgColor rgb="FFFF0000"/>
          <bgColor rgb="FF000000"/>
        </patternFill>
      </fill>
    </dxf>
    <dxf>
      <font>
        <color rgb="FFA11E1E"/>
      </font>
      <fill>
        <patternFill>
          <bgColor rgb="FFFCE1E1"/>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7" type="wholeTable"/>
      <tableStyleElement dxfId="8" type="firstColumnStripe"/>
      <tableStyleElement dxfId="9" type="firstRowStripe"/>
      <tableStyleElement dxfId="10" type="lastColumn"/>
      <tableStyleElement dxfId="11" type="firstColumn"/>
      <tableStyleElement dxfId="12" type="headerRow"/>
      <tableStyleElement dxfId="13" type="totalRow"/>
    </tableStyle>
  </tableStyles>
  <colors>
    <indexedColors>
      <rgbColor rgb="FF000000"/>
      <rgbColor rgb="FFFFFFFF"/>
      <rgbColor rgb="FFFF0000"/>
      <rgbColor rgb="FF00FF00"/>
      <rgbColor rgb="FF0000FF"/>
      <rgbColor rgb="FFEEF3F7"/>
      <rgbColor rgb="FFFF00FF"/>
      <rgbColor rgb="FF00FFFF"/>
      <rgbColor rgb="FF800000"/>
      <rgbColor rgb="FF216E39"/>
      <rgbColor rgb="FF000080"/>
      <rgbColor rgb="FF808000"/>
      <rgbColor rgb="FF800080"/>
      <rgbColor rgb="FF149BA6"/>
      <rgbColor rgb="FFD7E0E8"/>
      <rgbColor rgb="FF878787"/>
      <rgbColor rgb="FF9999FF"/>
      <rgbColor rgb="FF993366"/>
      <rgbColor rgb="FFFFF3C4"/>
      <rgbColor rgb="FFE8F1FF"/>
      <rgbColor rgb="FF660066"/>
      <rgbColor rgb="FFFF8080"/>
      <rgbColor rgb="FF0066CC"/>
      <rgbColor rgb="FFD9D9D9"/>
      <rgbColor rgb="FF000080"/>
      <rgbColor rgb="FFFF00FF"/>
      <rgbColor rgb="FFF5F7FA"/>
      <rgbColor rgb="FF00FFFF"/>
      <rgbColor rgb="FF800080"/>
      <rgbColor rgb="FF800000"/>
      <rgbColor rgb="FF008080"/>
      <rgbColor rgb="FF0000FF"/>
      <rgbColor rgb="FF00CCFF"/>
      <rgbColor rgb="FFDCE9F8"/>
      <rgbColor rgb="FFDDF3E5"/>
      <rgbColor rgb="FFF9F9F9"/>
      <rgbColor rgb="FF95B3D7"/>
      <rgbColor rgb="FFFCE1E1"/>
      <rgbColor rgb="FFE5EBF0"/>
      <rgbColor rgb="FFFCE3CF"/>
      <rgbColor rgb="FF2D6CDF"/>
      <rgbColor rgb="FF33CCCC"/>
      <rgbColor rgb="FF99CC00"/>
      <rgbColor rgb="FFE7B44A"/>
      <rgbColor rgb="FFFF9900"/>
      <rgbColor rgb="FFFF6600"/>
      <rgbColor rgb="FF66788A"/>
      <rgbColor rgb="FF969696"/>
      <rgbColor rgb="FF17324D"/>
      <rgbColor rgb="FF4F81BD"/>
      <rgbColor rgb="FF003300"/>
      <rgbColor rgb="FF333300"/>
      <rgbColor rgb="FFA11E1E"/>
      <rgbColor rgb="FF993366"/>
      <rgbColor rgb="FF333399"/>
      <rgbColor rgb="FF2434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核心五项：2026H1同比</a:t>
            </a:r>
          </a:p>
        </c:rich>
      </c:tx>
      <c:overlay val="0"/>
      <c:spPr>
        <a:noFill/>
        <a:ln w="0">
          <a:noFill/>
        </a:ln>
      </c:spPr>
    </c:title>
    <c:autoTitleDeleted val="0"/>
    <c:plotArea>
      <c:barChart>
        <c:barDir val="bar"/>
        <c:grouping val="clustered"/>
        <c:varyColors val="0"/>
        <c:ser>
          <c:idx val="0"/>
          <c:order val="0"/>
          <c:tx>
            <c:strRef>
              <c:f>"2026H1核心利润同比"</c:f>
              <c:strCache>
                <c:ptCount val="1"/>
                <c:pt idx="0">
                  <c:v>2026H1核心利润同比</c:v>
                </c:pt>
              </c:strCache>
            </c:strRef>
          </c:tx>
          <c:spPr>
            <a:solidFill>
              <a:srgbClr val="2D6CDF"/>
            </a:solidFill>
            <a:ln w="12600">
              <a:noFill/>
            </a:ln>
          </c:spPr>
          <c:invertIfNegative val="0"/>
          <c:dLbls>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extLst>
              <c:ext xmlns:c15="http://schemas.microsoft.com/office/drawing/2012/chart" uri="{CE6537A1-D6FC-4f65-9D91-7224C49458BB}">
                <c15:showLeaderLines val="0"/>
              </c:ext>
            </c:extLst>
          </c:dLbls>
          <c:cat>
            <c:strRef>
              <c:f>变化!$A$6:$A$10</c:f>
              <c:strCache>
                <c:ptCount val="5"/>
                <c:pt idx="0">
                  <c:v>保险承保利润</c:v>
                </c:pt>
                <c:pt idx="1">
                  <c:v>保险投资收益</c:v>
                </c:pt>
                <c:pt idx="2">
                  <c:v>铁路（BNSF）利润</c:v>
                </c:pt>
                <c:pt idx="3">
                  <c:v>能源（BHE）利润</c:v>
                </c:pt>
                <c:pt idx="4">
                  <c:v>制造、服务及零售利润</c:v>
                </c:pt>
              </c:strCache>
            </c:strRef>
          </c:cat>
          <c:val>
            <c:numRef>
              <c:f>变化!$E$6:$E$10</c:f>
              <c:numCache>
                <c:formatCode>0.0%;[RED]\-0.0%;\—</c:formatCode>
                <c:ptCount val="5"/>
                <c:pt idx="0">
                  <c:v>0.0360576923076923</c:v>
                </c:pt>
                <c:pt idx="1">
                  <c:v>-0.0833865814696486</c:v>
                </c:pt>
                <c:pt idx="2">
                  <c:v>0.0951492537313432</c:v>
                </c:pt>
                <c:pt idx="3">
                  <c:v>0.114508060033352</c:v>
                </c:pt>
                <c:pt idx="4">
                  <c:v>0.151328629334935</c:v>
                </c:pt>
              </c:numCache>
            </c:numRef>
          </c:val>
        </c:ser>
        <c:gapWidth val="150"/>
        <c:overlap val="0"/>
        <c:axId val="73347074"/>
        <c:axId val="94987032"/>
      </c:barChart>
      <c:catAx>
        <c:axId val="73347074"/>
        <c:scaling>
          <c:orientation val="maxMin"/>
        </c:scaling>
        <c:delete val="0"/>
        <c:axPos val="b"/>
        <c:numFmt formatCode="General" sourceLinked="1"/>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987032"/>
        <c:crosses val="autoZero"/>
        <c:auto val="1"/>
        <c:lblAlgn val="ctr"/>
        <c:lblOffset val="100"/>
        <c:noMultiLvlLbl val="0"/>
      </c:catAx>
      <c:valAx>
        <c:axId val="94987032"/>
        <c:scaling>
          <c:orientation val="minMax"/>
        </c:scaling>
        <c:delete val="0"/>
        <c:axPos val="l"/>
        <c:numFmt formatCode="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347074"/>
        <c:crosses val="autoZero"/>
        <c:crossBetween val="between"/>
      </c:valAx>
      <c:spPr>
        <a:ln w="0">
          <a:noFill/>
        </a:ln>
      </c:spPr>
    </c:plotArea>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期末流动性与股票组合（百万美元）</a:t>
            </a:r>
          </a:p>
        </c:rich>
      </c:tx>
      <c:overlay val="0"/>
      <c:spPr>
        <a:noFill/>
        <a:ln w="0">
          <a:noFill/>
        </a:ln>
      </c:spPr>
    </c:title>
    <c:autoTitleDeleted val="0"/>
    <c:plotArea>
      <c:lineChart>
        <c:grouping val="standard"/>
        <c:varyColors val="0"/>
        <c:ser>
          <c:idx val="0"/>
          <c:order val="0"/>
          <c:tx>
            <c:strRef>
              <c:f>"现金及短期国债"</c:f>
              <c:strCache>
                <c:ptCount val="1"/>
                <c:pt idx="0">
                  <c:v>现金及短期国债</c:v>
                </c:pt>
              </c:strCache>
            </c:strRef>
          </c:tx>
          <c:spPr>
            <a:ln w="31680">
              <a:solidFill>
                <a:srgbClr val="149BA6"/>
              </a:solidFill>
              <a:round/>
            </a:ln>
          </c:spPr>
          <c:marker>
            <c:symbol val="circle"/>
            <c:size val="6"/>
            <c:spPr>
              <a:solidFill>
                <a:srgbClr val="149BA6"/>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资产负债!$B$4:$G$4</c:f>
              <c:multiLvlStrCache>
                <c:ptCount val="1"/>
                <c:lvl>
                  <c:pt idx="0">
                    <c:v>2026年上半年</c:v>
                  </c:pt>
                </c:lvl>
                <c:lvl>
                  <c:pt idx="0">
                    <c:v>2025年</c:v>
                  </c:pt>
                </c:lvl>
                <c:lvl>
                  <c:pt idx="0">
                    <c:v>2024年</c:v>
                  </c:pt>
                </c:lvl>
                <c:lvl>
                  <c:pt idx="0">
                    <c:v>2023年</c:v>
                  </c:pt>
                </c:lvl>
                <c:lvl>
                  <c:pt idx="0">
                    <c:v>2022年</c:v>
                  </c:pt>
                </c:lvl>
                <c:lvl>
                  <c:pt idx="0">
                    <c:v>2021年</c:v>
                  </c:pt>
                </c:lvl>
              </c:multiLvlStrCache>
            </c:multiLvlStrRef>
          </c:cat>
          <c:val>
            <c:numRef>
              <c:f>资产负债!$B$9:$G$9</c:f>
              <c:numCache>
                <c:formatCode>#,##0;[RED]\-#,##0;\—</c:formatCode>
                <c:ptCount val="6"/>
                <c:pt idx="0">
                  <c:v>146719</c:v>
                </c:pt>
                <c:pt idx="1">
                  <c:v>128585</c:v>
                </c:pt>
                <c:pt idx="2">
                  <c:v>167641</c:v>
                </c:pt>
                <c:pt idx="3">
                  <c:v>334201</c:v>
                </c:pt>
                <c:pt idx="4">
                  <c:v>373311</c:v>
                </c:pt>
                <c:pt idx="5">
                  <c:v>365514</c:v>
                </c:pt>
              </c:numCache>
            </c:numRef>
          </c:val>
          <c:smooth val="0"/>
        </c:ser>
        <c:ser>
          <c:idx val="1"/>
          <c:order val="1"/>
          <c:tx>
            <c:strRef>
              <c:f>"股票组合"</c:f>
              <c:strCache>
                <c:ptCount val="1"/>
                <c:pt idx="0">
                  <c:v>股票组合</c:v>
                </c:pt>
              </c:strCache>
            </c:strRef>
          </c:tx>
          <c:spPr>
            <a:ln w="31680">
              <a:solidFill>
                <a:srgbClr val="E7B44A"/>
              </a:solidFill>
              <a:round/>
            </a:ln>
          </c:spPr>
          <c:marker>
            <c:symbol val="circle"/>
            <c:size val="6"/>
            <c:spPr>
              <a:solidFill>
                <a:srgbClr val="E7B44A"/>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资产负债!$B$4:$G$4</c:f>
              <c:multiLvlStrCache>
                <c:ptCount val="1"/>
                <c:lvl>
                  <c:pt idx="0">
                    <c:v>2026年上半年</c:v>
                  </c:pt>
                </c:lvl>
                <c:lvl>
                  <c:pt idx="0">
                    <c:v>2025年</c:v>
                  </c:pt>
                </c:lvl>
                <c:lvl>
                  <c:pt idx="0">
                    <c:v>2024年</c:v>
                  </c:pt>
                </c:lvl>
                <c:lvl>
                  <c:pt idx="0">
                    <c:v>2023年</c:v>
                  </c:pt>
                </c:lvl>
                <c:lvl>
                  <c:pt idx="0">
                    <c:v>2022年</c:v>
                  </c:pt>
                </c:lvl>
                <c:lvl>
                  <c:pt idx="0">
                    <c:v>2021年</c:v>
                  </c:pt>
                </c:lvl>
              </c:multiLvlStrCache>
            </c:multiLvlStrRef>
          </c:cat>
          <c:val>
            <c:numRef>
              <c:f>资产负债!$B$10:$G$10</c:f>
              <c:numCache>
                <c:formatCode>#,##0;[RED]\-#,##0;\—</c:formatCode>
                <c:ptCount val="6"/>
                <c:pt idx="0">
                  <c:v>350719</c:v>
                </c:pt>
                <c:pt idx="1">
                  <c:v>308793</c:v>
                </c:pt>
                <c:pt idx="2">
                  <c:v>353842</c:v>
                </c:pt>
                <c:pt idx="3">
                  <c:v>271588</c:v>
                </c:pt>
                <c:pt idx="4">
                  <c:v>297778</c:v>
                </c:pt>
                <c:pt idx="5">
                  <c:v>323779</c:v>
                </c:pt>
              </c:numCache>
            </c:numRef>
          </c:val>
          <c:smooth val="0"/>
        </c:ser>
        <c:hiLowLines>
          <c:spPr>
            <a:ln w="0">
              <a:noFill/>
            </a:ln>
          </c:spPr>
        </c:hiLowLines>
        <c:marker val="1"/>
        <c:axId val="50585644"/>
        <c:axId val="59401091"/>
      </c:lineChart>
      <c:catAx>
        <c:axId val="50585644"/>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401091"/>
        <c:crosses val="autoZero"/>
        <c:auto val="1"/>
        <c:lblAlgn val="ctr"/>
        <c:lblOffset val="100"/>
        <c:noMultiLvlLbl val="0"/>
      </c:catAx>
      <c:valAx>
        <c:axId val="59401091"/>
        <c:scaling>
          <c:orientation val="minMax"/>
        </c:scaling>
        <c:delete val="0"/>
        <c:axPos val="l"/>
        <c:majorGridlines>
          <c:spPr>
            <a:ln w="9360">
              <a:solidFill>
                <a:srgbClr val="E5EBF0"/>
              </a:solidFill>
              <a:round/>
            </a:ln>
          </c:spPr>
        </c:majorGridlines>
        <c:numFmt formatCode="#,##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585644"/>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2026H1股票组合行业分布</a:t>
            </a:r>
          </a:p>
        </c:rich>
      </c:tx>
      <c:overlay val="0"/>
      <c:spPr>
        <a:noFill/>
        <a:ln w="0">
          <a:noFill/>
        </a:ln>
      </c:spPr>
    </c:title>
    <c:autoTitleDeleted val="0"/>
    <c:plotArea>
      <c:doughnutChart>
        <c:varyColors val="1"/>
        <c:ser>
          <c:idx val="0"/>
          <c:order val="0"/>
          <c:tx>
            <c:strRef>
              <c:f>"2026H1行业占比"</c:f>
              <c:strCache>
                <c:ptCount val="1"/>
                <c:pt idx="0">
                  <c:v>2026H1行业占比</c:v>
                </c:pt>
              </c:strCache>
            </c:strRef>
          </c:tx>
          <c:spPr>
            <a:ln w="9360">
              <a:solidFill>
                <a:srgbClr val="F9F9F9"/>
              </a:solidFill>
              <a:round/>
            </a:ln>
          </c:spPr>
          <c:explosion val="0"/>
          <c:dPt>
            <c:idx val="0"/>
            <c:spPr>
              <a:solidFill>
                <a:srgbClr val="2D6CDF"/>
              </a:solidFill>
              <a:ln w="9360">
                <a:solidFill>
                  <a:srgbClr val="F9F9F9"/>
                </a:solidFill>
                <a:round/>
              </a:ln>
            </c:spPr>
          </c:dPt>
          <c:dPt>
            <c:idx val="1"/>
            <c:spPr>
              <a:solidFill>
                <a:srgbClr val="E7B44A"/>
              </a:solidFill>
              <a:ln w="9360">
                <a:solidFill>
                  <a:srgbClr val="F9F9F9"/>
                </a:solidFill>
                <a:round/>
              </a:ln>
            </c:spPr>
          </c:dPt>
          <c:dPt>
            <c:idx val="2"/>
            <c:spPr>
              <a:solidFill>
                <a:srgbClr val="149BA6"/>
              </a:solidFill>
              <a:ln w="9360">
                <a:solidFill>
                  <a:srgbClr val="F9F9F9"/>
                </a:solidFill>
                <a:round/>
              </a:ln>
            </c:spPr>
          </c:dPt>
          <c:dLbls>
            <c:dLbl>
              <c:idx val="0"/>
              <c:txPr>
                <a:bodyPr wrap="square"/>
                <a:lstStyle/>
                <a:p>
                  <a:pPr>
                    <a:defRPr sz="1000" b="0" u="none" strike="noStrike">
                      <a:solidFill>
                        <a:srgbClr val="000000"/>
                      </a:solidFill>
                      <a:uFillTx/>
                      <a:latin typeface="Calibri"/>
                    </a:defRPr>
                  </a:pPr>
                </a:p>
              </c:txPr>
              <c:showLegendKey val="0"/>
              <c:showVal val="0"/>
              <c:showCatName val="1"/>
              <c:showSerName val="0"/>
              <c:showPercent val="1"/>
              <c:separator>
</c:separator>
            </c:dLbl>
            <c:dLbl>
              <c:idx val="1"/>
              <c:txPr>
                <a:bodyPr wrap="square"/>
                <a:lstStyle/>
                <a:p>
                  <a:pPr>
                    <a:defRPr sz="1000" b="0" u="none" strike="noStrike">
                      <a:solidFill>
                        <a:srgbClr val="000000"/>
                      </a:solidFill>
                      <a:uFillTx/>
                      <a:latin typeface="Calibri"/>
                    </a:defRPr>
                  </a:pPr>
                </a:p>
              </c:txPr>
              <c:showLegendKey val="0"/>
              <c:showVal val="0"/>
              <c:showCatName val="1"/>
              <c:showSerName val="0"/>
              <c:showPercent val="1"/>
              <c:separator>
</c:separator>
            </c:dLbl>
            <c:dLbl>
              <c:idx val="2"/>
              <c:txPr>
                <a:bodyPr wrap="square"/>
                <a:lstStyle/>
                <a:p>
                  <a:pPr>
                    <a:defRPr sz="1000" b="0" u="none" strike="noStrike">
                      <a:solidFill>
                        <a:srgbClr val="000000"/>
                      </a:solidFill>
                      <a:uFillTx/>
                      <a:latin typeface="Calibri"/>
                    </a:defRPr>
                  </a:pPr>
                </a:p>
              </c:txPr>
              <c:showLegendKey val="0"/>
              <c:showVal val="0"/>
              <c:showCatName val="1"/>
              <c:showSerName val="0"/>
              <c:showPercent val="1"/>
              <c:separator>
</c:separator>
            </c:dLbl>
            <c:txPr>
              <a:bodyPr wrap="square"/>
              <a:lstStyle/>
              <a:p>
                <a:pPr>
                  <a:defRPr sz="1000" b="0" u="none" strike="noStrike">
                    <a:solidFill>
                      <a:srgbClr val="000000"/>
                    </a:solidFill>
                    <a:uFillTx/>
                    <a:latin typeface="Calibri"/>
                  </a:defRPr>
                </a:pPr>
              </a:p>
            </c:txPr>
            <c:showLegendKey val="0"/>
            <c:showVal val="0"/>
            <c:showCatName val="1"/>
            <c:showSerName val="0"/>
            <c:showPercent val="1"/>
            <c:separator>
</c:separator>
            <c:showLeaderLines val="1"/>
            <c:leaderLines>
              <c:spPr>
                <a:ln w="0">
                  <a:solidFill>
                    <a:srgbClr val="F9F9F9"/>
                  </a:solidFill>
                </a:ln>
              </c:spPr>
            </c:leaderLines>
          </c:dLbls>
          <c:cat>
            <c:strRef>
              <c:f>股票组合!$A$12:$A$14</c:f>
              <c:strCache>
                <c:ptCount val="3"/>
                <c:pt idx="0">
                  <c:v>银行、保险及金融占比</c:v>
                </c:pt>
                <c:pt idx="1">
                  <c:v>消费品占比</c:v>
                </c:pt>
                <c:pt idx="2">
                  <c:v>商业、工业及其他占比</c:v>
                </c:pt>
              </c:strCache>
            </c:strRef>
          </c:cat>
          <c:val>
            <c:numRef>
              <c:f>股票组合!$G$12:$G$14</c:f>
              <c:numCache>
                <c:formatCode>0.0%;[RED]\-0.0%;\—</c:formatCode>
                <c:ptCount val="3"/>
                <c:pt idx="0">
                  <c:v>0.291794711825041</c:v>
                </c:pt>
                <c:pt idx="1">
                  <c:v>0.31035366716186</c:v>
                </c:pt>
                <c:pt idx="2">
                  <c:v>0.397851621013098</c:v>
                </c:pt>
              </c:numCache>
            </c:numRef>
          </c:val>
        </c:ser>
        <c:firstSliceAng val="0"/>
        <c:holeSize val="50"/>
      </c:doughnutChart>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0</xdr:rowOff>
    </xdr:from>
    <xdr:to>
      <xdr:col>15</xdr:col>
      <xdr:colOff>304560</xdr:colOff>
      <xdr:row>12</xdr:row>
      <xdr:rowOff>228240</xdr:rowOff>
    </xdr:to>
    <xdr:graphicFrame>
      <xdr:nvGraphicFramePr>
        <xdr:cNvPr id="1" name="Chart 1"/>
        <xdr:cNvGraphicFramePr/>
      </xdr:nvGraphicFramePr>
      <xdr:xfrm>
        <a:off x="10953720" y="828720"/>
        <a:ext cx="6526440" cy="271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18</xdr:row>
      <xdr:rowOff>0</xdr:rowOff>
    </xdr:from>
    <xdr:to>
      <xdr:col>15</xdr:col>
      <xdr:colOff>304560</xdr:colOff>
      <xdr:row>28</xdr:row>
      <xdr:rowOff>95040</xdr:rowOff>
    </xdr:to>
    <xdr:graphicFrame>
      <xdr:nvGraphicFramePr>
        <xdr:cNvPr id="2" name="Chart 2"/>
        <xdr:cNvGraphicFramePr/>
      </xdr:nvGraphicFramePr>
      <xdr:xfrm>
        <a:off x="10953720" y="4971960"/>
        <a:ext cx="6526440" cy="2857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34</xdr:row>
      <xdr:rowOff>0</xdr:rowOff>
    </xdr:from>
    <xdr:to>
      <xdr:col>15</xdr:col>
      <xdr:colOff>304560</xdr:colOff>
      <xdr:row>44</xdr:row>
      <xdr:rowOff>18720</xdr:rowOff>
    </xdr:to>
    <xdr:graphicFrame>
      <xdr:nvGraphicFramePr>
        <xdr:cNvPr id="3" name="Chart 3"/>
        <xdr:cNvGraphicFramePr/>
      </xdr:nvGraphicFramePr>
      <xdr:xfrm>
        <a:off x="10953720" y="9391680"/>
        <a:ext cx="652644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RawData" displayName="RawData" ref="A2:I197" headerRowCount="1" totalsRowCount="0" totalsRowShown="0">
  <autoFilter ref="A2:I197"/>
  <tableColumns count="9">
    <tableColumn id="1" name="记录"/>
    <tableColumn id="2" name="类别"/>
    <tableColumn id="3" name="指标"/>
    <tableColumn id="4" name="期间"/>
    <tableColumn id="5" name="数值"/>
    <tableColumn id="6" name="单位"/>
    <tableColumn id="7" name="来源编号"/>
    <tableColumn id="8" name="文件名＋章节/表名"/>
    <tableColumn id="9" name="口径与备注"/>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24D"/>
    <pageSetUpPr fitToPage="true"/>
  </sheetPr>
  <dimension ref="B1:G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89453125" defaultRowHeight="21.75" customHeight="true" zeroHeight="false" outlineLevelRow="0" outlineLevelCol="0"/>
  <cols>
    <col collapsed="false" customWidth="true" hidden="false" outlineLevel="0" max="1" min="1" style="0" width="4.29"/>
    <col collapsed="false" customWidth="true" hidden="false" outlineLevel="0" max="7" min="2" style="0" width="22.48"/>
    <col collapsed="false" customWidth="true" hidden="false" outlineLevel="0" max="8" min="8" style="0" width="4.29"/>
  </cols>
  <sheetData>
    <row r="1" customFormat="false" ht="37.5" hidden="false" customHeight="true" outlineLevel="0" collapsed="false">
      <c r="B1" s="1" t="s">
        <v>0</v>
      </c>
      <c r="C1" s="1"/>
      <c r="D1" s="1"/>
      <c r="E1" s="1"/>
      <c r="F1" s="1"/>
      <c r="G1" s="1"/>
    </row>
    <row r="2" customFormat="false" ht="21.75" hidden="false" customHeight="true" outlineLevel="0" collapsed="false">
      <c r="B2" s="1"/>
      <c r="C2" s="1"/>
      <c r="D2" s="1"/>
      <c r="E2" s="1"/>
      <c r="F2" s="1"/>
      <c r="G2" s="1"/>
    </row>
    <row r="3" customFormat="false" ht="21.75" hidden="false" customHeight="true" outlineLevel="0" collapsed="false">
      <c r="B3" s="2" t="s">
        <v>1</v>
      </c>
      <c r="C3" s="2"/>
      <c r="D3" s="2"/>
      <c r="E3" s="2"/>
      <c r="F3" s="2"/>
      <c r="G3" s="2"/>
    </row>
    <row r="5" customFormat="false" ht="21.75" hidden="false" customHeight="true" outlineLevel="0" collapsed="false">
      <c r="B5" s="3" t="s">
        <v>2</v>
      </c>
      <c r="C5" s="3"/>
      <c r="D5" s="3"/>
      <c r="E5" s="3"/>
      <c r="F5" s="3"/>
      <c r="G5" s="3"/>
    </row>
    <row r="7" customFormat="false" ht="21.75" hidden="false" customHeight="true" outlineLevel="0" collapsed="false">
      <c r="B7" s="4" t="n">
        <f aca="false">资产负债!$G9/1000</f>
        <v>365.514</v>
      </c>
      <c r="C7" s="4" t="n">
        <f aca="false">资产负债!$G10/1000</f>
        <v>323.779</v>
      </c>
      <c r="D7" s="4" t="n">
        <f aca="false">资产负债!$G5/1000</f>
        <v>177.5</v>
      </c>
      <c r="E7" s="4" t="n">
        <f aca="false">资产负债!$G13</f>
        <v>522395.513563313</v>
      </c>
    </row>
    <row r="8" customFormat="false" ht="21.75" hidden="false" customHeight="true" outlineLevel="0" collapsed="false">
      <c r="B8" s="5" t="s">
        <v>3</v>
      </c>
      <c r="C8" s="5" t="s">
        <v>4</v>
      </c>
      <c r="D8" s="5" t="s">
        <v>5</v>
      </c>
      <c r="E8" s="6" t="s">
        <v>6</v>
      </c>
    </row>
    <row r="10" customFormat="false" ht="21.75" hidden="false" customHeight="true" outlineLevel="0" collapsed="false">
      <c r="B10" s="7" t="s">
        <v>7</v>
      </c>
      <c r="C10" s="7"/>
      <c r="D10" s="7"/>
      <c r="E10" s="7"/>
      <c r="F10" s="7"/>
      <c r="G10" s="7"/>
    </row>
    <row r="11" customFormat="false" ht="21.75" hidden="false" customHeight="true" outlineLevel="0" collapsed="false">
      <c r="B11" s="8" t="s">
        <v>8</v>
      </c>
      <c r="C11" s="9" t="s">
        <v>9</v>
      </c>
      <c r="D11" s="3" t="s">
        <v>10</v>
      </c>
      <c r="E11" s="3"/>
      <c r="F11" s="3"/>
      <c r="G11" s="3"/>
    </row>
    <row r="12" customFormat="false" ht="21.75" hidden="false" customHeight="true" outlineLevel="0" collapsed="false">
      <c r="B12" s="8" t="s">
        <v>11</v>
      </c>
      <c r="C12" s="9" t="s">
        <v>12</v>
      </c>
      <c r="D12" s="3" t="s">
        <v>13</v>
      </c>
      <c r="E12" s="3"/>
      <c r="F12" s="3"/>
      <c r="G12" s="3"/>
    </row>
    <row r="13" customFormat="false" ht="21.75" hidden="false" customHeight="true" outlineLevel="0" collapsed="false">
      <c r="B13" s="8" t="s">
        <v>14</v>
      </c>
      <c r="C13" s="9" t="s">
        <v>15</v>
      </c>
      <c r="D13" s="3" t="s">
        <v>16</v>
      </c>
      <c r="E13" s="3"/>
      <c r="F13" s="3"/>
      <c r="G13" s="3"/>
    </row>
    <row r="14" customFormat="false" ht="21.75" hidden="false" customHeight="true" outlineLevel="0" collapsed="false">
      <c r="B14" s="8" t="s">
        <v>17</v>
      </c>
      <c r="C14" s="9" t="s">
        <v>18</v>
      </c>
      <c r="D14" s="3" t="s">
        <v>19</v>
      </c>
      <c r="E14" s="3"/>
      <c r="F14" s="3"/>
      <c r="G14" s="3"/>
    </row>
    <row r="15" customFormat="false" ht="21.75" hidden="false" customHeight="true" outlineLevel="0" collapsed="false">
      <c r="B15" s="8" t="s">
        <v>20</v>
      </c>
      <c r="C15" s="9" t="s">
        <v>21</v>
      </c>
      <c r="D15" s="3" t="s">
        <v>22</v>
      </c>
      <c r="E15" s="3"/>
      <c r="F15" s="3"/>
      <c r="G15" s="3"/>
    </row>
    <row r="17" customFormat="false" ht="21.75" hidden="false" customHeight="true" outlineLevel="0" collapsed="false">
      <c r="B17" s="7" t="s">
        <v>23</v>
      </c>
      <c r="C17" s="7"/>
      <c r="D17" s="7"/>
      <c r="E17" s="7"/>
      <c r="F17" s="7"/>
      <c r="G17" s="7"/>
    </row>
    <row r="18" customFormat="false" ht="21.75" hidden="false" customHeight="true" outlineLevel="0" collapsed="false">
      <c r="B18" s="10" t="s">
        <v>24</v>
      </c>
      <c r="C18" s="3" t="s">
        <v>25</v>
      </c>
      <c r="D18" s="3"/>
      <c r="E18" s="3"/>
      <c r="F18" s="3"/>
      <c r="G18" s="3"/>
    </row>
    <row r="19" customFormat="false" ht="21.75" hidden="false" customHeight="true" outlineLevel="0" collapsed="false">
      <c r="B19" s="11" t="s">
        <v>26</v>
      </c>
      <c r="C19" s="3" t="s">
        <v>27</v>
      </c>
      <c r="D19" s="3"/>
      <c r="E19" s="3"/>
      <c r="F19" s="3"/>
      <c r="G19" s="3"/>
    </row>
    <row r="20" customFormat="false" ht="21.75" hidden="false" customHeight="true" outlineLevel="0" collapsed="false">
      <c r="B20" s="12" t="s">
        <v>28</v>
      </c>
      <c r="C20" s="3" t="s">
        <v>29</v>
      </c>
      <c r="D20" s="3"/>
      <c r="E20" s="3"/>
      <c r="F20" s="3"/>
      <c r="G20" s="3"/>
    </row>
    <row r="22" customFormat="false" ht="21.75" hidden="false" customHeight="true" outlineLevel="0" collapsed="false">
      <c r="B22" s="7" t="s">
        <v>30</v>
      </c>
      <c r="C22" s="7"/>
      <c r="D22" s="7"/>
      <c r="E22" s="7"/>
      <c r="F22" s="7"/>
      <c r="G22" s="7"/>
    </row>
    <row r="23" customFormat="false" ht="21.75" hidden="false" customHeight="true" outlineLevel="0" collapsed="false">
      <c r="B23" s="13" t="s">
        <v>31</v>
      </c>
      <c r="C23" s="13"/>
      <c r="D23" s="13"/>
      <c r="E23" s="13"/>
      <c r="F23" s="13"/>
      <c r="G23" s="13"/>
    </row>
    <row r="24" customFormat="false" ht="21.75" hidden="false" customHeight="true" outlineLevel="0" collapsed="false">
      <c r="B24" s="13" t="s">
        <v>32</v>
      </c>
      <c r="C24" s="13"/>
      <c r="D24" s="13"/>
      <c r="E24" s="13"/>
      <c r="F24" s="13"/>
      <c r="G24" s="13"/>
    </row>
    <row r="25" customFormat="false" ht="21.75" hidden="false" customHeight="true" outlineLevel="0" collapsed="false">
      <c r="B25" s="13" t="s">
        <v>33</v>
      </c>
      <c r="C25" s="13"/>
      <c r="D25" s="13"/>
      <c r="E25" s="13"/>
      <c r="F25" s="13"/>
      <c r="G25" s="13"/>
    </row>
    <row r="26" customFormat="false" ht="21.75" hidden="false" customHeight="true" outlineLevel="0" collapsed="false">
      <c r="B26" s="13" t="s">
        <v>34</v>
      </c>
      <c r="C26" s="13"/>
      <c r="D26" s="13"/>
      <c r="E26" s="13"/>
      <c r="F26" s="13"/>
      <c r="G26" s="13"/>
    </row>
    <row r="27" customFormat="false" ht="21.75" hidden="false" customHeight="true" outlineLevel="0" collapsed="false">
      <c r="B27" s="13" t="s">
        <v>35</v>
      </c>
      <c r="C27" s="13"/>
      <c r="D27" s="13"/>
      <c r="E27" s="13"/>
      <c r="F27" s="13"/>
      <c r="G27" s="13"/>
    </row>
    <row r="29" customFormat="false" ht="21.75" hidden="false" customHeight="true" outlineLevel="0" collapsed="false">
      <c r="B29" s="13" t="s">
        <v>36</v>
      </c>
      <c r="C29" s="13"/>
      <c r="D29" s="13"/>
      <c r="E29" s="13"/>
      <c r="F29" s="13"/>
      <c r="G29" s="13"/>
    </row>
    <row r="30" customFormat="false" ht="21.75" hidden="false" customHeight="true" outlineLevel="0" collapsed="false">
      <c r="B30" s="13"/>
      <c r="C30" s="13"/>
      <c r="D30" s="13"/>
      <c r="E30" s="13"/>
      <c r="F30" s="13"/>
      <c r="G30" s="13"/>
    </row>
  </sheetData>
  <mergeCells count="20">
    <mergeCell ref="B1:G2"/>
    <mergeCell ref="B3:G3"/>
    <mergeCell ref="B5:G5"/>
    <mergeCell ref="B10:G10"/>
    <mergeCell ref="D11:G11"/>
    <mergeCell ref="D12:G12"/>
    <mergeCell ref="D13:G13"/>
    <mergeCell ref="D14:G14"/>
    <mergeCell ref="D15:G15"/>
    <mergeCell ref="B17:G17"/>
    <mergeCell ref="C18:G18"/>
    <mergeCell ref="C19:G19"/>
    <mergeCell ref="C20:G20"/>
    <mergeCell ref="B22:G22"/>
    <mergeCell ref="B23:G23"/>
    <mergeCell ref="B24:G24"/>
    <mergeCell ref="B25:G25"/>
    <mergeCell ref="B26:G26"/>
    <mergeCell ref="B27:G27"/>
    <mergeCell ref="B29:G30"/>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B44A"/>
    <pageSetUpPr fitToPage="true"/>
  </sheetPr>
  <dimension ref="A1:I1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7.02"/>
    <col collapsed="false" customWidth="true" hidden="false" outlineLevel="0" max="2" min="2" style="0" width="11.57"/>
    <col collapsed="false" customWidth="true" hidden="false" outlineLevel="0" max="3" min="3" style="0" width="28.85"/>
    <col collapsed="false" customWidth="true" hidden="false" outlineLevel="0" max="4" min="4" style="0" width="12.48"/>
    <col collapsed="false" customWidth="true" hidden="false" outlineLevel="0" max="5" min="5" style="0" width="16.12"/>
    <col collapsed="false" customWidth="true" hidden="false" outlineLevel="0" max="6" min="6" style="0" width="12.48"/>
    <col collapsed="false" customWidth="true" hidden="false" outlineLevel="0" max="7" min="7" style="0" width="14.29"/>
    <col collapsed="false" customWidth="true" hidden="false" outlineLevel="0" max="8" min="8" style="0" width="62.52"/>
    <col collapsed="false" customWidth="true" hidden="false" outlineLevel="0" max="9" min="9" style="0" width="49.78"/>
  </cols>
  <sheetData>
    <row r="1" customFormat="false" ht="21.75" hidden="false" customHeight="true" outlineLevel="0" collapsed="false">
      <c r="A1" s="7" t="s">
        <v>37</v>
      </c>
      <c r="B1" s="7"/>
      <c r="C1" s="7"/>
      <c r="D1" s="7"/>
      <c r="E1" s="7"/>
      <c r="F1" s="7"/>
      <c r="G1" s="7"/>
      <c r="H1" s="7"/>
      <c r="I1" s="7"/>
    </row>
    <row r="2" customFormat="false" ht="33" hidden="false" customHeight="true" outlineLevel="0" collapsed="false">
      <c r="A2" s="14" t="s">
        <v>38</v>
      </c>
      <c r="B2" s="14" t="s">
        <v>39</v>
      </c>
      <c r="C2" s="14" t="s">
        <v>40</v>
      </c>
      <c r="D2" s="14" t="s">
        <v>41</v>
      </c>
      <c r="E2" s="14" t="s">
        <v>42</v>
      </c>
      <c r="F2" s="14" t="s">
        <v>43</v>
      </c>
      <c r="G2" s="14" t="s">
        <v>44</v>
      </c>
      <c r="H2" s="14" t="s">
        <v>45</v>
      </c>
      <c r="I2" s="14" t="s">
        <v>46</v>
      </c>
    </row>
    <row r="3" customFormat="false" ht="33" hidden="false" customHeight="true" outlineLevel="0" collapsed="false">
      <c r="A3" s="15" t="n">
        <v>2</v>
      </c>
      <c r="B3" s="3" t="s">
        <v>47</v>
      </c>
      <c r="C3" s="3" t="s">
        <v>48</v>
      </c>
      <c r="D3" s="15" t="s">
        <v>49</v>
      </c>
      <c r="E3" s="16" t="n">
        <v>-30</v>
      </c>
      <c r="F3" s="17" t="s">
        <v>50</v>
      </c>
      <c r="G3" s="15" t="s">
        <v>51</v>
      </c>
      <c r="H3" s="3" t="s">
        <v>52</v>
      </c>
      <c r="I3" s="3" t="s">
        <v>53</v>
      </c>
    </row>
    <row r="4" customFormat="false" ht="33" hidden="false" customHeight="true" outlineLevel="0" collapsed="false">
      <c r="A4" s="17" t="n">
        <v>3</v>
      </c>
      <c r="B4" s="3" t="s">
        <v>47</v>
      </c>
      <c r="C4" s="3" t="s">
        <v>48</v>
      </c>
      <c r="D4" s="15" t="s">
        <v>54</v>
      </c>
      <c r="E4" s="16" t="n">
        <v>5428</v>
      </c>
      <c r="F4" s="17" t="s">
        <v>50</v>
      </c>
      <c r="G4" s="15" t="s">
        <v>55</v>
      </c>
      <c r="H4" s="3" t="s">
        <v>56</v>
      </c>
      <c r="I4" s="3" t="s">
        <v>53</v>
      </c>
    </row>
    <row r="5" customFormat="false" ht="33" hidden="false" customHeight="true" outlineLevel="0" collapsed="false">
      <c r="A5" s="17" t="n">
        <v>4</v>
      </c>
      <c r="B5" s="3" t="s">
        <v>47</v>
      </c>
      <c r="C5" s="3" t="s">
        <v>48</v>
      </c>
      <c r="D5" s="15" t="s">
        <v>57</v>
      </c>
      <c r="E5" s="16" t="n">
        <v>9020</v>
      </c>
      <c r="F5" s="17" t="s">
        <v>50</v>
      </c>
      <c r="G5" s="15" t="s">
        <v>55</v>
      </c>
      <c r="H5" s="3" t="s">
        <v>56</v>
      </c>
      <c r="I5" s="3" t="s">
        <v>53</v>
      </c>
    </row>
    <row r="6" customFormat="false" ht="33" hidden="false" customHeight="true" outlineLevel="0" collapsed="false">
      <c r="A6" s="17" t="n">
        <v>5</v>
      </c>
      <c r="B6" s="3" t="s">
        <v>47</v>
      </c>
      <c r="C6" s="3" t="s">
        <v>48</v>
      </c>
      <c r="D6" s="15" t="s">
        <v>58</v>
      </c>
      <c r="E6" s="16" t="n">
        <v>7258</v>
      </c>
      <c r="F6" s="17" t="s">
        <v>50</v>
      </c>
      <c r="G6" s="15" t="s">
        <v>55</v>
      </c>
      <c r="H6" s="3" t="s">
        <v>56</v>
      </c>
      <c r="I6" s="3" t="s">
        <v>53</v>
      </c>
    </row>
    <row r="7" customFormat="false" ht="33" hidden="false" customHeight="true" outlineLevel="0" collapsed="false">
      <c r="A7" s="17" t="n">
        <v>6</v>
      </c>
      <c r="B7" s="3" t="s">
        <v>47</v>
      </c>
      <c r="C7" s="3" t="s">
        <v>48</v>
      </c>
      <c r="D7" s="15" t="s">
        <v>59</v>
      </c>
      <c r="E7" s="16" t="n">
        <v>3328</v>
      </c>
      <c r="F7" s="17" t="s">
        <v>50</v>
      </c>
      <c r="G7" s="15" t="s">
        <v>60</v>
      </c>
      <c r="H7" s="3" t="s">
        <v>61</v>
      </c>
      <c r="I7" s="3" t="s">
        <v>53</v>
      </c>
    </row>
    <row r="8" customFormat="false" ht="33" hidden="false" customHeight="true" outlineLevel="0" collapsed="false">
      <c r="A8" s="17" t="n">
        <v>7</v>
      </c>
      <c r="B8" s="3" t="s">
        <v>47</v>
      </c>
      <c r="C8" s="3" t="s">
        <v>48</v>
      </c>
      <c r="D8" s="15" t="s">
        <v>62</v>
      </c>
      <c r="E8" s="16" t="n">
        <v>3448</v>
      </c>
      <c r="F8" s="17" t="s">
        <v>50</v>
      </c>
      <c r="G8" s="15" t="s">
        <v>60</v>
      </c>
      <c r="H8" s="3" t="s">
        <v>61</v>
      </c>
      <c r="I8" s="3" t="s">
        <v>53</v>
      </c>
    </row>
    <row r="9" customFormat="false" ht="33" hidden="false" customHeight="true" outlineLevel="0" collapsed="false">
      <c r="A9" s="17" t="n">
        <v>8</v>
      </c>
      <c r="B9" s="3" t="s">
        <v>47</v>
      </c>
      <c r="C9" s="3" t="s">
        <v>63</v>
      </c>
      <c r="D9" s="15" t="s">
        <v>64</v>
      </c>
      <c r="E9" s="16" t="n">
        <v>4807</v>
      </c>
      <c r="F9" s="17" t="s">
        <v>50</v>
      </c>
      <c r="G9" s="15" t="s">
        <v>51</v>
      </c>
      <c r="H9" s="3" t="s">
        <v>52</v>
      </c>
      <c r="I9" s="3" t="s">
        <v>53</v>
      </c>
    </row>
    <row r="10" customFormat="false" ht="33" hidden="false" customHeight="true" outlineLevel="0" collapsed="false">
      <c r="A10" s="17" t="n">
        <v>9</v>
      </c>
      <c r="B10" s="3" t="s">
        <v>47</v>
      </c>
      <c r="C10" s="3" t="s">
        <v>63</v>
      </c>
      <c r="D10" s="15" t="s">
        <v>49</v>
      </c>
      <c r="E10" s="16" t="n">
        <v>6484</v>
      </c>
      <c r="F10" s="17" t="s">
        <v>50</v>
      </c>
      <c r="G10" s="15" t="s">
        <v>51</v>
      </c>
      <c r="H10" s="3" t="s">
        <v>52</v>
      </c>
      <c r="I10" s="3" t="s">
        <v>53</v>
      </c>
    </row>
    <row r="11" customFormat="false" ht="33" hidden="false" customHeight="true" outlineLevel="0" collapsed="false">
      <c r="A11" s="17" t="n">
        <v>10</v>
      </c>
      <c r="B11" s="3" t="s">
        <v>47</v>
      </c>
      <c r="C11" s="3" t="s">
        <v>63</v>
      </c>
      <c r="D11" s="15" t="s">
        <v>54</v>
      </c>
      <c r="E11" s="16" t="n">
        <v>9567</v>
      </c>
      <c r="F11" s="17" t="s">
        <v>50</v>
      </c>
      <c r="G11" s="15" t="s">
        <v>55</v>
      </c>
      <c r="H11" s="3" t="s">
        <v>56</v>
      </c>
      <c r="I11" s="3" t="s">
        <v>53</v>
      </c>
    </row>
    <row r="12" customFormat="false" ht="33" hidden="false" customHeight="true" outlineLevel="0" collapsed="false">
      <c r="A12" s="17" t="n">
        <v>11</v>
      </c>
      <c r="B12" s="3" t="s">
        <v>47</v>
      </c>
      <c r="C12" s="3" t="s">
        <v>63</v>
      </c>
      <c r="D12" s="15" t="s">
        <v>57</v>
      </c>
      <c r="E12" s="16" t="n">
        <v>13670</v>
      </c>
      <c r="F12" s="17" t="s">
        <v>50</v>
      </c>
      <c r="G12" s="15" t="s">
        <v>55</v>
      </c>
      <c r="H12" s="3" t="s">
        <v>56</v>
      </c>
      <c r="I12" s="3" t="s">
        <v>53</v>
      </c>
    </row>
    <row r="13" customFormat="false" ht="33" hidden="false" customHeight="true" outlineLevel="0" collapsed="false">
      <c r="A13" s="17" t="n">
        <v>12</v>
      </c>
      <c r="B13" s="3" t="s">
        <v>47</v>
      </c>
      <c r="C13" s="3" t="s">
        <v>63</v>
      </c>
      <c r="D13" s="15" t="s">
        <v>58</v>
      </c>
      <c r="E13" s="16" t="n">
        <v>12513</v>
      </c>
      <c r="F13" s="17" t="s">
        <v>50</v>
      </c>
      <c r="G13" s="15" t="s">
        <v>55</v>
      </c>
      <c r="H13" s="3" t="s">
        <v>56</v>
      </c>
      <c r="I13" s="3" t="s">
        <v>53</v>
      </c>
    </row>
    <row r="14" customFormat="false" ht="33" hidden="false" customHeight="true" outlineLevel="0" collapsed="false">
      <c r="A14" s="17" t="n">
        <v>13</v>
      </c>
      <c r="B14" s="3" t="s">
        <v>47</v>
      </c>
      <c r="C14" s="3" t="s">
        <v>63</v>
      </c>
      <c r="D14" s="15" t="s">
        <v>59</v>
      </c>
      <c r="E14" s="16" t="n">
        <v>6260</v>
      </c>
      <c r="F14" s="17" t="s">
        <v>50</v>
      </c>
      <c r="G14" s="15" t="s">
        <v>60</v>
      </c>
      <c r="H14" s="3" t="s">
        <v>61</v>
      </c>
      <c r="I14" s="3" t="s">
        <v>53</v>
      </c>
    </row>
    <row r="15" customFormat="false" ht="33" hidden="false" customHeight="true" outlineLevel="0" collapsed="false">
      <c r="A15" s="17" t="n">
        <v>14</v>
      </c>
      <c r="B15" s="3" t="s">
        <v>47</v>
      </c>
      <c r="C15" s="3" t="s">
        <v>63</v>
      </c>
      <c r="D15" s="15" t="s">
        <v>62</v>
      </c>
      <c r="E15" s="16" t="n">
        <v>5738</v>
      </c>
      <c r="F15" s="17" t="s">
        <v>50</v>
      </c>
      <c r="G15" s="15" t="s">
        <v>60</v>
      </c>
      <c r="H15" s="3" t="s">
        <v>61</v>
      </c>
      <c r="I15" s="3" t="s">
        <v>53</v>
      </c>
    </row>
    <row r="16" customFormat="false" ht="33" hidden="false" customHeight="true" outlineLevel="0" collapsed="false">
      <c r="A16" s="17" t="n">
        <v>15</v>
      </c>
      <c r="B16" s="3" t="s">
        <v>47</v>
      </c>
      <c r="C16" s="3" t="s">
        <v>65</v>
      </c>
      <c r="D16" s="15" t="s">
        <v>64</v>
      </c>
      <c r="E16" s="16" t="n">
        <v>5990</v>
      </c>
      <c r="F16" s="17" t="s">
        <v>50</v>
      </c>
      <c r="G16" s="15" t="s">
        <v>51</v>
      </c>
      <c r="H16" s="3" t="s">
        <v>52</v>
      </c>
      <c r="I16" s="3" t="s">
        <v>53</v>
      </c>
    </row>
    <row r="17" customFormat="false" ht="33" hidden="false" customHeight="true" outlineLevel="0" collapsed="false">
      <c r="A17" s="17" t="n">
        <v>16</v>
      </c>
      <c r="B17" s="3" t="s">
        <v>47</v>
      </c>
      <c r="C17" s="3" t="s">
        <v>65</v>
      </c>
      <c r="D17" s="15" t="s">
        <v>49</v>
      </c>
      <c r="E17" s="16" t="n">
        <v>5946</v>
      </c>
      <c r="F17" s="17" t="s">
        <v>50</v>
      </c>
      <c r="G17" s="15" t="s">
        <v>51</v>
      </c>
      <c r="H17" s="3" t="s">
        <v>52</v>
      </c>
      <c r="I17" s="3" t="s">
        <v>53</v>
      </c>
    </row>
    <row r="18" customFormat="false" ht="33" hidden="false" customHeight="true" outlineLevel="0" collapsed="false">
      <c r="A18" s="17" t="n">
        <v>17</v>
      </c>
      <c r="B18" s="3" t="s">
        <v>47</v>
      </c>
      <c r="C18" s="3" t="s">
        <v>65</v>
      </c>
      <c r="D18" s="15" t="s">
        <v>54</v>
      </c>
      <c r="E18" s="16" t="n">
        <v>5087</v>
      </c>
      <c r="F18" s="17" t="s">
        <v>50</v>
      </c>
      <c r="G18" s="15" t="s">
        <v>55</v>
      </c>
      <c r="H18" s="3" t="s">
        <v>56</v>
      </c>
      <c r="I18" s="3" t="s">
        <v>53</v>
      </c>
    </row>
    <row r="19" customFormat="false" ht="33" hidden="false" customHeight="true" outlineLevel="0" collapsed="false">
      <c r="A19" s="17" t="n">
        <v>18</v>
      </c>
      <c r="B19" s="3" t="s">
        <v>47</v>
      </c>
      <c r="C19" s="3" t="s">
        <v>65</v>
      </c>
      <c r="D19" s="15" t="s">
        <v>57</v>
      </c>
      <c r="E19" s="16" t="n">
        <v>5031</v>
      </c>
      <c r="F19" s="17" t="s">
        <v>50</v>
      </c>
      <c r="G19" s="15" t="s">
        <v>55</v>
      </c>
      <c r="H19" s="3" t="s">
        <v>56</v>
      </c>
      <c r="I19" s="3" t="s">
        <v>53</v>
      </c>
    </row>
    <row r="20" customFormat="false" ht="33" hidden="false" customHeight="true" outlineLevel="0" collapsed="false">
      <c r="A20" s="17" t="n">
        <v>19</v>
      </c>
      <c r="B20" s="3" t="s">
        <v>47</v>
      </c>
      <c r="C20" s="3" t="s">
        <v>65</v>
      </c>
      <c r="D20" s="15" t="s">
        <v>58</v>
      </c>
      <c r="E20" s="16" t="n">
        <v>5476</v>
      </c>
      <c r="F20" s="17" t="s">
        <v>50</v>
      </c>
      <c r="G20" s="15" t="s">
        <v>55</v>
      </c>
      <c r="H20" s="3" t="s">
        <v>56</v>
      </c>
      <c r="I20" s="3" t="s">
        <v>53</v>
      </c>
    </row>
    <row r="21" customFormat="false" ht="33" hidden="false" customHeight="true" outlineLevel="0" collapsed="false">
      <c r="A21" s="17" t="n">
        <v>20</v>
      </c>
      <c r="B21" s="3" t="s">
        <v>47</v>
      </c>
      <c r="C21" s="3" t="s">
        <v>65</v>
      </c>
      <c r="D21" s="15" t="s">
        <v>59</v>
      </c>
      <c r="E21" s="16" t="n">
        <v>2680</v>
      </c>
      <c r="F21" s="17" t="s">
        <v>50</v>
      </c>
      <c r="G21" s="15" t="s">
        <v>60</v>
      </c>
      <c r="H21" s="3" t="s">
        <v>61</v>
      </c>
      <c r="I21" s="3" t="s">
        <v>53</v>
      </c>
    </row>
    <row r="22" customFormat="false" ht="33" hidden="false" customHeight="true" outlineLevel="0" collapsed="false">
      <c r="A22" s="17" t="n">
        <v>21</v>
      </c>
      <c r="B22" s="3" t="s">
        <v>47</v>
      </c>
      <c r="C22" s="3" t="s">
        <v>65</v>
      </c>
      <c r="D22" s="15" t="s">
        <v>62</v>
      </c>
      <c r="E22" s="16" t="n">
        <v>2935</v>
      </c>
      <c r="F22" s="17" t="s">
        <v>50</v>
      </c>
      <c r="G22" s="15" t="s">
        <v>60</v>
      </c>
      <c r="H22" s="3" t="s">
        <v>61</v>
      </c>
      <c r="I22" s="3" t="s">
        <v>53</v>
      </c>
    </row>
    <row r="23" customFormat="false" ht="33" hidden="false" customHeight="true" outlineLevel="0" collapsed="false">
      <c r="A23" s="17" t="n">
        <v>22</v>
      </c>
      <c r="B23" s="3" t="s">
        <v>47</v>
      </c>
      <c r="C23" s="3" t="s">
        <v>66</v>
      </c>
      <c r="D23" s="15" t="s">
        <v>64</v>
      </c>
      <c r="E23" s="16" t="n">
        <v>3572</v>
      </c>
      <c r="F23" s="17" t="s">
        <v>50</v>
      </c>
      <c r="G23" s="15" t="s">
        <v>51</v>
      </c>
      <c r="H23" s="3" t="s">
        <v>52</v>
      </c>
      <c r="I23" s="3" t="s">
        <v>53</v>
      </c>
    </row>
    <row r="24" customFormat="false" ht="33" hidden="false" customHeight="true" outlineLevel="0" collapsed="false">
      <c r="A24" s="17" t="n">
        <v>23</v>
      </c>
      <c r="B24" s="3" t="s">
        <v>47</v>
      </c>
      <c r="C24" s="3" t="s">
        <v>66</v>
      </c>
      <c r="D24" s="15" t="s">
        <v>49</v>
      </c>
      <c r="E24" s="16" t="n">
        <v>3904</v>
      </c>
      <c r="F24" s="17" t="s">
        <v>50</v>
      </c>
      <c r="G24" s="15" t="s">
        <v>51</v>
      </c>
      <c r="H24" s="3" t="s">
        <v>52</v>
      </c>
      <c r="I24" s="3" t="s">
        <v>53</v>
      </c>
    </row>
    <row r="25" customFormat="false" ht="33" hidden="false" customHeight="true" outlineLevel="0" collapsed="false">
      <c r="A25" s="17" t="n">
        <v>24</v>
      </c>
      <c r="B25" s="3" t="s">
        <v>47</v>
      </c>
      <c r="C25" s="3" t="s">
        <v>66</v>
      </c>
      <c r="D25" s="15" t="s">
        <v>54</v>
      </c>
      <c r="E25" s="16" t="n">
        <v>2331</v>
      </c>
      <c r="F25" s="17" t="s">
        <v>50</v>
      </c>
      <c r="G25" s="15" t="s">
        <v>55</v>
      </c>
      <c r="H25" s="3" t="s">
        <v>56</v>
      </c>
      <c r="I25" s="3" t="s">
        <v>53</v>
      </c>
    </row>
    <row r="26" customFormat="false" ht="33" hidden="false" customHeight="true" outlineLevel="0" collapsed="false">
      <c r="A26" s="17" t="n">
        <v>25</v>
      </c>
      <c r="B26" s="3" t="s">
        <v>47</v>
      </c>
      <c r="C26" s="3" t="s">
        <v>66</v>
      </c>
      <c r="D26" s="15" t="s">
        <v>57</v>
      </c>
      <c r="E26" s="16" t="n">
        <v>3730</v>
      </c>
      <c r="F26" s="17" t="s">
        <v>50</v>
      </c>
      <c r="G26" s="15" t="s">
        <v>55</v>
      </c>
      <c r="H26" s="3" t="s">
        <v>56</v>
      </c>
      <c r="I26" s="3" t="s">
        <v>53</v>
      </c>
    </row>
    <row r="27" customFormat="false" ht="33" hidden="false" customHeight="true" outlineLevel="0" collapsed="false">
      <c r="A27" s="17" t="n">
        <v>26</v>
      </c>
      <c r="B27" s="3" t="s">
        <v>47</v>
      </c>
      <c r="C27" s="3" t="s">
        <v>66</v>
      </c>
      <c r="D27" s="15" t="s">
        <v>58</v>
      </c>
      <c r="E27" s="16" t="n">
        <v>3979</v>
      </c>
      <c r="F27" s="17" t="s">
        <v>50</v>
      </c>
      <c r="G27" s="15" t="s">
        <v>55</v>
      </c>
      <c r="H27" s="3" t="s">
        <v>56</v>
      </c>
      <c r="I27" s="3" t="s">
        <v>53</v>
      </c>
    </row>
    <row r="28" customFormat="false" ht="33" hidden="false" customHeight="true" outlineLevel="0" collapsed="false">
      <c r="A28" s="17" t="n">
        <v>27</v>
      </c>
      <c r="B28" s="3" t="s">
        <v>47</v>
      </c>
      <c r="C28" s="3" t="s">
        <v>66</v>
      </c>
      <c r="D28" s="15" t="s">
        <v>59</v>
      </c>
      <c r="E28" s="16" t="n">
        <v>1799</v>
      </c>
      <c r="F28" s="17" t="s">
        <v>50</v>
      </c>
      <c r="G28" s="15" t="s">
        <v>60</v>
      </c>
      <c r="H28" s="3" t="s">
        <v>61</v>
      </c>
      <c r="I28" s="3" t="s">
        <v>53</v>
      </c>
    </row>
    <row r="29" customFormat="false" ht="33" hidden="false" customHeight="true" outlineLevel="0" collapsed="false">
      <c r="A29" s="17" t="n">
        <v>28</v>
      </c>
      <c r="B29" s="3" t="s">
        <v>47</v>
      </c>
      <c r="C29" s="3" t="s">
        <v>66</v>
      </c>
      <c r="D29" s="15" t="s">
        <v>62</v>
      </c>
      <c r="E29" s="16" t="n">
        <v>2005</v>
      </c>
      <c r="F29" s="17" t="s">
        <v>50</v>
      </c>
      <c r="G29" s="15" t="s">
        <v>60</v>
      </c>
      <c r="H29" s="3" t="s">
        <v>61</v>
      </c>
      <c r="I29" s="3" t="s">
        <v>53</v>
      </c>
    </row>
    <row r="30" customFormat="false" ht="33" hidden="false" customHeight="true" outlineLevel="0" collapsed="false">
      <c r="A30" s="17" t="n">
        <v>29</v>
      </c>
      <c r="B30" s="3" t="s">
        <v>47</v>
      </c>
      <c r="C30" s="3" t="s">
        <v>67</v>
      </c>
      <c r="D30" s="15" t="s">
        <v>64</v>
      </c>
      <c r="E30" s="16" t="n">
        <v>11120</v>
      </c>
      <c r="F30" s="17" t="s">
        <v>50</v>
      </c>
      <c r="G30" s="15" t="s">
        <v>51</v>
      </c>
      <c r="H30" s="3" t="s">
        <v>52</v>
      </c>
      <c r="I30" s="3" t="s">
        <v>53</v>
      </c>
    </row>
    <row r="31" customFormat="false" ht="33" hidden="false" customHeight="true" outlineLevel="0" collapsed="false">
      <c r="A31" s="17" t="n">
        <v>30</v>
      </c>
      <c r="B31" s="3" t="s">
        <v>47</v>
      </c>
      <c r="C31" s="3" t="s">
        <v>67</v>
      </c>
      <c r="D31" s="15" t="s">
        <v>49</v>
      </c>
      <c r="E31" s="16" t="n">
        <v>12512</v>
      </c>
      <c r="F31" s="17" t="s">
        <v>50</v>
      </c>
      <c r="G31" s="15" t="s">
        <v>51</v>
      </c>
      <c r="H31" s="3" t="s">
        <v>52</v>
      </c>
      <c r="I31" s="3" t="s">
        <v>53</v>
      </c>
    </row>
    <row r="32" customFormat="false" ht="33" hidden="false" customHeight="true" outlineLevel="0" collapsed="false">
      <c r="A32" s="17" t="n">
        <v>31</v>
      </c>
      <c r="B32" s="3" t="s">
        <v>47</v>
      </c>
      <c r="C32" s="3" t="s">
        <v>67</v>
      </c>
      <c r="D32" s="15" t="s">
        <v>54</v>
      </c>
      <c r="E32" s="16" t="n">
        <v>13362</v>
      </c>
      <c r="F32" s="17" t="s">
        <v>50</v>
      </c>
      <c r="G32" s="15" t="s">
        <v>55</v>
      </c>
      <c r="H32" s="3" t="s">
        <v>56</v>
      </c>
      <c r="I32" s="3" t="s">
        <v>68</v>
      </c>
    </row>
    <row r="33" customFormat="false" ht="33" hidden="false" customHeight="true" outlineLevel="0" collapsed="false">
      <c r="A33" s="17" t="n">
        <v>32</v>
      </c>
      <c r="B33" s="3" t="s">
        <v>47</v>
      </c>
      <c r="C33" s="3" t="s">
        <v>67</v>
      </c>
      <c r="D33" s="15" t="s">
        <v>57</v>
      </c>
      <c r="E33" s="16" t="n">
        <v>13072</v>
      </c>
      <c r="F33" s="17" t="s">
        <v>50</v>
      </c>
      <c r="G33" s="15" t="s">
        <v>55</v>
      </c>
      <c r="H33" s="3" t="s">
        <v>56</v>
      </c>
      <c r="I33" s="3" t="s">
        <v>53</v>
      </c>
    </row>
    <row r="34" customFormat="false" ht="33" hidden="false" customHeight="true" outlineLevel="0" collapsed="false">
      <c r="A34" s="17" t="n">
        <v>33</v>
      </c>
      <c r="B34" s="3" t="s">
        <v>47</v>
      </c>
      <c r="C34" s="3" t="s">
        <v>67</v>
      </c>
      <c r="D34" s="15" t="s">
        <v>58</v>
      </c>
      <c r="E34" s="16" t="n">
        <v>13647</v>
      </c>
      <c r="F34" s="17" t="s">
        <v>50</v>
      </c>
      <c r="G34" s="15" t="s">
        <v>55</v>
      </c>
      <c r="H34" s="3" t="s">
        <v>56</v>
      </c>
      <c r="I34" s="3" t="s">
        <v>53</v>
      </c>
    </row>
    <row r="35" customFormat="false" ht="33" hidden="false" customHeight="true" outlineLevel="0" collapsed="false">
      <c r="A35" s="17" t="n">
        <v>34</v>
      </c>
      <c r="B35" s="3" t="s">
        <v>47</v>
      </c>
      <c r="C35" s="3" t="s">
        <v>67</v>
      </c>
      <c r="D35" s="15" t="s">
        <v>59</v>
      </c>
      <c r="E35" s="16" t="n">
        <v>6661</v>
      </c>
      <c r="F35" s="17" t="s">
        <v>50</v>
      </c>
      <c r="G35" s="15" t="s">
        <v>60</v>
      </c>
      <c r="H35" s="3" t="s">
        <v>61</v>
      </c>
      <c r="I35" s="3" t="s">
        <v>53</v>
      </c>
    </row>
    <row r="36" customFormat="false" ht="33" hidden="false" customHeight="true" outlineLevel="0" collapsed="false">
      <c r="A36" s="17" t="n">
        <v>35</v>
      </c>
      <c r="B36" s="3" t="s">
        <v>47</v>
      </c>
      <c r="C36" s="3" t="s">
        <v>67</v>
      </c>
      <c r="D36" s="15" t="s">
        <v>62</v>
      </c>
      <c r="E36" s="16" t="n">
        <v>7669</v>
      </c>
      <c r="F36" s="17" t="s">
        <v>50</v>
      </c>
      <c r="G36" s="15" t="s">
        <v>60</v>
      </c>
      <c r="H36" s="3" t="s">
        <v>61</v>
      </c>
      <c r="I36" s="3" t="s">
        <v>53</v>
      </c>
    </row>
    <row r="37" customFormat="false" ht="33" hidden="false" customHeight="true" outlineLevel="0" collapsed="false">
      <c r="A37" s="17" t="n">
        <v>36</v>
      </c>
      <c r="B37" s="3" t="s">
        <v>47</v>
      </c>
      <c r="C37" s="3" t="s">
        <v>69</v>
      </c>
      <c r="D37" s="15" t="s">
        <v>64</v>
      </c>
      <c r="E37" s="16" t="n">
        <v>434</v>
      </c>
      <c r="F37" s="17" t="s">
        <v>50</v>
      </c>
      <c r="G37" s="15" t="s">
        <v>51</v>
      </c>
      <c r="H37" s="3" t="s">
        <v>52</v>
      </c>
      <c r="I37" s="3" t="s">
        <v>70</v>
      </c>
    </row>
    <row r="38" customFormat="false" ht="33" hidden="false" customHeight="true" outlineLevel="0" collapsed="false">
      <c r="A38" s="17" t="n">
        <v>37</v>
      </c>
      <c r="B38" s="3" t="s">
        <v>47</v>
      </c>
      <c r="C38" s="3" t="s">
        <v>69</v>
      </c>
      <c r="D38" s="15" t="s">
        <v>49</v>
      </c>
      <c r="E38" s="16" t="n">
        <v>509</v>
      </c>
      <c r="F38" s="17" t="s">
        <v>50</v>
      </c>
      <c r="G38" s="15" t="s">
        <v>51</v>
      </c>
      <c r="H38" s="3" t="s">
        <v>52</v>
      </c>
      <c r="I38" s="3" t="s">
        <v>70</v>
      </c>
    </row>
    <row r="39" customFormat="false" ht="33" hidden="false" customHeight="true" outlineLevel="0" collapsed="false">
      <c r="A39" s="17" t="n">
        <v>38</v>
      </c>
      <c r="B39" s="3" t="s">
        <v>47</v>
      </c>
      <c r="C39" s="3" t="s">
        <v>69</v>
      </c>
      <c r="D39" s="15" t="s">
        <v>54</v>
      </c>
      <c r="E39" s="16" t="n">
        <v>1575</v>
      </c>
      <c r="F39" s="17" t="s">
        <v>50</v>
      </c>
      <c r="G39" s="15" t="s">
        <v>55</v>
      </c>
      <c r="H39" s="3" t="s">
        <v>56</v>
      </c>
      <c r="I39" s="3" t="s">
        <v>53</v>
      </c>
    </row>
    <row r="40" customFormat="false" ht="33" hidden="false" customHeight="true" outlineLevel="0" collapsed="false">
      <c r="A40" s="17" t="n">
        <v>39</v>
      </c>
      <c r="B40" s="3" t="s">
        <v>47</v>
      </c>
      <c r="C40" s="3" t="s">
        <v>69</v>
      </c>
      <c r="D40" s="15" t="s">
        <v>57</v>
      </c>
      <c r="E40" s="16" t="n">
        <v>2914</v>
      </c>
      <c r="F40" s="17" t="s">
        <v>50</v>
      </c>
      <c r="G40" s="15" t="s">
        <v>55</v>
      </c>
      <c r="H40" s="3" t="s">
        <v>56</v>
      </c>
      <c r="I40" s="3" t="s">
        <v>53</v>
      </c>
    </row>
    <row r="41" customFormat="false" ht="33" hidden="false" customHeight="true" outlineLevel="0" collapsed="false">
      <c r="A41" s="17" t="n">
        <v>40</v>
      </c>
      <c r="B41" s="3" t="s">
        <v>47</v>
      </c>
      <c r="C41" s="3" t="s">
        <v>69</v>
      </c>
      <c r="D41" s="15" t="s">
        <v>58</v>
      </c>
      <c r="E41" s="16" t="n">
        <v>1613</v>
      </c>
      <c r="F41" s="17" t="s">
        <v>50</v>
      </c>
      <c r="G41" s="15" t="s">
        <v>55</v>
      </c>
      <c r="H41" s="3" t="s">
        <v>56</v>
      </c>
      <c r="I41" s="3" t="s">
        <v>53</v>
      </c>
    </row>
    <row r="42" customFormat="false" ht="33" hidden="false" customHeight="true" outlineLevel="0" collapsed="false">
      <c r="A42" s="17" t="n">
        <v>41</v>
      </c>
      <c r="B42" s="3" t="s">
        <v>47</v>
      </c>
      <c r="C42" s="3" t="s">
        <v>69</v>
      </c>
      <c r="D42" s="15" t="s">
        <v>59</v>
      </c>
      <c r="E42" s="16" t="n">
        <v>73</v>
      </c>
      <c r="F42" s="17" t="s">
        <v>50</v>
      </c>
      <c r="G42" s="15" t="s">
        <v>60</v>
      </c>
      <c r="H42" s="3" t="s">
        <v>61</v>
      </c>
      <c r="I42" s="3" t="s">
        <v>53</v>
      </c>
    </row>
    <row r="43" customFormat="false" ht="33" hidden="false" customHeight="true" outlineLevel="0" collapsed="false">
      <c r="A43" s="17" t="n">
        <v>42</v>
      </c>
      <c r="B43" s="3" t="s">
        <v>47</v>
      </c>
      <c r="C43" s="3" t="s">
        <v>69</v>
      </c>
      <c r="D43" s="15" t="s">
        <v>62</v>
      </c>
      <c r="E43" s="16" t="n">
        <v>2534</v>
      </c>
      <c r="F43" s="17" t="s">
        <v>50</v>
      </c>
      <c r="G43" s="15" t="s">
        <v>60</v>
      </c>
      <c r="H43" s="3" t="s">
        <v>61</v>
      </c>
      <c r="I43" s="3" t="s">
        <v>53</v>
      </c>
    </row>
    <row r="44" customFormat="false" ht="33" hidden="false" customHeight="true" outlineLevel="0" collapsed="false">
      <c r="A44" s="17" t="n">
        <v>43</v>
      </c>
      <c r="B44" s="3" t="s">
        <v>47</v>
      </c>
      <c r="C44" s="3" t="s">
        <v>71</v>
      </c>
      <c r="D44" s="15" t="s">
        <v>64</v>
      </c>
      <c r="E44" s="16" t="n">
        <v>62340</v>
      </c>
      <c r="F44" s="17" t="s">
        <v>50</v>
      </c>
      <c r="G44" s="15" t="s">
        <v>51</v>
      </c>
      <c r="H44" s="3" t="s">
        <v>52</v>
      </c>
      <c r="I44" s="3" t="s">
        <v>53</v>
      </c>
    </row>
    <row r="45" customFormat="false" ht="33" hidden="false" customHeight="true" outlineLevel="0" collapsed="false">
      <c r="A45" s="17" t="n">
        <v>44</v>
      </c>
      <c r="B45" s="3" t="s">
        <v>47</v>
      </c>
      <c r="C45" s="3" t="s">
        <v>71</v>
      </c>
      <c r="D45" s="15" t="s">
        <v>49</v>
      </c>
      <c r="E45" s="16" t="n">
        <v>-53612</v>
      </c>
      <c r="F45" s="17" t="s">
        <v>50</v>
      </c>
      <c r="G45" s="15" t="s">
        <v>51</v>
      </c>
      <c r="H45" s="3" t="s">
        <v>52</v>
      </c>
      <c r="I45" s="3" t="s">
        <v>53</v>
      </c>
    </row>
    <row r="46" customFormat="false" ht="33" hidden="false" customHeight="true" outlineLevel="0" collapsed="false">
      <c r="A46" s="17" t="n">
        <v>45</v>
      </c>
      <c r="B46" s="3" t="s">
        <v>47</v>
      </c>
      <c r="C46" s="3" t="s">
        <v>71</v>
      </c>
      <c r="D46" s="15" t="s">
        <v>54</v>
      </c>
      <c r="E46" s="16" t="n">
        <v>58873</v>
      </c>
      <c r="F46" s="17" t="s">
        <v>50</v>
      </c>
      <c r="G46" s="15" t="s">
        <v>55</v>
      </c>
      <c r="H46" s="3" t="s">
        <v>56</v>
      </c>
      <c r="I46" s="3" t="s">
        <v>53</v>
      </c>
    </row>
    <row r="47" customFormat="false" ht="33" hidden="false" customHeight="true" outlineLevel="0" collapsed="false">
      <c r="A47" s="17" t="n">
        <v>46</v>
      </c>
      <c r="B47" s="3" t="s">
        <v>47</v>
      </c>
      <c r="C47" s="3" t="s">
        <v>71</v>
      </c>
      <c r="D47" s="15" t="s">
        <v>57</v>
      </c>
      <c r="E47" s="16" t="n">
        <v>41558</v>
      </c>
      <c r="F47" s="17" t="s">
        <v>50</v>
      </c>
      <c r="G47" s="15" t="s">
        <v>55</v>
      </c>
      <c r="H47" s="3" t="s">
        <v>56</v>
      </c>
      <c r="I47" s="3" t="s">
        <v>53</v>
      </c>
    </row>
    <row r="48" customFormat="false" ht="33" hidden="false" customHeight="true" outlineLevel="0" collapsed="false">
      <c r="A48" s="17" t="n">
        <v>47</v>
      </c>
      <c r="B48" s="3" t="s">
        <v>47</v>
      </c>
      <c r="C48" s="3" t="s">
        <v>71</v>
      </c>
      <c r="D48" s="15" t="s">
        <v>58</v>
      </c>
      <c r="E48" s="16" t="n">
        <v>30737</v>
      </c>
      <c r="F48" s="17" t="s">
        <v>50</v>
      </c>
      <c r="G48" s="15" t="s">
        <v>55</v>
      </c>
      <c r="H48" s="3" t="s">
        <v>56</v>
      </c>
      <c r="I48" s="3" t="s">
        <v>53</v>
      </c>
    </row>
    <row r="49" customFormat="false" ht="33" hidden="false" customHeight="true" outlineLevel="0" collapsed="false">
      <c r="A49" s="17" t="n">
        <v>48</v>
      </c>
      <c r="B49" s="3" t="s">
        <v>47</v>
      </c>
      <c r="C49" s="3" t="s">
        <v>71</v>
      </c>
      <c r="D49" s="15" t="s">
        <v>59</v>
      </c>
      <c r="E49" s="16" t="n">
        <v>-68</v>
      </c>
      <c r="F49" s="17" t="s">
        <v>50</v>
      </c>
      <c r="G49" s="15" t="s">
        <v>60</v>
      </c>
      <c r="H49" s="3" t="s">
        <v>61</v>
      </c>
      <c r="I49" s="3" t="s">
        <v>53</v>
      </c>
    </row>
    <row r="50" customFormat="false" ht="33" hidden="false" customHeight="true" outlineLevel="0" collapsed="false">
      <c r="A50" s="17" t="n">
        <v>49</v>
      </c>
      <c r="B50" s="3" t="s">
        <v>47</v>
      </c>
      <c r="C50" s="3" t="s">
        <v>71</v>
      </c>
      <c r="D50" s="15" t="s">
        <v>62</v>
      </c>
      <c r="E50" s="16" t="n">
        <v>11444</v>
      </c>
      <c r="F50" s="17" t="s">
        <v>50</v>
      </c>
      <c r="G50" s="15" t="s">
        <v>60</v>
      </c>
      <c r="H50" s="3" t="s">
        <v>61</v>
      </c>
      <c r="I50" s="3" t="s">
        <v>53</v>
      </c>
    </row>
    <row r="51" customFormat="false" ht="33" hidden="false" customHeight="true" outlineLevel="0" collapsed="false">
      <c r="A51" s="17" t="n">
        <v>50</v>
      </c>
      <c r="B51" s="3" t="s">
        <v>47</v>
      </c>
      <c r="C51" s="3" t="s">
        <v>72</v>
      </c>
      <c r="D51" s="15" t="s">
        <v>64</v>
      </c>
      <c r="E51" s="16" t="n">
        <v>89937</v>
      </c>
      <c r="F51" s="17" t="s">
        <v>50</v>
      </c>
      <c r="G51" s="15" t="s">
        <v>51</v>
      </c>
      <c r="H51" s="3" t="s">
        <v>52</v>
      </c>
      <c r="I51" s="3" t="s">
        <v>53</v>
      </c>
    </row>
    <row r="52" customFormat="false" ht="33" hidden="false" customHeight="true" outlineLevel="0" collapsed="false">
      <c r="A52" s="17" t="n">
        <v>51</v>
      </c>
      <c r="B52" s="3" t="s">
        <v>47</v>
      </c>
      <c r="C52" s="3" t="s">
        <v>72</v>
      </c>
      <c r="D52" s="15" t="s">
        <v>49</v>
      </c>
      <c r="E52" s="16" t="n">
        <v>-22759</v>
      </c>
      <c r="F52" s="17" t="s">
        <v>50</v>
      </c>
      <c r="G52" s="15" t="s">
        <v>51</v>
      </c>
      <c r="H52" s="3" t="s">
        <v>52</v>
      </c>
      <c r="I52" s="3" t="s">
        <v>53</v>
      </c>
    </row>
    <row r="53" customFormat="false" ht="33" hidden="false" customHeight="true" outlineLevel="0" collapsed="false">
      <c r="A53" s="17" t="n">
        <v>52</v>
      </c>
      <c r="B53" s="3" t="s">
        <v>47</v>
      </c>
      <c r="C53" s="3" t="s">
        <v>72</v>
      </c>
      <c r="D53" s="15" t="s">
        <v>54</v>
      </c>
      <c r="E53" s="16" t="n">
        <v>96223</v>
      </c>
      <c r="F53" s="17" t="s">
        <v>50</v>
      </c>
      <c r="G53" s="15" t="s">
        <v>55</v>
      </c>
      <c r="H53" s="3" t="s">
        <v>56</v>
      </c>
      <c r="I53" s="3" t="s">
        <v>53</v>
      </c>
    </row>
    <row r="54" customFormat="false" ht="33" hidden="false" customHeight="true" outlineLevel="0" collapsed="false">
      <c r="A54" s="17" t="n">
        <v>53</v>
      </c>
      <c r="B54" s="3" t="s">
        <v>47</v>
      </c>
      <c r="C54" s="3" t="s">
        <v>72</v>
      </c>
      <c r="D54" s="15" t="s">
        <v>57</v>
      </c>
      <c r="E54" s="16" t="n">
        <v>88995</v>
      </c>
      <c r="F54" s="17" t="s">
        <v>50</v>
      </c>
      <c r="G54" s="15" t="s">
        <v>55</v>
      </c>
      <c r="H54" s="3" t="s">
        <v>56</v>
      </c>
      <c r="I54" s="3" t="s">
        <v>53</v>
      </c>
    </row>
    <row r="55" customFormat="false" ht="33" hidden="false" customHeight="true" outlineLevel="0" collapsed="false">
      <c r="A55" s="17" t="n">
        <v>54</v>
      </c>
      <c r="B55" s="3" t="s">
        <v>47</v>
      </c>
      <c r="C55" s="3" t="s">
        <v>72</v>
      </c>
      <c r="D55" s="15" t="s">
        <v>58</v>
      </c>
      <c r="E55" s="16" t="n">
        <v>66968</v>
      </c>
      <c r="F55" s="17" t="s">
        <v>50</v>
      </c>
      <c r="G55" s="15" t="s">
        <v>55</v>
      </c>
      <c r="H55" s="3" t="s">
        <v>56</v>
      </c>
      <c r="I55" s="3" t="s">
        <v>53</v>
      </c>
    </row>
    <row r="56" customFormat="false" ht="33" hidden="false" customHeight="true" outlineLevel="0" collapsed="false">
      <c r="A56" s="17" t="n">
        <v>55</v>
      </c>
      <c r="B56" s="3" t="s">
        <v>47</v>
      </c>
      <c r="C56" s="3" t="s">
        <v>72</v>
      </c>
      <c r="D56" s="15" t="s">
        <v>59</v>
      </c>
      <c r="E56" s="16" t="n">
        <v>16973</v>
      </c>
      <c r="F56" s="17" t="s">
        <v>50</v>
      </c>
      <c r="G56" s="15" t="s">
        <v>60</v>
      </c>
      <c r="H56" s="3" t="s">
        <v>61</v>
      </c>
      <c r="I56" s="3" t="s">
        <v>53</v>
      </c>
    </row>
    <row r="57" customFormat="false" ht="33" hidden="false" customHeight="true" outlineLevel="0" collapsed="false">
      <c r="A57" s="17" t="n">
        <v>56</v>
      </c>
      <c r="B57" s="3" t="s">
        <v>47</v>
      </c>
      <c r="C57" s="3" t="s">
        <v>72</v>
      </c>
      <c r="D57" s="15" t="s">
        <v>62</v>
      </c>
      <c r="E57" s="16" t="n">
        <v>35773</v>
      </c>
      <c r="F57" s="17" t="s">
        <v>50</v>
      </c>
      <c r="G57" s="15" t="s">
        <v>60</v>
      </c>
      <c r="H57" s="3" t="s">
        <v>61</v>
      </c>
      <c r="I57" s="3" t="s">
        <v>53</v>
      </c>
    </row>
    <row r="58" customFormat="false" ht="33" hidden="false" customHeight="true" outlineLevel="0" collapsed="false">
      <c r="A58" s="17" t="n">
        <v>57</v>
      </c>
      <c r="B58" s="3" t="s">
        <v>47</v>
      </c>
      <c r="C58" s="3" t="s">
        <v>73</v>
      </c>
      <c r="D58" s="15" t="s">
        <v>64</v>
      </c>
      <c r="E58" s="16" t="n">
        <v>804</v>
      </c>
      <c r="F58" s="17" t="s">
        <v>50</v>
      </c>
      <c r="G58" s="15" t="s">
        <v>51</v>
      </c>
      <c r="H58" s="3" t="s">
        <v>52</v>
      </c>
      <c r="I58" s="3" t="s">
        <v>74</v>
      </c>
    </row>
    <row r="59" customFormat="false" ht="33" hidden="false" customHeight="true" outlineLevel="0" collapsed="false">
      <c r="A59" s="17" t="n">
        <v>58</v>
      </c>
      <c r="B59" s="3" t="s">
        <v>47</v>
      </c>
      <c r="C59" s="3" t="s">
        <v>73</v>
      </c>
      <c r="D59" s="15" t="s">
        <v>49</v>
      </c>
      <c r="E59" s="16" t="n">
        <v>1528</v>
      </c>
      <c r="F59" s="17" t="s">
        <v>50</v>
      </c>
      <c r="G59" s="15" t="s">
        <v>51</v>
      </c>
      <c r="H59" s="3" t="s">
        <v>52</v>
      </c>
      <c r="I59" s="3" t="s">
        <v>74</v>
      </c>
    </row>
    <row r="60" customFormat="false" ht="33" hidden="false" customHeight="true" outlineLevel="0" collapsed="false">
      <c r="A60" s="17" t="n">
        <v>59</v>
      </c>
      <c r="B60" s="3" t="s">
        <v>47</v>
      </c>
      <c r="C60" s="3" t="s">
        <v>75</v>
      </c>
      <c r="D60" s="15" t="s">
        <v>58</v>
      </c>
      <c r="E60" s="16" t="n">
        <v>-8255</v>
      </c>
      <c r="F60" s="17" t="s">
        <v>50</v>
      </c>
      <c r="G60" s="15" t="s">
        <v>55</v>
      </c>
      <c r="H60" s="3" t="s">
        <v>56</v>
      </c>
      <c r="I60" s="18" t="s">
        <v>76</v>
      </c>
    </row>
    <row r="61" customFormat="false" ht="33" hidden="false" customHeight="true" outlineLevel="0" collapsed="false">
      <c r="A61" s="17" t="n">
        <v>60</v>
      </c>
      <c r="B61" s="3" t="s">
        <v>47</v>
      </c>
      <c r="C61" s="3" t="s">
        <v>75</v>
      </c>
      <c r="D61" s="15" t="s">
        <v>59</v>
      </c>
      <c r="E61" s="16" t="n">
        <v>-3760</v>
      </c>
      <c r="F61" s="17" t="s">
        <v>50</v>
      </c>
      <c r="G61" s="15" t="s">
        <v>60</v>
      </c>
      <c r="H61" s="3" t="s">
        <v>61</v>
      </c>
      <c r="I61" s="18" t="s">
        <v>77</v>
      </c>
    </row>
    <row r="62" customFormat="false" ht="33" hidden="false" customHeight="true" outlineLevel="0" collapsed="false">
      <c r="A62" s="17" t="n">
        <v>61</v>
      </c>
      <c r="B62" s="3" t="s">
        <v>78</v>
      </c>
      <c r="C62" s="3" t="s">
        <v>79</v>
      </c>
      <c r="D62" s="15" t="s">
        <v>64</v>
      </c>
      <c r="E62" s="16" t="n">
        <v>147000</v>
      </c>
      <c r="F62" s="17" t="s">
        <v>50</v>
      </c>
      <c r="G62" s="15" t="s">
        <v>80</v>
      </c>
      <c r="H62" s="3" t="s">
        <v>81</v>
      </c>
      <c r="I62" s="3" t="s">
        <v>82</v>
      </c>
    </row>
    <row r="63" customFormat="false" ht="33" hidden="false" customHeight="true" outlineLevel="0" collapsed="false">
      <c r="A63" s="17" t="n">
        <v>62</v>
      </c>
      <c r="B63" s="3" t="s">
        <v>78</v>
      </c>
      <c r="C63" s="3" t="s">
        <v>79</v>
      </c>
      <c r="D63" s="15" t="s">
        <v>49</v>
      </c>
      <c r="E63" s="16" t="n">
        <v>164000</v>
      </c>
      <c r="F63" s="17" t="s">
        <v>50</v>
      </c>
      <c r="G63" s="15" t="s">
        <v>80</v>
      </c>
      <c r="H63" s="3" t="s">
        <v>81</v>
      </c>
      <c r="I63" s="3" t="s">
        <v>82</v>
      </c>
    </row>
    <row r="64" customFormat="false" ht="33" hidden="false" customHeight="true" outlineLevel="0" collapsed="false">
      <c r="A64" s="17" t="n">
        <v>63</v>
      </c>
      <c r="B64" s="3" t="s">
        <v>78</v>
      </c>
      <c r="C64" s="3" t="s">
        <v>79</v>
      </c>
      <c r="D64" s="15" t="s">
        <v>54</v>
      </c>
      <c r="E64" s="16" t="n">
        <v>169000</v>
      </c>
      <c r="F64" s="17" t="s">
        <v>50</v>
      </c>
      <c r="G64" s="15" t="s">
        <v>80</v>
      </c>
      <c r="H64" s="3" t="s">
        <v>81</v>
      </c>
      <c r="I64" s="3" t="s">
        <v>82</v>
      </c>
    </row>
    <row r="65" customFormat="false" ht="33" hidden="false" customHeight="true" outlineLevel="0" collapsed="false">
      <c r="A65" s="17" t="n">
        <v>64</v>
      </c>
      <c r="B65" s="3" t="s">
        <v>78</v>
      </c>
      <c r="C65" s="3" t="s">
        <v>79</v>
      </c>
      <c r="D65" s="15" t="s">
        <v>57</v>
      </c>
      <c r="E65" s="16" t="n">
        <v>171000</v>
      </c>
      <c r="F65" s="17" t="s">
        <v>50</v>
      </c>
      <c r="G65" s="15" t="s">
        <v>83</v>
      </c>
      <c r="H65" s="3" t="s">
        <v>84</v>
      </c>
      <c r="I65" s="3" t="s">
        <v>82</v>
      </c>
    </row>
    <row r="66" customFormat="false" ht="33" hidden="false" customHeight="true" outlineLevel="0" collapsed="false">
      <c r="A66" s="17" t="n">
        <v>65</v>
      </c>
      <c r="B66" s="3" t="s">
        <v>78</v>
      </c>
      <c r="C66" s="3" t="s">
        <v>79</v>
      </c>
      <c r="D66" s="15" t="s">
        <v>58</v>
      </c>
      <c r="E66" s="16" t="n">
        <v>176000</v>
      </c>
      <c r="F66" s="17" t="s">
        <v>50</v>
      </c>
      <c r="G66" s="15" t="s">
        <v>83</v>
      </c>
      <c r="H66" s="3" t="s">
        <v>84</v>
      </c>
      <c r="I66" s="3" t="s">
        <v>82</v>
      </c>
    </row>
    <row r="67" customFormat="false" ht="33" hidden="false" customHeight="true" outlineLevel="0" collapsed="false">
      <c r="A67" s="17" t="n">
        <v>66</v>
      </c>
      <c r="B67" s="3" t="s">
        <v>78</v>
      </c>
      <c r="C67" s="3" t="s">
        <v>79</v>
      </c>
      <c r="D67" s="15" t="s">
        <v>62</v>
      </c>
      <c r="E67" s="16" t="n">
        <v>177500</v>
      </c>
      <c r="F67" s="17" t="s">
        <v>50</v>
      </c>
      <c r="G67" s="15" t="s">
        <v>85</v>
      </c>
      <c r="H67" s="3" t="s">
        <v>86</v>
      </c>
      <c r="I67" s="3" t="s">
        <v>82</v>
      </c>
    </row>
    <row r="68" customFormat="false" ht="33" hidden="false" customHeight="true" outlineLevel="0" collapsed="false">
      <c r="A68" s="17" t="n">
        <v>67</v>
      </c>
      <c r="B68" s="3" t="s">
        <v>78</v>
      </c>
      <c r="C68" s="3" t="s">
        <v>87</v>
      </c>
      <c r="D68" s="15" t="s">
        <v>64</v>
      </c>
      <c r="E68" s="16" t="n">
        <v>85319</v>
      </c>
      <c r="F68" s="17" t="s">
        <v>50</v>
      </c>
      <c r="G68" s="15" t="s">
        <v>88</v>
      </c>
      <c r="H68" s="3" t="s">
        <v>89</v>
      </c>
      <c r="I68" s="3"/>
    </row>
    <row r="69" customFormat="false" ht="33" hidden="false" customHeight="true" outlineLevel="0" collapsed="false">
      <c r="A69" s="17" t="n">
        <v>68</v>
      </c>
      <c r="B69" s="3" t="s">
        <v>78</v>
      </c>
      <c r="C69" s="3" t="s">
        <v>90</v>
      </c>
      <c r="D69" s="15" t="s">
        <v>64</v>
      </c>
      <c r="E69" s="16" t="n">
        <v>2865</v>
      </c>
      <c r="F69" s="17" t="s">
        <v>50</v>
      </c>
      <c r="G69" s="15" t="s">
        <v>88</v>
      </c>
      <c r="H69" s="3" t="s">
        <v>89</v>
      </c>
      <c r="I69" s="3"/>
    </row>
    <row r="70" customFormat="false" ht="33" hidden="false" customHeight="true" outlineLevel="0" collapsed="false">
      <c r="A70" s="17" t="n">
        <v>69</v>
      </c>
      <c r="B70" s="3" t="s">
        <v>78</v>
      </c>
      <c r="C70" s="3" t="s">
        <v>91</v>
      </c>
      <c r="D70" s="15" t="s">
        <v>64</v>
      </c>
      <c r="E70" s="16" t="n">
        <v>58535</v>
      </c>
      <c r="F70" s="17" t="s">
        <v>50</v>
      </c>
      <c r="G70" s="15" t="s">
        <v>88</v>
      </c>
      <c r="H70" s="3" t="s">
        <v>89</v>
      </c>
      <c r="I70" s="3" t="s">
        <v>92</v>
      </c>
    </row>
    <row r="71" customFormat="false" ht="33" hidden="false" customHeight="true" outlineLevel="0" collapsed="false">
      <c r="A71" s="17" t="n">
        <v>70</v>
      </c>
      <c r="B71" s="3" t="s">
        <v>78</v>
      </c>
      <c r="C71" s="3" t="s">
        <v>87</v>
      </c>
      <c r="D71" s="15" t="s">
        <v>49</v>
      </c>
      <c r="E71" s="16" t="n">
        <v>32260</v>
      </c>
      <c r="F71" s="17" t="s">
        <v>50</v>
      </c>
      <c r="G71" s="15" t="s">
        <v>93</v>
      </c>
      <c r="H71" s="3" t="s">
        <v>94</v>
      </c>
      <c r="I71" s="3"/>
    </row>
    <row r="72" customFormat="false" ht="33" hidden="false" customHeight="true" outlineLevel="0" collapsed="false">
      <c r="A72" s="17" t="n">
        <v>71</v>
      </c>
      <c r="B72" s="3" t="s">
        <v>78</v>
      </c>
      <c r="C72" s="3" t="s">
        <v>90</v>
      </c>
      <c r="D72" s="15" t="s">
        <v>49</v>
      </c>
      <c r="E72" s="16" t="n">
        <v>3551</v>
      </c>
      <c r="F72" s="17" t="s">
        <v>50</v>
      </c>
      <c r="G72" s="15" t="s">
        <v>93</v>
      </c>
      <c r="H72" s="3" t="s">
        <v>94</v>
      </c>
      <c r="I72" s="3"/>
    </row>
    <row r="73" customFormat="false" ht="33" hidden="false" customHeight="true" outlineLevel="0" collapsed="false">
      <c r="A73" s="17" t="n">
        <v>72</v>
      </c>
      <c r="B73" s="3" t="s">
        <v>78</v>
      </c>
      <c r="C73" s="3" t="s">
        <v>91</v>
      </c>
      <c r="D73" s="15" t="s">
        <v>49</v>
      </c>
      <c r="E73" s="16" t="n">
        <v>92774</v>
      </c>
      <c r="F73" s="17" t="s">
        <v>50</v>
      </c>
      <c r="G73" s="15" t="s">
        <v>93</v>
      </c>
      <c r="H73" s="3" t="s">
        <v>94</v>
      </c>
      <c r="I73" s="3" t="s">
        <v>92</v>
      </c>
    </row>
    <row r="74" customFormat="false" ht="33" hidden="false" customHeight="true" outlineLevel="0" collapsed="false">
      <c r="A74" s="17" t="n">
        <v>73</v>
      </c>
      <c r="B74" s="3" t="s">
        <v>78</v>
      </c>
      <c r="C74" s="3" t="s">
        <v>87</v>
      </c>
      <c r="D74" s="15" t="s">
        <v>54</v>
      </c>
      <c r="E74" s="16" t="n">
        <v>33672</v>
      </c>
      <c r="F74" s="17" t="s">
        <v>50</v>
      </c>
      <c r="G74" s="15" t="s">
        <v>93</v>
      </c>
      <c r="H74" s="3" t="s">
        <v>94</v>
      </c>
      <c r="I74" s="3"/>
    </row>
    <row r="75" customFormat="false" ht="33" hidden="false" customHeight="true" outlineLevel="0" collapsed="false">
      <c r="A75" s="17" t="n">
        <v>74</v>
      </c>
      <c r="B75" s="3" t="s">
        <v>78</v>
      </c>
      <c r="C75" s="3" t="s">
        <v>90</v>
      </c>
      <c r="D75" s="15" t="s">
        <v>54</v>
      </c>
      <c r="E75" s="16" t="n">
        <v>4350</v>
      </c>
      <c r="F75" s="17" t="s">
        <v>50</v>
      </c>
      <c r="G75" s="15" t="s">
        <v>93</v>
      </c>
      <c r="H75" s="3" t="s">
        <v>94</v>
      </c>
      <c r="I75" s="3"/>
    </row>
    <row r="76" customFormat="false" ht="33" hidden="false" customHeight="true" outlineLevel="0" collapsed="false">
      <c r="A76" s="17" t="n">
        <v>75</v>
      </c>
      <c r="B76" s="3" t="s">
        <v>78</v>
      </c>
      <c r="C76" s="3" t="s">
        <v>91</v>
      </c>
      <c r="D76" s="15" t="s">
        <v>54</v>
      </c>
      <c r="E76" s="16" t="n">
        <v>129619</v>
      </c>
      <c r="F76" s="17" t="s">
        <v>50</v>
      </c>
      <c r="G76" s="15" t="s">
        <v>93</v>
      </c>
      <c r="H76" s="3" t="s">
        <v>94</v>
      </c>
      <c r="I76" s="3" t="s">
        <v>92</v>
      </c>
    </row>
    <row r="77" customFormat="false" ht="33" hidden="false" customHeight="true" outlineLevel="0" collapsed="false">
      <c r="A77" s="17" t="n">
        <v>76</v>
      </c>
      <c r="B77" s="3" t="s">
        <v>78</v>
      </c>
      <c r="C77" s="3" t="s">
        <v>87</v>
      </c>
      <c r="D77" s="15" t="s">
        <v>57</v>
      </c>
      <c r="E77" s="16" t="n">
        <v>44333</v>
      </c>
      <c r="F77" s="17" t="s">
        <v>50</v>
      </c>
      <c r="G77" s="15" t="s">
        <v>95</v>
      </c>
      <c r="H77" s="3" t="s">
        <v>96</v>
      </c>
      <c r="I77" s="3"/>
    </row>
    <row r="78" customFormat="false" ht="33" hidden="false" customHeight="true" outlineLevel="0" collapsed="false">
      <c r="A78" s="17" t="n">
        <v>77</v>
      </c>
      <c r="B78" s="3" t="s">
        <v>78</v>
      </c>
      <c r="C78" s="3" t="s">
        <v>90</v>
      </c>
      <c r="D78" s="15" t="s">
        <v>57</v>
      </c>
      <c r="E78" s="16" t="n">
        <v>3396</v>
      </c>
      <c r="F78" s="17" t="s">
        <v>50</v>
      </c>
      <c r="G78" s="15" t="s">
        <v>95</v>
      </c>
      <c r="H78" s="3" t="s">
        <v>96</v>
      </c>
      <c r="I78" s="3"/>
    </row>
    <row r="79" customFormat="false" ht="33" hidden="false" customHeight="true" outlineLevel="0" collapsed="false">
      <c r="A79" s="17" t="n">
        <v>78</v>
      </c>
      <c r="B79" s="3" t="s">
        <v>78</v>
      </c>
      <c r="C79" s="3" t="s">
        <v>91</v>
      </c>
      <c r="D79" s="15" t="s">
        <v>57</v>
      </c>
      <c r="E79" s="16" t="n">
        <v>286472</v>
      </c>
      <c r="F79" s="17" t="s">
        <v>50</v>
      </c>
      <c r="G79" s="15" t="s">
        <v>95</v>
      </c>
      <c r="H79" s="3" t="s">
        <v>96</v>
      </c>
      <c r="I79" s="3" t="s">
        <v>92</v>
      </c>
    </row>
    <row r="80" customFormat="false" ht="33" hidden="false" customHeight="true" outlineLevel="0" collapsed="false">
      <c r="A80" s="17" t="n">
        <v>79</v>
      </c>
      <c r="B80" s="3" t="s">
        <v>78</v>
      </c>
      <c r="C80" s="3" t="s">
        <v>87</v>
      </c>
      <c r="D80" s="15" t="s">
        <v>58</v>
      </c>
      <c r="E80" s="16" t="n">
        <v>47719</v>
      </c>
      <c r="F80" s="17" t="s">
        <v>50</v>
      </c>
      <c r="G80" s="15" t="s">
        <v>95</v>
      </c>
      <c r="H80" s="3" t="s">
        <v>96</v>
      </c>
      <c r="I80" s="3"/>
    </row>
    <row r="81" customFormat="false" ht="33" hidden="false" customHeight="true" outlineLevel="0" collapsed="false">
      <c r="A81" s="17" t="n">
        <v>80</v>
      </c>
      <c r="B81" s="3" t="s">
        <v>78</v>
      </c>
      <c r="C81" s="3" t="s">
        <v>90</v>
      </c>
      <c r="D81" s="15" t="s">
        <v>58</v>
      </c>
      <c r="E81" s="16" t="n">
        <v>4158</v>
      </c>
      <c r="F81" s="17" t="s">
        <v>50</v>
      </c>
      <c r="G81" s="15" t="s">
        <v>95</v>
      </c>
      <c r="H81" s="3" t="s">
        <v>96</v>
      </c>
      <c r="I81" s="3"/>
    </row>
    <row r="82" customFormat="false" ht="33" hidden="false" customHeight="true" outlineLevel="0" collapsed="false">
      <c r="A82" s="17" t="n">
        <v>81</v>
      </c>
      <c r="B82" s="3" t="s">
        <v>78</v>
      </c>
      <c r="C82" s="3" t="s">
        <v>91</v>
      </c>
      <c r="D82" s="15" t="s">
        <v>58</v>
      </c>
      <c r="E82" s="16" t="n">
        <v>321434</v>
      </c>
      <c r="F82" s="17" t="s">
        <v>50</v>
      </c>
      <c r="G82" s="15" t="s">
        <v>95</v>
      </c>
      <c r="H82" s="3" t="s">
        <v>96</v>
      </c>
      <c r="I82" s="3" t="s">
        <v>92</v>
      </c>
    </row>
    <row r="83" customFormat="false" ht="33" hidden="false" customHeight="true" outlineLevel="0" collapsed="false">
      <c r="A83" s="17" t="n">
        <v>82</v>
      </c>
      <c r="B83" s="3" t="s">
        <v>78</v>
      </c>
      <c r="C83" s="3" t="s">
        <v>87</v>
      </c>
      <c r="D83" s="15" t="s">
        <v>62</v>
      </c>
      <c r="E83" s="16" t="n">
        <v>35096</v>
      </c>
      <c r="F83" s="17" t="s">
        <v>50</v>
      </c>
      <c r="G83" s="15" t="s">
        <v>97</v>
      </c>
      <c r="H83" s="3" t="s">
        <v>98</v>
      </c>
      <c r="I83" s="3"/>
    </row>
    <row r="84" customFormat="false" ht="33" hidden="false" customHeight="true" outlineLevel="0" collapsed="false">
      <c r="A84" s="17" t="n">
        <v>83</v>
      </c>
      <c r="B84" s="3" t="s">
        <v>78</v>
      </c>
      <c r="C84" s="3" t="s">
        <v>90</v>
      </c>
      <c r="D84" s="15" t="s">
        <v>62</v>
      </c>
      <c r="E84" s="16" t="n">
        <v>5513</v>
      </c>
      <c r="F84" s="17" t="s">
        <v>50</v>
      </c>
      <c r="G84" s="15" t="s">
        <v>97</v>
      </c>
      <c r="H84" s="3" t="s">
        <v>98</v>
      </c>
      <c r="I84" s="3"/>
    </row>
    <row r="85" customFormat="false" ht="33" hidden="false" customHeight="true" outlineLevel="0" collapsed="false">
      <c r="A85" s="17" t="n">
        <v>84</v>
      </c>
      <c r="B85" s="3" t="s">
        <v>78</v>
      </c>
      <c r="C85" s="3" t="s">
        <v>91</v>
      </c>
      <c r="D85" s="15" t="s">
        <v>62</v>
      </c>
      <c r="E85" s="16" t="n">
        <v>324905</v>
      </c>
      <c r="F85" s="17" t="s">
        <v>50</v>
      </c>
      <c r="G85" s="15" t="s">
        <v>97</v>
      </c>
      <c r="H85" s="3" t="s">
        <v>98</v>
      </c>
      <c r="I85" s="3" t="s">
        <v>92</v>
      </c>
    </row>
    <row r="86" customFormat="false" ht="33" hidden="false" customHeight="true" outlineLevel="0" collapsed="false">
      <c r="A86" s="17" t="n">
        <v>85</v>
      </c>
      <c r="B86" s="3" t="s">
        <v>99</v>
      </c>
      <c r="C86" s="3" t="s">
        <v>100</v>
      </c>
      <c r="D86" s="15" t="s">
        <v>64</v>
      </c>
      <c r="E86" s="16" t="n">
        <v>35600</v>
      </c>
      <c r="F86" s="17" t="s">
        <v>50</v>
      </c>
      <c r="G86" s="15" t="s">
        <v>101</v>
      </c>
      <c r="H86" s="3" t="s">
        <v>102</v>
      </c>
      <c r="I86" s="18" t="s">
        <v>103</v>
      </c>
    </row>
    <row r="87" customFormat="false" ht="33" hidden="false" customHeight="true" outlineLevel="0" collapsed="false">
      <c r="A87" s="17" t="n">
        <v>86</v>
      </c>
      <c r="B87" s="3" t="s">
        <v>99</v>
      </c>
      <c r="C87" s="3" t="s">
        <v>104</v>
      </c>
      <c r="D87" s="15" t="s">
        <v>64</v>
      </c>
      <c r="E87" s="16" t="n">
        <v>-8123</v>
      </c>
      <c r="F87" s="17" t="s">
        <v>50</v>
      </c>
      <c r="G87" s="15" t="s">
        <v>101</v>
      </c>
      <c r="H87" s="3" t="s">
        <v>102</v>
      </c>
      <c r="I87" s="18" t="s">
        <v>103</v>
      </c>
    </row>
    <row r="88" customFormat="false" ht="33" hidden="false" customHeight="true" outlineLevel="0" collapsed="false">
      <c r="A88" s="17" t="n">
        <v>87</v>
      </c>
      <c r="B88" s="3" t="s">
        <v>99</v>
      </c>
      <c r="C88" s="3" t="s">
        <v>105</v>
      </c>
      <c r="D88" s="15" t="s">
        <v>64</v>
      </c>
      <c r="E88" s="16" t="n">
        <v>533886</v>
      </c>
      <c r="F88" s="17" t="s">
        <v>50</v>
      </c>
      <c r="G88" s="15" t="s">
        <v>101</v>
      </c>
      <c r="H88" s="3" t="s">
        <v>102</v>
      </c>
      <c r="I88" s="18" t="s">
        <v>103</v>
      </c>
    </row>
    <row r="89" customFormat="false" ht="33" hidden="false" customHeight="true" outlineLevel="0" collapsed="false">
      <c r="A89" s="17" t="n">
        <v>88</v>
      </c>
      <c r="B89" s="3" t="s">
        <v>99</v>
      </c>
      <c r="C89" s="3" t="s">
        <v>106</v>
      </c>
      <c r="D89" s="15" t="s">
        <v>64</v>
      </c>
      <c r="E89" s="16" t="n">
        <v>-59795</v>
      </c>
      <c r="F89" s="17" t="s">
        <v>50</v>
      </c>
      <c r="G89" s="15" t="s">
        <v>101</v>
      </c>
      <c r="H89" s="3" t="s">
        <v>102</v>
      </c>
      <c r="I89" s="18" t="s">
        <v>103</v>
      </c>
    </row>
    <row r="90" customFormat="false" ht="33" hidden="false" customHeight="true" outlineLevel="0" collapsed="false">
      <c r="A90" s="17" t="n">
        <v>89</v>
      </c>
      <c r="B90" s="3" t="s">
        <v>78</v>
      </c>
      <c r="C90" s="3" t="s">
        <v>107</v>
      </c>
      <c r="D90" s="15" t="s">
        <v>64</v>
      </c>
      <c r="E90" s="19" t="n">
        <f aca="false">SUMIFS($E$2:$E$197,$B$2:$B$197,"权益组成",$D$2:$D$197,D90)</f>
        <v>501568</v>
      </c>
      <c r="F90" s="17" t="s">
        <v>50</v>
      </c>
      <c r="G90" s="15" t="s">
        <v>101</v>
      </c>
      <c r="H90" s="3" t="s">
        <v>102</v>
      </c>
      <c r="I90" s="3" t="s">
        <v>108</v>
      </c>
    </row>
    <row r="91" customFormat="false" ht="33" hidden="false" customHeight="true" outlineLevel="0" collapsed="false">
      <c r="A91" s="17" t="n">
        <v>90</v>
      </c>
      <c r="B91" s="3" t="s">
        <v>78</v>
      </c>
      <c r="C91" s="3" t="s">
        <v>107</v>
      </c>
      <c r="D91" s="15" t="s">
        <v>49</v>
      </c>
      <c r="E91" s="16" t="n">
        <v>473424</v>
      </c>
      <c r="F91" s="17" t="s">
        <v>50</v>
      </c>
      <c r="G91" s="15" t="s">
        <v>93</v>
      </c>
      <c r="H91" s="3" t="s">
        <v>94</v>
      </c>
      <c r="I91" s="3" t="s">
        <v>109</v>
      </c>
    </row>
    <row r="92" customFormat="false" ht="33" hidden="false" customHeight="true" outlineLevel="0" collapsed="false">
      <c r="A92" s="17" t="n">
        <v>91</v>
      </c>
      <c r="B92" s="3" t="s">
        <v>78</v>
      </c>
      <c r="C92" s="3" t="s">
        <v>107</v>
      </c>
      <c r="D92" s="15" t="s">
        <v>54</v>
      </c>
      <c r="E92" s="16" t="n">
        <v>561273</v>
      </c>
      <c r="F92" s="17" t="s">
        <v>50</v>
      </c>
      <c r="G92" s="15" t="s">
        <v>93</v>
      </c>
      <c r="H92" s="3" t="s">
        <v>94</v>
      </c>
      <c r="I92" s="3" t="s">
        <v>109</v>
      </c>
    </row>
    <row r="93" customFormat="false" ht="33" hidden="false" customHeight="true" outlineLevel="0" collapsed="false">
      <c r="A93" s="17" t="n">
        <v>92</v>
      </c>
      <c r="B93" s="3" t="s">
        <v>78</v>
      </c>
      <c r="C93" s="3" t="s">
        <v>107</v>
      </c>
      <c r="D93" s="15" t="s">
        <v>57</v>
      </c>
      <c r="E93" s="16" t="n">
        <v>649368</v>
      </c>
      <c r="F93" s="17" t="s">
        <v>50</v>
      </c>
      <c r="G93" s="15" t="s">
        <v>95</v>
      </c>
      <c r="H93" s="3" t="s">
        <v>96</v>
      </c>
      <c r="I93" s="3" t="s">
        <v>109</v>
      </c>
    </row>
    <row r="94" customFormat="false" ht="33" hidden="false" customHeight="true" outlineLevel="0" collapsed="false">
      <c r="A94" s="17" t="n">
        <v>93</v>
      </c>
      <c r="B94" s="3" t="s">
        <v>78</v>
      </c>
      <c r="C94" s="3" t="s">
        <v>107</v>
      </c>
      <c r="D94" s="15" t="s">
        <v>58</v>
      </c>
      <c r="E94" s="16" t="n">
        <v>717419</v>
      </c>
      <c r="F94" s="17" t="s">
        <v>50</v>
      </c>
      <c r="G94" s="15" t="s">
        <v>95</v>
      </c>
      <c r="H94" s="3" t="s">
        <v>96</v>
      </c>
      <c r="I94" s="3" t="s">
        <v>109</v>
      </c>
    </row>
    <row r="95" customFormat="false" ht="33" hidden="false" customHeight="true" outlineLevel="0" collapsed="false">
      <c r="A95" s="17" t="n">
        <v>94</v>
      </c>
      <c r="B95" s="3" t="s">
        <v>78</v>
      </c>
      <c r="C95" s="3" t="s">
        <v>107</v>
      </c>
      <c r="D95" s="15" t="s">
        <v>62</v>
      </c>
      <c r="E95" s="16" t="n">
        <v>747910</v>
      </c>
      <c r="F95" s="17" t="s">
        <v>50</v>
      </c>
      <c r="G95" s="15" t="s">
        <v>97</v>
      </c>
      <c r="H95" s="3" t="s">
        <v>98</v>
      </c>
      <c r="I95" s="3" t="s">
        <v>109</v>
      </c>
    </row>
    <row r="96" customFormat="false" ht="33" hidden="false" customHeight="true" outlineLevel="0" collapsed="false">
      <c r="A96" s="17" t="n">
        <v>95</v>
      </c>
      <c r="B96" s="3" t="s">
        <v>78</v>
      </c>
      <c r="C96" s="3" t="s">
        <v>110</v>
      </c>
      <c r="D96" s="15" t="s">
        <v>64</v>
      </c>
      <c r="E96" s="16" t="n">
        <v>1477429</v>
      </c>
      <c r="F96" s="17" t="s">
        <v>111</v>
      </c>
      <c r="G96" s="15" t="s">
        <v>112</v>
      </c>
      <c r="H96" s="3" t="s">
        <v>113</v>
      </c>
      <c r="I96" s="3" t="s">
        <v>114</v>
      </c>
    </row>
    <row r="97" customFormat="false" ht="33" hidden="false" customHeight="true" outlineLevel="0" collapsed="false">
      <c r="A97" s="17" t="n">
        <v>96</v>
      </c>
      <c r="B97" s="3" t="s">
        <v>78</v>
      </c>
      <c r="C97" s="3" t="s">
        <v>110</v>
      </c>
      <c r="D97" s="15" t="s">
        <v>49</v>
      </c>
      <c r="E97" s="16" t="n">
        <v>1459733</v>
      </c>
      <c r="F97" s="17" t="s">
        <v>111</v>
      </c>
      <c r="G97" s="15" t="s">
        <v>115</v>
      </c>
      <c r="H97" s="3" t="s">
        <v>116</v>
      </c>
      <c r="I97" s="3" t="s">
        <v>114</v>
      </c>
    </row>
    <row r="98" customFormat="false" ht="33" hidden="false" customHeight="true" outlineLevel="0" collapsed="false">
      <c r="A98" s="17" t="n">
        <v>97</v>
      </c>
      <c r="B98" s="3" t="s">
        <v>78</v>
      </c>
      <c r="C98" s="3" t="s">
        <v>110</v>
      </c>
      <c r="D98" s="15" t="s">
        <v>54</v>
      </c>
      <c r="E98" s="16" t="n">
        <v>1441483</v>
      </c>
      <c r="F98" s="17" t="s">
        <v>111</v>
      </c>
      <c r="G98" s="15" t="s">
        <v>115</v>
      </c>
      <c r="H98" s="3" t="s">
        <v>116</v>
      </c>
      <c r="I98" s="3" t="s">
        <v>114</v>
      </c>
    </row>
    <row r="99" customFormat="false" ht="33" hidden="false" customHeight="true" outlineLevel="0" collapsed="false">
      <c r="A99" s="17" t="n">
        <v>98</v>
      </c>
      <c r="B99" s="3" t="s">
        <v>78</v>
      </c>
      <c r="C99" s="3" t="s">
        <v>110</v>
      </c>
      <c r="D99" s="15" t="s">
        <v>57</v>
      </c>
      <c r="E99" s="16" t="n">
        <v>1438223</v>
      </c>
      <c r="F99" s="17" t="s">
        <v>111</v>
      </c>
      <c r="G99" s="15" t="s">
        <v>117</v>
      </c>
      <c r="H99" s="3" t="s">
        <v>118</v>
      </c>
      <c r="I99" s="3" t="s">
        <v>114</v>
      </c>
    </row>
    <row r="100" customFormat="false" ht="33" hidden="false" customHeight="true" outlineLevel="0" collapsed="false">
      <c r="A100" s="17" t="n">
        <v>99</v>
      </c>
      <c r="B100" s="3" t="s">
        <v>78</v>
      </c>
      <c r="C100" s="3" t="s">
        <v>110</v>
      </c>
      <c r="D100" s="15" t="s">
        <v>58</v>
      </c>
      <c r="E100" s="16" t="n">
        <v>1438223</v>
      </c>
      <c r="F100" s="17" t="s">
        <v>111</v>
      </c>
      <c r="G100" s="15" t="s">
        <v>117</v>
      </c>
      <c r="H100" s="3" t="s">
        <v>118</v>
      </c>
      <c r="I100" s="3" t="s">
        <v>114</v>
      </c>
    </row>
    <row r="101" customFormat="false" ht="33" hidden="false" customHeight="true" outlineLevel="0" collapsed="false">
      <c r="A101" s="17" t="n">
        <v>100</v>
      </c>
      <c r="B101" s="3" t="s">
        <v>78</v>
      </c>
      <c r="C101" s="3" t="s">
        <v>110</v>
      </c>
      <c r="D101" s="15" t="s">
        <v>62</v>
      </c>
      <c r="E101" s="16" t="n">
        <v>1431693</v>
      </c>
      <c r="F101" s="17" t="s">
        <v>111</v>
      </c>
      <c r="G101" s="15" t="s">
        <v>119</v>
      </c>
      <c r="H101" s="3" t="s">
        <v>120</v>
      </c>
      <c r="I101" s="3" t="s">
        <v>114</v>
      </c>
    </row>
    <row r="102" customFormat="false" ht="33" hidden="false" customHeight="true" outlineLevel="0" collapsed="false">
      <c r="A102" s="17" t="n">
        <v>101</v>
      </c>
      <c r="B102" s="3" t="s">
        <v>121</v>
      </c>
      <c r="C102" s="3" t="s">
        <v>122</v>
      </c>
      <c r="D102" s="15" t="s">
        <v>64</v>
      </c>
      <c r="E102" s="16" t="n">
        <v>27061</v>
      </c>
      <c r="F102" s="17" t="s">
        <v>50</v>
      </c>
      <c r="G102" s="15" t="s">
        <v>101</v>
      </c>
      <c r="H102" s="3" t="s">
        <v>102</v>
      </c>
      <c r="I102" s="3" t="s">
        <v>123</v>
      </c>
    </row>
    <row r="103" customFormat="false" ht="33" hidden="false" customHeight="true" outlineLevel="0" collapsed="false">
      <c r="A103" s="17" t="n">
        <v>102</v>
      </c>
      <c r="B103" s="3" t="s">
        <v>121</v>
      </c>
      <c r="C103" s="3" t="s">
        <v>124</v>
      </c>
      <c r="D103" s="15" t="s">
        <v>64</v>
      </c>
      <c r="E103" s="16" t="n">
        <v>26942</v>
      </c>
      <c r="F103" s="17" t="s">
        <v>50</v>
      </c>
      <c r="G103" s="15" t="s">
        <v>101</v>
      </c>
      <c r="H103" s="3" t="s">
        <v>102</v>
      </c>
      <c r="I103" s="3" t="s">
        <v>125</v>
      </c>
    </row>
    <row r="104" customFormat="false" ht="33" hidden="false" customHeight="true" outlineLevel="0" collapsed="false">
      <c r="A104" s="17" t="n">
        <v>103</v>
      </c>
      <c r="B104" s="3" t="s">
        <v>121</v>
      </c>
      <c r="C104" s="3" t="s">
        <v>122</v>
      </c>
      <c r="D104" s="15" t="s">
        <v>49</v>
      </c>
      <c r="E104" s="16" t="n">
        <v>7854</v>
      </c>
      <c r="F104" s="17" t="s">
        <v>50</v>
      </c>
      <c r="G104" s="15" t="s">
        <v>101</v>
      </c>
      <c r="H104" s="3" t="s">
        <v>102</v>
      </c>
      <c r="I104" s="3" t="s">
        <v>123</v>
      </c>
    </row>
    <row r="105" customFormat="false" ht="33" hidden="false" customHeight="true" outlineLevel="0" collapsed="false">
      <c r="A105" s="17" t="n">
        <v>104</v>
      </c>
      <c r="B105" s="3" t="s">
        <v>121</v>
      </c>
      <c r="C105" s="3" t="s">
        <v>124</v>
      </c>
      <c r="D105" s="15" t="s">
        <v>49</v>
      </c>
      <c r="E105" s="16" t="n">
        <v>8031</v>
      </c>
      <c r="F105" s="17" t="s">
        <v>50</v>
      </c>
      <c r="G105" s="15" t="s">
        <v>101</v>
      </c>
      <c r="H105" s="3" t="s">
        <v>102</v>
      </c>
      <c r="I105" s="3" t="s">
        <v>125</v>
      </c>
    </row>
    <row r="106" customFormat="false" ht="33" hidden="false" customHeight="true" outlineLevel="0" collapsed="false">
      <c r="A106" s="17" t="n">
        <v>105</v>
      </c>
      <c r="B106" s="3" t="s">
        <v>121</v>
      </c>
      <c r="C106" s="3" t="s">
        <v>122</v>
      </c>
      <c r="D106" s="15" t="s">
        <v>54</v>
      </c>
      <c r="E106" s="16" t="n">
        <v>9171</v>
      </c>
      <c r="F106" s="17" t="s">
        <v>50</v>
      </c>
      <c r="G106" s="15" t="s">
        <v>126</v>
      </c>
      <c r="H106" s="3" t="s">
        <v>127</v>
      </c>
      <c r="I106" s="3" t="s">
        <v>123</v>
      </c>
    </row>
    <row r="107" customFormat="false" ht="33" hidden="false" customHeight="true" outlineLevel="0" collapsed="false">
      <c r="A107" s="17" t="n">
        <v>106</v>
      </c>
      <c r="B107" s="3" t="s">
        <v>121</v>
      </c>
      <c r="C107" s="3" t="s">
        <v>124</v>
      </c>
      <c r="D107" s="15" t="s">
        <v>54</v>
      </c>
      <c r="E107" s="16" t="n">
        <v>8976</v>
      </c>
      <c r="F107" s="17" t="s">
        <v>50</v>
      </c>
      <c r="G107" s="15" t="s">
        <v>128</v>
      </c>
      <c r="H107" s="3" t="s">
        <v>129</v>
      </c>
      <c r="I107" s="3" t="s">
        <v>125</v>
      </c>
    </row>
    <row r="108" customFormat="false" ht="33" hidden="false" customHeight="true" outlineLevel="0" collapsed="false">
      <c r="A108" s="17" t="n">
        <v>107</v>
      </c>
      <c r="B108" s="3" t="s">
        <v>121</v>
      </c>
      <c r="C108" s="3" t="s">
        <v>122</v>
      </c>
      <c r="D108" s="15" t="s">
        <v>57</v>
      </c>
      <c r="E108" s="16" t="n">
        <v>2918</v>
      </c>
      <c r="F108" s="17" t="s">
        <v>50</v>
      </c>
      <c r="G108" s="15" t="s">
        <v>126</v>
      </c>
      <c r="H108" s="3" t="s">
        <v>127</v>
      </c>
      <c r="I108" s="3" t="s">
        <v>123</v>
      </c>
    </row>
    <row r="109" customFormat="false" ht="33" hidden="false" customHeight="true" outlineLevel="0" collapsed="false">
      <c r="A109" s="17" t="n">
        <v>108</v>
      </c>
      <c r="B109" s="3" t="s">
        <v>121</v>
      </c>
      <c r="C109" s="3" t="s">
        <v>124</v>
      </c>
      <c r="D109" s="15" t="s">
        <v>57</v>
      </c>
      <c r="E109" s="16" t="n">
        <v>2918</v>
      </c>
      <c r="F109" s="17" t="s">
        <v>50</v>
      </c>
      <c r="G109" s="15" t="s">
        <v>128</v>
      </c>
      <c r="H109" s="3" t="s">
        <v>129</v>
      </c>
      <c r="I109" s="3" t="s">
        <v>125</v>
      </c>
    </row>
    <row r="110" customFormat="false" ht="33" hidden="false" customHeight="true" outlineLevel="0" collapsed="false">
      <c r="A110" s="17" t="n">
        <v>109</v>
      </c>
      <c r="B110" s="3" t="s">
        <v>121</v>
      </c>
      <c r="C110" s="3" t="s">
        <v>122</v>
      </c>
      <c r="D110" s="15" t="s">
        <v>58</v>
      </c>
      <c r="E110" s="16" t="n">
        <v>0</v>
      </c>
      <c r="F110" s="17" t="s">
        <v>50</v>
      </c>
      <c r="G110" s="15" t="s">
        <v>126</v>
      </c>
      <c r="H110" s="3" t="s">
        <v>127</v>
      </c>
      <c r="I110" s="3" t="s">
        <v>123</v>
      </c>
    </row>
    <row r="111" customFormat="false" ht="33" hidden="false" customHeight="true" outlineLevel="0" collapsed="false">
      <c r="A111" s="17" t="n">
        <v>110</v>
      </c>
      <c r="B111" s="3" t="s">
        <v>121</v>
      </c>
      <c r="C111" s="3" t="s">
        <v>124</v>
      </c>
      <c r="D111" s="15" t="s">
        <v>58</v>
      </c>
      <c r="E111" s="16" t="n">
        <v>0</v>
      </c>
      <c r="F111" s="17" t="s">
        <v>50</v>
      </c>
      <c r="G111" s="15" t="s">
        <v>128</v>
      </c>
      <c r="H111" s="3" t="s">
        <v>129</v>
      </c>
      <c r="I111" s="3" t="s">
        <v>125</v>
      </c>
    </row>
    <row r="112" customFormat="false" ht="33" hidden="false" customHeight="true" outlineLevel="0" collapsed="false">
      <c r="A112" s="17" t="n">
        <v>111</v>
      </c>
      <c r="B112" s="3" t="s">
        <v>121</v>
      </c>
      <c r="C112" s="3" t="s">
        <v>122</v>
      </c>
      <c r="D112" s="15" t="s">
        <v>62</v>
      </c>
      <c r="E112" s="16" t="n">
        <v>4444</v>
      </c>
      <c r="F112" s="17" t="s">
        <v>50</v>
      </c>
      <c r="G112" s="15" t="s">
        <v>130</v>
      </c>
      <c r="H112" s="3" t="s">
        <v>131</v>
      </c>
      <c r="I112" s="3" t="s">
        <v>123</v>
      </c>
    </row>
    <row r="113" customFormat="false" ht="33" hidden="false" customHeight="true" outlineLevel="0" collapsed="false">
      <c r="A113" s="17" t="n">
        <v>112</v>
      </c>
      <c r="B113" s="3" t="s">
        <v>121</v>
      </c>
      <c r="C113" s="3" t="s">
        <v>124</v>
      </c>
      <c r="D113" s="15" t="s">
        <v>62</v>
      </c>
      <c r="E113" s="16" t="n">
        <v>4762</v>
      </c>
      <c r="F113" s="17" t="s">
        <v>50</v>
      </c>
      <c r="G113" s="15" t="s">
        <v>132</v>
      </c>
      <c r="H113" s="3" t="s">
        <v>133</v>
      </c>
      <c r="I113" s="3" t="s">
        <v>125</v>
      </c>
    </row>
    <row r="114" customFormat="false" ht="33" hidden="false" customHeight="true" outlineLevel="0" collapsed="false">
      <c r="A114" s="17" t="n">
        <v>113</v>
      </c>
      <c r="B114" s="3" t="s">
        <v>121</v>
      </c>
      <c r="C114" s="3" t="s">
        <v>122</v>
      </c>
      <c r="D114" s="15" t="s">
        <v>59</v>
      </c>
      <c r="E114" s="16" t="n">
        <v>0</v>
      </c>
      <c r="F114" s="17" t="s">
        <v>50</v>
      </c>
      <c r="G114" s="15" t="s">
        <v>130</v>
      </c>
      <c r="H114" s="3" t="s">
        <v>131</v>
      </c>
      <c r="I114" s="3" t="s">
        <v>134</v>
      </c>
    </row>
    <row r="115" customFormat="false" ht="33" hidden="false" customHeight="true" outlineLevel="0" collapsed="false">
      <c r="A115" s="17" t="n">
        <v>114</v>
      </c>
      <c r="B115" s="3" t="s">
        <v>121</v>
      </c>
      <c r="C115" s="3" t="s">
        <v>124</v>
      </c>
      <c r="D115" s="15" t="s">
        <v>59</v>
      </c>
      <c r="E115" s="16" t="n">
        <v>0</v>
      </c>
      <c r="F115" s="17" t="s">
        <v>50</v>
      </c>
      <c r="G115" s="15" t="s">
        <v>132</v>
      </c>
      <c r="H115" s="3" t="s">
        <v>133</v>
      </c>
      <c r="I115" s="3" t="s">
        <v>135</v>
      </c>
    </row>
    <row r="116" customFormat="false" ht="33" hidden="false" customHeight="true" outlineLevel="0" collapsed="false">
      <c r="A116" s="17" t="n">
        <v>115</v>
      </c>
      <c r="B116" s="3" t="s">
        <v>136</v>
      </c>
      <c r="C116" s="3" t="s">
        <v>137</v>
      </c>
      <c r="D116" s="15" t="s">
        <v>64</v>
      </c>
      <c r="E116" s="16" t="n">
        <v>89058</v>
      </c>
      <c r="F116" s="17" t="s">
        <v>50</v>
      </c>
      <c r="G116" s="15" t="s">
        <v>138</v>
      </c>
      <c r="H116" s="3" t="s">
        <v>139</v>
      </c>
      <c r="I116" s="3" t="s">
        <v>140</v>
      </c>
    </row>
    <row r="117" customFormat="false" ht="33" hidden="false" customHeight="true" outlineLevel="0" collapsed="false">
      <c r="A117" s="17" t="n">
        <v>116</v>
      </c>
      <c r="B117" s="3" t="s">
        <v>136</v>
      </c>
      <c r="C117" s="3" t="s">
        <v>137</v>
      </c>
      <c r="D117" s="15" t="s">
        <v>49</v>
      </c>
      <c r="E117" s="16" t="n">
        <v>69556</v>
      </c>
      <c r="F117" s="17" t="s">
        <v>50</v>
      </c>
      <c r="G117" s="15" t="s">
        <v>141</v>
      </c>
      <c r="H117" s="3" t="s">
        <v>142</v>
      </c>
      <c r="I117" s="3" t="s">
        <v>140</v>
      </c>
    </row>
    <row r="118" customFormat="false" ht="33" hidden="false" customHeight="true" outlineLevel="0" collapsed="false">
      <c r="A118" s="17" t="n">
        <v>117</v>
      </c>
      <c r="B118" s="3" t="s">
        <v>136</v>
      </c>
      <c r="C118" s="3" t="s">
        <v>137</v>
      </c>
      <c r="D118" s="15" t="s">
        <v>54</v>
      </c>
      <c r="E118" s="16" t="n">
        <v>78312</v>
      </c>
      <c r="F118" s="17" t="s">
        <v>50</v>
      </c>
      <c r="G118" s="15" t="s">
        <v>141</v>
      </c>
      <c r="H118" s="3" t="s">
        <v>142</v>
      </c>
      <c r="I118" s="3" t="s">
        <v>140</v>
      </c>
    </row>
    <row r="119" customFormat="false" ht="33" hidden="false" customHeight="true" outlineLevel="0" collapsed="false">
      <c r="A119" s="17" t="n">
        <v>118</v>
      </c>
      <c r="B119" s="3" t="s">
        <v>136</v>
      </c>
      <c r="C119" s="3" t="s">
        <v>137</v>
      </c>
      <c r="D119" s="15" t="s">
        <v>57</v>
      </c>
      <c r="E119" s="16" t="n">
        <v>91643</v>
      </c>
      <c r="F119" s="17" t="s">
        <v>50</v>
      </c>
      <c r="G119" s="15" t="s">
        <v>143</v>
      </c>
      <c r="H119" s="3" t="s">
        <v>144</v>
      </c>
      <c r="I119" s="3" t="s">
        <v>140</v>
      </c>
    </row>
    <row r="120" customFormat="false" ht="33" hidden="false" customHeight="true" outlineLevel="0" collapsed="false">
      <c r="A120" s="17" t="n">
        <v>119</v>
      </c>
      <c r="B120" s="3" t="s">
        <v>136</v>
      </c>
      <c r="C120" s="3" t="s">
        <v>137</v>
      </c>
      <c r="D120" s="15" t="s">
        <v>58</v>
      </c>
      <c r="E120" s="16" t="n">
        <v>104129</v>
      </c>
      <c r="F120" s="17" t="s">
        <v>50</v>
      </c>
      <c r="G120" s="15" t="s">
        <v>143</v>
      </c>
      <c r="H120" s="3" t="s">
        <v>144</v>
      </c>
      <c r="I120" s="3" t="s">
        <v>140</v>
      </c>
    </row>
    <row r="121" customFormat="false" ht="33" hidden="false" customHeight="true" outlineLevel="0" collapsed="false">
      <c r="A121" s="17" t="n">
        <v>120</v>
      </c>
      <c r="B121" s="3" t="s">
        <v>136</v>
      </c>
      <c r="C121" s="3" t="s">
        <v>137</v>
      </c>
      <c r="D121" s="15" t="s">
        <v>62</v>
      </c>
      <c r="E121" s="16" t="n">
        <v>94477</v>
      </c>
      <c r="F121" s="17" t="s">
        <v>50</v>
      </c>
      <c r="G121" s="15" t="s">
        <v>145</v>
      </c>
      <c r="H121" s="3" t="s">
        <v>146</v>
      </c>
      <c r="I121" s="3" t="s">
        <v>140</v>
      </c>
    </row>
    <row r="122" customFormat="false" ht="33" hidden="false" customHeight="true" outlineLevel="0" collapsed="false">
      <c r="A122" s="17" t="n">
        <v>121</v>
      </c>
      <c r="B122" s="3" t="s">
        <v>136</v>
      </c>
      <c r="C122" s="3" t="s">
        <v>147</v>
      </c>
      <c r="D122" s="15" t="s">
        <v>64</v>
      </c>
      <c r="E122" s="16" t="n">
        <v>191021</v>
      </c>
      <c r="F122" s="17" t="s">
        <v>50</v>
      </c>
      <c r="G122" s="15" t="s">
        <v>138</v>
      </c>
      <c r="H122" s="3" t="s">
        <v>139</v>
      </c>
      <c r="I122" s="3" t="s">
        <v>140</v>
      </c>
    </row>
    <row r="123" customFormat="false" ht="33" hidden="false" customHeight="true" outlineLevel="0" collapsed="false">
      <c r="A123" s="17" t="n">
        <v>122</v>
      </c>
      <c r="B123" s="3" t="s">
        <v>136</v>
      </c>
      <c r="C123" s="3" t="s">
        <v>147</v>
      </c>
      <c r="D123" s="15" t="s">
        <v>49</v>
      </c>
      <c r="E123" s="16" t="n">
        <v>152892</v>
      </c>
      <c r="F123" s="17" t="s">
        <v>50</v>
      </c>
      <c r="G123" s="15" t="s">
        <v>141</v>
      </c>
      <c r="H123" s="3" t="s">
        <v>142</v>
      </c>
      <c r="I123" s="3" t="s">
        <v>140</v>
      </c>
    </row>
    <row r="124" customFormat="false" ht="33" hidden="false" customHeight="true" outlineLevel="0" collapsed="false">
      <c r="A124" s="17" t="n">
        <v>123</v>
      </c>
      <c r="B124" s="3" t="s">
        <v>136</v>
      </c>
      <c r="C124" s="3" t="s">
        <v>147</v>
      </c>
      <c r="D124" s="15" t="s">
        <v>54</v>
      </c>
      <c r="E124" s="16" t="n">
        <v>201143</v>
      </c>
      <c r="F124" s="17" t="s">
        <v>50</v>
      </c>
      <c r="G124" s="15" t="s">
        <v>141</v>
      </c>
      <c r="H124" s="3" t="s">
        <v>142</v>
      </c>
      <c r="I124" s="3" t="s">
        <v>140</v>
      </c>
    </row>
    <row r="125" customFormat="false" ht="33" hidden="false" customHeight="true" outlineLevel="0" collapsed="false">
      <c r="A125" s="17" t="n">
        <v>124</v>
      </c>
      <c r="B125" s="3" t="s">
        <v>136</v>
      </c>
      <c r="C125" s="3" t="s">
        <v>147</v>
      </c>
      <c r="D125" s="15" t="s">
        <v>57</v>
      </c>
      <c r="E125" s="16" t="n">
        <v>104749</v>
      </c>
      <c r="F125" s="17" t="s">
        <v>50</v>
      </c>
      <c r="G125" s="15" t="s">
        <v>143</v>
      </c>
      <c r="H125" s="3" t="s">
        <v>144</v>
      </c>
      <c r="I125" s="3" t="s">
        <v>140</v>
      </c>
    </row>
    <row r="126" customFormat="false" ht="33" hidden="false" customHeight="true" outlineLevel="0" collapsed="false">
      <c r="A126" s="17" t="n">
        <v>125</v>
      </c>
      <c r="B126" s="3" t="s">
        <v>136</v>
      </c>
      <c r="C126" s="3" t="s">
        <v>147</v>
      </c>
      <c r="D126" s="15" t="s">
        <v>58</v>
      </c>
      <c r="E126" s="16" t="n">
        <v>94954</v>
      </c>
      <c r="F126" s="17" t="s">
        <v>50</v>
      </c>
      <c r="G126" s="15" t="s">
        <v>143</v>
      </c>
      <c r="H126" s="3" t="s">
        <v>144</v>
      </c>
      <c r="I126" s="3" t="s">
        <v>140</v>
      </c>
    </row>
    <row r="127" customFormat="false" ht="33" hidden="false" customHeight="true" outlineLevel="0" collapsed="false">
      <c r="A127" s="17" t="n">
        <v>126</v>
      </c>
      <c r="B127" s="3" t="s">
        <v>136</v>
      </c>
      <c r="C127" s="3" t="s">
        <v>147</v>
      </c>
      <c r="D127" s="15" t="s">
        <v>62</v>
      </c>
      <c r="E127" s="16" t="n">
        <v>100486</v>
      </c>
      <c r="F127" s="17" t="s">
        <v>50</v>
      </c>
      <c r="G127" s="15" t="s">
        <v>145</v>
      </c>
      <c r="H127" s="3" t="s">
        <v>146</v>
      </c>
      <c r="I127" s="3" t="s">
        <v>140</v>
      </c>
    </row>
    <row r="128" customFormat="false" ht="33" hidden="false" customHeight="true" outlineLevel="0" collapsed="false">
      <c r="A128" s="17" t="n">
        <v>127</v>
      </c>
      <c r="B128" s="3" t="s">
        <v>136</v>
      </c>
      <c r="C128" s="3" t="s">
        <v>148</v>
      </c>
      <c r="D128" s="15" t="s">
        <v>64</v>
      </c>
      <c r="E128" s="16" t="n">
        <v>70640</v>
      </c>
      <c r="F128" s="17" t="s">
        <v>50</v>
      </c>
      <c r="G128" s="15" t="s">
        <v>138</v>
      </c>
      <c r="H128" s="3" t="s">
        <v>139</v>
      </c>
      <c r="I128" s="3" t="s">
        <v>140</v>
      </c>
    </row>
    <row r="129" customFormat="false" ht="33" hidden="false" customHeight="true" outlineLevel="0" collapsed="false">
      <c r="A129" s="17" t="n">
        <v>128</v>
      </c>
      <c r="B129" s="3" t="s">
        <v>136</v>
      </c>
      <c r="C129" s="3" t="s">
        <v>148</v>
      </c>
      <c r="D129" s="15" t="s">
        <v>49</v>
      </c>
      <c r="E129" s="16" t="n">
        <v>86345</v>
      </c>
      <c r="F129" s="17" t="s">
        <v>50</v>
      </c>
      <c r="G129" s="15" t="s">
        <v>141</v>
      </c>
      <c r="H129" s="3" t="s">
        <v>142</v>
      </c>
      <c r="I129" s="3" t="s">
        <v>140</v>
      </c>
    </row>
    <row r="130" customFormat="false" ht="33" hidden="false" customHeight="true" outlineLevel="0" collapsed="false">
      <c r="A130" s="17" t="n">
        <v>129</v>
      </c>
      <c r="B130" s="3" t="s">
        <v>136</v>
      </c>
      <c r="C130" s="3" t="s">
        <v>148</v>
      </c>
      <c r="D130" s="15" t="s">
        <v>54</v>
      </c>
      <c r="E130" s="16" t="n">
        <v>74387</v>
      </c>
      <c r="F130" s="17" t="s">
        <v>50</v>
      </c>
      <c r="G130" s="15" t="s">
        <v>141</v>
      </c>
      <c r="H130" s="3" t="s">
        <v>142</v>
      </c>
      <c r="I130" s="3" t="s">
        <v>140</v>
      </c>
    </row>
    <row r="131" customFormat="false" ht="33" hidden="false" customHeight="true" outlineLevel="0" collapsed="false">
      <c r="A131" s="17" t="n">
        <v>130</v>
      </c>
      <c r="B131" s="3" t="s">
        <v>136</v>
      </c>
      <c r="C131" s="3" t="s">
        <v>148</v>
      </c>
      <c r="D131" s="15" t="s">
        <v>57</v>
      </c>
      <c r="E131" s="16" t="n">
        <v>75196</v>
      </c>
      <c r="F131" s="17" t="s">
        <v>50</v>
      </c>
      <c r="G131" s="15" t="s">
        <v>143</v>
      </c>
      <c r="H131" s="3" t="s">
        <v>144</v>
      </c>
      <c r="I131" s="3" t="s">
        <v>140</v>
      </c>
    </row>
    <row r="132" customFormat="false" ht="33" hidden="false" customHeight="true" outlineLevel="0" collapsed="false">
      <c r="A132" s="17" t="n">
        <v>131</v>
      </c>
      <c r="B132" s="3" t="s">
        <v>136</v>
      </c>
      <c r="C132" s="3" t="s">
        <v>148</v>
      </c>
      <c r="D132" s="15" t="s">
        <v>58</v>
      </c>
      <c r="E132" s="16" t="n">
        <v>98695</v>
      </c>
      <c r="F132" s="17" t="s">
        <v>50</v>
      </c>
      <c r="G132" s="15" t="s">
        <v>143</v>
      </c>
      <c r="H132" s="3" t="s">
        <v>144</v>
      </c>
      <c r="I132" s="3" t="s">
        <v>140</v>
      </c>
    </row>
    <row r="133" customFormat="false" ht="33" hidden="false" customHeight="true" outlineLevel="0" collapsed="false">
      <c r="A133" s="17" t="n">
        <v>132</v>
      </c>
      <c r="B133" s="3" t="s">
        <v>136</v>
      </c>
      <c r="C133" s="3" t="s">
        <v>148</v>
      </c>
      <c r="D133" s="15" t="s">
        <v>62</v>
      </c>
      <c r="E133" s="16" t="n">
        <v>128816</v>
      </c>
      <c r="F133" s="17" t="s">
        <v>50</v>
      </c>
      <c r="G133" s="15" t="s">
        <v>145</v>
      </c>
      <c r="H133" s="3" t="s">
        <v>146</v>
      </c>
      <c r="I133" s="3" t="s">
        <v>140</v>
      </c>
    </row>
    <row r="134" customFormat="false" ht="33" hidden="false" customHeight="true" outlineLevel="0" collapsed="false">
      <c r="A134" s="17" t="n">
        <v>133</v>
      </c>
      <c r="B134" s="3" t="s">
        <v>136</v>
      </c>
      <c r="C134" s="3" t="s">
        <v>149</v>
      </c>
      <c r="D134" s="15" t="s">
        <v>64</v>
      </c>
      <c r="E134" s="16" t="n">
        <v>350719</v>
      </c>
      <c r="F134" s="17" t="s">
        <v>50</v>
      </c>
      <c r="G134" s="15" t="s">
        <v>138</v>
      </c>
      <c r="H134" s="3" t="s">
        <v>139</v>
      </c>
      <c r="I134" s="3" t="s">
        <v>140</v>
      </c>
    </row>
    <row r="135" customFormat="false" ht="33" hidden="false" customHeight="true" outlineLevel="0" collapsed="false">
      <c r="A135" s="17" t="n">
        <v>134</v>
      </c>
      <c r="B135" s="3" t="s">
        <v>136</v>
      </c>
      <c r="C135" s="3" t="s">
        <v>149</v>
      </c>
      <c r="D135" s="15" t="s">
        <v>49</v>
      </c>
      <c r="E135" s="16" t="n">
        <v>308793</v>
      </c>
      <c r="F135" s="17" t="s">
        <v>50</v>
      </c>
      <c r="G135" s="15" t="s">
        <v>141</v>
      </c>
      <c r="H135" s="3" t="s">
        <v>142</v>
      </c>
      <c r="I135" s="3" t="s">
        <v>140</v>
      </c>
    </row>
    <row r="136" customFormat="false" ht="33" hidden="false" customHeight="true" outlineLevel="0" collapsed="false">
      <c r="A136" s="17" t="n">
        <v>135</v>
      </c>
      <c r="B136" s="3" t="s">
        <v>136</v>
      </c>
      <c r="C136" s="3" t="s">
        <v>149</v>
      </c>
      <c r="D136" s="15" t="s">
        <v>54</v>
      </c>
      <c r="E136" s="16" t="n">
        <v>353842</v>
      </c>
      <c r="F136" s="17" t="s">
        <v>50</v>
      </c>
      <c r="G136" s="15" t="s">
        <v>141</v>
      </c>
      <c r="H136" s="3" t="s">
        <v>142</v>
      </c>
      <c r="I136" s="3" t="s">
        <v>140</v>
      </c>
    </row>
    <row r="137" customFormat="false" ht="33" hidden="false" customHeight="true" outlineLevel="0" collapsed="false">
      <c r="A137" s="17" t="n">
        <v>136</v>
      </c>
      <c r="B137" s="3" t="s">
        <v>136</v>
      </c>
      <c r="C137" s="3" t="s">
        <v>149</v>
      </c>
      <c r="D137" s="15" t="s">
        <v>57</v>
      </c>
      <c r="E137" s="16" t="n">
        <v>271588</v>
      </c>
      <c r="F137" s="17" t="s">
        <v>50</v>
      </c>
      <c r="G137" s="15" t="s">
        <v>143</v>
      </c>
      <c r="H137" s="3" t="s">
        <v>144</v>
      </c>
      <c r="I137" s="3" t="s">
        <v>140</v>
      </c>
    </row>
    <row r="138" customFormat="false" ht="33" hidden="false" customHeight="true" outlineLevel="0" collapsed="false">
      <c r="A138" s="17" t="n">
        <v>137</v>
      </c>
      <c r="B138" s="3" t="s">
        <v>136</v>
      </c>
      <c r="C138" s="3" t="s">
        <v>149</v>
      </c>
      <c r="D138" s="15" t="s">
        <v>58</v>
      </c>
      <c r="E138" s="16" t="n">
        <v>297778</v>
      </c>
      <c r="F138" s="17" t="s">
        <v>50</v>
      </c>
      <c r="G138" s="15" t="s">
        <v>143</v>
      </c>
      <c r="H138" s="3" t="s">
        <v>144</v>
      </c>
      <c r="I138" s="3" t="s">
        <v>140</v>
      </c>
    </row>
    <row r="139" customFormat="false" ht="33" hidden="false" customHeight="true" outlineLevel="0" collapsed="false">
      <c r="A139" s="17" t="n">
        <v>138</v>
      </c>
      <c r="B139" s="3" t="s">
        <v>136</v>
      </c>
      <c r="C139" s="3" t="s">
        <v>149</v>
      </c>
      <c r="D139" s="15" t="s">
        <v>62</v>
      </c>
      <c r="E139" s="16" t="n">
        <v>323779</v>
      </c>
      <c r="F139" s="17" t="s">
        <v>50</v>
      </c>
      <c r="G139" s="15" t="s">
        <v>145</v>
      </c>
      <c r="H139" s="3" t="s">
        <v>146</v>
      </c>
      <c r="I139" s="3" t="s">
        <v>140</v>
      </c>
    </row>
    <row r="140" customFormat="false" ht="33" hidden="false" customHeight="true" outlineLevel="0" collapsed="false">
      <c r="A140" s="17" t="n">
        <v>139</v>
      </c>
      <c r="B140" s="3" t="s">
        <v>136</v>
      </c>
      <c r="C140" s="3" t="s">
        <v>150</v>
      </c>
      <c r="D140" s="15" t="s">
        <v>64</v>
      </c>
      <c r="E140" s="20" t="n">
        <v>0.73</v>
      </c>
      <c r="F140" s="17" t="s">
        <v>151</v>
      </c>
      <c r="G140" s="15" t="s">
        <v>138</v>
      </c>
      <c r="H140" s="3" t="s">
        <v>139</v>
      </c>
      <c r="I140" s="3" t="s">
        <v>152</v>
      </c>
    </row>
    <row r="141" customFormat="false" ht="33" hidden="false" customHeight="true" outlineLevel="0" collapsed="false">
      <c r="A141" s="17" t="n">
        <v>140</v>
      </c>
      <c r="B141" s="3" t="s">
        <v>136</v>
      </c>
      <c r="C141" s="3" t="s">
        <v>150</v>
      </c>
      <c r="D141" s="15" t="s">
        <v>49</v>
      </c>
      <c r="E141" s="20" t="n">
        <v>0.75</v>
      </c>
      <c r="F141" s="17" t="s">
        <v>151</v>
      </c>
      <c r="G141" s="15" t="s">
        <v>141</v>
      </c>
      <c r="H141" s="3" t="s">
        <v>142</v>
      </c>
      <c r="I141" s="3" t="s">
        <v>153</v>
      </c>
    </row>
    <row r="142" customFormat="false" ht="33" hidden="false" customHeight="true" outlineLevel="0" collapsed="false">
      <c r="A142" s="17" t="n">
        <v>141</v>
      </c>
      <c r="B142" s="3" t="s">
        <v>136</v>
      </c>
      <c r="C142" s="3" t="s">
        <v>150</v>
      </c>
      <c r="D142" s="15" t="s">
        <v>54</v>
      </c>
      <c r="E142" s="20" t="n">
        <v>0.79</v>
      </c>
      <c r="F142" s="17" t="s">
        <v>151</v>
      </c>
      <c r="G142" s="15" t="s">
        <v>141</v>
      </c>
      <c r="H142" s="3" t="s">
        <v>142</v>
      </c>
      <c r="I142" s="3" t="s">
        <v>153</v>
      </c>
    </row>
    <row r="143" customFormat="false" ht="33" hidden="false" customHeight="true" outlineLevel="0" collapsed="false">
      <c r="A143" s="17" t="n">
        <v>142</v>
      </c>
      <c r="B143" s="3" t="s">
        <v>136</v>
      </c>
      <c r="C143" s="3" t="s">
        <v>150</v>
      </c>
      <c r="D143" s="15" t="s">
        <v>57</v>
      </c>
      <c r="E143" s="20" t="n">
        <v>0.71</v>
      </c>
      <c r="F143" s="17" t="s">
        <v>151</v>
      </c>
      <c r="G143" s="15" t="s">
        <v>143</v>
      </c>
      <c r="H143" s="3" t="s">
        <v>144</v>
      </c>
      <c r="I143" s="3" t="s">
        <v>153</v>
      </c>
    </row>
    <row r="144" customFormat="false" ht="33" hidden="false" customHeight="true" outlineLevel="0" collapsed="false">
      <c r="A144" s="17" t="n">
        <v>143</v>
      </c>
      <c r="B144" s="3" t="s">
        <v>136</v>
      </c>
      <c r="C144" s="3" t="s">
        <v>150</v>
      </c>
      <c r="D144" s="15" t="s">
        <v>58</v>
      </c>
      <c r="E144" s="20" t="n">
        <v>0.65</v>
      </c>
      <c r="F144" s="17" t="s">
        <v>151</v>
      </c>
      <c r="G144" s="15" t="s">
        <v>143</v>
      </c>
      <c r="H144" s="3" t="s">
        <v>144</v>
      </c>
      <c r="I144" s="3" t="s">
        <v>153</v>
      </c>
    </row>
    <row r="145" customFormat="false" ht="33" hidden="false" customHeight="true" outlineLevel="0" collapsed="false">
      <c r="A145" s="17" t="n">
        <v>144</v>
      </c>
      <c r="B145" s="3" t="s">
        <v>136</v>
      </c>
      <c r="C145" s="3" t="s">
        <v>150</v>
      </c>
      <c r="D145" s="15" t="s">
        <v>62</v>
      </c>
      <c r="E145" s="20" t="n">
        <v>0.66</v>
      </c>
      <c r="F145" s="17" t="s">
        <v>151</v>
      </c>
      <c r="G145" s="15" t="s">
        <v>145</v>
      </c>
      <c r="H145" s="3" t="s">
        <v>146</v>
      </c>
      <c r="I145" s="3" t="s">
        <v>153</v>
      </c>
    </row>
    <row r="146" customFormat="false" ht="33" hidden="false" customHeight="true" outlineLevel="0" collapsed="false">
      <c r="A146" s="17" t="n">
        <v>145</v>
      </c>
      <c r="B146" s="3" t="s">
        <v>121</v>
      </c>
      <c r="C146" s="3" t="s">
        <v>154</v>
      </c>
      <c r="D146" s="15" t="s">
        <v>64</v>
      </c>
      <c r="E146" s="16" t="n">
        <v>8448</v>
      </c>
      <c r="F146" s="17" t="s">
        <v>50</v>
      </c>
      <c r="G146" s="15" t="s">
        <v>101</v>
      </c>
      <c r="H146" s="3" t="s">
        <v>102</v>
      </c>
      <c r="I146" s="3" t="s">
        <v>123</v>
      </c>
    </row>
    <row r="147" customFormat="false" ht="33" hidden="false" customHeight="true" outlineLevel="0" collapsed="false">
      <c r="A147" s="17" t="n">
        <v>146</v>
      </c>
      <c r="B147" s="3" t="s">
        <v>121</v>
      </c>
      <c r="C147" s="3" t="s">
        <v>155</v>
      </c>
      <c r="D147" s="15" t="s">
        <v>64</v>
      </c>
      <c r="E147" s="16" t="n">
        <v>15849</v>
      </c>
      <c r="F147" s="17" t="s">
        <v>50</v>
      </c>
      <c r="G147" s="15" t="s">
        <v>101</v>
      </c>
      <c r="H147" s="3" t="s">
        <v>102</v>
      </c>
      <c r="I147" s="3" t="s">
        <v>156</v>
      </c>
    </row>
    <row r="148" customFormat="false" ht="33" hidden="false" customHeight="true" outlineLevel="0" collapsed="false">
      <c r="A148" s="17" t="n">
        <v>147</v>
      </c>
      <c r="B148" s="3" t="s">
        <v>157</v>
      </c>
      <c r="C148" s="3" t="s">
        <v>158</v>
      </c>
      <c r="D148" s="15" t="s">
        <v>64</v>
      </c>
      <c r="E148" s="16" t="n">
        <v>39427</v>
      </c>
      <c r="F148" s="17" t="s">
        <v>50</v>
      </c>
      <c r="G148" s="15" t="s">
        <v>101</v>
      </c>
      <c r="H148" s="3" t="s">
        <v>102</v>
      </c>
      <c r="I148" s="3"/>
    </row>
    <row r="149" customFormat="false" ht="33" hidden="false" customHeight="true" outlineLevel="0" collapsed="false">
      <c r="A149" s="17" t="n">
        <v>148</v>
      </c>
      <c r="B149" s="3" t="s">
        <v>121</v>
      </c>
      <c r="C149" s="3" t="s">
        <v>154</v>
      </c>
      <c r="D149" s="15" t="s">
        <v>49</v>
      </c>
      <c r="E149" s="16" t="n">
        <v>67930</v>
      </c>
      <c r="F149" s="17" t="s">
        <v>50</v>
      </c>
      <c r="G149" s="15" t="s">
        <v>101</v>
      </c>
      <c r="H149" s="3" t="s">
        <v>102</v>
      </c>
      <c r="I149" s="3" t="s">
        <v>123</v>
      </c>
    </row>
    <row r="150" customFormat="false" ht="33" hidden="false" customHeight="true" outlineLevel="0" collapsed="false">
      <c r="A150" s="17" t="n">
        <v>149</v>
      </c>
      <c r="B150" s="3" t="s">
        <v>121</v>
      </c>
      <c r="C150" s="3" t="s">
        <v>155</v>
      </c>
      <c r="D150" s="15" t="s">
        <v>49</v>
      </c>
      <c r="E150" s="16" t="n">
        <v>33664</v>
      </c>
      <c r="F150" s="17" t="s">
        <v>50</v>
      </c>
      <c r="G150" s="15" t="s">
        <v>101</v>
      </c>
      <c r="H150" s="3" t="s">
        <v>102</v>
      </c>
      <c r="I150" s="3" t="s">
        <v>156</v>
      </c>
    </row>
    <row r="151" customFormat="false" ht="33" hidden="false" customHeight="true" outlineLevel="0" collapsed="false">
      <c r="A151" s="17" t="n">
        <v>150</v>
      </c>
      <c r="B151" s="3" t="s">
        <v>157</v>
      </c>
      <c r="C151" s="3" t="s">
        <v>158</v>
      </c>
      <c r="D151" s="15" t="s">
        <v>49</v>
      </c>
      <c r="E151" s="16" t="n">
        <v>37350</v>
      </c>
      <c r="F151" s="17" t="s">
        <v>50</v>
      </c>
      <c r="G151" s="15" t="s">
        <v>101</v>
      </c>
      <c r="H151" s="3" t="s">
        <v>102</v>
      </c>
      <c r="I151" s="3"/>
    </row>
    <row r="152" customFormat="false" ht="33" hidden="false" customHeight="true" outlineLevel="0" collapsed="false">
      <c r="A152" s="17" t="n">
        <v>151</v>
      </c>
      <c r="B152" s="3" t="s">
        <v>121</v>
      </c>
      <c r="C152" s="3" t="s">
        <v>154</v>
      </c>
      <c r="D152" s="15" t="s">
        <v>54</v>
      </c>
      <c r="E152" s="16" t="n">
        <v>16462</v>
      </c>
      <c r="F152" s="17" t="s">
        <v>50</v>
      </c>
      <c r="G152" s="15" t="s">
        <v>126</v>
      </c>
      <c r="H152" s="3" t="s">
        <v>127</v>
      </c>
      <c r="I152" s="3" t="s">
        <v>123</v>
      </c>
    </row>
    <row r="153" customFormat="false" ht="33" hidden="false" customHeight="true" outlineLevel="0" collapsed="false">
      <c r="A153" s="17" t="n">
        <v>152</v>
      </c>
      <c r="B153" s="3" t="s">
        <v>121</v>
      </c>
      <c r="C153" s="3" t="s">
        <v>155</v>
      </c>
      <c r="D153" s="15" t="s">
        <v>54</v>
      </c>
      <c r="E153" s="16" t="n">
        <v>40631</v>
      </c>
      <c r="F153" s="17" t="s">
        <v>50</v>
      </c>
      <c r="G153" s="15" t="s">
        <v>126</v>
      </c>
      <c r="H153" s="3" t="s">
        <v>127</v>
      </c>
      <c r="I153" s="3" t="s">
        <v>156</v>
      </c>
    </row>
    <row r="154" customFormat="false" ht="33" hidden="false" customHeight="true" outlineLevel="0" collapsed="false">
      <c r="A154" s="17" t="n">
        <v>153</v>
      </c>
      <c r="B154" s="3" t="s">
        <v>157</v>
      </c>
      <c r="C154" s="3" t="s">
        <v>158</v>
      </c>
      <c r="D154" s="15" t="s">
        <v>54</v>
      </c>
      <c r="E154" s="16" t="n">
        <v>49196</v>
      </c>
      <c r="F154" s="17" t="s">
        <v>50</v>
      </c>
      <c r="G154" s="15" t="s">
        <v>126</v>
      </c>
      <c r="H154" s="3" t="s">
        <v>127</v>
      </c>
      <c r="I154" s="3"/>
    </row>
    <row r="155" customFormat="false" ht="33" hidden="false" customHeight="true" outlineLevel="0" collapsed="false">
      <c r="A155" s="17" t="n">
        <v>154</v>
      </c>
      <c r="B155" s="3" t="s">
        <v>121</v>
      </c>
      <c r="C155" s="3" t="s">
        <v>154</v>
      </c>
      <c r="D155" s="15" t="s">
        <v>57</v>
      </c>
      <c r="E155" s="16" t="n">
        <v>9237</v>
      </c>
      <c r="F155" s="17" t="s">
        <v>50</v>
      </c>
      <c r="G155" s="15" t="s">
        <v>126</v>
      </c>
      <c r="H155" s="3" t="s">
        <v>127</v>
      </c>
      <c r="I155" s="3" t="s">
        <v>123</v>
      </c>
    </row>
    <row r="156" customFormat="false" ht="33" hidden="false" customHeight="true" outlineLevel="0" collapsed="false">
      <c r="A156" s="17" t="n">
        <v>155</v>
      </c>
      <c r="B156" s="3" t="s">
        <v>121</v>
      </c>
      <c r="C156" s="3" t="s">
        <v>155</v>
      </c>
      <c r="D156" s="15" t="s">
        <v>57</v>
      </c>
      <c r="E156" s="16" t="n">
        <v>143359</v>
      </c>
      <c r="F156" s="17" t="s">
        <v>50</v>
      </c>
      <c r="G156" s="15" t="s">
        <v>126</v>
      </c>
      <c r="H156" s="3" t="s">
        <v>127</v>
      </c>
      <c r="I156" s="3" t="s">
        <v>156</v>
      </c>
    </row>
    <row r="157" customFormat="false" ht="33" hidden="false" customHeight="true" outlineLevel="0" collapsed="false">
      <c r="A157" s="17" t="n">
        <v>156</v>
      </c>
      <c r="B157" s="3" t="s">
        <v>157</v>
      </c>
      <c r="C157" s="3" t="s">
        <v>158</v>
      </c>
      <c r="D157" s="15" t="s">
        <v>57</v>
      </c>
      <c r="E157" s="16" t="n">
        <v>30592</v>
      </c>
      <c r="F157" s="17" t="s">
        <v>50</v>
      </c>
      <c r="G157" s="15" t="s">
        <v>126</v>
      </c>
      <c r="H157" s="3" t="s">
        <v>127</v>
      </c>
      <c r="I157" s="3"/>
    </row>
    <row r="158" customFormat="false" ht="33" hidden="false" customHeight="true" outlineLevel="0" collapsed="false">
      <c r="A158" s="17" t="n">
        <v>157</v>
      </c>
      <c r="B158" s="3" t="s">
        <v>121</v>
      </c>
      <c r="C158" s="3" t="s">
        <v>154</v>
      </c>
      <c r="D158" s="15" t="s">
        <v>58</v>
      </c>
      <c r="E158" s="16" t="n">
        <v>16923</v>
      </c>
      <c r="F158" s="17" t="s">
        <v>50</v>
      </c>
      <c r="G158" s="15" t="s">
        <v>126</v>
      </c>
      <c r="H158" s="3" t="s">
        <v>127</v>
      </c>
      <c r="I158" s="3" t="s">
        <v>123</v>
      </c>
    </row>
    <row r="159" customFormat="false" ht="33" hidden="false" customHeight="true" outlineLevel="0" collapsed="false">
      <c r="A159" s="17" t="n">
        <v>158</v>
      </c>
      <c r="B159" s="3" t="s">
        <v>121</v>
      </c>
      <c r="C159" s="3" t="s">
        <v>155</v>
      </c>
      <c r="D159" s="15" t="s">
        <v>58</v>
      </c>
      <c r="E159" s="16" t="n">
        <v>30686</v>
      </c>
      <c r="F159" s="17" t="s">
        <v>50</v>
      </c>
      <c r="G159" s="15" t="s">
        <v>126</v>
      </c>
      <c r="H159" s="3" t="s">
        <v>127</v>
      </c>
      <c r="I159" s="3" t="s">
        <v>156</v>
      </c>
    </row>
    <row r="160" customFormat="false" ht="33" hidden="false" customHeight="true" outlineLevel="0" collapsed="false">
      <c r="A160" s="17" t="n">
        <v>159</v>
      </c>
      <c r="B160" s="3" t="s">
        <v>157</v>
      </c>
      <c r="C160" s="3" t="s">
        <v>158</v>
      </c>
      <c r="D160" s="15" t="s">
        <v>58</v>
      </c>
      <c r="E160" s="16" t="n">
        <v>45969</v>
      </c>
      <c r="F160" s="17" t="s">
        <v>50</v>
      </c>
      <c r="G160" s="15" t="s">
        <v>126</v>
      </c>
      <c r="H160" s="3" t="s">
        <v>127</v>
      </c>
      <c r="I160" s="3"/>
    </row>
    <row r="161" customFormat="false" ht="33" hidden="false" customHeight="true" outlineLevel="0" collapsed="false">
      <c r="A161" s="17" t="n">
        <v>160</v>
      </c>
      <c r="B161" s="3" t="s">
        <v>121</v>
      </c>
      <c r="C161" s="3" t="s">
        <v>154</v>
      </c>
      <c r="D161" s="15" t="s">
        <v>59</v>
      </c>
      <c r="E161" s="16" t="n">
        <v>7092</v>
      </c>
      <c r="F161" s="17" t="s">
        <v>50</v>
      </c>
      <c r="G161" s="15" t="s">
        <v>130</v>
      </c>
      <c r="H161" s="3" t="s">
        <v>131</v>
      </c>
      <c r="I161" s="3" t="s">
        <v>123</v>
      </c>
    </row>
    <row r="162" customFormat="false" ht="33" hidden="false" customHeight="true" outlineLevel="0" collapsed="false">
      <c r="A162" s="17" t="n">
        <v>161</v>
      </c>
      <c r="B162" s="3" t="s">
        <v>121</v>
      </c>
      <c r="C162" s="3" t="s">
        <v>155</v>
      </c>
      <c r="D162" s="15" t="s">
        <v>59</v>
      </c>
      <c r="E162" s="16" t="n">
        <v>11592</v>
      </c>
      <c r="F162" s="17" t="s">
        <v>50</v>
      </c>
      <c r="G162" s="15" t="s">
        <v>130</v>
      </c>
      <c r="H162" s="3" t="s">
        <v>131</v>
      </c>
      <c r="I162" s="3" t="s">
        <v>156</v>
      </c>
    </row>
    <row r="163" customFormat="false" ht="33" hidden="false" customHeight="true" outlineLevel="0" collapsed="false">
      <c r="A163" s="17" t="n">
        <v>162</v>
      </c>
      <c r="B163" s="3" t="s">
        <v>157</v>
      </c>
      <c r="C163" s="3" t="s">
        <v>158</v>
      </c>
      <c r="D163" s="15" t="s">
        <v>59</v>
      </c>
      <c r="E163" s="16" t="n">
        <v>20988</v>
      </c>
      <c r="F163" s="17" t="s">
        <v>50</v>
      </c>
      <c r="G163" s="15" t="s">
        <v>130</v>
      </c>
      <c r="H163" s="3" t="s">
        <v>131</v>
      </c>
      <c r="I163" s="3"/>
    </row>
    <row r="164" customFormat="false" ht="33" hidden="false" customHeight="true" outlineLevel="0" collapsed="false">
      <c r="A164" s="17" t="n">
        <v>163</v>
      </c>
      <c r="B164" s="3" t="s">
        <v>121</v>
      </c>
      <c r="C164" s="3" t="s">
        <v>154</v>
      </c>
      <c r="D164" s="15" t="s">
        <v>62</v>
      </c>
      <c r="E164" s="16" t="n">
        <v>39405</v>
      </c>
      <c r="F164" s="17" t="s">
        <v>50</v>
      </c>
      <c r="G164" s="15" t="s">
        <v>130</v>
      </c>
      <c r="H164" s="3" t="s">
        <v>131</v>
      </c>
      <c r="I164" s="3" t="s">
        <v>123</v>
      </c>
    </row>
    <row r="165" customFormat="false" ht="33" hidden="false" customHeight="true" outlineLevel="0" collapsed="false">
      <c r="A165" s="17" t="n">
        <v>164</v>
      </c>
      <c r="B165" s="3" t="s">
        <v>121</v>
      </c>
      <c r="C165" s="3" t="s">
        <v>155</v>
      </c>
      <c r="D165" s="15" t="s">
        <v>62</v>
      </c>
      <c r="E165" s="16" t="n">
        <v>27780</v>
      </c>
      <c r="F165" s="17" t="s">
        <v>50</v>
      </c>
      <c r="G165" s="15" t="s">
        <v>130</v>
      </c>
      <c r="H165" s="3" t="s">
        <v>131</v>
      </c>
      <c r="I165" s="3" t="s">
        <v>156</v>
      </c>
    </row>
    <row r="166" customFormat="false" ht="33" hidden="false" customHeight="true" outlineLevel="0" collapsed="false">
      <c r="A166" s="17" t="n">
        <v>165</v>
      </c>
      <c r="B166" s="3" t="s">
        <v>157</v>
      </c>
      <c r="C166" s="3" t="s">
        <v>158</v>
      </c>
      <c r="D166" s="15" t="s">
        <v>62</v>
      </c>
      <c r="E166" s="16" t="n">
        <v>21653</v>
      </c>
      <c r="F166" s="17" t="s">
        <v>50</v>
      </c>
      <c r="G166" s="15" t="s">
        <v>130</v>
      </c>
      <c r="H166" s="3" t="s">
        <v>131</v>
      </c>
      <c r="I166" s="3"/>
    </row>
    <row r="167" customFormat="false" ht="33" hidden="false" customHeight="true" outlineLevel="0" collapsed="false">
      <c r="A167" s="17" t="n">
        <v>166</v>
      </c>
      <c r="B167" s="3" t="s">
        <v>159</v>
      </c>
      <c r="C167" s="18" t="s">
        <v>160</v>
      </c>
      <c r="D167" s="15" t="s">
        <v>59</v>
      </c>
      <c r="E167" s="16" t="n">
        <v>21816</v>
      </c>
      <c r="F167" s="17" t="s">
        <v>50</v>
      </c>
      <c r="G167" s="15" t="s">
        <v>161</v>
      </c>
      <c r="H167" s="3" t="s">
        <v>162</v>
      </c>
      <c r="I167" s="3"/>
    </row>
    <row r="168" customFormat="false" ht="33" hidden="false" customHeight="true" outlineLevel="0" collapsed="false">
      <c r="A168" s="17" t="n">
        <v>167</v>
      </c>
      <c r="B168" s="3" t="s">
        <v>159</v>
      </c>
      <c r="C168" s="18" t="s">
        <v>160</v>
      </c>
      <c r="D168" s="15" t="s">
        <v>62</v>
      </c>
      <c r="E168" s="16" t="n">
        <v>22477</v>
      </c>
      <c r="F168" s="17" t="s">
        <v>50</v>
      </c>
      <c r="G168" s="15" t="s">
        <v>161</v>
      </c>
      <c r="H168" s="3" t="s">
        <v>162</v>
      </c>
      <c r="I168" s="3"/>
    </row>
    <row r="169" customFormat="false" ht="33" hidden="false" customHeight="true" outlineLevel="0" collapsed="false">
      <c r="A169" s="17" t="n">
        <v>168</v>
      </c>
      <c r="B169" s="3" t="s">
        <v>159</v>
      </c>
      <c r="C169" s="18" t="s">
        <v>163</v>
      </c>
      <c r="D169" s="15" t="s">
        <v>59</v>
      </c>
      <c r="E169" s="16" t="n">
        <v>3994</v>
      </c>
      <c r="F169" s="17" t="s">
        <v>50</v>
      </c>
      <c r="G169" s="15" t="s">
        <v>161</v>
      </c>
      <c r="H169" s="3" t="s">
        <v>162</v>
      </c>
      <c r="I169" s="3"/>
    </row>
    <row r="170" customFormat="false" ht="33" hidden="false" customHeight="true" outlineLevel="0" collapsed="false">
      <c r="A170" s="17" t="n">
        <v>169</v>
      </c>
      <c r="B170" s="3" t="s">
        <v>159</v>
      </c>
      <c r="C170" s="18" t="s">
        <v>163</v>
      </c>
      <c r="D170" s="15" t="s">
        <v>62</v>
      </c>
      <c r="E170" s="16" t="n">
        <v>2410</v>
      </c>
      <c r="F170" s="17" t="s">
        <v>50</v>
      </c>
      <c r="G170" s="15" t="s">
        <v>161</v>
      </c>
      <c r="H170" s="3" t="s">
        <v>162</v>
      </c>
      <c r="I170" s="3"/>
    </row>
    <row r="171" customFormat="false" ht="33" hidden="false" customHeight="true" outlineLevel="0" collapsed="false">
      <c r="A171" s="17" t="n">
        <v>170</v>
      </c>
      <c r="B171" s="3" t="s">
        <v>159</v>
      </c>
      <c r="C171" s="18" t="s">
        <v>164</v>
      </c>
      <c r="D171" s="15" t="s">
        <v>59</v>
      </c>
      <c r="E171" s="20" t="n">
        <v>0.704</v>
      </c>
      <c r="F171" s="17" t="s">
        <v>151</v>
      </c>
      <c r="G171" s="15" t="s">
        <v>161</v>
      </c>
      <c r="H171" s="3" t="s">
        <v>162</v>
      </c>
      <c r="I171" s="3"/>
    </row>
    <row r="172" customFormat="false" ht="33" hidden="false" customHeight="true" outlineLevel="0" collapsed="false">
      <c r="A172" s="17" t="n">
        <v>171</v>
      </c>
      <c r="B172" s="3" t="s">
        <v>159</v>
      </c>
      <c r="C172" s="18" t="s">
        <v>164</v>
      </c>
      <c r="D172" s="15" t="s">
        <v>62</v>
      </c>
      <c r="E172" s="20" t="n">
        <v>0.753</v>
      </c>
      <c r="F172" s="17" t="s">
        <v>151</v>
      </c>
      <c r="G172" s="15" t="s">
        <v>161</v>
      </c>
      <c r="H172" s="3" t="s">
        <v>162</v>
      </c>
      <c r="I172" s="3"/>
    </row>
    <row r="173" customFormat="false" ht="33" hidden="false" customHeight="true" outlineLevel="0" collapsed="false">
      <c r="A173" s="17" t="n">
        <v>172</v>
      </c>
      <c r="B173" s="3" t="s">
        <v>159</v>
      </c>
      <c r="C173" s="18" t="s">
        <v>165</v>
      </c>
      <c r="D173" s="15" t="s">
        <v>59</v>
      </c>
      <c r="E173" s="20" t="n">
        <v>0.113</v>
      </c>
      <c r="F173" s="17" t="s">
        <v>151</v>
      </c>
      <c r="G173" s="15" t="s">
        <v>161</v>
      </c>
      <c r="H173" s="3" t="s">
        <v>162</v>
      </c>
      <c r="I173" s="3"/>
    </row>
    <row r="174" customFormat="false" ht="33" hidden="false" customHeight="true" outlineLevel="0" collapsed="false">
      <c r="A174" s="17" t="n">
        <v>173</v>
      </c>
      <c r="B174" s="3" t="s">
        <v>159</v>
      </c>
      <c r="C174" s="18" t="s">
        <v>165</v>
      </c>
      <c r="D174" s="15" t="s">
        <v>62</v>
      </c>
      <c r="E174" s="20" t="n">
        <v>0.14</v>
      </c>
      <c r="F174" s="17" t="s">
        <v>151</v>
      </c>
      <c r="G174" s="15" t="s">
        <v>161</v>
      </c>
      <c r="H174" s="3" t="s">
        <v>162</v>
      </c>
      <c r="I174" s="3"/>
    </row>
    <row r="175" customFormat="false" ht="33" hidden="false" customHeight="true" outlineLevel="0" collapsed="false">
      <c r="A175" s="17" t="n">
        <v>174</v>
      </c>
      <c r="B175" s="3" t="s">
        <v>159</v>
      </c>
      <c r="C175" s="18" t="s">
        <v>166</v>
      </c>
      <c r="D175" s="15" t="s">
        <v>59</v>
      </c>
      <c r="E175" s="16" t="n">
        <v>-81</v>
      </c>
      <c r="F175" s="17" t="s">
        <v>50</v>
      </c>
      <c r="G175" s="15" t="s">
        <v>161</v>
      </c>
      <c r="H175" s="3" t="s">
        <v>162</v>
      </c>
      <c r="I175" s="3"/>
    </row>
    <row r="176" customFormat="false" ht="33" hidden="false" customHeight="true" outlineLevel="0" collapsed="false">
      <c r="A176" s="17" t="n">
        <v>175</v>
      </c>
      <c r="B176" s="3" t="s">
        <v>159</v>
      </c>
      <c r="C176" s="18" t="s">
        <v>166</v>
      </c>
      <c r="D176" s="15" t="s">
        <v>62</v>
      </c>
      <c r="E176" s="16" t="n">
        <v>749</v>
      </c>
      <c r="F176" s="17" t="s">
        <v>50</v>
      </c>
      <c r="G176" s="15" t="s">
        <v>161</v>
      </c>
      <c r="H176" s="3" t="s">
        <v>162</v>
      </c>
      <c r="I176" s="3"/>
    </row>
    <row r="177" customFormat="false" ht="33" hidden="false" customHeight="true" outlineLevel="0" collapsed="false">
      <c r="A177" s="17" t="n">
        <v>176</v>
      </c>
      <c r="B177" s="3" t="s">
        <v>159</v>
      </c>
      <c r="C177" s="18" t="s">
        <v>167</v>
      </c>
      <c r="D177" s="15" t="s">
        <v>59</v>
      </c>
      <c r="E177" s="16" t="n">
        <v>343</v>
      </c>
      <c r="F177" s="17" t="s">
        <v>50</v>
      </c>
      <c r="G177" s="15" t="s">
        <v>161</v>
      </c>
      <c r="H177" s="3" t="s">
        <v>162</v>
      </c>
      <c r="I177" s="3"/>
    </row>
    <row r="178" customFormat="false" ht="33" hidden="false" customHeight="true" outlineLevel="0" collapsed="false">
      <c r="A178" s="17" t="n">
        <v>177</v>
      </c>
      <c r="B178" s="3" t="s">
        <v>159</v>
      </c>
      <c r="C178" s="18" t="s">
        <v>167</v>
      </c>
      <c r="D178" s="15" t="s">
        <v>62</v>
      </c>
      <c r="E178" s="16" t="n">
        <v>1286</v>
      </c>
      <c r="F178" s="17" t="s">
        <v>50</v>
      </c>
      <c r="G178" s="15" t="s">
        <v>161</v>
      </c>
      <c r="H178" s="3" t="s">
        <v>162</v>
      </c>
      <c r="I178" s="3"/>
    </row>
    <row r="179" customFormat="false" ht="33" hidden="false" customHeight="true" outlineLevel="0" collapsed="false">
      <c r="A179" s="17" t="n">
        <v>178</v>
      </c>
      <c r="B179" s="3" t="s">
        <v>159</v>
      </c>
      <c r="C179" s="18" t="s">
        <v>168</v>
      </c>
      <c r="D179" s="15" t="s">
        <v>59</v>
      </c>
      <c r="E179" s="16" t="n">
        <v>11402</v>
      </c>
      <c r="F179" s="17" t="s">
        <v>50</v>
      </c>
      <c r="G179" s="15" t="s">
        <v>161</v>
      </c>
      <c r="H179" s="3" t="s">
        <v>162</v>
      </c>
      <c r="I179" s="3"/>
    </row>
    <row r="180" customFormat="false" ht="33" hidden="false" customHeight="true" outlineLevel="0" collapsed="false">
      <c r="A180" s="17" t="n">
        <v>179</v>
      </c>
      <c r="B180" s="3" t="s">
        <v>159</v>
      </c>
      <c r="C180" s="18" t="s">
        <v>168</v>
      </c>
      <c r="D180" s="15" t="s">
        <v>62</v>
      </c>
      <c r="E180" s="16" t="n">
        <v>12521</v>
      </c>
      <c r="F180" s="17" t="s">
        <v>50</v>
      </c>
      <c r="G180" s="15" t="s">
        <v>161</v>
      </c>
      <c r="H180" s="3" t="s">
        <v>162</v>
      </c>
      <c r="I180" s="3"/>
    </row>
    <row r="181" customFormat="false" ht="33" hidden="false" customHeight="true" outlineLevel="0" collapsed="false">
      <c r="A181" s="17" t="n">
        <v>180</v>
      </c>
      <c r="B181" s="3" t="s">
        <v>159</v>
      </c>
      <c r="C181" s="18" t="s">
        <v>169</v>
      </c>
      <c r="D181" s="15" t="s">
        <v>59</v>
      </c>
      <c r="E181" s="16" t="n">
        <v>4684</v>
      </c>
      <c r="F181" s="17" t="s">
        <v>170</v>
      </c>
      <c r="G181" s="15" t="s">
        <v>161</v>
      </c>
      <c r="H181" s="3" t="s">
        <v>162</v>
      </c>
      <c r="I181" s="3"/>
    </row>
    <row r="182" customFormat="false" ht="33" hidden="false" customHeight="true" outlineLevel="0" collapsed="false">
      <c r="A182" s="17" t="n">
        <v>181</v>
      </c>
      <c r="B182" s="3" t="s">
        <v>159</v>
      </c>
      <c r="C182" s="18" t="s">
        <v>169</v>
      </c>
      <c r="D182" s="15" t="s">
        <v>62</v>
      </c>
      <c r="E182" s="16" t="n">
        <v>4887</v>
      </c>
      <c r="F182" s="17" t="s">
        <v>170</v>
      </c>
      <c r="G182" s="15" t="s">
        <v>161</v>
      </c>
      <c r="H182" s="3" t="s">
        <v>162</v>
      </c>
      <c r="I182" s="3"/>
    </row>
    <row r="183" customFormat="false" ht="33" hidden="false" customHeight="true" outlineLevel="0" collapsed="false">
      <c r="A183" s="17" t="n">
        <v>182</v>
      </c>
      <c r="B183" s="3" t="s">
        <v>159</v>
      </c>
      <c r="C183" s="18" t="s">
        <v>171</v>
      </c>
      <c r="D183" s="15" t="s">
        <v>59</v>
      </c>
      <c r="E183" s="16" t="n">
        <v>862</v>
      </c>
      <c r="F183" s="17" t="s">
        <v>50</v>
      </c>
      <c r="G183" s="15" t="s">
        <v>161</v>
      </c>
      <c r="H183" s="3" t="s">
        <v>162</v>
      </c>
      <c r="I183" s="3"/>
    </row>
    <row r="184" customFormat="false" ht="33" hidden="false" customHeight="true" outlineLevel="0" collapsed="false">
      <c r="A184" s="17" t="n">
        <v>183</v>
      </c>
      <c r="B184" s="3" t="s">
        <v>159</v>
      </c>
      <c r="C184" s="18" t="s">
        <v>171</v>
      </c>
      <c r="D184" s="15" t="s">
        <v>62</v>
      </c>
      <c r="E184" s="16" t="n">
        <v>956</v>
      </c>
      <c r="F184" s="17" t="s">
        <v>50</v>
      </c>
      <c r="G184" s="15" t="s">
        <v>161</v>
      </c>
      <c r="H184" s="3" t="s">
        <v>162</v>
      </c>
      <c r="I184" s="3"/>
    </row>
    <row r="185" customFormat="false" ht="33" hidden="false" customHeight="true" outlineLevel="0" collapsed="false">
      <c r="A185" s="17" t="n">
        <v>184</v>
      </c>
      <c r="B185" s="3" t="s">
        <v>159</v>
      </c>
      <c r="C185" s="18" t="s">
        <v>172</v>
      </c>
      <c r="D185" s="15" t="s">
        <v>59</v>
      </c>
      <c r="E185" s="16" t="n">
        <v>671</v>
      </c>
      <c r="F185" s="17" t="s">
        <v>50</v>
      </c>
      <c r="G185" s="15" t="s">
        <v>161</v>
      </c>
      <c r="H185" s="3" t="s">
        <v>162</v>
      </c>
      <c r="I185" s="3"/>
    </row>
    <row r="186" customFormat="false" ht="33" hidden="false" customHeight="true" outlineLevel="0" collapsed="false">
      <c r="A186" s="17" t="n">
        <v>185</v>
      </c>
      <c r="B186" s="3" t="s">
        <v>159</v>
      </c>
      <c r="C186" s="18" t="s">
        <v>172</v>
      </c>
      <c r="D186" s="15" t="s">
        <v>62</v>
      </c>
      <c r="E186" s="16" t="n">
        <v>848</v>
      </c>
      <c r="F186" s="17" t="s">
        <v>50</v>
      </c>
      <c r="G186" s="15" t="s">
        <v>161</v>
      </c>
      <c r="H186" s="3" t="s">
        <v>162</v>
      </c>
      <c r="I186" s="3"/>
    </row>
    <row r="187" customFormat="false" ht="33" hidden="false" customHeight="true" outlineLevel="0" collapsed="false">
      <c r="A187" s="17" t="n">
        <v>186</v>
      </c>
      <c r="B187" s="3" t="s">
        <v>159</v>
      </c>
      <c r="C187" s="18" t="s">
        <v>173</v>
      </c>
      <c r="D187" s="15" t="s">
        <v>59</v>
      </c>
      <c r="E187" s="16" t="n">
        <v>650</v>
      </c>
      <c r="F187" s="17" t="s">
        <v>50</v>
      </c>
      <c r="G187" s="15" t="s">
        <v>161</v>
      </c>
      <c r="H187" s="3" t="s">
        <v>162</v>
      </c>
      <c r="I187" s="3"/>
    </row>
    <row r="188" customFormat="false" ht="33" hidden="false" customHeight="true" outlineLevel="0" collapsed="false">
      <c r="A188" s="17" t="n">
        <v>187</v>
      </c>
      <c r="B188" s="3" t="s">
        <v>159</v>
      </c>
      <c r="C188" s="18" t="s">
        <v>173</v>
      </c>
      <c r="D188" s="15" t="s">
        <v>62</v>
      </c>
      <c r="E188" s="16" t="n">
        <v>546</v>
      </c>
      <c r="F188" s="17" t="s">
        <v>50</v>
      </c>
      <c r="G188" s="15" t="s">
        <v>161</v>
      </c>
      <c r="H188" s="3" t="s">
        <v>162</v>
      </c>
      <c r="I188" s="3"/>
    </row>
    <row r="189" customFormat="false" ht="33" hidden="false" customHeight="true" outlineLevel="0" collapsed="false">
      <c r="A189" s="17" t="n">
        <v>188</v>
      </c>
      <c r="B189" s="3" t="s">
        <v>159</v>
      </c>
      <c r="C189" s="18" t="s">
        <v>174</v>
      </c>
      <c r="D189" s="15" t="s">
        <v>59</v>
      </c>
      <c r="E189" s="16" t="n">
        <v>30</v>
      </c>
      <c r="F189" s="17" t="s">
        <v>50</v>
      </c>
      <c r="G189" s="15" t="s">
        <v>161</v>
      </c>
      <c r="H189" s="3" t="s">
        <v>162</v>
      </c>
      <c r="I189" s="3"/>
    </row>
    <row r="190" customFormat="false" ht="33" hidden="false" customHeight="true" outlineLevel="0" collapsed="false">
      <c r="A190" s="17" t="n">
        <v>189</v>
      </c>
      <c r="B190" s="3" t="s">
        <v>159</v>
      </c>
      <c r="C190" s="18" t="s">
        <v>174</v>
      </c>
      <c r="D190" s="15" t="s">
        <v>62</v>
      </c>
      <c r="E190" s="16" t="n">
        <v>8</v>
      </c>
      <c r="F190" s="17" t="s">
        <v>50</v>
      </c>
      <c r="G190" s="15" t="s">
        <v>161</v>
      </c>
      <c r="H190" s="3" t="s">
        <v>162</v>
      </c>
      <c r="I190" s="3"/>
    </row>
    <row r="191" customFormat="false" ht="33" hidden="false" customHeight="true" outlineLevel="0" collapsed="false">
      <c r="A191" s="17" t="n">
        <v>190</v>
      </c>
      <c r="B191" s="3" t="s">
        <v>159</v>
      </c>
      <c r="C191" s="18" t="s">
        <v>175</v>
      </c>
      <c r="D191" s="15" t="s">
        <v>59</v>
      </c>
      <c r="E191" s="16" t="n">
        <v>-411</v>
      </c>
      <c r="F191" s="17" t="s">
        <v>50</v>
      </c>
      <c r="G191" s="15" t="s">
        <v>161</v>
      </c>
      <c r="H191" s="3" t="s">
        <v>162</v>
      </c>
      <c r="I191" s="3"/>
    </row>
    <row r="192" customFormat="false" ht="33" hidden="false" customHeight="true" outlineLevel="0" collapsed="false">
      <c r="A192" s="17" t="n">
        <v>191</v>
      </c>
      <c r="B192" s="3" t="s">
        <v>159</v>
      </c>
      <c r="C192" s="18" t="s">
        <v>175</v>
      </c>
      <c r="D192" s="15" t="s">
        <v>62</v>
      </c>
      <c r="E192" s="16" t="n">
        <v>-353</v>
      </c>
      <c r="F192" s="17" t="s">
        <v>50</v>
      </c>
      <c r="G192" s="15" t="s">
        <v>161</v>
      </c>
      <c r="H192" s="3" t="s">
        <v>162</v>
      </c>
      <c r="I192" s="3"/>
    </row>
    <row r="193" customFormat="false" ht="33" hidden="false" customHeight="true" outlineLevel="0" collapsed="false">
      <c r="A193" s="17" t="n">
        <v>192</v>
      </c>
      <c r="B193" s="3" t="s">
        <v>159</v>
      </c>
      <c r="C193" s="3" t="s">
        <v>176</v>
      </c>
      <c r="D193" s="15" t="s">
        <v>59</v>
      </c>
      <c r="E193" s="16" t="n">
        <v>3409</v>
      </c>
      <c r="F193" s="17" t="s">
        <v>50</v>
      </c>
      <c r="G193" s="15" t="s">
        <v>161</v>
      </c>
      <c r="H193" s="3" t="s">
        <v>162</v>
      </c>
      <c r="I193" s="3"/>
    </row>
    <row r="194" customFormat="false" ht="33" hidden="false" customHeight="true" outlineLevel="0" collapsed="false">
      <c r="A194" s="17" t="n">
        <v>193</v>
      </c>
      <c r="B194" s="3" t="s">
        <v>159</v>
      </c>
      <c r="C194" s="3" t="s">
        <v>176</v>
      </c>
      <c r="D194" s="15" t="s">
        <v>62</v>
      </c>
      <c r="E194" s="16" t="n">
        <v>4508</v>
      </c>
      <c r="F194" s="17" t="s">
        <v>50</v>
      </c>
      <c r="G194" s="15" t="s">
        <v>161</v>
      </c>
      <c r="H194" s="3" t="s">
        <v>162</v>
      </c>
      <c r="I194" s="3"/>
    </row>
    <row r="195" customFormat="false" ht="33" hidden="false" customHeight="true" outlineLevel="0" collapsed="false">
      <c r="A195" s="17" t="n">
        <v>194</v>
      </c>
      <c r="B195" s="3" t="s">
        <v>159</v>
      </c>
      <c r="C195" s="18" t="s">
        <v>177</v>
      </c>
      <c r="D195" s="15" t="s">
        <v>62</v>
      </c>
      <c r="E195" s="16" t="n">
        <v>2600</v>
      </c>
      <c r="F195" s="17" t="s">
        <v>50</v>
      </c>
      <c r="G195" s="15" t="s">
        <v>161</v>
      </c>
      <c r="H195" s="3" t="s">
        <v>162</v>
      </c>
      <c r="I195" s="18" t="s">
        <v>178</v>
      </c>
    </row>
    <row r="196" customFormat="false" ht="33" hidden="false" customHeight="true" outlineLevel="0" collapsed="false">
      <c r="A196" s="17" t="n">
        <v>195</v>
      </c>
      <c r="B196" s="3" t="s">
        <v>159</v>
      </c>
      <c r="C196" s="18" t="s">
        <v>179</v>
      </c>
      <c r="D196" s="15" t="s">
        <v>62</v>
      </c>
      <c r="E196" s="16" t="n">
        <v>121</v>
      </c>
      <c r="F196" s="17" t="s">
        <v>50</v>
      </c>
      <c r="G196" s="15" t="s">
        <v>161</v>
      </c>
      <c r="H196" s="3" t="s">
        <v>162</v>
      </c>
      <c r="I196" s="3" t="s">
        <v>180</v>
      </c>
    </row>
    <row r="197" customFormat="false" ht="33" hidden="false" customHeight="true" outlineLevel="0" collapsed="false">
      <c r="A197" s="17" t="n">
        <v>196</v>
      </c>
      <c r="B197" s="3" t="s">
        <v>121</v>
      </c>
      <c r="C197" s="18" t="s">
        <v>181</v>
      </c>
      <c r="D197" s="15" t="s">
        <v>62</v>
      </c>
      <c r="E197" s="16" t="n">
        <v>9500</v>
      </c>
      <c r="F197" s="17" t="s">
        <v>50</v>
      </c>
      <c r="G197" s="15" t="s">
        <v>182</v>
      </c>
      <c r="H197" s="3" t="s">
        <v>183</v>
      </c>
      <c r="I197" s="18" t="s">
        <v>184</v>
      </c>
    </row>
  </sheetData>
  <mergeCells count="1">
    <mergeCell ref="A1:I1"/>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6CDF"/>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31.58"/>
    <col collapsed="false" customWidth="true" hidden="false" outlineLevel="0" max="9" min="2" style="0" width="14.29"/>
  </cols>
  <sheetData>
    <row r="1" customFormat="false" ht="21.75" hidden="false" customHeight="true" outlineLevel="0" collapsed="false">
      <c r="A1" s="1" t="s">
        <v>185</v>
      </c>
      <c r="B1" s="1"/>
      <c r="C1" s="1"/>
      <c r="D1" s="1"/>
      <c r="E1" s="1"/>
      <c r="F1" s="1"/>
      <c r="G1" s="1"/>
      <c r="H1" s="1"/>
    </row>
    <row r="2" customFormat="false" ht="21.75" hidden="false" customHeight="true" outlineLevel="0" collapsed="false">
      <c r="A2" s="21" t="s">
        <v>186</v>
      </c>
      <c r="B2" s="21"/>
      <c r="C2" s="21"/>
      <c r="D2" s="21"/>
      <c r="E2" s="21"/>
      <c r="F2" s="21"/>
      <c r="G2" s="21"/>
      <c r="H2" s="21"/>
    </row>
    <row r="4" customFormat="false" ht="21.75" hidden="false" customHeight="true" outlineLevel="0" collapsed="false">
      <c r="A4" s="22" t="s">
        <v>40</v>
      </c>
      <c r="B4" s="8" t="s">
        <v>187</v>
      </c>
      <c r="C4" s="8" t="s">
        <v>188</v>
      </c>
      <c r="D4" s="8" t="s">
        <v>189</v>
      </c>
      <c r="E4" s="8" t="s">
        <v>190</v>
      </c>
      <c r="F4" s="8" t="s">
        <v>191</v>
      </c>
      <c r="G4" s="8" t="s">
        <v>192</v>
      </c>
      <c r="H4" s="8" t="s">
        <v>193</v>
      </c>
    </row>
    <row r="5" customFormat="false" ht="21.75" hidden="false" customHeight="true" outlineLevel="0" collapsed="false">
      <c r="A5" s="9" t="s">
        <v>48</v>
      </c>
      <c r="B5" s="19" t="n">
        <f aca="false">IF(COUNTIFS(数据!$C$2:$C$197,"保险承保利润",数据!$D$2:$D$197,"2021A")=0,0,SUMIFS(数据!$E$2:$E$197,数据!$C$2:$C$197,"保险承保利润",数据!$D$2:$D$197,"2021A"))</f>
        <v>870</v>
      </c>
      <c r="C5" s="19" t="n">
        <f aca="false">IF(COUNTIFS(数据!$C$2:$C$197,"保险承保利润",数据!$D$2:$D$197,"2022A")=0,0,SUMIFS(数据!$E$2:$E$197,数据!$C$2:$C$197,"保险承保利润",数据!$D$2:$D$197,"2022A"))</f>
        <v>-30</v>
      </c>
      <c r="D5" s="19" t="n">
        <f aca="false">IF(COUNTIFS(数据!$C$2:$C$197,"保险承保利润",数据!$D$2:$D$197,"2023A")=0,0,SUMIFS(数据!$E$2:$E$197,数据!$C$2:$C$197,"保险承保利润",数据!$D$2:$D$197,"2023A"))</f>
        <v>5428</v>
      </c>
      <c r="E5" s="19" t="n">
        <f aca="false">IF(COUNTIFS(数据!$C$2:$C$197,"保险承保利润",数据!$D$2:$D$197,"2024A")=0,0,SUMIFS(数据!$E$2:$E$197,数据!$C$2:$C$197,"保险承保利润",数据!$D$2:$D$197,"2024A"))</f>
        <v>9020</v>
      </c>
      <c r="F5" s="19" t="n">
        <f aca="false">IF(COUNTIFS(数据!$C$2:$C$197,"保险承保利润",数据!$D$2:$D$197,"2025A")=0,0,SUMIFS(数据!$E$2:$E$197,数据!$C$2:$C$197,"保险承保利润",数据!$D$2:$D$197,"2025A"))</f>
        <v>7258</v>
      </c>
      <c r="G5" s="19" t="n">
        <f aca="false">IF(COUNTIFS(数据!$C$2:$C$197,"保险承保利润",数据!$D$2:$D$197,"2025H1")=0,0,SUMIFS(数据!$E$2:$E$197,数据!$C$2:$C$197,"保险承保利润",数据!$D$2:$D$197,"2025H1"))</f>
        <v>3328</v>
      </c>
      <c r="H5" s="19" t="n">
        <f aca="false">IF(COUNTIFS(数据!$C$2:$C$197,"保险承保利润",数据!$D$2:$D$197,"2026H1")=0,0,SUMIFS(数据!$E$2:$E$197,数据!$C$2:$C$197,"保险承保利润",数据!$D$2:$D$197,"2026H1"))</f>
        <v>3448</v>
      </c>
    </row>
    <row r="6" customFormat="false" ht="21.75" hidden="false" customHeight="true" outlineLevel="0" collapsed="false">
      <c r="A6" s="9" t="s">
        <v>63</v>
      </c>
      <c r="B6" s="19" t="n">
        <f aca="false">IF(COUNTIFS(数据!$C$2:$C$197,"保险投资收益",数据!$D$2:$D$197,"2021A")=0,0,SUMIFS(数据!$E$2:$E$197,数据!$C$2:$C$197,"保险投资收益",数据!$D$2:$D$197,"2021A"))</f>
        <v>4807</v>
      </c>
      <c r="C6" s="19" t="n">
        <f aca="false">IF(COUNTIFS(数据!$C$2:$C$197,"保险投资收益",数据!$D$2:$D$197,"2022A")=0,0,SUMIFS(数据!$E$2:$E$197,数据!$C$2:$C$197,"保险投资收益",数据!$D$2:$D$197,"2022A"))</f>
        <v>6484</v>
      </c>
      <c r="D6" s="19" t="n">
        <f aca="false">IF(COUNTIFS(数据!$C$2:$C$197,"保险投资收益",数据!$D$2:$D$197,"2023A")=0,0,SUMIFS(数据!$E$2:$E$197,数据!$C$2:$C$197,"保险投资收益",数据!$D$2:$D$197,"2023A"))</f>
        <v>9567</v>
      </c>
      <c r="E6" s="19" t="n">
        <f aca="false">IF(COUNTIFS(数据!$C$2:$C$197,"保险投资收益",数据!$D$2:$D$197,"2024A")=0,0,SUMIFS(数据!$E$2:$E$197,数据!$C$2:$C$197,"保险投资收益",数据!$D$2:$D$197,"2024A"))</f>
        <v>13670</v>
      </c>
      <c r="F6" s="19" t="n">
        <f aca="false">IF(COUNTIFS(数据!$C$2:$C$197,"保险投资收益",数据!$D$2:$D$197,"2025A")=0,0,SUMIFS(数据!$E$2:$E$197,数据!$C$2:$C$197,"保险投资收益",数据!$D$2:$D$197,"2025A"))</f>
        <v>12513</v>
      </c>
      <c r="G6" s="19" t="n">
        <f aca="false">IF(COUNTIFS(数据!$C$2:$C$197,"保险投资收益",数据!$D$2:$D$197,"2025H1")=0,0,SUMIFS(数据!$E$2:$E$197,数据!$C$2:$C$197,"保险投资收益",数据!$D$2:$D$197,"2025H1"))</f>
        <v>6260</v>
      </c>
      <c r="H6" s="19" t="n">
        <f aca="false">IF(COUNTIFS(数据!$C$2:$C$197,"保险投资收益",数据!$D$2:$D$197,"2026H1")=0,0,SUMIFS(数据!$E$2:$E$197,数据!$C$2:$C$197,"保险投资收益",数据!$D$2:$D$197,"2026H1"))</f>
        <v>5738</v>
      </c>
    </row>
    <row r="7" customFormat="false" ht="21.75" hidden="false" customHeight="true" outlineLevel="0" collapsed="false">
      <c r="A7" s="9" t="s">
        <v>194</v>
      </c>
      <c r="B7" s="19" t="n">
        <f aca="false">IF(COUNTIFS(数据!$C$2:$C$197,"铁路（BNSF）利润",数据!$D$2:$D$197,"2021A")=0,0,SUMIFS(数据!$E$2:$E$197,数据!$C$2:$C$197,"铁路（BNSF）利润",数据!$D$2:$D$197,"2021A"))</f>
        <v>5990</v>
      </c>
      <c r="C7" s="19" t="n">
        <f aca="false">IF(COUNTIFS(数据!$C$2:$C$197,"铁路（BNSF）利润",数据!$D$2:$D$197,"2022A")=0,0,SUMIFS(数据!$E$2:$E$197,数据!$C$2:$C$197,"铁路（BNSF）利润",数据!$D$2:$D$197,"2022A"))</f>
        <v>5946</v>
      </c>
      <c r="D7" s="19" t="n">
        <f aca="false">IF(COUNTIFS(数据!$C$2:$C$197,"铁路（BNSF）利润",数据!$D$2:$D$197,"2023A")=0,0,SUMIFS(数据!$E$2:$E$197,数据!$C$2:$C$197,"铁路（BNSF）利润",数据!$D$2:$D$197,"2023A"))</f>
        <v>5087</v>
      </c>
      <c r="E7" s="19" t="n">
        <f aca="false">IF(COUNTIFS(数据!$C$2:$C$197,"铁路（BNSF）利润",数据!$D$2:$D$197,"2024A")=0,0,SUMIFS(数据!$E$2:$E$197,数据!$C$2:$C$197,"铁路（BNSF）利润",数据!$D$2:$D$197,"2024A"))</f>
        <v>5031</v>
      </c>
      <c r="F7" s="19" t="n">
        <f aca="false">IF(COUNTIFS(数据!$C$2:$C$197,"铁路（BNSF）利润",数据!$D$2:$D$197,"2025A")=0,0,SUMIFS(数据!$E$2:$E$197,数据!$C$2:$C$197,"铁路（BNSF）利润",数据!$D$2:$D$197,"2025A"))</f>
        <v>5476</v>
      </c>
      <c r="G7" s="19" t="n">
        <f aca="false">IF(COUNTIFS(数据!$C$2:$C$197,"铁路（BNSF）利润",数据!$D$2:$D$197,"2025H1")=0,0,SUMIFS(数据!$E$2:$E$197,数据!$C$2:$C$197,"铁路（BNSF）利润",数据!$D$2:$D$197,"2025H1"))</f>
        <v>2680</v>
      </c>
      <c r="H7" s="19" t="n">
        <f aca="false">IF(COUNTIFS(数据!$C$2:$C$197,"铁路（BNSF）利润",数据!$D$2:$D$197,"2026H1")=0,0,SUMIFS(数据!$E$2:$E$197,数据!$C$2:$C$197,"铁路（BNSF）利润",数据!$D$2:$D$197,"2026H1"))</f>
        <v>2935</v>
      </c>
    </row>
    <row r="8" customFormat="false" ht="21.75" hidden="false" customHeight="true" outlineLevel="0" collapsed="false">
      <c r="A8" s="9" t="s">
        <v>195</v>
      </c>
      <c r="B8" s="19" t="n">
        <f aca="false">IF(COUNTIFS(数据!$C$2:$C$197,"能源（BHE）利润",数据!$D$2:$D$197,"2021A")=0,0,SUMIFS(数据!$E$2:$E$197,数据!$C$2:$C$197,"能源（BHE）利润",数据!$D$2:$D$197,"2021A"))</f>
        <v>3572</v>
      </c>
      <c r="C8" s="19" t="n">
        <f aca="false">IF(COUNTIFS(数据!$C$2:$C$197,"能源（BHE）利润",数据!$D$2:$D$197,"2022A")=0,0,SUMIFS(数据!$E$2:$E$197,数据!$C$2:$C$197,"能源（BHE）利润",数据!$D$2:$D$197,"2022A"))</f>
        <v>3904</v>
      </c>
      <c r="D8" s="19" t="n">
        <f aca="false">IF(COUNTIFS(数据!$C$2:$C$197,"能源（BHE）利润",数据!$D$2:$D$197,"2023A")=0,0,SUMIFS(数据!$E$2:$E$197,数据!$C$2:$C$197,"能源（BHE）利润",数据!$D$2:$D$197,"2023A"))</f>
        <v>2331</v>
      </c>
      <c r="E8" s="19" t="n">
        <f aca="false">IF(COUNTIFS(数据!$C$2:$C$197,"能源（BHE）利润",数据!$D$2:$D$197,"2024A")=0,0,SUMIFS(数据!$E$2:$E$197,数据!$C$2:$C$197,"能源（BHE）利润",数据!$D$2:$D$197,"2024A"))</f>
        <v>3730</v>
      </c>
      <c r="F8" s="19" t="n">
        <f aca="false">IF(COUNTIFS(数据!$C$2:$C$197,"能源（BHE）利润",数据!$D$2:$D$197,"2025A")=0,0,SUMIFS(数据!$E$2:$E$197,数据!$C$2:$C$197,"能源（BHE）利润",数据!$D$2:$D$197,"2025A"))</f>
        <v>3979</v>
      </c>
      <c r="G8" s="19" t="n">
        <f aca="false">IF(COUNTIFS(数据!$C$2:$C$197,"能源（BHE）利润",数据!$D$2:$D$197,"2025H1")=0,0,SUMIFS(数据!$E$2:$E$197,数据!$C$2:$C$197,"能源（BHE）利润",数据!$D$2:$D$197,"2025H1"))</f>
        <v>1799</v>
      </c>
      <c r="H8" s="19" t="n">
        <f aca="false">IF(COUNTIFS(数据!$C$2:$C$197,"能源（BHE）利润",数据!$D$2:$D$197,"2026H1")=0,0,SUMIFS(数据!$E$2:$E$197,数据!$C$2:$C$197,"能源（BHE）利润",数据!$D$2:$D$197,"2026H1"))</f>
        <v>2005</v>
      </c>
    </row>
    <row r="9" customFormat="false" ht="21.75" hidden="false" customHeight="true" outlineLevel="0" collapsed="false">
      <c r="A9" s="9" t="s">
        <v>67</v>
      </c>
      <c r="B9" s="19" t="n">
        <f aca="false">IF(COUNTIFS(数据!$C$2:$C$197,"制造、服务及零售利润",数据!$D$2:$D$197,"2021A")=0,0,SUMIFS(数据!$E$2:$E$197,数据!$C$2:$C$197,"制造、服务及零售利润",数据!$D$2:$D$197,"2021A"))</f>
        <v>11120</v>
      </c>
      <c r="C9" s="19" t="n">
        <f aca="false">IF(COUNTIFS(数据!$C$2:$C$197,"制造、服务及零售利润",数据!$D$2:$D$197,"2022A")=0,0,SUMIFS(数据!$E$2:$E$197,数据!$C$2:$C$197,"制造、服务及零售利润",数据!$D$2:$D$197,"2022A"))</f>
        <v>12512</v>
      </c>
      <c r="D9" s="19" t="n">
        <f aca="false">IF(COUNTIFS(数据!$C$2:$C$197,"制造、服务及零售利润",数据!$D$2:$D$197,"2023A")=0,0,SUMIFS(数据!$E$2:$E$197,数据!$C$2:$C$197,"制造、服务及零售利润",数据!$D$2:$D$197,"2023A"))</f>
        <v>13362</v>
      </c>
      <c r="E9" s="19" t="n">
        <f aca="false">IF(COUNTIFS(数据!$C$2:$C$197,"制造、服务及零售利润",数据!$D$2:$D$197,"2024A")=0,0,SUMIFS(数据!$E$2:$E$197,数据!$C$2:$C$197,"制造、服务及零售利润",数据!$D$2:$D$197,"2024A"))</f>
        <v>13072</v>
      </c>
      <c r="F9" s="19" t="n">
        <f aca="false">IF(COUNTIFS(数据!$C$2:$C$197,"制造、服务及零售利润",数据!$D$2:$D$197,"2025A")=0,0,SUMIFS(数据!$E$2:$E$197,数据!$C$2:$C$197,"制造、服务及零售利润",数据!$D$2:$D$197,"2025A"))</f>
        <v>13647</v>
      </c>
      <c r="G9" s="19" t="n">
        <f aca="false">IF(COUNTIFS(数据!$C$2:$C$197,"制造、服务及零售利润",数据!$D$2:$D$197,"2025H1")=0,0,SUMIFS(数据!$E$2:$E$197,数据!$C$2:$C$197,"制造、服务及零售利润",数据!$D$2:$D$197,"2025H1"))</f>
        <v>6661</v>
      </c>
      <c r="H9" s="19" t="n">
        <f aca="false">IF(COUNTIFS(数据!$C$2:$C$197,"制造、服务及零售利润",数据!$D$2:$D$197,"2026H1")=0,0,SUMIFS(数据!$E$2:$E$197,数据!$C$2:$C$197,"制造、服务及零售利润",数据!$D$2:$D$197,"2026H1"))</f>
        <v>7669</v>
      </c>
    </row>
    <row r="10" customFormat="false" ht="21.75" hidden="false" customHeight="true" outlineLevel="0" collapsed="false">
      <c r="A10" s="23" t="s">
        <v>196</v>
      </c>
      <c r="B10" s="24" t="n">
        <f aca="false">SUM(B5:B9)</f>
        <v>26359</v>
      </c>
      <c r="C10" s="24" t="n">
        <f aca="false">SUM(C5:C9)</f>
        <v>28816</v>
      </c>
      <c r="D10" s="24" t="n">
        <f aca="false">SUM(D5:D9)</f>
        <v>35775</v>
      </c>
      <c r="E10" s="24" t="n">
        <f aca="false">SUM(E5:E9)</f>
        <v>44523</v>
      </c>
      <c r="F10" s="24" t="n">
        <f aca="false">SUM(F5:F9)</f>
        <v>42873</v>
      </c>
      <c r="G10" s="24" t="n">
        <f aca="false">SUM(G5:G9)</f>
        <v>20728</v>
      </c>
      <c r="H10" s="24" t="n">
        <f aca="false">SUM(H5:H9)</f>
        <v>21795</v>
      </c>
    </row>
    <row r="11" customFormat="false" ht="21.75" hidden="false" customHeight="true" outlineLevel="0" collapsed="false">
      <c r="A11" s="9" t="s">
        <v>197</v>
      </c>
      <c r="B11" s="19" t="n">
        <f aca="false">SUMIFS(数据!$E$2:$E$197,数据!$C$2:$C$197,"其他利润",数据!$D$2:$D$197,"2021A")+SUMIFS(数据!$E$2:$E$197,数据!$C$2:$C$197,"非控制企业利润（旧口径）",数据!$D$2:$D$197,"2021A")</f>
        <v>1238</v>
      </c>
      <c r="C11" s="19" t="n">
        <f aca="false">SUMIFS(数据!$E$2:$E$197,数据!$C$2:$C$197,"其他利润",数据!$D$2:$D$197,"2022A")+SUMIFS(数据!$E$2:$E$197,数据!$C$2:$C$197,"非控制企业利润（旧口径）",数据!$D$2:$D$197,"2022A")</f>
        <v>2037</v>
      </c>
      <c r="D11" s="19" t="n">
        <f aca="false">SUMIFS(数据!$E$2:$E$197,数据!$C$2:$C$197,"其他利润",数据!$D$2:$D$197,"2023A")+SUMIFS(数据!$E$2:$E$197,数据!$C$2:$C$197,"非控制企业利润（旧口径）",数据!$D$2:$D$197,"2023A")</f>
        <v>1575</v>
      </c>
      <c r="E11" s="19" t="n">
        <f aca="false">SUMIFS(数据!$E$2:$E$197,数据!$C$2:$C$197,"其他利润",数据!$D$2:$D$197,"2024A")+SUMIFS(数据!$E$2:$E$197,数据!$C$2:$C$197,"非控制企业利润（旧口径）",数据!$D$2:$D$197,"2024A")</f>
        <v>2914</v>
      </c>
      <c r="F11" s="19" t="n">
        <f aca="false">SUMIFS(数据!$E$2:$E$197,数据!$C$2:$C$197,"其他利润",数据!$D$2:$D$197,"2025A")+SUMIFS(数据!$E$2:$E$197,数据!$C$2:$C$197,"非控制企业利润（旧口径）",数据!$D$2:$D$197,"2025A")</f>
        <v>1613</v>
      </c>
      <c r="G11" s="19" t="n">
        <f aca="false">SUMIFS(数据!$E$2:$E$197,数据!$C$2:$C$197,"其他利润",数据!$D$2:$D$197,"2025H1")+SUMIFS(数据!$E$2:$E$197,数据!$C$2:$C$197,"非控制企业利润（旧口径）",数据!$D$2:$D$197,"2025H1")</f>
        <v>73</v>
      </c>
      <c r="H11" s="19" t="n">
        <f aca="false">SUMIFS(数据!$E$2:$E$197,数据!$C$2:$C$197,"其他利润",数据!$D$2:$D$197,"2026H1")+SUMIFS(数据!$E$2:$E$197,数据!$C$2:$C$197,"非控制企业利润（旧口径）",数据!$D$2:$D$197,"2026H1")</f>
        <v>2534</v>
      </c>
    </row>
    <row r="12" customFormat="false" ht="21.75" hidden="false" customHeight="true" outlineLevel="0" collapsed="false">
      <c r="A12" s="23" t="s">
        <v>198</v>
      </c>
      <c r="B12" s="24" t="n">
        <f aca="false">B10+B11</f>
        <v>27597</v>
      </c>
      <c r="C12" s="24" t="n">
        <f aca="false">C10+C11</f>
        <v>30853</v>
      </c>
      <c r="D12" s="24" t="n">
        <f aca="false">D10+D11</f>
        <v>37350</v>
      </c>
      <c r="E12" s="24" t="n">
        <f aca="false">E10+E11</f>
        <v>47437</v>
      </c>
      <c r="F12" s="24" t="n">
        <f aca="false">F10+F11</f>
        <v>44486</v>
      </c>
      <c r="G12" s="24" t="n">
        <f aca="false">G10+G11</f>
        <v>20801</v>
      </c>
      <c r="H12" s="24" t="n">
        <f aca="false">H10+H11</f>
        <v>24329</v>
      </c>
    </row>
    <row r="13" customFormat="false" ht="21.75" hidden="false" customHeight="true" outlineLevel="0" collapsed="false">
      <c r="A13" s="9" t="s">
        <v>71</v>
      </c>
      <c r="B13" s="19" t="n">
        <f aca="false">IF(COUNTIFS(数据!$C$2:$C$197,"投资损益",数据!$D$2:$D$197,"2021A")=0,0,SUMIFS(数据!$E$2:$E$197,数据!$C$2:$C$197,"投资损益",数据!$D$2:$D$197,"2021A"))</f>
        <v>62340</v>
      </c>
      <c r="C13" s="19" t="n">
        <f aca="false">IF(COUNTIFS(数据!$C$2:$C$197,"投资损益",数据!$D$2:$D$197,"2022A")=0,0,SUMIFS(数据!$E$2:$E$197,数据!$C$2:$C$197,"投资损益",数据!$D$2:$D$197,"2022A"))</f>
        <v>-53612</v>
      </c>
      <c r="D13" s="19" t="n">
        <f aca="false">IF(COUNTIFS(数据!$C$2:$C$197,"投资损益",数据!$D$2:$D$197,"2023A")=0,0,SUMIFS(数据!$E$2:$E$197,数据!$C$2:$C$197,"投资损益",数据!$D$2:$D$197,"2023A"))</f>
        <v>58873</v>
      </c>
      <c r="E13" s="19" t="n">
        <f aca="false">IF(COUNTIFS(数据!$C$2:$C$197,"投资损益",数据!$D$2:$D$197,"2024A")=0,0,SUMIFS(数据!$E$2:$E$197,数据!$C$2:$C$197,"投资损益",数据!$D$2:$D$197,"2024A"))</f>
        <v>41558</v>
      </c>
      <c r="F13" s="19" t="n">
        <f aca="false">IF(COUNTIFS(数据!$C$2:$C$197,"投资损益",数据!$D$2:$D$197,"2025A")=0,0,SUMIFS(数据!$E$2:$E$197,数据!$C$2:$C$197,"投资损益",数据!$D$2:$D$197,"2025A"))</f>
        <v>30737</v>
      </c>
      <c r="G13" s="19" t="n">
        <f aca="false">IF(COUNTIFS(数据!$C$2:$C$197,"投资损益",数据!$D$2:$D$197,"2025H1")=0,0,SUMIFS(数据!$E$2:$E$197,数据!$C$2:$C$197,"投资损益",数据!$D$2:$D$197,"2025H1"))</f>
        <v>-68</v>
      </c>
      <c r="H13" s="19" t="n">
        <f aca="false">IF(COUNTIFS(数据!$C$2:$C$197,"投资损益",数据!$D$2:$D$197,"2026H1")=0,0,SUMIFS(数据!$E$2:$E$197,数据!$C$2:$C$197,"投资损益",数据!$D$2:$D$197,"2026H1"))</f>
        <v>11444</v>
      </c>
    </row>
    <row r="14" customFormat="false" ht="21.75" hidden="false" customHeight="true" outlineLevel="0" collapsed="false">
      <c r="A14" s="9" t="s">
        <v>199</v>
      </c>
      <c r="B14" s="19" t="str">
        <f aca="false">IF(COUNTIFS(数据!$C$2:$C$197,"权益法投资减值",数据!$D$2:$D$197,"2021A")=0,0,SUMIFS(数据!$E$2:$E$197,数据!$C$2:$C$197,"权益法投资减值",数据!$D$2:$D$197,"2021A"))</f>
        <v>0</v>
      </c>
      <c r="C14" s="19" t="str">
        <f aca="false">IF(COUNTIFS(数据!$C$2:$C$197,"权益法投资减值",数据!$D$2:$D$197,"2022A")=0,0,SUMIFS(数据!$E$2:$E$197,数据!$C$2:$C$197,"权益法投资减值",数据!$D$2:$D$197,"2022A"))</f>
        <v>0</v>
      </c>
      <c r="D14" s="19" t="str">
        <f aca="false">IF(COUNTIFS(数据!$C$2:$C$197,"权益法投资减值",数据!$D$2:$D$197,"2023A")=0,0,SUMIFS(数据!$E$2:$E$197,数据!$C$2:$C$197,"权益法投资减值",数据!$D$2:$D$197,"2023A"))</f>
        <v>0</v>
      </c>
      <c r="E14" s="19" t="str">
        <f aca="false">IF(COUNTIFS(数据!$C$2:$C$197,"权益法投资减值",数据!$D$2:$D$197,"2024A")=0,0,SUMIFS(数据!$E$2:$E$197,数据!$C$2:$C$197,"权益法投资减值",数据!$D$2:$D$197,"2024A"))</f>
        <v>0</v>
      </c>
      <c r="F14" s="19" t="n">
        <f aca="false">IF(COUNTIFS(数据!$C$2:$C$197,"权益法投资减值",数据!$D$2:$D$197,"2025A")=0,0,SUMIFS(数据!$E$2:$E$197,数据!$C$2:$C$197,"权益法投资减值",数据!$D$2:$D$197,"2025A"))</f>
        <v>-8255</v>
      </c>
      <c r="G14" s="19" t="n">
        <f aca="false">IF(COUNTIFS(数据!$C$2:$C$197,"权益法投资减值",数据!$D$2:$D$197,"2025H1")=0,0,SUMIFS(数据!$E$2:$E$197,数据!$C$2:$C$197,"权益法投资减值",数据!$D$2:$D$197,"2025H1"))</f>
        <v>-3760</v>
      </c>
      <c r="H14" s="19" t="str">
        <f aca="false">IF(COUNTIFS(数据!$C$2:$C$197,"权益法投资减值",数据!$D$2:$D$197,"2026H1")=0,0,SUMIFS(数据!$E$2:$E$197,数据!$C$2:$C$197,"权益法投资减值",数据!$D$2:$D$197,"2026H1"))</f>
        <v>0</v>
      </c>
    </row>
    <row r="15" customFormat="false" ht="21.75" hidden="false" customHeight="true" outlineLevel="0" collapsed="false">
      <c r="A15" s="23" t="s">
        <v>72</v>
      </c>
      <c r="B15" s="24" t="n">
        <f aca="false">IF(COUNTIFS(数据!$C$2:$C$197,"归母净利润",数据!$D$2:$D$197,"2021A")=0,0,SUMIFS(数据!$E$2:$E$197,数据!$C$2:$C$197,"归母净利润",数据!$D$2:$D$197,"2021A"))</f>
        <v>89937</v>
      </c>
      <c r="C15" s="24" t="n">
        <f aca="false">IF(COUNTIFS(数据!$C$2:$C$197,"归母净利润",数据!$D$2:$D$197,"2022A")=0,0,SUMIFS(数据!$E$2:$E$197,数据!$C$2:$C$197,"归母净利润",数据!$D$2:$D$197,"2022A"))</f>
        <v>-22759</v>
      </c>
      <c r="D15" s="24" t="n">
        <f aca="false">IF(COUNTIFS(数据!$C$2:$C$197,"归母净利润",数据!$D$2:$D$197,"2023A")=0,0,SUMIFS(数据!$E$2:$E$197,数据!$C$2:$C$197,"归母净利润",数据!$D$2:$D$197,"2023A"))</f>
        <v>96223</v>
      </c>
      <c r="E15" s="24" t="n">
        <f aca="false">IF(COUNTIFS(数据!$C$2:$C$197,"归母净利润",数据!$D$2:$D$197,"2024A")=0,0,SUMIFS(数据!$E$2:$E$197,数据!$C$2:$C$197,"归母净利润",数据!$D$2:$D$197,"2024A"))</f>
        <v>88995</v>
      </c>
      <c r="F15" s="24" t="n">
        <f aca="false">IF(COUNTIFS(数据!$C$2:$C$197,"归母净利润",数据!$D$2:$D$197,"2025A")=0,0,SUMIFS(数据!$E$2:$E$197,数据!$C$2:$C$197,"归母净利润",数据!$D$2:$D$197,"2025A"))</f>
        <v>66968</v>
      </c>
      <c r="G15" s="24" t="n">
        <f aca="false">IF(COUNTIFS(数据!$C$2:$C$197,"归母净利润",数据!$D$2:$D$197,"2025H1")=0,0,SUMIFS(数据!$E$2:$E$197,数据!$C$2:$C$197,"归母净利润",数据!$D$2:$D$197,"2025H1"))</f>
        <v>16973</v>
      </c>
      <c r="H15" s="24" t="n">
        <f aca="false">IF(COUNTIFS(数据!$C$2:$C$197,"归母净利润",数据!$D$2:$D$197,"2026H1")=0,0,SUMIFS(数据!$E$2:$E$197,数据!$C$2:$C$197,"归母净利润",数据!$D$2:$D$197,"2026H1"))</f>
        <v>35773</v>
      </c>
    </row>
    <row r="16" customFormat="false" ht="21.75" hidden="false" customHeight="true" outlineLevel="0" collapsed="false">
      <c r="A16" s="9" t="s">
        <v>200</v>
      </c>
      <c r="B16" s="25" t="n">
        <f aca="false">B15-(B12+B13+B14)</f>
        <v>0</v>
      </c>
      <c r="C16" s="25" t="n">
        <f aca="false">C15-(C12+C13+C14)</f>
        <v>0</v>
      </c>
      <c r="D16" s="25" t="n">
        <f aca="false">D15-(D12+D13+D14)</f>
        <v>0</v>
      </c>
      <c r="E16" s="25" t="n">
        <f aca="false">E15-(E12+E13+E14)</f>
        <v>0</v>
      </c>
      <c r="F16" s="25" t="n">
        <f aca="false">F15-(F12+F13+F14)</f>
        <v>0</v>
      </c>
      <c r="G16" s="25" t="n">
        <f aca="false">G15-(G12+G13+G14)</f>
        <v>0</v>
      </c>
      <c r="H16" s="25" t="n">
        <f aca="false">H15-(H12+H13+H14)</f>
        <v>0</v>
      </c>
    </row>
    <row r="18" customFormat="false" ht="21.75" hidden="false" customHeight="true" outlineLevel="0" collapsed="false">
      <c r="A18" s="9" t="s">
        <v>158</v>
      </c>
      <c r="B18" s="19" t="n">
        <f aca="false">IF(COUNTIFS(数据!$C$2:$C$197,"经营活动现金流净额",数据!$D$2:$D$197,"2021A")=0,0,SUMIFS(数据!$E$2:$E$197,数据!$C$2:$C$197,"经营活动现金流净额",数据!$D$2:$D$197,"2021A"))</f>
        <v>39427</v>
      </c>
      <c r="C18" s="19" t="n">
        <f aca="false">IF(COUNTIFS(数据!$C$2:$C$197,"经营活动现金流净额",数据!$D$2:$D$197,"2022A")=0,0,SUMIFS(数据!$E$2:$E$197,数据!$C$2:$C$197,"经营活动现金流净额",数据!$D$2:$D$197,"2022A"))</f>
        <v>37350</v>
      </c>
      <c r="D18" s="19" t="n">
        <f aca="false">IF(COUNTIFS(数据!$C$2:$C$197,"经营活动现金流净额",数据!$D$2:$D$197,"2023A")=0,0,SUMIFS(数据!$E$2:$E$197,数据!$C$2:$C$197,"经营活动现金流净额",数据!$D$2:$D$197,"2023A"))</f>
        <v>49196</v>
      </c>
      <c r="E18" s="19" t="n">
        <f aca="false">IF(COUNTIFS(数据!$C$2:$C$197,"经营活动现金流净额",数据!$D$2:$D$197,"2024A")=0,0,SUMIFS(数据!$E$2:$E$197,数据!$C$2:$C$197,"经营活动现金流净额",数据!$D$2:$D$197,"2024A"))</f>
        <v>30592</v>
      </c>
      <c r="F18" s="19" t="n">
        <f aca="false">IF(COUNTIFS(数据!$C$2:$C$197,"经营活动现金流净额",数据!$D$2:$D$197,"2025A")=0,0,SUMIFS(数据!$E$2:$E$197,数据!$C$2:$C$197,"经营活动现金流净额",数据!$D$2:$D$197,"2025A"))</f>
        <v>45969</v>
      </c>
      <c r="G18" s="19" t="n">
        <f aca="false">IF(COUNTIFS(数据!$C$2:$C$197,"经营活动现金流净额",数据!$D$2:$D$197,"2025H1")=0,0,SUMIFS(数据!$E$2:$E$197,数据!$C$2:$C$197,"经营活动现金流净额",数据!$D$2:$D$197,"2025H1"))</f>
        <v>20988</v>
      </c>
      <c r="H18" s="19" t="n">
        <f aca="false">IF(COUNTIFS(数据!$C$2:$C$197,"经营活动现金流净额",数据!$D$2:$D$197,"2026H1")=0,0,SUMIFS(数据!$E$2:$E$197,数据!$C$2:$C$197,"经营活动现金流净额",数据!$D$2:$D$197,"2026H1"))</f>
        <v>21653</v>
      </c>
    </row>
    <row r="20" customFormat="false" ht="21.75" hidden="false" customHeight="true" outlineLevel="0" collapsed="false">
      <c r="A20" s="13" t="s">
        <v>201</v>
      </c>
      <c r="B20" s="13"/>
      <c r="C20" s="13"/>
      <c r="D20" s="13"/>
      <c r="E20" s="13"/>
      <c r="F20" s="13"/>
      <c r="G20" s="13"/>
      <c r="H20" s="13"/>
    </row>
    <row r="21" customFormat="false" ht="21.75" hidden="false" customHeight="true" outlineLevel="0" collapsed="false">
      <c r="A21" s="13"/>
      <c r="B21" s="13"/>
      <c r="C21" s="13"/>
      <c r="D21" s="13"/>
      <c r="E21" s="13"/>
      <c r="F21" s="13"/>
      <c r="G21" s="13"/>
      <c r="H21" s="13"/>
    </row>
  </sheetData>
  <mergeCells count="3">
    <mergeCell ref="A1:H1"/>
    <mergeCell ref="A2:H2"/>
    <mergeCell ref="A20:H21"/>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9BA6"/>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35.22"/>
    <col collapsed="false" customWidth="true" hidden="false" outlineLevel="0" max="7" min="2" style="0" width="16.12"/>
  </cols>
  <sheetData>
    <row r="1" customFormat="false" ht="21.75" hidden="false" customHeight="true" outlineLevel="0" collapsed="false">
      <c r="A1" s="1" t="s">
        <v>202</v>
      </c>
      <c r="B1" s="1"/>
      <c r="C1" s="1"/>
      <c r="D1" s="1"/>
      <c r="E1" s="1"/>
      <c r="F1" s="1"/>
      <c r="G1" s="1"/>
    </row>
    <row r="2" customFormat="false" ht="21.75" hidden="false" customHeight="true" outlineLevel="0" collapsed="false">
      <c r="A2" s="21" t="s">
        <v>203</v>
      </c>
      <c r="B2" s="21"/>
      <c r="C2" s="21"/>
      <c r="D2" s="21"/>
      <c r="E2" s="21"/>
      <c r="F2" s="21"/>
      <c r="G2" s="21"/>
    </row>
    <row r="4" customFormat="false" ht="21.75" hidden="false" customHeight="true" outlineLevel="0" collapsed="false">
      <c r="A4" s="22" t="s">
        <v>40</v>
      </c>
      <c r="B4" s="8" t="s">
        <v>187</v>
      </c>
      <c r="C4" s="8" t="s">
        <v>188</v>
      </c>
      <c r="D4" s="8" t="s">
        <v>189</v>
      </c>
      <c r="E4" s="8" t="s">
        <v>190</v>
      </c>
      <c r="F4" s="8" t="s">
        <v>191</v>
      </c>
      <c r="G4" s="8" t="s">
        <v>193</v>
      </c>
    </row>
    <row r="5" customFormat="false" ht="21.75" hidden="false" customHeight="true" outlineLevel="0" collapsed="false">
      <c r="A5" s="9" t="s">
        <v>204</v>
      </c>
      <c r="B5" s="19" t="n">
        <f aca="false">IF(COUNTIFS(数据!$C$2:$C$197,"保险浮存金",数据!$D$2:$D$197,"2021A")=0,0,SUMIFS(数据!$E$2:$E$197,数据!$C$2:$C$197,"保险浮存金",数据!$D$2:$D$197,"2021A"))</f>
        <v>147000</v>
      </c>
      <c r="C5" s="19" t="n">
        <f aca="false">IF(COUNTIFS(数据!$C$2:$C$197,"保险浮存金",数据!$D$2:$D$197,"2022A")=0,0,SUMIFS(数据!$E$2:$E$197,数据!$C$2:$C$197,"保险浮存金",数据!$D$2:$D$197,"2022A"))</f>
        <v>164000</v>
      </c>
      <c r="D5" s="19" t="n">
        <f aca="false">IF(COUNTIFS(数据!$C$2:$C$197,"保险浮存金",数据!$D$2:$D$197,"2023A")=0,0,SUMIFS(数据!$E$2:$E$197,数据!$C$2:$C$197,"保险浮存金",数据!$D$2:$D$197,"2023A"))</f>
        <v>169000</v>
      </c>
      <c r="E5" s="19" t="n">
        <f aca="false">IF(COUNTIFS(数据!$C$2:$C$197,"保险浮存金",数据!$D$2:$D$197,"2024A")=0,0,SUMIFS(数据!$E$2:$E$197,数据!$C$2:$C$197,"保险浮存金",数据!$D$2:$D$197,"2024A"))</f>
        <v>171000</v>
      </c>
      <c r="F5" s="19" t="n">
        <f aca="false">IF(COUNTIFS(数据!$C$2:$C$197,"保险浮存金",数据!$D$2:$D$197,"2025A")=0,0,SUMIFS(数据!$E$2:$E$197,数据!$C$2:$C$197,"保险浮存金",数据!$D$2:$D$197,"2025A"))</f>
        <v>176000</v>
      </c>
      <c r="G5" s="19" t="n">
        <f aca="false">IF(COUNTIFS(数据!$C$2:$C$197,"保险浮存金",数据!$D$2:$D$197,"2026H1")=0,0,SUMIFS(数据!$E$2:$E$197,数据!$C$2:$C$197,"保险浮存金",数据!$D$2:$D$197,"2026H1"))</f>
        <v>177500</v>
      </c>
    </row>
    <row r="6" customFormat="false" ht="21.75" hidden="false" customHeight="true" outlineLevel="0" collapsed="false">
      <c r="A6" s="9" t="s">
        <v>205</v>
      </c>
      <c r="B6" s="19" t="n">
        <f aca="false">IF(COUNTIFS(数据!$C$2:$C$197,"保险及其他现金及现金等价物",数据!$D$2:$D$197,"2021A")=0,0,SUMIFS(数据!$E$2:$E$197,数据!$C$2:$C$197,"保险及其他现金及现金等价物",数据!$D$2:$D$197,"2021A"))</f>
        <v>85319</v>
      </c>
      <c r="C6" s="19" t="n">
        <f aca="false">IF(COUNTIFS(数据!$C$2:$C$197,"保险及其他现金及现金等价物",数据!$D$2:$D$197,"2022A")=0,0,SUMIFS(数据!$E$2:$E$197,数据!$C$2:$C$197,"保险及其他现金及现金等价物",数据!$D$2:$D$197,"2022A"))</f>
        <v>32260</v>
      </c>
      <c r="D6" s="19" t="n">
        <f aca="false">IF(COUNTIFS(数据!$C$2:$C$197,"保险及其他现金及现金等价物",数据!$D$2:$D$197,"2023A")=0,0,SUMIFS(数据!$E$2:$E$197,数据!$C$2:$C$197,"保险及其他现金及现金等价物",数据!$D$2:$D$197,"2023A"))</f>
        <v>33672</v>
      </c>
      <c r="E6" s="19" t="n">
        <f aca="false">IF(COUNTIFS(数据!$C$2:$C$197,"保险及其他现金及现金等价物",数据!$D$2:$D$197,"2024A")=0,0,SUMIFS(数据!$E$2:$E$197,数据!$C$2:$C$197,"保险及其他现金及现金等价物",数据!$D$2:$D$197,"2024A"))</f>
        <v>44333</v>
      </c>
      <c r="F6" s="19" t="n">
        <f aca="false">IF(COUNTIFS(数据!$C$2:$C$197,"保险及其他现金及现金等价物",数据!$D$2:$D$197,"2025A")=0,0,SUMIFS(数据!$E$2:$E$197,数据!$C$2:$C$197,"保险及其他现金及现金等价物",数据!$D$2:$D$197,"2025A"))</f>
        <v>47719</v>
      </c>
      <c r="G6" s="19" t="n">
        <f aca="false">IF(COUNTIFS(数据!$C$2:$C$197,"保险及其他现金及现金等价物",数据!$D$2:$D$197,"2026H1")=0,0,SUMIFS(数据!$E$2:$E$197,数据!$C$2:$C$197,"保险及其他现金及现金等价物",数据!$D$2:$D$197,"2026H1"))</f>
        <v>35096</v>
      </c>
    </row>
    <row r="7" customFormat="false" ht="21.75" hidden="false" customHeight="true" outlineLevel="0" collapsed="false">
      <c r="A7" s="9" t="s">
        <v>206</v>
      </c>
      <c r="B7" s="19" t="n">
        <f aca="false">IF(COUNTIFS(数据!$C$2:$C$197,"铁路、公用事业及能源现金",数据!$D$2:$D$197,"2021A")=0,0,SUMIFS(数据!$E$2:$E$197,数据!$C$2:$C$197,"铁路、公用事业及能源现金",数据!$D$2:$D$197,"2021A"))</f>
        <v>2865</v>
      </c>
      <c r="C7" s="19" t="n">
        <f aca="false">IF(COUNTIFS(数据!$C$2:$C$197,"铁路、公用事业及能源现金",数据!$D$2:$D$197,"2022A")=0,0,SUMIFS(数据!$E$2:$E$197,数据!$C$2:$C$197,"铁路、公用事业及能源现金",数据!$D$2:$D$197,"2022A"))</f>
        <v>3551</v>
      </c>
      <c r="D7" s="19" t="n">
        <f aca="false">IF(COUNTIFS(数据!$C$2:$C$197,"铁路、公用事业及能源现金",数据!$D$2:$D$197,"2023A")=0,0,SUMIFS(数据!$E$2:$E$197,数据!$C$2:$C$197,"铁路、公用事业及能源现金",数据!$D$2:$D$197,"2023A"))</f>
        <v>4350</v>
      </c>
      <c r="E7" s="19" t="n">
        <f aca="false">IF(COUNTIFS(数据!$C$2:$C$197,"铁路、公用事业及能源现金",数据!$D$2:$D$197,"2024A")=0,0,SUMIFS(数据!$E$2:$E$197,数据!$C$2:$C$197,"铁路、公用事业及能源现金",数据!$D$2:$D$197,"2024A"))</f>
        <v>3396</v>
      </c>
      <c r="F7" s="19" t="n">
        <f aca="false">IF(COUNTIFS(数据!$C$2:$C$197,"铁路、公用事业及能源现金",数据!$D$2:$D$197,"2025A")=0,0,SUMIFS(数据!$E$2:$E$197,数据!$C$2:$C$197,"铁路、公用事业及能源现金",数据!$D$2:$D$197,"2025A"))</f>
        <v>4158</v>
      </c>
      <c r="G7" s="19" t="n">
        <f aca="false">IF(COUNTIFS(数据!$C$2:$C$197,"铁路、公用事业及能源现金",数据!$D$2:$D$197,"2026H1")=0,0,SUMIFS(数据!$E$2:$E$197,数据!$C$2:$C$197,"铁路、公用事业及能源现金",数据!$D$2:$D$197,"2026H1"))</f>
        <v>5513</v>
      </c>
    </row>
    <row r="8" customFormat="false" ht="21.75" hidden="false" customHeight="true" outlineLevel="0" collapsed="false">
      <c r="A8" s="9" t="s">
        <v>91</v>
      </c>
      <c r="B8" s="19" t="n">
        <f aca="false">IF(COUNTIFS(数据!$C$2:$C$197,"短期美国国债",数据!$D$2:$D$197,"2021A")=0,0,SUMIFS(数据!$E$2:$E$197,数据!$C$2:$C$197,"短期美国国债",数据!$D$2:$D$197,"2021A"))</f>
        <v>58535</v>
      </c>
      <c r="C8" s="19" t="n">
        <f aca="false">IF(COUNTIFS(数据!$C$2:$C$197,"短期美国国债",数据!$D$2:$D$197,"2022A")=0,0,SUMIFS(数据!$E$2:$E$197,数据!$C$2:$C$197,"短期美国国债",数据!$D$2:$D$197,"2022A"))</f>
        <v>92774</v>
      </c>
      <c r="D8" s="19" t="n">
        <f aca="false">IF(COUNTIFS(数据!$C$2:$C$197,"短期美国国债",数据!$D$2:$D$197,"2023A")=0,0,SUMIFS(数据!$E$2:$E$197,数据!$C$2:$C$197,"短期美国国债",数据!$D$2:$D$197,"2023A"))</f>
        <v>129619</v>
      </c>
      <c r="E8" s="19" t="n">
        <f aca="false">IF(COUNTIFS(数据!$C$2:$C$197,"短期美国国债",数据!$D$2:$D$197,"2024A")=0,0,SUMIFS(数据!$E$2:$E$197,数据!$C$2:$C$197,"短期美国国债",数据!$D$2:$D$197,"2024A"))</f>
        <v>286472</v>
      </c>
      <c r="F8" s="19" t="n">
        <f aca="false">IF(COUNTIFS(数据!$C$2:$C$197,"短期美国国债",数据!$D$2:$D$197,"2025A")=0,0,SUMIFS(数据!$E$2:$E$197,数据!$C$2:$C$197,"短期美国国债",数据!$D$2:$D$197,"2025A"))</f>
        <v>321434</v>
      </c>
      <c r="G8" s="19" t="n">
        <f aca="false">IF(COUNTIFS(数据!$C$2:$C$197,"短期美国国债",数据!$D$2:$D$197,"2026H1")=0,0,SUMIFS(数据!$E$2:$E$197,数据!$C$2:$C$197,"短期美国国债",数据!$D$2:$D$197,"2026H1"))</f>
        <v>324905</v>
      </c>
    </row>
    <row r="9" customFormat="false" ht="21.75" hidden="false" customHeight="true" outlineLevel="0" collapsed="false">
      <c r="A9" s="23" t="s">
        <v>207</v>
      </c>
      <c r="B9" s="24" t="n">
        <f aca="false">SUM(B6:B8)</f>
        <v>146719</v>
      </c>
      <c r="C9" s="24" t="n">
        <f aca="false">SUM(C6:C8)</f>
        <v>128585</v>
      </c>
      <c r="D9" s="24" t="n">
        <f aca="false">SUM(D6:D8)</f>
        <v>167641</v>
      </c>
      <c r="E9" s="24" t="n">
        <f aca="false">SUM(E6:E8)</f>
        <v>334201</v>
      </c>
      <c r="F9" s="24" t="n">
        <f aca="false">SUM(F6:F8)</f>
        <v>373311</v>
      </c>
      <c r="G9" s="24" t="n">
        <f aca="false">SUM(G6:G8)</f>
        <v>365514</v>
      </c>
    </row>
    <row r="10" customFormat="false" ht="21.75" hidden="false" customHeight="true" outlineLevel="0" collapsed="false">
      <c r="A10" s="9" t="s">
        <v>208</v>
      </c>
      <c r="B10" s="19" t="n">
        <f aca="false">IF(COUNTIFS(数据!$C$2:$C$197,"股票组合合计（披露）",数据!$D$2:$D$197,"2021A")=0,0,SUMIFS(数据!$E$2:$E$197,数据!$C$2:$C$197,"股票组合合计（披露）",数据!$D$2:$D$197,"2021A"))</f>
        <v>350719</v>
      </c>
      <c r="C10" s="19" t="n">
        <f aca="false">IF(COUNTIFS(数据!$C$2:$C$197,"股票组合合计（披露）",数据!$D$2:$D$197,"2022A")=0,0,SUMIFS(数据!$E$2:$E$197,数据!$C$2:$C$197,"股票组合合计（披露）",数据!$D$2:$D$197,"2022A"))</f>
        <v>308793</v>
      </c>
      <c r="D10" s="19" t="n">
        <f aca="false">IF(COUNTIFS(数据!$C$2:$C$197,"股票组合合计（披露）",数据!$D$2:$D$197,"2023A")=0,0,SUMIFS(数据!$E$2:$E$197,数据!$C$2:$C$197,"股票组合合计（披露）",数据!$D$2:$D$197,"2023A"))</f>
        <v>353842</v>
      </c>
      <c r="E10" s="19" t="n">
        <f aca="false">IF(COUNTIFS(数据!$C$2:$C$197,"股票组合合计（披露）",数据!$D$2:$D$197,"2024A")=0,0,SUMIFS(数据!$E$2:$E$197,数据!$C$2:$C$197,"股票组合合计（披露）",数据!$D$2:$D$197,"2024A"))</f>
        <v>271588</v>
      </c>
      <c r="F10" s="19" t="n">
        <f aca="false">IF(COUNTIFS(数据!$C$2:$C$197,"股票组合合计（披露）",数据!$D$2:$D$197,"2025A")=0,0,SUMIFS(数据!$E$2:$E$197,数据!$C$2:$C$197,"股票组合合计（披露）",数据!$D$2:$D$197,"2025A"))</f>
        <v>297778</v>
      </c>
      <c r="G10" s="19" t="n">
        <f aca="false">IF(COUNTIFS(数据!$C$2:$C$197,"股票组合合计（披露）",数据!$D$2:$D$197,"2026H1")=0,0,SUMIFS(数据!$E$2:$E$197,数据!$C$2:$C$197,"股票组合合计（披露）",数据!$D$2:$D$197,"2026H1"))</f>
        <v>323779</v>
      </c>
    </row>
    <row r="11" customFormat="false" ht="21.75" hidden="false" customHeight="true" outlineLevel="0" collapsed="false">
      <c r="A11" s="9" t="s">
        <v>107</v>
      </c>
      <c r="B11" s="19" t="n">
        <f aca="false">IF(COUNTIFS(数据!$C$2:$C$197,"归母股东权益",数据!$D$2:$D$197,"2021A")=0,0,SUMIFS(数据!$E$2:$E$197,数据!$C$2:$C$197,"归母股东权益",数据!$D$2:$D$197,"2021A"))</f>
        <v>501568</v>
      </c>
      <c r="C11" s="19" t="n">
        <f aca="false">IF(COUNTIFS(数据!$C$2:$C$197,"归母股东权益",数据!$D$2:$D$197,"2022A")=0,0,SUMIFS(数据!$E$2:$E$197,数据!$C$2:$C$197,"归母股东权益",数据!$D$2:$D$197,"2022A"))</f>
        <v>473424</v>
      </c>
      <c r="D11" s="19" t="n">
        <f aca="false">IF(COUNTIFS(数据!$C$2:$C$197,"归母股东权益",数据!$D$2:$D$197,"2023A")=0,0,SUMIFS(数据!$E$2:$E$197,数据!$C$2:$C$197,"归母股东权益",数据!$D$2:$D$197,"2023A"))</f>
        <v>561273</v>
      </c>
      <c r="E11" s="19" t="n">
        <f aca="false">IF(COUNTIFS(数据!$C$2:$C$197,"归母股东权益",数据!$D$2:$D$197,"2024A")=0,0,SUMIFS(数据!$E$2:$E$197,数据!$C$2:$C$197,"归母股东权益",数据!$D$2:$D$197,"2024A"))</f>
        <v>649368</v>
      </c>
      <c r="F11" s="19" t="n">
        <f aca="false">IF(COUNTIFS(数据!$C$2:$C$197,"归母股东权益",数据!$D$2:$D$197,"2025A")=0,0,SUMIFS(数据!$E$2:$E$197,数据!$C$2:$C$197,"归母股东权益",数据!$D$2:$D$197,"2025A"))</f>
        <v>717419</v>
      </c>
      <c r="G11" s="19" t="n">
        <f aca="false">IF(COUNTIFS(数据!$C$2:$C$197,"归母股东权益",数据!$D$2:$D$197,"2026H1")=0,0,SUMIFS(数据!$E$2:$E$197,数据!$C$2:$C$197,"归母股东权益",数据!$D$2:$D$197,"2026H1"))</f>
        <v>747910</v>
      </c>
    </row>
    <row r="12" customFormat="false" ht="21.75" hidden="false" customHeight="true" outlineLevel="0" collapsed="false">
      <c r="A12" s="9" t="s">
        <v>209</v>
      </c>
      <c r="B12" s="19" t="n">
        <f aca="false">IF(COUNTIFS(数据!$C$2:$C$197,"期末A类等价股数",数据!$D$2:$D$197,"2021A")=0,0,SUMIFS(数据!$E$2:$E$197,数据!$C$2:$C$197,"期末A类等价股数",数据!$D$2:$D$197,"2021A"))</f>
        <v>1477429</v>
      </c>
      <c r="C12" s="19" t="n">
        <f aca="false">IF(COUNTIFS(数据!$C$2:$C$197,"期末A类等价股数",数据!$D$2:$D$197,"2022A")=0,0,SUMIFS(数据!$E$2:$E$197,数据!$C$2:$C$197,"期末A类等价股数",数据!$D$2:$D$197,"2022A"))</f>
        <v>1459733</v>
      </c>
      <c r="D12" s="19" t="n">
        <f aca="false">IF(COUNTIFS(数据!$C$2:$C$197,"期末A类等价股数",数据!$D$2:$D$197,"2023A")=0,0,SUMIFS(数据!$E$2:$E$197,数据!$C$2:$C$197,"期末A类等价股数",数据!$D$2:$D$197,"2023A"))</f>
        <v>1441483</v>
      </c>
      <c r="E12" s="19" t="n">
        <f aca="false">IF(COUNTIFS(数据!$C$2:$C$197,"期末A类等价股数",数据!$D$2:$D$197,"2024A")=0,0,SUMIFS(数据!$E$2:$E$197,数据!$C$2:$C$197,"期末A类等价股数",数据!$D$2:$D$197,"2024A"))</f>
        <v>1438223</v>
      </c>
      <c r="F12" s="19" t="n">
        <f aca="false">IF(COUNTIFS(数据!$C$2:$C$197,"期末A类等价股数",数据!$D$2:$D$197,"2025A")=0,0,SUMIFS(数据!$E$2:$E$197,数据!$C$2:$C$197,"期末A类等价股数",数据!$D$2:$D$197,"2025A"))</f>
        <v>1438223</v>
      </c>
      <c r="G12" s="19" t="n">
        <f aca="false">IF(COUNTIFS(数据!$C$2:$C$197,"期末A类等价股数",数据!$D$2:$D$197,"2026H1")=0,0,SUMIFS(数据!$E$2:$E$197,数据!$C$2:$C$197,"期末A类等价股数",数据!$D$2:$D$197,"2026H1"))</f>
        <v>1431693</v>
      </c>
    </row>
    <row r="13" customFormat="false" ht="21.75" hidden="false" customHeight="true" outlineLevel="0" collapsed="false">
      <c r="A13" s="23" t="s">
        <v>210</v>
      </c>
      <c r="B13" s="26" t="n">
        <f aca="false">B11*1000000/B12</f>
        <v>339487.041340058</v>
      </c>
      <c r="C13" s="26" t="n">
        <f aca="false">C11*1000000/C12</f>
        <v>324322.324699106</v>
      </c>
      <c r="D13" s="26" t="n">
        <f aca="false">D11*1000000/D12</f>
        <v>389371.917670899</v>
      </c>
      <c r="E13" s="26" t="n">
        <f aca="false">E11*1000000/E12</f>
        <v>451507.172392598</v>
      </c>
      <c r="F13" s="26" t="n">
        <f aca="false">F11*1000000/F12</f>
        <v>498823.200574598</v>
      </c>
      <c r="G13" s="26" t="n">
        <f aca="false">G11*1000000/G12</f>
        <v>522395.513563313</v>
      </c>
    </row>
    <row r="14" customFormat="false" ht="21.75" hidden="false" customHeight="true" outlineLevel="0" collapsed="false">
      <c r="A14" s="9" t="s">
        <v>211</v>
      </c>
      <c r="B14" s="26" t="n">
        <f aca="false">B13/1500</f>
        <v>226.324694226705</v>
      </c>
      <c r="C14" s="26" t="n">
        <f aca="false">C13/1500</f>
        <v>216.214883132737</v>
      </c>
      <c r="D14" s="26" t="n">
        <f aca="false">D13/1500</f>
        <v>259.581278447266</v>
      </c>
      <c r="E14" s="26" t="n">
        <f aca="false">E13/1500</f>
        <v>301.004781595066</v>
      </c>
      <c r="F14" s="26" t="n">
        <f aca="false">F13/1500</f>
        <v>332.548800383065</v>
      </c>
      <c r="G14" s="26" t="n">
        <f aca="false">G13/1500</f>
        <v>348.263675708875</v>
      </c>
    </row>
    <row r="16" customFormat="false" ht="21.75" hidden="false" customHeight="true" outlineLevel="0" collapsed="false">
      <c r="A16" s="7" t="s">
        <v>212</v>
      </c>
      <c r="B16" s="7"/>
      <c r="C16" s="7"/>
      <c r="D16" s="7"/>
      <c r="E16" s="7"/>
      <c r="F16" s="7"/>
      <c r="G16" s="7"/>
    </row>
    <row r="17" customFormat="false" ht="21.75" hidden="false" customHeight="true" outlineLevel="0" collapsed="false">
      <c r="A17" s="9" t="s">
        <v>122</v>
      </c>
      <c r="B17" s="19" t="n">
        <f aca="false">IF(COUNTIFS(数据!$C$2:$C$197,"回购金额（现金流量表）",数据!$D$2:$D$197,"2021A")=0,0,SUMIFS(数据!$E$2:$E$197,数据!$C$2:$C$197,"回购金额（现金流量表）",数据!$D$2:$D$197,"2021A"))</f>
        <v>27061</v>
      </c>
      <c r="C17" s="19" t="n">
        <f aca="false">IF(COUNTIFS(数据!$C$2:$C$197,"回购金额（现金流量表）",数据!$D$2:$D$197,"2022A")=0,0,SUMIFS(数据!$E$2:$E$197,数据!$C$2:$C$197,"回购金额（现金流量表）",数据!$D$2:$D$197,"2022A"))</f>
        <v>7854</v>
      </c>
      <c r="D17" s="19" t="n">
        <f aca="false">IF(COUNTIFS(数据!$C$2:$C$197,"回购金额（现金流量表）",数据!$D$2:$D$197,"2023A")=0,0,SUMIFS(数据!$E$2:$E$197,数据!$C$2:$C$197,"回购金额（现金流量表）",数据!$D$2:$D$197,"2023A"))</f>
        <v>9171</v>
      </c>
      <c r="E17" s="19" t="n">
        <f aca="false">IF(COUNTIFS(数据!$C$2:$C$197,"回购金额（现金流量表）",数据!$D$2:$D$197,"2024A")=0,0,SUMIFS(数据!$E$2:$E$197,数据!$C$2:$C$197,"回购金额（现金流量表）",数据!$D$2:$D$197,"2024A"))</f>
        <v>2918</v>
      </c>
      <c r="F17" s="19" t="n">
        <f aca="false">IF(COUNTIFS(数据!$C$2:$C$197,"回购金额（现金流量表）",数据!$D$2:$D$197,"2025A")=0,0,SUMIFS(数据!$E$2:$E$197,数据!$C$2:$C$197,"回购金额（现金流量表）",数据!$D$2:$D$197,"2025A"))</f>
        <v>0</v>
      </c>
      <c r="G17" s="19" t="n">
        <f aca="false">IF(COUNTIFS(数据!$C$2:$C$197,"回购金额（现金流量表）",数据!$D$2:$D$197,"2026H1")=0,0,SUMIFS(数据!$E$2:$E$197,数据!$C$2:$C$197,"回购金额（现金流量表）",数据!$D$2:$D$197,"2026H1"))</f>
        <v>4444</v>
      </c>
    </row>
    <row r="18" customFormat="false" ht="21.75" hidden="false" customHeight="true" outlineLevel="0" collapsed="false">
      <c r="A18" s="9" t="s">
        <v>124</v>
      </c>
      <c r="B18" s="19" t="n">
        <f aca="false">IF(COUNTIFS(数据!$C$2:$C$197,"回购成本（权益变动表）",数据!$D$2:$D$197,"2021A")=0,0,SUMIFS(数据!$E$2:$E$197,数据!$C$2:$C$197,"回购成本（权益变动表）",数据!$D$2:$D$197,"2021A"))</f>
        <v>26942</v>
      </c>
      <c r="C18" s="19" t="n">
        <f aca="false">IF(COUNTIFS(数据!$C$2:$C$197,"回购成本（权益变动表）",数据!$D$2:$D$197,"2022A")=0,0,SUMIFS(数据!$E$2:$E$197,数据!$C$2:$C$197,"回购成本（权益变动表）",数据!$D$2:$D$197,"2022A"))</f>
        <v>8031</v>
      </c>
      <c r="D18" s="19" t="n">
        <f aca="false">IF(COUNTIFS(数据!$C$2:$C$197,"回购成本（权益变动表）",数据!$D$2:$D$197,"2023A")=0,0,SUMIFS(数据!$E$2:$E$197,数据!$C$2:$C$197,"回购成本（权益变动表）",数据!$D$2:$D$197,"2023A"))</f>
        <v>8976</v>
      </c>
      <c r="E18" s="19" t="n">
        <f aca="false">IF(COUNTIFS(数据!$C$2:$C$197,"回购成本（权益变动表）",数据!$D$2:$D$197,"2024A")=0,0,SUMIFS(数据!$E$2:$E$197,数据!$C$2:$C$197,"回购成本（权益变动表）",数据!$D$2:$D$197,"2024A"))</f>
        <v>2918</v>
      </c>
      <c r="F18" s="19" t="n">
        <f aca="false">IF(COUNTIFS(数据!$C$2:$C$197,"回购成本（权益变动表）",数据!$D$2:$D$197,"2025A")=0,0,SUMIFS(数据!$E$2:$E$197,数据!$C$2:$C$197,"回购成本（权益变动表）",数据!$D$2:$D$197,"2025A"))</f>
        <v>0</v>
      </c>
      <c r="G18" s="19" t="n">
        <f aca="false">IF(COUNTIFS(数据!$C$2:$C$197,"回购成本（权益变动表）",数据!$D$2:$D$197,"2026H1")=0,0,SUMIFS(数据!$E$2:$E$197,数据!$C$2:$C$197,"回购成本（权益变动表）",数据!$D$2:$D$197,"2026H1"))</f>
        <v>4762</v>
      </c>
    </row>
    <row r="19" customFormat="false" ht="21.75" hidden="false" customHeight="true" outlineLevel="0" collapsed="false">
      <c r="A19" s="9" t="s">
        <v>154</v>
      </c>
      <c r="B19" s="19" t="n">
        <f aca="false">IF(COUNTIFS(数据!$C$2:$C$197,"购买股票（现金流）",数据!$D$2:$D$197,"2021A")=0,0,SUMIFS(数据!$E$2:$E$197,数据!$C$2:$C$197,"购买股票（现金流）",数据!$D$2:$D$197,"2021A"))</f>
        <v>8448</v>
      </c>
      <c r="C19" s="19" t="n">
        <f aca="false">IF(COUNTIFS(数据!$C$2:$C$197,"购买股票（现金流）",数据!$D$2:$D$197,"2022A")=0,0,SUMIFS(数据!$E$2:$E$197,数据!$C$2:$C$197,"购买股票（现金流）",数据!$D$2:$D$197,"2022A"))</f>
        <v>67930</v>
      </c>
      <c r="D19" s="19" t="n">
        <f aca="false">IF(COUNTIFS(数据!$C$2:$C$197,"购买股票（现金流）",数据!$D$2:$D$197,"2023A")=0,0,SUMIFS(数据!$E$2:$E$197,数据!$C$2:$C$197,"购买股票（现金流）",数据!$D$2:$D$197,"2023A"))</f>
        <v>16462</v>
      </c>
      <c r="E19" s="19" t="n">
        <f aca="false">IF(COUNTIFS(数据!$C$2:$C$197,"购买股票（现金流）",数据!$D$2:$D$197,"2024A")=0,0,SUMIFS(数据!$E$2:$E$197,数据!$C$2:$C$197,"购买股票（现金流）",数据!$D$2:$D$197,"2024A"))</f>
        <v>9237</v>
      </c>
      <c r="F19" s="19" t="n">
        <f aca="false">IF(COUNTIFS(数据!$C$2:$C$197,"购买股票（现金流）",数据!$D$2:$D$197,"2025A")=0,0,SUMIFS(数据!$E$2:$E$197,数据!$C$2:$C$197,"购买股票（现金流）",数据!$D$2:$D$197,"2025A"))</f>
        <v>16923</v>
      </c>
      <c r="G19" s="19" t="n">
        <f aca="false">IF(COUNTIFS(数据!$C$2:$C$197,"购买股票（现金流）",数据!$D$2:$D$197,"2026H1")=0,0,SUMIFS(数据!$E$2:$E$197,数据!$C$2:$C$197,"购买股票（现金流）",数据!$D$2:$D$197,"2026H1"))</f>
        <v>39405</v>
      </c>
    </row>
    <row r="20" customFormat="false" ht="21.75" hidden="false" customHeight="true" outlineLevel="0" collapsed="false">
      <c r="A20" s="9" t="s">
        <v>155</v>
      </c>
      <c r="B20" s="19" t="n">
        <f aca="false">IF(COUNTIFS(数据!$C$2:$C$197,"出售股票（现金流）",数据!$D$2:$D$197,"2021A")=0,0,SUMIFS(数据!$E$2:$E$197,数据!$C$2:$C$197,"出售股票（现金流）",数据!$D$2:$D$197,"2021A"))</f>
        <v>15849</v>
      </c>
      <c r="C20" s="19" t="n">
        <f aca="false">IF(COUNTIFS(数据!$C$2:$C$197,"出售股票（现金流）",数据!$D$2:$D$197,"2022A")=0,0,SUMIFS(数据!$E$2:$E$197,数据!$C$2:$C$197,"出售股票（现金流）",数据!$D$2:$D$197,"2022A"))</f>
        <v>33664</v>
      </c>
      <c r="D20" s="19" t="n">
        <f aca="false">IF(COUNTIFS(数据!$C$2:$C$197,"出售股票（现金流）",数据!$D$2:$D$197,"2023A")=0,0,SUMIFS(数据!$E$2:$E$197,数据!$C$2:$C$197,"出售股票（现金流）",数据!$D$2:$D$197,"2023A"))</f>
        <v>40631</v>
      </c>
      <c r="E20" s="19" t="n">
        <f aca="false">IF(COUNTIFS(数据!$C$2:$C$197,"出售股票（现金流）",数据!$D$2:$D$197,"2024A")=0,0,SUMIFS(数据!$E$2:$E$197,数据!$C$2:$C$197,"出售股票（现金流）",数据!$D$2:$D$197,"2024A"))</f>
        <v>143359</v>
      </c>
      <c r="F20" s="19" t="n">
        <f aca="false">IF(COUNTIFS(数据!$C$2:$C$197,"出售股票（现金流）",数据!$D$2:$D$197,"2025A")=0,0,SUMIFS(数据!$E$2:$E$197,数据!$C$2:$C$197,"出售股票（现金流）",数据!$D$2:$D$197,"2025A"))</f>
        <v>30686</v>
      </c>
      <c r="G20" s="19" t="n">
        <f aca="false">IF(COUNTIFS(数据!$C$2:$C$197,"出售股票（现金流）",数据!$D$2:$D$197,"2026H1")=0,0,SUMIFS(数据!$E$2:$E$197,数据!$C$2:$C$197,"出售股票（现金流）",数据!$D$2:$D$197,"2026H1"))</f>
        <v>27780</v>
      </c>
    </row>
    <row r="21" customFormat="false" ht="21.75" hidden="false" customHeight="true" outlineLevel="0" collapsed="false">
      <c r="A21" s="23" t="s">
        <v>213</v>
      </c>
      <c r="B21" s="24" t="n">
        <f aca="false">B19-B20</f>
        <v>-7401</v>
      </c>
      <c r="C21" s="24" t="n">
        <f aca="false">C19-C20</f>
        <v>34266</v>
      </c>
      <c r="D21" s="24" t="n">
        <f aca="false">D19-D20</f>
        <v>-24169</v>
      </c>
      <c r="E21" s="24" t="n">
        <f aca="false">E19-E20</f>
        <v>-134122</v>
      </c>
      <c r="F21" s="24" t="n">
        <f aca="false">F19-F20</f>
        <v>-13763</v>
      </c>
      <c r="G21" s="24" t="n">
        <f aca="false">G19-G20</f>
        <v>11625</v>
      </c>
    </row>
    <row r="23" customFormat="false" ht="21.75" hidden="false" customHeight="true" outlineLevel="0" collapsed="false">
      <c r="A23" s="13" t="s">
        <v>214</v>
      </c>
      <c r="B23" s="13"/>
      <c r="C23" s="13"/>
      <c r="D23" s="13"/>
      <c r="E23" s="13"/>
      <c r="F23" s="13"/>
      <c r="G23" s="13"/>
    </row>
    <row r="24" customFormat="false" ht="21.75" hidden="false" customHeight="true" outlineLevel="0" collapsed="false">
      <c r="A24" s="13"/>
      <c r="B24" s="13"/>
      <c r="C24" s="13"/>
      <c r="D24" s="13"/>
      <c r="E24" s="13"/>
      <c r="F24" s="13"/>
      <c r="G24" s="13"/>
    </row>
    <row r="25" customFormat="false" ht="21.75" hidden="false" customHeight="true" outlineLevel="0" collapsed="false">
      <c r="A25" s="13"/>
      <c r="B25" s="13"/>
      <c r="C25" s="13"/>
      <c r="D25" s="13"/>
      <c r="E25" s="13"/>
      <c r="F25" s="13"/>
      <c r="G25" s="13"/>
    </row>
  </sheetData>
  <mergeCells count="4">
    <mergeCell ref="A1:G1"/>
    <mergeCell ref="A2:G2"/>
    <mergeCell ref="A16:G16"/>
    <mergeCell ref="A23:G25"/>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B44A"/>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34.31"/>
    <col collapsed="false" customWidth="true" hidden="false" outlineLevel="0" max="6" min="2" style="0" width="16.12"/>
    <col collapsed="false" customWidth="true" hidden="false" outlineLevel="0" max="7" min="7" style="0" width="60.7"/>
  </cols>
  <sheetData>
    <row r="1" customFormat="false" ht="21.75" hidden="false" customHeight="true" outlineLevel="0" collapsed="false">
      <c r="A1" s="1" t="s">
        <v>215</v>
      </c>
      <c r="B1" s="1"/>
      <c r="C1" s="1"/>
      <c r="D1" s="1"/>
      <c r="E1" s="1"/>
      <c r="F1" s="1"/>
      <c r="G1" s="1"/>
    </row>
    <row r="2" customFormat="false" ht="21.75" hidden="false" customHeight="true" outlineLevel="0" collapsed="false">
      <c r="A2" s="21" t="s">
        <v>216</v>
      </c>
      <c r="B2" s="21"/>
      <c r="C2" s="21"/>
      <c r="D2" s="21"/>
      <c r="E2" s="21"/>
      <c r="F2" s="21"/>
      <c r="G2" s="21"/>
    </row>
    <row r="4" customFormat="false" ht="21.75" hidden="false" customHeight="true" outlineLevel="0" collapsed="false">
      <c r="A4" s="22" t="s">
        <v>40</v>
      </c>
      <c r="B4" s="8" t="s">
        <v>187</v>
      </c>
      <c r="C4" s="8" t="s">
        <v>188</v>
      </c>
      <c r="D4" s="8" t="s">
        <v>189</v>
      </c>
      <c r="E4" s="8" t="s">
        <v>190</v>
      </c>
      <c r="F4" s="8" t="s">
        <v>191</v>
      </c>
      <c r="G4" s="8" t="s">
        <v>193</v>
      </c>
    </row>
    <row r="5" customFormat="false" ht="21.75" hidden="false" customHeight="true" outlineLevel="0" collapsed="false">
      <c r="A5" s="9" t="s">
        <v>217</v>
      </c>
      <c r="B5" s="19" t="n">
        <f aca="false">IF(COUNTIFS(数据!$C$2:$C$197,"股票—银行、保险及金融",数据!$D$2:$D$197,"2021A")=0,0,SUMIFS(数据!$E$2:$E$197,数据!$C$2:$C$197,"股票—银行、保险及金融",数据!$D$2:$D$197,"2021A"))</f>
        <v>89058</v>
      </c>
      <c r="C5" s="19" t="n">
        <f aca="false">IF(COUNTIFS(数据!$C$2:$C$197,"股票—银行、保险及金融",数据!$D$2:$D$197,"2022A")=0,0,SUMIFS(数据!$E$2:$E$197,数据!$C$2:$C$197,"股票—银行、保险及金融",数据!$D$2:$D$197,"2022A"))</f>
        <v>69556</v>
      </c>
      <c r="D5" s="19" t="n">
        <f aca="false">IF(COUNTIFS(数据!$C$2:$C$197,"股票—银行、保险及金融",数据!$D$2:$D$197,"2023A")=0,0,SUMIFS(数据!$E$2:$E$197,数据!$C$2:$C$197,"股票—银行、保险及金融",数据!$D$2:$D$197,"2023A"))</f>
        <v>78312</v>
      </c>
      <c r="E5" s="19" t="n">
        <f aca="false">IF(COUNTIFS(数据!$C$2:$C$197,"股票—银行、保险及金融",数据!$D$2:$D$197,"2024A")=0,0,SUMIFS(数据!$E$2:$E$197,数据!$C$2:$C$197,"股票—银行、保险及金融",数据!$D$2:$D$197,"2024A"))</f>
        <v>91643</v>
      </c>
      <c r="F5" s="19" t="n">
        <f aca="false">IF(COUNTIFS(数据!$C$2:$C$197,"股票—银行、保险及金融",数据!$D$2:$D$197,"2025A")=0,0,SUMIFS(数据!$E$2:$E$197,数据!$C$2:$C$197,"股票—银行、保险及金融",数据!$D$2:$D$197,"2025A"))</f>
        <v>104129</v>
      </c>
      <c r="G5" s="19" t="n">
        <f aca="false">IF(COUNTIFS(数据!$C$2:$C$197,"股票—银行、保险及金融",数据!$D$2:$D$197,"2026H1")=0,0,SUMIFS(数据!$E$2:$E$197,数据!$C$2:$C$197,"股票—银行、保险及金融",数据!$D$2:$D$197,"2026H1"))</f>
        <v>94477</v>
      </c>
    </row>
    <row r="6" customFormat="false" ht="21.75" hidden="false" customHeight="true" outlineLevel="0" collapsed="false">
      <c r="A6" s="9" t="s">
        <v>218</v>
      </c>
      <c r="B6" s="19" t="n">
        <f aca="false">IF(COUNTIFS(数据!$C$2:$C$197,"股票—消费品",数据!$D$2:$D$197,"2021A")=0,0,SUMIFS(数据!$E$2:$E$197,数据!$C$2:$C$197,"股票—消费品",数据!$D$2:$D$197,"2021A"))</f>
        <v>191021</v>
      </c>
      <c r="C6" s="19" t="n">
        <f aca="false">IF(COUNTIFS(数据!$C$2:$C$197,"股票—消费品",数据!$D$2:$D$197,"2022A")=0,0,SUMIFS(数据!$E$2:$E$197,数据!$C$2:$C$197,"股票—消费品",数据!$D$2:$D$197,"2022A"))</f>
        <v>152892</v>
      </c>
      <c r="D6" s="19" t="n">
        <f aca="false">IF(COUNTIFS(数据!$C$2:$C$197,"股票—消费品",数据!$D$2:$D$197,"2023A")=0,0,SUMIFS(数据!$E$2:$E$197,数据!$C$2:$C$197,"股票—消费品",数据!$D$2:$D$197,"2023A"))</f>
        <v>201143</v>
      </c>
      <c r="E6" s="19" t="n">
        <f aca="false">IF(COUNTIFS(数据!$C$2:$C$197,"股票—消费品",数据!$D$2:$D$197,"2024A")=0,0,SUMIFS(数据!$E$2:$E$197,数据!$C$2:$C$197,"股票—消费品",数据!$D$2:$D$197,"2024A"))</f>
        <v>104749</v>
      </c>
      <c r="F6" s="19" t="n">
        <f aca="false">IF(COUNTIFS(数据!$C$2:$C$197,"股票—消费品",数据!$D$2:$D$197,"2025A")=0,0,SUMIFS(数据!$E$2:$E$197,数据!$C$2:$C$197,"股票—消费品",数据!$D$2:$D$197,"2025A"))</f>
        <v>94954</v>
      </c>
      <c r="G6" s="19" t="n">
        <f aca="false">IF(COUNTIFS(数据!$C$2:$C$197,"股票—消费品",数据!$D$2:$D$197,"2026H1")=0,0,SUMIFS(数据!$E$2:$E$197,数据!$C$2:$C$197,"股票—消费品",数据!$D$2:$D$197,"2026H1"))</f>
        <v>100486</v>
      </c>
    </row>
    <row r="7" customFormat="false" ht="21.75" hidden="false" customHeight="true" outlineLevel="0" collapsed="false">
      <c r="A7" s="9" t="s">
        <v>219</v>
      </c>
      <c r="B7" s="19" t="n">
        <f aca="false">IF(COUNTIFS(数据!$C$2:$C$197,"股票—商业、工业及其他",数据!$D$2:$D$197,"2021A")=0,0,SUMIFS(数据!$E$2:$E$197,数据!$C$2:$C$197,"股票—商业、工业及其他",数据!$D$2:$D$197,"2021A"))</f>
        <v>70640</v>
      </c>
      <c r="C7" s="19" t="n">
        <f aca="false">IF(COUNTIFS(数据!$C$2:$C$197,"股票—商业、工业及其他",数据!$D$2:$D$197,"2022A")=0,0,SUMIFS(数据!$E$2:$E$197,数据!$C$2:$C$197,"股票—商业、工业及其他",数据!$D$2:$D$197,"2022A"))</f>
        <v>86345</v>
      </c>
      <c r="D7" s="19" t="n">
        <f aca="false">IF(COUNTIFS(数据!$C$2:$C$197,"股票—商业、工业及其他",数据!$D$2:$D$197,"2023A")=0,0,SUMIFS(数据!$E$2:$E$197,数据!$C$2:$C$197,"股票—商业、工业及其他",数据!$D$2:$D$197,"2023A"))</f>
        <v>74387</v>
      </c>
      <c r="E7" s="19" t="n">
        <f aca="false">IF(COUNTIFS(数据!$C$2:$C$197,"股票—商业、工业及其他",数据!$D$2:$D$197,"2024A")=0,0,SUMIFS(数据!$E$2:$E$197,数据!$C$2:$C$197,"股票—商业、工业及其他",数据!$D$2:$D$197,"2024A"))</f>
        <v>75196</v>
      </c>
      <c r="F7" s="19" t="n">
        <f aca="false">IF(COUNTIFS(数据!$C$2:$C$197,"股票—商业、工业及其他",数据!$D$2:$D$197,"2025A")=0,0,SUMIFS(数据!$E$2:$E$197,数据!$C$2:$C$197,"股票—商业、工业及其他",数据!$D$2:$D$197,"2025A"))</f>
        <v>98695</v>
      </c>
      <c r="G7" s="19" t="n">
        <f aca="false">IF(COUNTIFS(数据!$C$2:$C$197,"股票—商业、工业及其他",数据!$D$2:$D$197,"2026H1")=0,0,SUMIFS(数据!$E$2:$E$197,数据!$C$2:$C$197,"股票—商业、工业及其他",数据!$D$2:$D$197,"2026H1"))</f>
        <v>128816</v>
      </c>
    </row>
    <row r="8" customFormat="false" ht="21.75" hidden="false" customHeight="true" outlineLevel="0" collapsed="false">
      <c r="A8" s="23" t="s">
        <v>220</v>
      </c>
      <c r="B8" s="24" t="n">
        <f aca="false">SUM(B5:B7)</f>
        <v>350719</v>
      </c>
      <c r="C8" s="24" t="n">
        <f aca="false">SUM(C5:C7)</f>
        <v>308793</v>
      </c>
      <c r="D8" s="24" t="n">
        <f aca="false">SUM(D5:D7)</f>
        <v>353842</v>
      </c>
      <c r="E8" s="24" t="n">
        <f aca="false">SUM(E5:E7)</f>
        <v>271588</v>
      </c>
      <c r="F8" s="24" t="n">
        <f aca="false">SUM(F5:F7)</f>
        <v>297778</v>
      </c>
      <c r="G8" s="24" t="n">
        <f aca="false">SUM(G5:G7)</f>
        <v>323779</v>
      </c>
    </row>
    <row r="9" customFormat="false" ht="21.75" hidden="false" customHeight="true" outlineLevel="0" collapsed="false">
      <c r="A9" s="9" t="s">
        <v>221</v>
      </c>
      <c r="B9" s="19" t="n">
        <f aca="false">IF(COUNTIFS(数据!$C$2:$C$197,"股票组合合计（披露）",数据!$D$2:$D$197,"2021A")=0,0,SUMIFS(数据!$E$2:$E$197,数据!$C$2:$C$197,"股票组合合计（披露）",数据!$D$2:$D$197,"2021A"))</f>
        <v>350719</v>
      </c>
      <c r="C9" s="19" t="n">
        <f aca="false">IF(COUNTIFS(数据!$C$2:$C$197,"股票组合合计（披露）",数据!$D$2:$D$197,"2022A")=0,0,SUMIFS(数据!$E$2:$E$197,数据!$C$2:$C$197,"股票组合合计（披露）",数据!$D$2:$D$197,"2022A"))</f>
        <v>308793</v>
      </c>
      <c r="D9" s="19" t="n">
        <f aca="false">IF(COUNTIFS(数据!$C$2:$C$197,"股票组合合计（披露）",数据!$D$2:$D$197,"2023A")=0,0,SUMIFS(数据!$E$2:$E$197,数据!$C$2:$C$197,"股票组合合计（披露）",数据!$D$2:$D$197,"2023A"))</f>
        <v>353842</v>
      </c>
      <c r="E9" s="19" t="n">
        <f aca="false">IF(COUNTIFS(数据!$C$2:$C$197,"股票组合合计（披露）",数据!$D$2:$D$197,"2024A")=0,0,SUMIFS(数据!$E$2:$E$197,数据!$C$2:$C$197,"股票组合合计（披露）",数据!$D$2:$D$197,"2024A"))</f>
        <v>271588</v>
      </c>
      <c r="F9" s="19" t="n">
        <f aca="false">IF(COUNTIFS(数据!$C$2:$C$197,"股票组合合计（披露）",数据!$D$2:$D$197,"2025A")=0,0,SUMIFS(数据!$E$2:$E$197,数据!$C$2:$C$197,"股票组合合计（披露）",数据!$D$2:$D$197,"2025A"))</f>
        <v>297778</v>
      </c>
      <c r="G9" s="19" t="n">
        <f aca="false">IF(COUNTIFS(数据!$C$2:$C$197,"股票组合合计（披露）",数据!$D$2:$D$197,"2026H1")=0,0,SUMIFS(数据!$E$2:$E$197,数据!$C$2:$C$197,"股票组合合计（披露）",数据!$D$2:$D$197,"2026H1"))</f>
        <v>323779</v>
      </c>
    </row>
    <row r="10" customFormat="false" ht="21.75" hidden="false" customHeight="true" outlineLevel="0" collapsed="false">
      <c r="A10" s="9" t="s">
        <v>200</v>
      </c>
      <c r="B10" s="25" t="n">
        <f aca="false">B8-B9</f>
        <v>0</v>
      </c>
      <c r="C10" s="25" t="n">
        <f aca="false">C8-C9</f>
        <v>0</v>
      </c>
      <c r="D10" s="25" t="n">
        <f aca="false">D8-D9</f>
        <v>0</v>
      </c>
      <c r="E10" s="25" t="n">
        <f aca="false">E8-E9</f>
        <v>0</v>
      </c>
      <c r="F10" s="25" t="n">
        <f aca="false">F8-F9</f>
        <v>0</v>
      </c>
      <c r="G10" s="25" t="n">
        <f aca="false">G8-G9</f>
        <v>0</v>
      </c>
    </row>
    <row r="11" customFormat="false" ht="21.75" hidden="false" customHeight="true" outlineLevel="0" collapsed="false">
      <c r="A11" s="7" t="s">
        <v>222</v>
      </c>
      <c r="B11" s="7"/>
      <c r="C11" s="7"/>
      <c r="D11" s="7"/>
      <c r="E11" s="7"/>
      <c r="F11" s="7"/>
      <c r="G11" s="7"/>
    </row>
    <row r="12" customFormat="false" ht="21.75" hidden="false" customHeight="true" outlineLevel="0" collapsed="false">
      <c r="A12" s="9" t="s">
        <v>223</v>
      </c>
      <c r="B12" s="27" t="n">
        <f aca="false">B5/B8</f>
        <v>0.253929784243226</v>
      </c>
      <c r="C12" s="27" t="n">
        <f aca="false">C5/C8</f>
        <v>0.225251220072994</v>
      </c>
      <c r="D12" s="27" t="n">
        <f aca="false">D5/D8</f>
        <v>0.221319119833146</v>
      </c>
      <c r="E12" s="27" t="n">
        <f aca="false">E5/E8</f>
        <v>0.337433907241852</v>
      </c>
      <c r="F12" s="27" t="n">
        <f aca="false">F5/F8</f>
        <v>0.349686679338299</v>
      </c>
      <c r="G12" s="27" t="n">
        <f aca="false">G5/G8</f>
        <v>0.291794711825041</v>
      </c>
    </row>
    <row r="13" customFormat="false" ht="21.75" hidden="false" customHeight="true" outlineLevel="0" collapsed="false">
      <c r="A13" s="9" t="s">
        <v>224</v>
      </c>
      <c r="B13" s="27" t="n">
        <f aca="false">B6/B8</f>
        <v>0.544655407890648</v>
      </c>
      <c r="C13" s="27" t="n">
        <f aca="false">C6/C8</f>
        <v>0.495127804062916</v>
      </c>
      <c r="D13" s="27" t="n">
        <f aca="false">D6/D8</f>
        <v>0.568454281854613</v>
      </c>
      <c r="E13" s="27" t="n">
        <f aca="false">E6/E8</f>
        <v>0.385690825809682</v>
      </c>
      <c r="F13" s="27" t="n">
        <f aca="false">F6/F8</f>
        <v>0.31887513516781</v>
      </c>
      <c r="G13" s="27" t="n">
        <f aca="false">G6/G8</f>
        <v>0.31035366716186</v>
      </c>
    </row>
    <row r="14" customFormat="false" ht="21.75" hidden="false" customHeight="true" outlineLevel="0" collapsed="false">
      <c r="A14" s="9" t="s">
        <v>225</v>
      </c>
      <c r="B14" s="27" t="n">
        <f aca="false">B7/B8</f>
        <v>0.201414807866126</v>
      </c>
      <c r="C14" s="27" t="n">
        <f aca="false">C7/C8</f>
        <v>0.27962097586409</v>
      </c>
      <c r="D14" s="27" t="n">
        <f aca="false">D7/D8</f>
        <v>0.210226598312241</v>
      </c>
      <c r="E14" s="27" t="n">
        <f aca="false">E7/E8</f>
        <v>0.276875266948466</v>
      </c>
      <c r="F14" s="27" t="n">
        <f aca="false">F7/F8</f>
        <v>0.331438185493891</v>
      </c>
      <c r="G14" s="27" t="n">
        <f aca="false">G7/G8</f>
        <v>0.397851621013098</v>
      </c>
    </row>
    <row r="16" customFormat="false" ht="21.75" hidden="false" customHeight="true" outlineLevel="0" collapsed="false">
      <c r="A16" s="9" t="s">
        <v>150</v>
      </c>
      <c r="B16" s="27" t="n">
        <f aca="false">IF(COUNTIFS(数据!$C$2:$C$197,"主要持仓集中度",数据!$D$2:$D$197,"2021A")=0,0,SUMIFS(数据!$E$2:$E$197,数据!$C$2:$C$197,"主要持仓集中度",数据!$D$2:$D$197,"2021A"))</f>
        <v>0.73</v>
      </c>
      <c r="C16" s="27" t="n">
        <f aca="false">IF(COUNTIFS(数据!$C$2:$C$197,"主要持仓集中度",数据!$D$2:$D$197,"2022A")=0,0,SUMIFS(数据!$E$2:$E$197,数据!$C$2:$C$197,"主要持仓集中度",数据!$D$2:$D$197,"2022A"))</f>
        <v>0.75</v>
      </c>
      <c r="D16" s="27" t="n">
        <f aca="false">IF(COUNTIFS(数据!$C$2:$C$197,"主要持仓集中度",数据!$D$2:$D$197,"2023A")=0,0,SUMIFS(数据!$E$2:$E$197,数据!$C$2:$C$197,"主要持仓集中度",数据!$D$2:$D$197,"2023A"))</f>
        <v>0.79</v>
      </c>
      <c r="E16" s="27" t="n">
        <f aca="false">IF(COUNTIFS(数据!$C$2:$C$197,"主要持仓集中度",数据!$D$2:$D$197,"2024A")=0,0,SUMIFS(数据!$E$2:$E$197,数据!$C$2:$C$197,"主要持仓集中度",数据!$D$2:$D$197,"2024A"))</f>
        <v>0.71</v>
      </c>
      <c r="F16" s="27" t="n">
        <f aca="false">IF(COUNTIFS(数据!$C$2:$C$197,"主要持仓集中度",数据!$D$2:$D$197,"2025A")=0,0,SUMIFS(数据!$E$2:$E$197,数据!$C$2:$C$197,"主要持仓集中度",数据!$D$2:$D$197,"2025A"))</f>
        <v>0.65</v>
      </c>
      <c r="G16" s="27" t="n">
        <f aca="false">IF(COUNTIFS(数据!$C$2:$C$197,"主要持仓集中度",数据!$D$2:$D$197,"2026H1")=0,0,SUMIFS(数据!$E$2:$E$197,数据!$C$2:$C$197,"主要持仓集中度",数据!$D$2:$D$197,"2026H1"))</f>
        <v>0.66</v>
      </c>
    </row>
    <row r="17" customFormat="false" ht="73.5" hidden="false" customHeight="true" outlineLevel="0" collapsed="false">
      <c r="A17" s="9" t="s">
        <v>226</v>
      </c>
      <c r="B17" s="18" t="s">
        <v>227</v>
      </c>
      <c r="C17" s="18" t="s">
        <v>228</v>
      </c>
      <c r="D17" s="18" t="s">
        <v>228</v>
      </c>
      <c r="E17" s="18" t="s">
        <v>228</v>
      </c>
      <c r="F17" s="18" t="s">
        <v>228</v>
      </c>
      <c r="G17" s="16" t="s">
        <v>229</v>
      </c>
    </row>
    <row r="19" customFormat="false" ht="21.75" hidden="false" customHeight="true" outlineLevel="0" collapsed="false">
      <c r="A19" s="28" t="s">
        <v>230</v>
      </c>
      <c r="B19" s="28"/>
      <c r="C19" s="28"/>
      <c r="D19" s="28"/>
      <c r="E19" s="28"/>
      <c r="F19" s="28"/>
      <c r="G19" s="28"/>
    </row>
    <row r="20" customFormat="false" ht="21.75" hidden="false" customHeight="true" outlineLevel="0" collapsed="false">
      <c r="A20" s="28"/>
      <c r="B20" s="28"/>
      <c r="C20" s="28"/>
      <c r="D20" s="28"/>
      <c r="E20" s="28"/>
      <c r="F20" s="28"/>
      <c r="G20" s="28"/>
    </row>
    <row r="21" customFormat="false" ht="21.75" hidden="false" customHeight="true" outlineLevel="0" collapsed="false">
      <c r="A21" s="28"/>
      <c r="B21" s="28"/>
      <c r="C21" s="28"/>
      <c r="D21" s="28"/>
      <c r="E21" s="28"/>
      <c r="F21" s="28"/>
      <c r="G21" s="28"/>
    </row>
  </sheetData>
  <mergeCells count="4">
    <mergeCell ref="A1:G1"/>
    <mergeCell ref="A2:G2"/>
    <mergeCell ref="A11:G11"/>
    <mergeCell ref="A19:G21"/>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6CDF"/>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34.31"/>
    <col collapsed="false" customWidth="true" hidden="false" outlineLevel="0" max="5" min="2" style="0" width="17.03"/>
    <col collapsed="false" customWidth="true" hidden="false" outlineLevel="0" max="6" min="6" style="0" width="49.78"/>
  </cols>
  <sheetData>
    <row r="1" customFormat="false" ht="21.75" hidden="false" customHeight="true" outlineLevel="0" collapsed="false">
      <c r="A1" s="29" t="s">
        <v>231</v>
      </c>
      <c r="B1" s="29"/>
      <c r="C1" s="29"/>
      <c r="D1" s="29"/>
      <c r="E1" s="29"/>
      <c r="F1" s="29"/>
    </row>
    <row r="2" customFormat="false" ht="21.75" hidden="false" customHeight="true" outlineLevel="0" collapsed="false">
      <c r="A2" s="21" t="s">
        <v>232</v>
      </c>
      <c r="B2" s="21"/>
      <c r="C2" s="21"/>
      <c r="D2" s="21"/>
      <c r="E2" s="21"/>
      <c r="F2" s="21"/>
    </row>
    <row r="4" customFormat="false" ht="21.75" hidden="false" customHeight="true" outlineLevel="0" collapsed="false">
      <c r="A4" s="22" t="s">
        <v>40</v>
      </c>
      <c r="B4" s="8" t="s">
        <v>192</v>
      </c>
      <c r="C4" s="8" t="s">
        <v>193</v>
      </c>
      <c r="D4" s="22" t="s">
        <v>233</v>
      </c>
      <c r="E4" s="22" t="s">
        <v>234</v>
      </c>
      <c r="F4" s="22" t="s">
        <v>235</v>
      </c>
    </row>
    <row r="5" customFormat="false" ht="21.75" hidden="false" customHeight="true" outlineLevel="0" collapsed="false">
      <c r="A5" s="30" t="s">
        <v>236</v>
      </c>
      <c r="B5" s="19" t="n">
        <f aca="false">IF(COUNTIFS(数据!$C$2:$C$197,"GEICO已赚保费",数据!$D$2:$D$197,"2025H1")=0,"—",SUMIFS(数据!$E$2:$E$197,数据!$C$2:$C$197,"GEICO已赚保费",数据!$D$2:$D$197,"2025H1"))</f>
        <v>21816</v>
      </c>
      <c r="C5" s="19" t="n">
        <f aca="false">IF(COUNTIFS(数据!$C$2:$C$197,"GEICO已赚保费",数据!$D$2:$D$197,"2026H1")=0,"—",SUMIFS(数据!$E$2:$E$197,数据!$C$2:$C$197,"GEICO已赚保费",数据!$D$2:$D$197,"2026H1"))</f>
        <v>22477</v>
      </c>
      <c r="D5" s="19" t="n">
        <f aca="false">IF(OR(NOT(ISNUMBER(B5)),NOT(ISNUMBER(C5))),"—",C5-B5)</f>
        <v>661</v>
      </c>
      <c r="E5" s="27" t="n">
        <f aca="false">IF(OR(NOT(ISNUMBER(B5)),NOT(ISNUMBER(C5)),B5&lt;=0),"N/M",C5/B5-1)</f>
        <v>0.0302988632196552</v>
      </c>
      <c r="F5" s="3"/>
    </row>
    <row r="6" customFormat="false" ht="21.75" hidden="false" customHeight="true" outlineLevel="0" collapsed="false">
      <c r="A6" s="30" t="s">
        <v>237</v>
      </c>
      <c r="B6" s="19" t="n">
        <f aca="false">IF(COUNTIFS(数据!$C$2:$C$197,"GEICO税前承保利润",数据!$D$2:$D$197,"2025H1")=0,"—",SUMIFS(数据!$E$2:$E$197,数据!$C$2:$C$197,"GEICO税前承保利润",数据!$D$2:$D$197,"2025H1"))</f>
        <v>3994</v>
      </c>
      <c r="C6" s="19" t="n">
        <f aca="false">IF(COUNTIFS(数据!$C$2:$C$197,"GEICO税前承保利润",数据!$D$2:$D$197,"2026H1")=0,"—",SUMIFS(数据!$E$2:$E$197,数据!$C$2:$C$197,"GEICO税前承保利润",数据!$D$2:$D$197,"2026H1"))</f>
        <v>2410</v>
      </c>
      <c r="D6" s="19" t="n">
        <f aca="false">IF(OR(NOT(ISNUMBER(B6)),NOT(ISNUMBER(C6))),"—",C6-B6)</f>
        <v>-1584</v>
      </c>
      <c r="E6" s="27" t="n">
        <f aca="false">IF(OR(NOT(ISNUMBER(B6)),NOT(ISNUMBER(C6)),B6&lt;=0),"N/M",C6/B6-1)</f>
        <v>-0.396594892338508</v>
      </c>
      <c r="F6" s="3"/>
    </row>
    <row r="7" customFormat="false" ht="21.75" hidden="false" customHeight="true" outlineLevel="0" collapsed="false">
      <c r="A7" s="30" t="s">
        <v>238</v>
      </c>
      <c r="B7" s="27" t="n">
        <f aca="false">IF(COUNTIFS(数据!$C$2:$C$197,"GEICO赔付率",数据!$D$2:$D$197,"2025H1")=0,"—",SUMIFS(数据!$E$2:$E$197,数据!$C$2:$C$197,"GEICO赔付率",数据!$D$2:$D$197,"2025H1"))</f>
        <v>0.704</v>
      </c>
      <c r="C7" s="27" t="n">
        <f aca="false">IF(COUNTIFS(数据!$C$2:$C$197,"GEICO赔付率",数据!$D$2:$D$197,"2026H1")=0,"—",SUMIFS(数据!$E$2:$E$197,数据!$C$2:$C$197,"GEICO赔付率",数据!$D$2:$D$197,"2026H1"))</f>
        <v>0.753</v>
      </c>
      <c r="D7" s="27" t="n">
        <f aca="false">IF(OR(NOT(ISNUMBER(B7)),NOT(ISNUMBER(C7))),"—",C7-B7)</f>
        <v>0.049</v>
      </c>
      <c r="E7" s="27" t="n">
        <f aca="false">IF(OR(NOT(ISNUMBER(B7)),NOT(ISNUMBER(C7)),B7&lt;=0),"N/M",C7/B7-1)</f>
        <v>0.0696022727272727</v>
      </c>
      <c r="F7" s="3"/>
    </row>
    <row r="8" customFormat="false" ht="21.75" hidden="false" customHeight="true" outlineLevel="0" collapsed="false">
      <c r="A8" s="30" t="s">
        <v>239</v>
      </c>
      <c r="B8" s="27" t="n">
        <f aca="false">IF(COUNTIFS(数据!$C$2:$C$197,"GEICO费用率",数据!$D$2:$D$197,"2025H1")=0,"—",SUMIFS(数据!$E$2:$E$197,数据!$C$2:$C$197,"GEICO费用率",数据!$D$2:$D$197,"2025H1"))</f>
        <v>0.113</v>
      </c>
      <c r="C8" s="27" t="n">
        <f aca="false">IF(COUNTIFS(数据!$C$2:$C$197,"GEICO费用率",数据!$D$2:$D$197,"2026H1")=0,"—",SUMIFS(数据!$E$2:$E$197,数据!$C$2:$C$197,"GEICO费用率",数据!$D$2:$D$197,"2026H1"))</f>
        <v>0.14</v>
      </c>
      <c r="D8" s="27" t="n">
        <f aca="false">IF(OR(NOT(ISNUMBER(B8)),NOT(ISNUMBER(C8))),"—",C8-B8)</f>
        <v>0.027</v>
      </c>
      <c r="E8" s="27" t="n">
        <f aca="false">IF(OR(NOT(ISNUMBER(B8)),NOT(ISNUMBER(C8)),B8&lt;=0),"N/M",C8/B8-1)</f>
        <v>0.238938053097345</v>
      </c>
      <c r="F8" s="3"/>
    </row>
    <row r="9" customFormat="false" ht="21.75" hidden="false" customHeight="true" outlineLevel="0" collapsed="false">
      <c r="A9" s="30" t="s">
        <v>240</v>
      </c>
      <c r="B9" s="19" t="n">
        <f aca="false">IF(COUNTIFS(数据!$C$2:$C$197,"BH Primary税前承保利润",数据!$D$2:$D$197,"2025H1")=0,"—",SUMIFS(数据!$E$2:$E$197,数据!$C$2:$C$197,"BH Primary税前承保利润",数据!$D$2:$D$197,"2025H1"))</f>
        <v>-81</v>
      </c>
      <c r="C9" s="19" t="n">
        <f aca="false">IF(COUNTIFS(数据!$C$2:$C$197,"BH Primary税前承保利润",数据!$D$2:$D$197,"2026H1")=0,"—",SUMIFS(数据!$E$2:$E$197,数据!$C$2:$C$197,"BH Primary税前承保利润",数据!$D$2:$D$197,"2026H1"))</f>
        <v>749</v>
      </c>
      <c r="D9" s="19" t="n">
        <f aca="false">IF(OR(NOT(ISNUMBER(B9)),NOT(ISNUMBER(C9))),"—",C9-B9)</f>
        <v>830</v>
      </c>
      <c r="E9" s="27" t="str">
        <f aca="false">IF(OR(NOT(ISNUMBER(B9)),NOT(ISNUMBER(C9)),B9&lt;=0),"N/M",C9/B9-1)</f>
        <v>N/M</v>
      </c>
      <c r="F9" s="3"/>
    </row>
    <row r="10" customFormat="false" ht="21.75" hidden="false" customHeight="true" outlineLevel="0" collapsed="false">
      <c r="A10" s="30" t="s">
        <v>241</v>
      </c>
      <c r="B10" s="19" t="n">
        <f aca="false">IF(COUNTIFS(数据!$C$2:$C$197,"BHRG税前承保利润",数据!$D$2:$D$197,"2025H1")=0,"—",SUMIFS(数据!$E$2:$E$197,数据!$C$2:$C$197,"BHRG税前承保利润",数据!$D$2:$D$197,"2025H1"))</f>
        <v>343</v>
      </c>
      <c r="C10" s="19" t="n">
        <f aca="false">IF(COUNTIFS(数据!$C$2:$C$197,"BHRG税前承保利润",数据!$D$2:$D$197,"2026H1")=0,"—",SUMIFS(数据!$E$2:$E$197,数据!$C$2:$C$197,"BHRG税前承保利润",数据!$D$2:$D$197,"2026H1"))</f>
        <v>1286</v>
      </c>
      <c r="D10" s="19" t="n">
        <f aca="false">IF(OR(NOT(ISNUMBER(B10)),NOT(ISNUMBER(C10))),"—",C10-B10)</f>
        <v>943</v>
      </c>
      <c r="E10" s="27" t="n">
        <f aca="false">IF(OR(NOT(ISNUMBER(B10)),NOT(ISNUMBER(C10)),B10&lt;=0),"N/M",C10/B10-1)</f>
        <v>2.74927113702624</v>
      </c>
      <c r="F10" s="3"/>
    </row>
    <row r="11" customFormat="false" ht="21.75" hidden="false" customHeight="true" outlineLevel="0" collapsed="false">
      <c r="A11" s="30" t="s">
        <v>242</v>
      </c>
      <c r="B11" s="19" t="n">
        <f aca="false">IF(COUNTIFS(数据!$C$2:$C$197,"BNSF铁路营业收入",数据!$D$2:$D$197,"2025H1")=0,"—",SUMIFS(数据!$E$2:$E$197,数据!$C$2:$C$197,"BNSF铁路营业收入",数据!$D$2:$D$197,"2025H1"))</f>
        <v>11402</v>
      </c>
      <c r="C11" s="19" t="n">
        <f aca="false">IF(COUNTIFS(数据!$C$2:$C$197,"BNSF铁路营业收入",数据!$D$2:$D$197,"2026H1")=0,"—",SUMIFS(数据!$E$2:$E$197,数据!$C$2:$C$197,"BNSF铁路营业收入",数据!$D$2:$D$197,"2026H1"))</f>
        <v>12521</v>
      </c>
      <c r="D11" s="19" t="n">
        <f aca="false">IF(OR(NOT(ISNUMBER(B11)),NOT(ISNUMBER(C11))),"—",C11-B11)</f>
        <v>1119</v>
      </c>
      <c r="E11" s="27" t="n">
        <f aca="false">IF(OR(NOT(ISNUMBER(B11)),NOT(ISNUMBER(C11)),B11&lt;=0),"N/M",C11/B11-1)</f>
        <v>0.0981406770741975</v>
      </c>
      <c r="F11" s="3"/>
    </row>
    <row r="12" customFormat="false" ht="21.75" hidden="false" customHeight="true" outlineLevel="0" collapsed="false">
      <c r="A12" s="30" t="s">
        <v>243</v>
      </c>
      <c r="B12" s="19" t="n">
        <f aca="false">IF(COUNTIFS(数据!$C$2:$C$197,"BNSF货运量",数据!$D$2:$D$197,"2025H1")=0,"—",SUMIFS(数据!$E$2:$E$197,数据!$C$2:$C$197,"BNSF货运量",数据!$D$2:$D$197,"2025H1"))</f>
        <v>4684</v>
      </c>
      <c r="C12" s="19" t="n">
        <f aca="false">IF(COUNTIFS(数据!$C$2:$C$197,"BNSF货运量",数据!$D$2:$D$197,"2026H1")=0,"—",SUMIFS(数据!$E$2:$E$197,数据!$C$2:$C$197,"BNSF货运量",数据!$D$2:$D$197,"2026H1"))</f>
        <v>4887</v>
      </c>
      <c r="D12" s="19" t="n">
        <f aca="false">IF(OR(NOT(ISNUMBER(B12)),NOT(ISNUMBER(C12))),"—",C12-B12)</f>
        <v>203</v>
      </c>
      <c r="E12" s="27" t="n">
        <f aca="false">IF(OR(NOT(ISNUMBER(B12)),NOT(ISNUMBER(C12)),B12&lt;=0),"N/M",C12/B12-1)</f>
        <v>0.0433390264731</v>
      </c>
      <c r="F12" s="3"/>
    </row>
    <row r="13" customFormat="false" ht="21.75" hidden="false" customHeight="true" outlineLevel="0" collapsed="false">
      <c r="A13" s="30" t="s">
        <v>244</v>
      </c>
      <c r="B13" s="19" t="n">
        <f aca="false">IF(COUNTIFS(数据!$C$2:$C$197,"BHE美国公用事业利润",数据!$D$2:$D$197,"2025H1")=0,"—",SUMIFS(数据!$E$2:$E$197,数据!$C$2:$C$197,"BHE美国公用事业利润",数据!$D$2:$D$197,"2025H1"))</f>
        <v>862</v>
      </c>
      <c r="C13" s="19" t="n">
        <f aca="false">IF(COUNTIFS(数据!$C$2:$C$197,"BHE美国公用事业利润",数据!$D$2:$D$197,"2026H1")=0,"—",SUMIFS(数据!$E$2:$E$197,数据!$C$2:$C$197,"BHE美国公用事业利润",数据!$D$2:$D$197,"2026H1"))</f>
        <v>956</v>
      </c>
      <c r="D13" s="19" t="n">
        <f aca="false">IF(OR(NOT(ISNUMBER(B13)),NOT(ISNUMBER(C13))),"—",C13-B13)</f>
        <v>94</v>
      </c>
      <c r="E13" s="27" t="n">
        <f aca="false">IF(OR(NOT(ISNUMBER(B13)),NOT(ISNUMBER(C13)),B13&lt;=0),"N/M",C13/B13-1)</f>
        <v>0.109048723897912</v>
      </c>
      <c r="F13" s="3"/>
    </row>
    <row r="14" customFormat="false" ht="21.75" hidden="false" customHeight="true" outlineLevel="0" collapsed="false">
      <c r="A14" s="30" t="s">
        <v>245</v>
      </c>
      <c r="B14" s="19" t="n">
        <f aca="false">IF(COUNTIFS(数据!$C$2:$C$197,"BHE天然气管道利润",数据!$D$2:$D$197,"2025H1")=0,"—",SUMIFS(数据!$E$2:$E$197,数据!$C$2:$C$197,"BHE天然气管道利润",数据!$D$2:$D$197,"2025H1"))</f>
        <v>671</v>
      </c>
      <c r="C14" s="19" t="n">
        <f aca="false">IF(COUNTIFS(数据!$C$2:$C$197,"BHE天然气管道利润",数据!$D$2:$D$197,"2026H1")=0,"—",SUMIFS(数据!$E$2:$E$197,数据!$C$2:$C$197,"BHE天然气管道利润",数据!$D$2:$D$197,"2026H1"))</f>
        <v>848</v>
      </c>
      <c r="D14" s="19" t="n">
        <f aca="false">IF(OR(NOT(ISNUMBER(B14)),NOT(ISNUMBER(C14))),"—",C14-B14)</f>
        <v>177</v>
      </c>
      <c r="E14" s="27" t="n">
        <f aca="false">IF(OR(NOT(ISNUMBER(B14)),NOT(ISNUMBER(C14)),B14&lt;=0),"N/M",C14/B14-1)</f>
        <v>0.263785394932936</v>
      </c>
      <c r="F14" s="3"/>
    </row>
    <row r="15" customFormat="false" ht="21.75" hidden="false" customHeight="true" outlineLevel="0" collapsed="false">
      <c r="A15" s="30" t="s">
        <v>246</v>
      </c>
      <c r="B15" s="19" t="n">
        <f aca="false">IF(COUNTIFS(数据!$C$2:$C$197,"BHE其他能源利润",数据!$D$2:$D$197,"2025H1")=0,"—",SUMIFS(数据!$E$2:$E$197,数据!$C$2:$C$197,"BHE其他能源利润",数据!$D$2:$D$197,"2025H1"))</f>
        <v>650</v>
      </c>
      <c r="C15" s="19" t="n">
        <f aca="false">IF(COUNTIFS(数据!$C$2:$C$197,"BHE其他能源利润",数据!$D$2:$D$197,"2026H1")=0,"—",SUMIFS(数据!$E$2:$E$197,数据!$C$2:$C$197,"BHE其他能源利润",数据!$D$2:$D$197,"2026H1"))</f>
        <v>546</v>
      </c>
      <c r="D15" s="19" t="n">
        <f aca="false">IF(OR(NOT(ISNUMBER(B15)),NOT(ISNUMBER(C15))),"—",C15-B15)</f>
        <v>-104</v>
      </c>
      <c r="E15" s="27" t="n">
        <f aca="false">IF(OR(NOT(ISNUMBER(B15)),NOT(ISNUMBER(C15)),B15&lt;=0),"N/M",C15/B15-1)</f>
        <v>-0.16</v>
      </c>
      <c r="F15" s="3"/>
    </row>
    <row r="16" customFormat="false" ht="21.75" hidden="false" customHeight="true" outlineLevel="0" collapsed="false">
      <c r="A16" s="30" t="s">
        <v>247</v>
      </c>
      <c r="B16" s="19" t="n">
        <f aca="false">IF(COUNTIFS(数据!$C$2:$C$197,"BHE房地产经纪利润",数据!$D$2:$D$197,"2025H1")=0,"—",SUMIFS(数据!$E$2:$E$197,数据!$C$2:$C$197,"BHE房地产经纪利润",数据!$D$2:$D$197,"2025H1"))</f>
        <v>30</v>
      </c>
      <c r="C16" s="19" t="n">
        <f aca="false">IF(COUNTIFS(数据!$C$2:$C$197,"BHE房地产经纪利润",数据!$D$2:$D$197,"2026H1")=0,"—",SUMIFS(数据!$E$2:$E$197,数据!$C$2:$C$197,"BHE房地产经纪利润",数据!$D$2:$D$197,"2026H1"))</f>
        <v>8</v>
      </c>
      <c r="D16" s="19" t="n">
        <f aca="false">IF(OR(NOT(ISNUMBER(B16)),NOT(ISNUMBER(C16))),"—",C16-B16)</f>
        <v>-22</v>
      </c>
      <c r="E16" s="27" t="n">
        <f aca="false">IF(OR(NOT(ISNUMBER(B16)),NOT(ISNUMBER(C16)),B16&lt;=0),"N/M",C16/B16-1)</f>
        <v>-0.733333333333333</v>
      </c>
      <c r="F16" s="3"/>
    </row>
    <row r="17" customFormat="false" ht="21.75" hidden="false" customHeight="true" outlineLevel="0" collapsed="false">
      <c r="A17" s="30" t="s">
        <v>248</v>
      </c>
      <c r="B17" s="19" t="n">
        <f aca="false">IF(COUNTIFS(数据!$C$2:$C$197,"BHE公司利息及其他",数据!$D$2:$D$197,"2025H1")=0,"—",SUMIFS(数据!$E$2:$E$197,数据!$C$2:$C$197,"BHE公司利息及其他",数据!$D$2:$D$197,"2025H1"))</f>
        <v>-411</v>
      </c>
      <c r="C17" s="19" t="n">
        <f aca="false">IF(COUNTIFS(数据!$C$2:$C$197,"BHE公司利息及其他",数据!$D$2:$D$197,"2026H1")=0,"—",SUMIFS(数据!$E$2:$E$197,数据!$C$2:$C$197,"BHE公司利息及其他",数据!$D$2:$D$197,"2026H1"))</f>
        <v>-353</v>
      </c>
      <c r="D17" s="19" t="n">
        <f aca="false">IF(OR(NOT(ISNUMBER(B17)),NOT(ISNUMBER(C17))),"—",C17-B17)</f>
        <v>58</v>
      </c>
      <c r="E17" s="27" t="str">
        <f aca="false">IF(OR(NOT(ISNUMBER(B17)),NOT(ISNUMBER(C17)),B17&lt;=0),"N/M",C17/B17-1)</f>
        <v>N/M</v>
      </c>
      <c r="F17" s="3" t="s">
        <v>249</v>
      </c>
    </row>
    <row r="18" customFormat="false" ht="21.75" hidden="false" customHeight="true" outlineLevel="0" collapsed="false">
      <c r="A18" s="9" t="s">
        <v>176</v>
      </c>
      <c r="B18" s="19" t="n">
        <f aca="false">IF(COUNTIFS(数据!$C$2:$C$197,"工业产品税前利润",数据!$D$2:$D$197,"2025H1")=0,"—",SUMIFS(数据!$E$2:$E$197,数据!$C$2:$C$197,"工业产品税前利润",数据!$D$2:$D$197,"2025H1"))</f>
        <v>3409</v>
      </c>
      <c r="C18" s="19" t="n">
        <f aca="false">IF(COUNTIFS(数据!$C$2:$C$197,"工业产品税前利润",数据!$D$2:$D$197,"2026H1")=0,"—",SUMIFS(数据!$E$2:$E$197,数据!$C$2:$C$197,"工业产品税前利润",数据!$D$2:$D$197,"2026H1"))</f>
        <v>4508</v>
      </c>
      <c r="D18" s="19" t="n">
        <f aca="false">IF(OR(NOT(ISNUMBER(B18)),NOT(ISNUMBER(C18))),"—",C18-B18)</f>
        <v>1099</v>
      </c>
      <c r="E18" s="27" t="n">
        <f aca="false">IF(OR(NOT(ISNUMBER(B18)),NOT(ISNUMBER(C18)),B18&lt;=0),"N/M",C18/B18-1)</f>
        <v>0.322381930184805</v>
      </c>
      <c r="F18" s="3"/>
    </row>
    <row r="19" customFormat="false" ht="21.75" hidden="false" customHeight="true" outlineLevel="0" collapsed="false">
      <c r="A19" s="30" t="s">
        <v>250</v>
      </c>
      <c r="B19" s="19" t="str">
        <f aca="false">IF(COUNTIFS(数据!$C$2:$C$197,"OxyChem营业收入",数据!$D$2:$D$197,"2025H1")=0,"—",SUMIFS(数据!$E$2:$E$197,数据!$C$2:$C$197,"OxyChem营业收入",数据!$D$2:$D$197,"2025H1"))</f>
        <v>—</v>
      </c>
      <c r="C19" s="19" t="n">
        <f aca="false">IF(COUNTIFS(数据!$C$2:$C$197,"OxyChem营业收入",数据!$D$2:$D$197,"2026H1")=0,"—",SUMIFS(数据!$E$2:$E$197,数据!$C$2:$C$197,"OxyChem营业收入",数据!$D$2:$D$197,"2026H1"))</f>
        <v>2600</v>
      </c>
      <c r="D19" s="19" t="str">
        <f aca="false">IF(OR(NOT(ISNUMBER(B19)),NOT(ISNUMBER(C19))),"—",C19-B19)</f>
        <v>—</v>
      </c>
      <c r="E19" s="27" t="str">
        <f aca="false">IF(OR(NOT(ISNUMBER(B19)),NOT(ISNUMBER(C19)),B19&lt;=0),"N/M",C19/B19-1)</f>
        <v>N/M</v>
      </c>
      <c r="F19" s="18" t="s">
        <v>251</v>
      </c>
    </row>
    <row r="20" customFormat="false" ht="21.75" hidden="false" customHeight="true" outlineLevel="0" collapsed="false">
      <c r="A20" s="30" t="s">
        <v>252</v>
      </c>
      <c r="B20" s="19" t="str">
        <f aca="false">IF(COUNTIFS(数据!$C$2:$C$197,"OxyChem税前利润",数据!$D$2:$D$197,"2025H1")=0,"—",SUMIFS(数据!$E$2:$E$197,数据!$C$2:$C$197,"OxyChem税前利润",数据!$D$2:$D$197,"2025H1"))</f>
        <v>—</v>
      </c>
      <c r="C20" s="19" t="n">
        <f aca="false">IF(COUNTIFS(数据!$C$2:$C$197,"OxyChem税前利润",数据!$D$2:$D$197,"2026H1")=0,"—",SUMIFS(数据!$E$2:$E$197,数据!$C$2:$C$197,"OxyChem税前利润",数据!$D$2:$D$197,"2026H1"))</f>
        <v>121</v>
      </c>
      <c r="D20" s="19" t="str">
        <f aca="false">IF(OR(NOT(ISNUMBER(B20)),NOT(ISNUMBER(C20))),"—",C20-B20)</f>
        <v>—</v>
      </c>
      <c r="E20" s="27" t="str">
        <f aca="false">IF(OR(NOT(ISNUMBER(B20)),NOT(ISNUMBER(C20)),B20&lt;=0),"N/M",C20/B20-1)</f>
        <v>N/M</v>
      </c>
      <c r="F20" s="18" t="s">
        <v>251</v>
      </c>
    </row>
    <row r="22" customFormat="false" ht="21.75" hidden="false" customHeight="true" outlineLevel="0" collapsed="false">
      <c r="A22" s="30" t="s">
        <v>253</v>
      </c>
      <c r="C22" s="19" t="n">
        <f aca="false">IF(COUNTIFS(数据!$C$2:$C$197,"OxyChem收购对价（约数）",数据!$D$2:$D$197,"2026H1")=0,0,SUMIFS(数据!$E$2:$E$197,数据!$C$2:$C$197,"OxyChem收购对价（约数）",数据!$D$2:$D$197,"2026H1"))</f>
        <v>9500</v>
      </c>
    </row>
    <row r="23" customFormat="false" ht="21.75" hidden="false" customHeight="true" outlineLevel="0" collapsed="false">
      <c r="A23" s="28" t="s">
        <v>254</v>
      </c>
      <c r="B23" s="28"/>
      <c r="C23" s="28"/>
      <c r="D23" s="28"/>
      <c r="E23" s="28"/>
      <c r="F23" s="28"/>
    </row>
    <row r="24" customFormat="false" ht="21.75" hidden="false" customHeight="true" outlineLevel="0" collapsed="false">
      <c r="A24" s="28"/>
      <c r="B24" s="28"/>
      <c r="C24" s="28"/>
      <c r="D24" s="28"/>
      <c r="E24" s="28"/>
      <c r="F24" s="28"/>
    </row>
  </sheetData>
  <mergeCells count="3">
    <mergeCell ref="A1:F1"/>
    <mergeCell ref="A2:F2"/>
    <mergeCell ref="A23:F24"/>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6CDF"/>
    <pageSetUpPr fitToPage="true"/>
  </sheetPr>
  <dimension ref="A1:P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29.76"/>
    <col collapsed="false" customWidth="true" hidden="false" outlineLevel="0" max="6" min="2" style="0" width="14.29"/>
    <col collapsed="false" customWidth="true" hidden="false" outlineLevel="0" max="7" min="7" style="0" width="15.2"/>
    <col collapsed="false" customWidth="true" hidden="false" outlineLevel="0" max="8" min="8" style="0" width="22.48"/>
    <col collapsed="false" customWidth="true" hidden="false" outlineLevel="0" max="9" min="9" style="0" width="2.47"/>
    <col collapsed="false" customWidth="true" hidden="false" outlineLevel="0" max="16" min="10" style="0" width="13.38"/>
  </cols>
  <sheetData>
    <row r="1" customFormat="false" ht="21.75" hidden="false" customHeight="true" outlineLevel="0" collapsed="false">
      <c r="A1" s="1" t="s">
        <v>255</v>
      </c>
      <c r="B1" s="1"/>
      <c r="C1" s="1"/>
      <c r="D1" s="1"/>
      <c r="E1" s="1"/>
      <c r="F1" s="1"/>
      <c r="G1" s="1"/>
      <c r="H1" s="1"/>
      <c r="I1" s="1"/>
      <c r="J1" s="1"/>
      <c r="K1" s="1"/>
      <c r="L1" s="1"/>
      <c r="M1" s="1"/>
      <c r="N1" s="1"/>
      <c r="O1" s="1"/>
      <c r="P1" s="1"/>
    </row>
    <row r="2" customFormat="false" ht="21.75" hidden="false" customHeight="true" outlineLevel="0" collapsed="false">
      <c r="A2" s="21" t="s">
        <v>256</v>
      </c>
      <c r="B2" s="21"/>
      <c r="C2" s="21"/>
      <c r="D2" s="21"/>
      <c r="E2" s="21"/>
      <c r="F2" s="21"/>
      <c r="G2" s="21"/>
      <c r="H2" s="21"/>
      <c r="I2" s="21"/>
      <c r="J2" s="21"/>
      <c r="K2" s="21"/>
      <c r="L2" s="21"/>
      <c r="M2" s="21"/>
      <c r="N2" s="21"/>
      <c r="O2" s="21"/>
      <c r="P2" s="21"/>
    </row>
    <row r="4" customFormat="false" ht="21.75" hidden="false" customHeight="true" outlineLevel="0" collapsed="false">
      <c r="A4" s="31" t="s">
        <v>257</v>
      </c>
      <c r="B4" s="31"/>
      <c r="C4" s="31"/>
      <c r="D4" s="31"/>
      <c r="E4" s="31"/>
      <c r="F4" s="31"/>
      <c r="G4" s="31"/>
      <c r="H4" s="31"/>
    </row>
    <row r="5" customFormat="false" ht="21.75" hidden="false" customHeight="true" outlineLevel="0" collapsed="false">
      <c r="A5" s="22" t="s">
        <v>40</v>
      </c>
      <c r="B5" s="8" t="s">
        <v>59</v>
      </c>
      <c r="C5" s="8" t="s">
        <v>62</v>
      </c>
      <c r="D5" s="22" t="s">
        <v>233</v>
      </c>
      <c r="E5" s="22" t="s">
        <v>258</v>
      </c>
      <c r="F5" s="8" t="s">
        <v>259</v>
      </c>
      <c r="G5" s="8" t="s">
        <v>260</v>
      </c>
      <c r="H5" s="22" t="s">
        <v>261</v>
      </c>
    </row>
    <row r="6" customFormat="false" ht="21.75" hidden="false" customHeight="true" outlineLevel="0" collapsed="false">
      <c r="A6" s="9" t="s">
        <v>48</v>
      </c>
      <c r="B6" s="19" t="n">
        <f aca="false">分部利润!$G5</f>
        <v>3328</v>
      </c>
      <c r="C6" s="19" t="n">
        <f aca="false">分部利润!$H5</f>
        <v>3448</v>
      </c>
      <c r="D6" s="19" t="n">
        <f aca="false">C6-B6</f>
        <v>120</v>
      </c>
      <c r="E6" s="27" t="n">
        <f aca="false">IF(B6=0,"N/M",C6/B6-1)</f>
        <v>0.0360576923076923</v>
      </c>
      <c r="F6" s="27" t="n">
        <f aca="false">B6/B$11</f>
        <v>0.160555769972983</v>
      </c>
      <c r="G6" s="27" t="n">
        <f aca="false">C6/C$11</f>
        <v>0.158201422344574</v>
      </c>
      <c r="H6" s="18" t="s">
        <v>262</v>
      </c>
    </row>
    <row r="7" customFormat="false" ht="21.75" hidden="false" customHeight="true" outlineLevel="0" collapsed="false">
      <c r="A7" s="9" t="s">
        <v>63</v>
      </c>
      <c r="B7" s="19" t="n">
        <f aca="false">分部利润!$G6</f>
        <v>6260</v>
      </c>
      <c r="C7" s="19" t="n">
        <f aca="false">分部利润!$H6</f>
        <v>5738</v>
      </c>
      <c r="D7" s="19" t="n">
        <f aca="false">C7-B7</f>
        <v>-522</v>
      </c>
      <c r="E7" s="27" t="n">
        <f aca="false">IF(B7=0,"N/M",C7/B7-1)</f>
        <v>-0.0833865814696486</v>
      </c>
      <c r="F7" s="27" t="n">
        <f aca="false">B7/B$11</f>
        <v>0.302006947124662</v>
      </c>
      <c r="G7" s="27" t="n">
        <f aca="false">C7/C$11</f>
        <v>0.26327139252122</v>
      </c>
      <c r="H7" s="3" t="s">
        <v>263</v>
      </c>
    </row>
    <row r="8" customFormat="false" ht="21.75" hidden="false" customHeight="true" outlineLevel="0" collapsed="false">
      <c r="A8" s="9" t="s">
        <v>194</v>
      </c>
      <c r="B8" s="19" t="n">
        <f aca="false">分部利润!$G7</f>
        <v>2680</v>
      </c>
      <c r="C8" s="19" t="n">
        <f aca="false">分部利润!$H7</f>
        <v>2935</v>
      </c>
      <c r="D8" s="19" t="n">
        <f aca="false">C8-B8</f>
        <v>255</v>
      </c>
      <c r="E8" s="27" t="n">
        <f aca="false">IF(B8=0,"N/M",C8/B8-1)</f>
        <v>0.0951492537313432</v>
      </c>
      <c r="F8" s="27" t="n">
        <f aca="false">B8/B$11</f>
        <v>0.129293708992667</v>
      </c>
      <c r="G8" s="27" t="n">
        <f aca="false">C8/C$11</f>
        <v>0.134663913741684</v>
      </c>
      <c r="H8" s="3" t="s">
        <v>264</v>
      </c>
    </row>
    <row r="9" customFormat="false" ht="21.75" hidden="false" customHeight="true" outlineLevel="0" collapsed="false">
      <c r="A9" s="9" t="s">
        <v>195</v>
      </c>
      <c r="B9" s="19" t="n">
        <f aca="false">分部利润!$G8</f>
        <v>1799</v>
      </c>
      <c r="C9" s="19" t="n">
        <f aca="false">分部利润!$H8</f>
        <v>2005</v>
      </c>
      <c r="D9" s="19" t="n">
        <f aca="false">C9-B9</f>
        <v>206</v>
      </c>
      <c r="E9" s="27" t="n">
        <f aca="false">IF(B9=0,"N/M",C9/B9-1)</f>
        <v>0.114508060033352</v>
      </c>
      <c r="F9" s="27" t="n">
        <f aca="false">B9/B$11</f>
        <v>0.086790814357391</v>
      </c>
      <c r="G9" s="27" t="n">
        <f aca="false">C9/C$11</f>
        <v>0.0919935765083735</v>
      </c>
      <c r="H9" s="3" t="s">
        <v>265</v>
      </c>
    </row>
    <row r="10" customFormat="false" ht="21.75" hidden="false" customHeight="true" outlineLevel="0" collapsed="false">
      <c r="A10" s="9" t="s">
        <v>67</v>
      </c>
      <c r="B10" s="19" t="n">
        <f aca="false">分部利润!$G9</f>
        <v>6661</v>
      </c>
      <c r="C10" s="19" t="n">
        <f aca="false">分部利润!$H9</f>
        <v>7669</v>
      </c>
      <c r="D10" s="19" t="n">
        <f aca="false">C10-B10</f>
        <v>1008</v>
      </c>
      <c r="E10" s="27" t="n">
        <f aca="false">IF(B10=0,"N/M",C10/B10-1)</f>
        <v>0.151328629334935</v>
      </c>
      <c r="F10" s="27" t="n">
        <f aca="false">B10/B$11</f>
        <v>0.321352759552296</v>
      </c>
      <c r="G10" s="27" t="n">
        <f aca="false">C10/C$11</f>
        <v>0.351869694884148</v>
      </c>
      <c r="H10" s="3" t="s">
        <v>266</v>
      </c>
    </row>
    <row r="11" customFormat="false" ht="21.75" hidden="false" customHeight="true" outlineLevel="0" collapsed="false">
      <c r="A11" s="23" t="s">
        <v>267</v>
      </c>
      <c r="B11" s="24" t="n">
        <f aca="false">SUM(B6:B10)</f>
        <v>20728</v>
      </c>
      <c r="C11" s="24" t="n">
        <f aca="false">SUM(C6:C10)</f>
        <v>21795</v>
      </c>
      <c r="D11" s="24" t="n">
        <f aca="false">C11-B11</f>
        <v>1067</v>
      </c>
      <c r="E11" s="27" t="n">
        <f aca="false">C11/B11-1</f>
        <v>0.0514762639907371</v>
      </c>
      <c r="F11" s="27" t="n">
        <f aca="false">SUM(F6:F10)</f>
        <v>1</v>
      </c>
      <c r="G11" s="27" t="n">
        <f aca="false">SUM(G6:G10)</f>
        <v>1</v>
      </c>
      <c r="H11" s="3" t="s">
        <v>268</v>
      </c>
    </row>
    <row r="14" customFormat="false" ht="21.75" hidden="false" customHeight="true" outlineLevel="0" collapsed="false">
      <c r="A14" s="31" t="s">
        <v>269</v>
      </c>
      <c r="B14" s="31"/>
      <c r="C14" s="31"/>
      <c r="D14" s="31"/>
      <c r="E14" s="31"/>
      <c r="F14" s="31"/>
      <c r="G14" s="31"/>
      <c r="H14" s="31"/>
    </row>
    <row r="15" customFormat="false" ht="21.75" hidden="false" customHeight="true" outlineLevel="0" collapsed="false">
      <c r="A15" s="22" t="s">
        <v>40</v>
      </c>
      <c r="B15" s="8" t="s">
        <v>190</v>
      </c>
      <c r="C15" s="8" t="s">
        <v>191</v>
      </c>
      <c r="D15" s="22" t="s">
        <v>233</v>
      </c>
      <c r="E15" s="22" t="s">
        <v>258</v>
      </c>
      <c r="F15" s="8" t="s">
        <v>270</v>
      </c>
      <c r="G15" s="8" t="s">
        <v>271</v>
      </c>
      <c r="H15" s="22" t="s">
        <v>261</v>
      </c>
    </row>
    <row r="16" customFormat="false" ht="21.75" hidden="false" customHeight="true" outlineLevel="0" collapsed="false">
      <c r="A16" s="9" t="s">
        <v>48</v>
      </c>
      <c r="B16" s="19" t="n">
        <f aca="false">分部利润!$E5</f>
        <v>9020</v>
      </c>
      <c r="C16" s="19" t="n">
        <f aca="false">分部利润!$F5</f>
        <v>7258</v>
      </c>
      <c r="D16" s="19" t="n">
        <f aca="false">C16-B16</f>
        <v>-1762</v>
      </c>
      <c r="E16" s="27" t="n">
        <f aca="false">C16/B16-1</f>
        <v>-0.195343680709534</v>
      </c>
      <c r="F16" s="27" t="n">
        <f aca="false">B16/B$21</f>
        <v>0.20259191878355</v>
      </c>
      <c r="G16" s="27" t="n">
        <f aca="false">C16/C$21</f>
        <v>0.169290695775896</v>
      </c>
      <c r="H16" s="3" t="s">
        <v>272</v>
      </c>
    </row>
    <row r="17" customFormat="false" ht="21.75" hidden="false" customHeight="true" outlineLevel="0" collapsed="false">
      <c r="A17" s="9" t="s">
        <v>63</v>
      </c>
      <c r="B17" s="19" t="n">
        <f aca="false">分部利润!$E6</f>
        <v>13670</v>
      </c>
      <c r="C17" s="19" t="n">
        <f aca="false">分部利润!$F6</f>
        <v>12513</v>
      </c>
      <c r="D17" s="19" t="n">
        <f aca="false">C17-B17</f>
        <v>-1157</v>
      </c>
      <c r="E17" s="27" t="n">
        <f aca="false">C17/B17-1</f>
        <v>-0.0846378931967813</v>
      </c>
      <c r="F17" s="27" t="n">
        <f aca="false">B17/B$21</f>
        <v>0.307032320373739</v>
      </c>
      <c r="G17" s="27" t="n">
        <f aca="false">C17/C$21</f>
        <v>0.291862011055909</v>
      </c>
      <c r="H17" s="3" t="s">
        <v>273</v>
      </c>
    </row>
    <row r="18" customFormat="false" ht="21.75" hidden="false" customHeight="true" outlineLevel="0" collapsed="false">
      <c r="A18" s="9" t="s">
        <v>194</v>
      </c>
      <c r="B18" s="19" t="n">
        <f aca="false">分部利润!$E7</f>
        <v>5031</v>
      </c>
      <c r="C18" s="19" t="n">
        <f aca="false">分部利润!$F7</f>
        <v>5476</v>
      </c>
      <c r="D18" s="19" t="n">
        <f aca="false">C18-B18</f>
        <v>445</v>
      </c>
      <c r="E18" s="27" t="n">
        <f aca="false">C18/B18-1</f>
        <v>0.088451600079507</v>
      </c>
      <c r="F18" s="27" t="n">
        <f aca="false">B18/B$21</f>
        <v>0.11299777643016</v>
      </c>
      <c r="G18" s="27" t="n">
        <f aca="false">C18/C$21</f>
        <v>0.1277260746857</v>
      </c>
      <c r="H18" s="3" t="s">
        <v>274</v>
      </c>
    </row>
    <row r="19" customFormat="false" ht="21.75" hidden="false" customHeight="true" outlineLevel="0" collapsed="false">
      <c r="A19" s="9" t="s">
        <v>195</v>
      </c>
      <c r="B19" s="19" t="n">
        <f aca="false">分部利润!$E8</f>
        <v>3730</v>
      </c>
      <c r="C19" s="19" t="n">
        <f aca="false">分部利润!$F8</f>
        <v>3979</v>
      </c>
      <c r="D19" s="19" t="n">
        <f aca="false">C19-B19</f>
        <v>249</v>
      </c>
      <c r="E19" s="27" t="n">
        <f aca="false">C19/B19-1</f>
        <v>0.0667560321715817</v>
      </c>
      <c r="F19" s="27" t="n">
        <f aca="false">B19/B$21</f>
        <v>0.0837769242863239</v>
      </c>
      <c r="G19" s="27" t="n">
        <f aca="false">C19/C$21</f>
        <v>0.0928089940055513</v>
      </c>
      <c r="H19" s="3" t="s">
        <v>275</v>
      </c>
    </row>
    <row r="20" customFormat="false" ht="21.75" hidden="false" customHeight="true" outlineLevel="0" collapsed="false">
      <c r="A20" s="9" t="s">
        <v>67</v>
      </c>
      <c r="B20" s="19" t="n">
        <f aca="false">分部利润!$E9</f>
        <v>13072</v>
      </c>
      <c r="C20" s="19" t="n">
        <f aca="false">分部利润!$F9</f>
        <v>13647</v>
      </c>
      <c r="D20" s="19" t="n">
        <f aca="false">C20-B20</f>
        <v>575</v>
      </c>
      <c r="E20" s="27" t="n">
        <f aca="false">C20/B20-1</f>
        <v>0.0439871481028151</v>
      </c>
      <c r="F20" s="27" t="n">
        <f aca="false">B20/B$21</f>
        <v>0.293601060126227</v>
      </c>
      <c r="G20" s="27" t="n">
        <f aca="false">C20/C$21</f>
        <v>0.318312224476944</v>
      </c>
      <c r="H20" s="3" t="s">
        <v>276</v>
      </c>
    </row>
    <row r="21" customFormat="false" ht="21.75" hidden="false" customHeight="true" outlineLevel="0" collapsed="false">
      <c r="A21" s="23" t="s">
        <v>267</v>
      </c>
      <c r="B21" s="24" t="n">
        <f aca="false">SUM(B16:B20)</f>
        <v>44523</v>
      </c>
      <c r="C21" s="24" t="n">
        <f aca="false">SUM(C16:C20)</f>
        <v>42873</v>
      </c>
      <c r="D21" s="24" t="n">
        <f aca="false">C21-B21</f>
        <v>-1650</v>
      </c>
      <c r="E21" s="27" t="n">
        <f aca="false">C21/B21-1</f>
        <v>-0.0370594973384543</v>
      </c>
      <c r="F21" s="27" t="n">
        <f aca="false">SUM(F16:F20)</f>
        <v>1</v>
      </c>
      <c r="G21" s="27" t="n">
        <f aca="false">SUM(G16:G20)</f>
        <v>1</v>
      </c>
    </row>
    <row r="23" customFormat="false" ht="21.75" hidden="false" customHeight="true" outlineLevel="0" collapsed="false">
      <c r="A23" s="7" t="s">
        <v>277</v>
      </c>
      <c r="B23" s="7"/>
      <c r="C23" s="7"/>
      <c r="D23" s="7"/>
      <c r="E23" s="7"/>
      <c r="F23" s="7"/>
      <c r="G23" s="7"/>
      <c r="H23" s="7"/>
    </row>
    <row r="24" customFormat="false" ht="21.75" hidden="false" customHeight="true" outlineLevel="0" collapsed="false">
      <c r="A24" s="22" t="s">
        <v>278</v>
      </c>
      <c r="B24" s="8" t="s">
        <v>279</v>
      </c>
      <c r="C24" s="8" t="s">
        <v>280</v>
      </c>
      <c r="D24" s="8" t="s">
        <v>281</v>
      </c>
      <c r="E24" s="8" t="s">
        <v>271</v>
      </c>
      <c r="F24" s="8" t="s">
        <v>62</v>
      </c>
      <c r="G24" s="22" t="s">
        <v>282</v>
      </c>
      <c r="H24" s="8" t="s">
        <v>260</v>
      </c>
    </row>
    <row r="25" customFormat="false" ht="21.75" hidden="false" customHeight="true" outlineLevel="0" collapsed="false">
      <c r="A25" s="9" t="s">
        <v>217</v>
      </c>
      <c r="B25" s="19" t="n">
        <f aca="false">股票组合!$E5</f>
        <v>91643</v>
      </c>
      <c r="C25" s="19" t="n">
        <f aca="false">股票组合!$F5</f>
        <v>104129</v>
      </c>
      <c r="D25" s="27" t="n">
        <f aca="false">C25/B25-1</f>
        <v>0.136246085352946</v>
      </c>
      <c r="E25" s="27" t="n">
        <f aca="false">C25/C$28</f>
        <v>0.349686679338299</v>
      </c>
      <c r="F25" s="19" t="n">
        <f aca="false">股票组合!$G5</f>
        <v>94477</v>
      </c>
      <c r="G25" s="27" t="n">
        <f aca="false">F25/C25-1</f>
        <v>-0.0926927176867155</v>
      </c>
      <c r="H25" s="27" t="n">
        <f aca="false">F25/F$28</f>
        <v>0.291794711825041</v>
      </c>
    </row>
    <row r="26" customFormat="false" ht="21.75" hidden="false" customHeight="true" outlineLevel="0" collapsed="false">
      <c r="A26" s="9" t="s">
        <v>218</v>
      </c>
      <c r="B26" s="19" t="n">
        <f aca="false">股票组合!$E6</f>
        <v>104749</v>
      </c>
      <c r="C26" s="19" t="n">
        <f aca="false">股票组合!$F6</f>
        <v>94954</v>
      </c>
      <c r="D26" s="27" t="n">
        <f aca="false">C26/B26-1</f>
        <v>-0.0935092459116554</v>
      </c>
      <c r="E26" s="27" t="n">
        <f aca="false">C26/C$28</f>
        <v>0.31887513516781</v>
      </c>
      <c r="F26" s="19" t="n">
        <f aca="false">股票组合!$G6</f>
        <v>100486</v>
      </c>
      <c r="G26" s="27" t="n">
        <f aca="false">F26/C26-1</f>
        <v>0.0582597889504393</v>
      </c>
      <c r="H26" s="27" t="n">
        <f aca="false">F26/F$28</f>
        <v>0.31035366716186</v>
      </c>
    </row>
    <row r="27" customFormat="false" ht="21.75" hidden="false" customHeight="true" outlineLevel="0" collapsed="false">
      <c r="A27" s="9" t="s">
        <v>219</v>
      </c>
      <c r="B27" s="19" t="n">
        <f aca="false">股票组合!$E7</f>
        <v>75196</v>
      </c>
      <c r="C27" s="19" t="n">
        <f aca="false">股票组合!$F7</f>
        <v>98695</v>
      </c>
      <c r="D27" s="27" t="n">
        <f aca="false">C27/B27-1</f>
        <v>0.312503324644928</v>
      </c>
      <c r="E27" s="27" t="n">
        <f aca="false">C27/C$28</f>
        <v>0.331438185493891</v>
      </c>
      <c r="F27" s="19" t="n">
        <f aca="false">股票组合!$G7</f>
        <v>128816</v>
      </c>
      <c r="G27" s="27" t="n">
        <f aca="false">F27/C27-1</f>
        <v>0.305192765590962</v>
      </c>
      <c r="H27" s="27" t="n">
        <f aca="false">F27/F$28</f>
        <v>0.397851621013098</v>
      </c>
    </row>
    <row r="28" customFormat="false" ht="21.75" hidden="false" customHeight="true" outlineLevel="0" collapsed="false">
      <c r="A28" s="23" t="s">
        <v>283</v>
      </c>
      <c r="B28" s="24" t="n">
        <f aca="false">SUM(B25:B27)</f>
        <v>271588</v>
      </c>
      <c r="C28" s="24" t="n">
        <f aca="false">SUM(C25:C27)</f>
        <v>297778</v>
      </c>
      <c r="D28" s="27" t="n">
        <f aca="false">C28/B28-1</f>
        <v>0.0964328320838919</v>
      </c>
      <c r="E28" s="27" t="n">
        <f aca="false">SUM(E25:E27)</f>
        <v>1</v>
      </c>
      <c r="F28" s="24" t="n">
        <f aca="false">SUM(F25:F27)</f>
        <v>323779</v>
      </c>
      <c r="G28" s="27" t="n">
        <f aca="false">F28/C28-1</f>
        <v>0.0873167258830403</v>
      </c>
      <c r="H28" s="27" t="n">
        <f aca="false">SUM(H25:H27)</f>
        <v>1</v>
      </c>
    </row>
    <row r="31" customFormat="false" ht="21.75" hidden="false" customHeight="true" outlineLevel="0" collapsed="false">
      <c r="A31" s="7" t="s">
        <v>284</v>
      </c>
      <c r="B31" s="7"/>
      <c r="C31" s="7"/>
      <c r="D31" s="7"/>
      <c r="E31" s="7"/>
      <c r="F31" s="7"/>
      <c r="G31" s="7"/>
      <c r="H31" s="7"/>
    </row>
    <row r="32" customFormat="false" ht="21.75" hidden="false" customHeight="true" outlineLevel="0" collapsed="false">
      <c r="A32" s="22" t="s">
        <v>40</v>
      </c>
      <c r="B32" s="8" t="s">
        <v>285</v>
      </c>
      <c r="C32" s="8" t="s">
        <v>286</v>
      </c>
      <c r="D32" s="8" t="s">
        <v>287</v>
      </c>
      <c r="E32" s="8" t="s">
        <v>281</v>
      </c>
      <c r="F32" s="8" t="s">
        <v>62</v>
      </c>
      <c r="G32" s="8" t="s">
        <v>288</v>
      </c>
      <c r="H32" s="22" t="s">
        <v>289</v>
      </c>
    </row>
    <row r="33" customFormat="false" ht="21.75" hidden="false" customHeight="true" outlineLevel="0" collapsed="false">
      <c r="A33" s="9" t="s">
        <v>79</v>
      </c>
      <c r="B33" s="19" t="n">
        <f aca="false">资产负债!$E5</f>
        <v>171000</v>
      </c>
      <c r="C33" s="19" t="n">
        <f aca="false">资产负债!$F5</f>
        <v>176000</v>
      </c>
      <c r="D33" s="19" t="n">
        <f aca="false">C33-B33</f>
        <v>5000</v>
      </c>
      <c r="E33" s="27" t="n">
        <f aca="false">IF(B33=0,"N/M",C33/B33-1)</f>
        <v>0.0292397660818713</v>
      </c>
      <c r="F33" s="19" t="n">
        <f aca="false">资产负债!$G5</f>
        <v>177500</v>
      </c>
      <c r="G33" s="19" t="n">
        <f aca="false">F33-C33</f>
        <v>1500</v>
      </c>
      <c r="H33" s="18" t="s">
        <v>290</v>
      </c>
    </row>
    <row r="34" customFormat="false" ht="21.75" hidden="false" customHeight="true" outlineLevel="0" collapsed="false">
      <c r="A34" s="9" t="s">
        <v>291</v>
      </c>
      <c r="B34" s="19" t="n">
        <f aca="false">资产负债!$E9</f>
        <v>334201</v>
      </c>
      <c r="C34" s="19" t="n">
        <f aca="false">资产负债!$F9</f>
        <v>373311</v>
      </c>
      <c r="D34" s="19" t="n">
        <f aca="false">C34-B34</f>
        <v>39110</v>
      </c>
      <c r="E34" s="27" t="n">
        <f aca="false">IF(B34=0,"N/M",C34/B34-1)</f>
        <v>0.117025382928238</v>
      </c>
      <c r="F34" s="19" t="n">
        <f aca="false">资产负债!$G9</f>
        <v>365514</v>
      </c>
      <c r="G34" s="19" t="n">
        <f aca="false">F34-C34</f>
        <v>-7797</v>
      </c>
      <c r="H34" s="18" t="s">
        <v>290</v>
      </c>
    </row>
    <row r="35" customFormat="false" ht="21.75" hidden="false" customHeight="true" outlineLevel="0" collapsed="false">
      <c r="A35" s="9" t="s">
        <v>149</v>
      </c>
      <c r="B35" s="19" t="n">
        <f aca="false">资产负债!$E10</f>
        <v>271588</v>
      </c>
      <c r="C35" s="19" t="n">
        <f aca="false">资产负债!$F10</f>
        <v>297778</v>
      </c>
      <c r="D35" s="19" t="n">
        <f aca="false">C35-B35</f>
        <v>26190</v>
      </c>
      <c r="E35" s="27" t="n">
        <f aca="false">IF(B35=0,"N/M",C35/B35-1)</f>
        <v>0.0964328320838919</v>
      </c>
      <c r="F35" s="19" t="n">
        <f aca="false">资产负债!$G10</f>
        <v>323779</v>
      </c>
      <c r="G35" s="19" t="n">
        <f aca="false">F35-C35</f>
        <v>26001</v>
      </c>
      <c r="H35" s="18" t="s">
        <v>290</v>
      </c>
    </row>
    <row r="36" customFormat="false" ht="21.75" hidden="false" customHeight="true" outlineLevel="0" collapsed="false">
      <c r="A36" s="30" t="s">
        <v>292</v>
      </c>
      <c r="B36" s="26" t="n">
        <f aca="false">资产负债!$E13</f>
        <v>451507.172392598</v>
      </c>
      <c r="C36" s="26" t="n">
        <f aca="false">资产负债!$F13</f>
        <v>498823.200574598</v>
      </c>
      <c r="D36" s="19" t="n">
        <f aca="false">C36-B36</f>
        <v>47316.0281819996</v>
      </c>
      <c r="E36" s="27" t="n">
        <f aca="false">IF(B36=0,"N/M",C36/B36-1)</f>
        <v>0.104795739857831</v>
      </c>
      <c r="F36" s="26" t="n">
        <f aca="false">资产负债!$G13</f>
        <v>522395.513563313</v>
      </c>
      <c r="G36" s="19" t="n">
        <f aca="false">F36-C36</f>
        <v>23572.3129887148</v>
      </c>
      <c r="H36" s="18" t="s">
        <v>290</v>
      </c>
    </row>
    <row r="37" customFormat="false" ht="21.75" hidden="false" customHeight="true" outlineLevel="0" collapsed="false">
      <c r="A37" s="9" t="s">
        <v>122</v>
      </c>
      <c r="B37" s="19" t="n">
        <f aca="false">资产负债!$E17</f>
        <v>2918</v>
      </c>
      <c r="C37" s="19" t="n">
        <f aca="false">资产负债!$F17</f>
        <v>0</v>
      </c>
      <c r="D37" s="19" t="n">
        <f aca="false">C37-B37</f>
        <v>-2918</v>
      </c>
      <c r="E37" s="27" t="n">
        <f aca="false">IF(B37=0,"N/M",C37/B37-1)</f>
        <v>-1</v>
      </c>
      <c r="F37" s="19" t="n">
        <f aca="false">资产负债!$G17</f>
        <v>4444</v>
      </c>
      <c r="G37" s="19" t="n">
        <f aca="false">F37-SUMIFS(数据!$E$2:$E$197,数据!$C$2:$C$197,"回购金额（现金流量表）",数据!$D$2:$D$197,"2025H1")</f>
        <v>4444</v>
      </c>
      <c r="H37" s="18" t="s">
        <v>293</v>
      </c>
    </row>
    <row r="38" customFormat="false" ht="21.75" hidden="false" customHeight="true" outlineLevel="0" collapsed="false">
      <c r="A38" s="9" t="s">
        <v>294</v>
      </c>
      <c r="B38" s="19" t="n">
        <f aca="false">资产负债!$E21</f>
        <v>-134122</v>
      </c>
      <c r="C38" s="19" t="n">
        <f aca="false">资产负债!$F21</f>
        <v>-13763</v>
      </c>
      <c r="D38" s="19" t="n">
        <f aca="false">C38-B38</f>
        <v>120359</v>
      </c>
      <c r="E38" s="27" t="n">
        <f aca="false">IF(B38=0,"N/M",C38/B38-1)</f>
        <v>-0.897384470854893</v>
      </c>
      <c r="F38" s="19" t="n">
        <f aca="false">资产负债!$G21</f>
        <v>11625</v>
      </c>
      <c r="G38" s="19" t="n">
        <f aca="false">F38-(SUMIFS(数据!$E$2:$E$197,数据!$C$2:$C$197,"购买股票（现金流）",数据!$D$2:$D$197,"2025H1")-SUMIFS(数据!$E$2:$E$197,数据!$C$2:$C$197,"出售股票（现金流）",数据!$D$2:$D$197,"2025H1"))</f>
        <v>16125</v>
      </c>
      <c r="H38" s="18" t="s">
        <v>293</v>
      </c>
    </row>
    <row r="40" customFormat="false" ht="21.75" hidden="false" customHeight="true" outlineLevel="0" collapsed="false">
      <c r="A40" s="28" t="s">
        <v>295</v>
      </c>
      <c r="B40" s="28"/>
      <c r="C40" s="28"/>
      <c r="D40" s="28"/>
      <c r="E40" s="28"/>
      <c r="F40" s="28"/>
      <c r="G40" s="28"/>
      <c r="H40" s="28"/>
    </row>
    <row r="41" customFormat="false" ht="21.75" hidden="false" customHeight="true" outlineLevel="0" collapsed="false">
      <c r="A41" s="28"/>
      <c r="B41" s="28"/>
      <c r="C41" s="28"/>
      <c r="D41" s="28"/>
      <c r="E41" s="28"/>
      <c r="F41" s="28"/>
      <c r="G41" s="28"/>
      <c r="H41" s="28"/>
    </row>
    <row r="43" customFormat="false" ht="21.75" hidden="false" customHeight="true" outlineLevel="0" collapsed="false">
      <c r="A43" s="7" t="s">
        <v>296</v>
      </c>
      <c r="B43" s="7"/>
      <c r="C43" s="7"/>
      <c r="D43" s="7"/>
      <c r="E43" s="7"/>
      <c r="F43" s="7"/>
      <c r="G43" s="7"/>
      <c r="H43" s="7"/>
    </row>
    <row r="44" customFormat="false" ht="27.75" hidden="false" customHeight="true" outlineLevel="0" collapsed="false">
      <c r="A44" s="30" t="s">
        <v>297</v>
      </c>
      <c r="B44" s="24" t="n">
        <f aca="false">假设!$G12</f>
        <v>43940</v>
      </c>
      <c r="C44" s="3" t="s">
        <v>298</v>
      </c>
    </row>
    <row r="45" customFormat="false" ht="27.75" hidden="false" customHeight="true" outlineLevel="0" collapsed="false">
      <c r="A45" s="30" t="s">
        <v>299</v>
      </c>
      <c r="B45" s="24" t="n">
        <f aca="false">假设!$B17</f>
        <v>365514</v>
      </c>
      <c r="C45" s="3" t="s">
        <v>300</v>
      </c>
    </row>
  </sheetData>
  <mergeCells count="8">
    <mergeCell ref="A1:P1"/>
    <mergeCell ref="A2:P2"/>
    <mergeCell ref="A4:H4"/>
    <mergeCell ref="A14:H14"/>
    <mergeCell ref="A23:H23"/>
    <mergeCell ref="A31:H31"/>
    <mergeCell ref="A40:H41"/>
    <mergeCell ref="A43:H43"/>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B44A"/>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89453125" defaultRowHeight="21.75" customHeight="true" zeroHeight="false" outlineLevelRow="0" outlineLevelCol="0"/>
  <cols>
    <col collapsed="false" customWidth="true" hidden="false" outlineLevel="0" max="1" min="1" style="0" width="33.4"/>
    <col collapsed="false" customWidth="true" hidden="false" outlineLevel="0" max="5" min="2" style="0" width="16.12"/>
    <col collapsed="false" customWidth="true" hidden="false" outlineLevel="0" max="7" min="6" style="0" width="17.03"/>
  </cols>
  <sheetData>
    <row r="1" customFormat="false" ht="21.75" hidden="false" customHeight="true" outlineLevel="0" collapsed="false">
      <c r="A1" s="1" t="s">
        <v>301</v>
      </c>
      <c r="B1" s="1"/>
      <c r="C1" s="1"/>
      <c r="D1" s="1"/>
      <c r="E1" s="1"/>
      <c r="F1" s="1"/>
      <c r="G1" s="1"/>
    </row>
    <row r="2" customFormat="false" ht="21.75" hidden="false" customHeight="true" outlineLevel="0" collapsed="false">
      <c r="A2" s="21" t="s">
        <v>302</v>
      </c>
      <c r="B2" s="21"/>
      <c r="C2" s="21"/>
      <c r="D2" s="21"/>
      <c r="E2" s="21"/>
      <c r="F2" s="21"/>
      <c r="G2" s="21"/>
    </row>
    <row r="3" customFormat="false" ht="21.75" hidden="false" customHeight="true" outlineLevel="0" collapsed="false">
      <c r="A3" s="9" t="s">
        <v>303</v>
      </c>
      <c r="B3" s="32" t="n">
        <v>0</v>
      </c>
    </row>
    <row r="4" customFormat="false" ht="21.75" hidden="false" customHeight="true" outlineLevel="0" collapsed="false">
      <c r="A4" s="9" t="s">
        <v>304</v>
      </c>
      <c r="B4" s="33" t="n">
        <v>0</v>
      </c>
    </row>
    <row r="6" customFormat="false" ht="21.75" hidden="false" customHeight="true" outlineLevel="0" collapsed="false">
      <c r="A6" s="22" t="s">
        <v>40</v>
      </c>
      <c r="B6" s="8" t="s">
        <v>305</v>
      </c>
      <c r="C6" s="8" t="s">
        <v>59</v>
      </c>
      <c r="D6" s="8" t="s">
        <v>306</v>
      </c>
      <c r="E6" s="8" t="s">
        <v>62</v>
      </c>
      <c r="F6" s="8" t="s">
        <v>307</v>
      </c>
      <c r="G6" s="8" t="s">
        <v>308</v>
      </c>
    </row>
    <row r="7" customFormat="false" ht="21.75" hidden="false" customHeight="true" outlineLevel="0" collapsed="false">
      <c r="A7" s="9" t="s">
        <v>48</v>
      </c>
      <c r="B7" s="19" t="n">
        <f aca="false">分部利润!$F5</f>
        <v>7258</v>
      </c>
      <c r="C7" s="19" t="n">
        <f aca="false">分部利润!$G5</f>
        <v>3328</v>
      </c>
      <c r="D7" s="19" t="n">
        <f aca="false">B7-C7</f>
        <v>3930</v>
      </c>
      <c r="E7" s="19" t="n">
        <f aca="false">分部利润!$H5</f>
        <v>3448</v>
      </c>
      <c r="F7" s="19" t="n">
        <f aca="false">D7*(1+$B$3)</f>
        <v>3930</v>
      </c>
      <c r="G7" s="19" t="n">
        <f aca="false">E7+F7</f>
        <v>7378</v>
      </c>
    </row>
    <row r="8" customFormat="false" ht="21.75" hidden="false" customHeight="true" outlineLevel="0" collapsed="false">
      <c r="A8" s="9" t="s">
        <v>63</v>
      </c>
      <c r="B8" s="19" t="n">
        <f aca="false">分部利润!$F6</f>
        <v>12513</v>
      </c>
      <c r="C8" s="19" t="n">
        <f aca="false">分部利润!$G6</f>
        <v>6260</v>
      </c>
      <c r="D8" s="19" t="n">
        <f aca="false">B8-C8</f>
        <v>6253</v>
      </c>
      <c r="E8" s="19" t="n">
        <f aca="false">分部利润!$H6</f>
        <v>5738</v>
      </c>
      <c r="F8" s="19" t="n">
        <f aca="false">D8*(1+$B$3)</f>
        <v>6253</v>
      </c>
      <c r="G8" s="19" t="n">
        <f aca="false">E8+F8</f>
        <v>11991</v>
      </c>
    </row>
    <row r="9" customFormat="false" ht="21.75" hidden="false" customHeight="true" outlineLevel="0" collapsed="false">
      <c r="A9" s="9" t="s">
        <v>194</v>
      </c>
      <c r="B9" s="19" t="n">
        <f aca="false">分部利润!$F7</f>
        <v>5476</v>
      </c>
      <c r="C9" s="19" t="n">
        <f aca="false">分部利润!$G7</f>
        <v>2680</v>
      </c>
      <c r="D9" s="19" t="n">
        <f aca="false">B9-C9</f>
        <v>2796</v>
      </c>
      <c r="E9" s="19" t="n">
        <f aca="false">分部利润!$H7</f>
        <v>2935</v>
      </c>
      <c r="F9" s="19" t="n">
        <f aca="false">D9*(1+$B$3)</f>
        <v>2796</v>
      </c>
      <c r="G9" s="19" t="n">
        <f aca="false">E9+F9</f>
        <v>5731</v>
      </c>
    </row>
    <row r="10" customFormat="false" ht="21.75" hidden="false" customHeight="true" outlineLevel="0" collapsed="false">
      <c r="A10" s="9" t="s">
        <v>195</v>
      </c>
      <c r="B10" s="19" t="n">
        <f aca="false">分部利润!$F8</f>
        <v>3979</v>
      </c>
      <c r="C10" s="19" t="n">
        <f aca="false">分部利润!$G8</f>
        <v>1799</v>
      </c>
      <c r="D10" s="19" t="n">
        <f aca="false">B10-C10</f>
        <v>2180</v>
      </c>
      <c r="E10" s="19" t="n">
        <f aca="false">分部利润!$H8</f>
        <v>2005</v>
      </c>
      <c r="F10" s="19" t="n">
        <f aca="false">D10*(1+$B$3)</f>
        <v>2180</v>
      </c>
      <c r="G10" s="19" t="n">
        <f aca="false">E10+F10</f>
        <v>4185</v>
      </c>
    </row>
    <row r="11" customFormat="false" ht="21.75" hidden="false" customHeight="true" outlineLevel="0" collapsed="false">
      <c r="A11" s="9" t="s">
        <v>67</v>
      </c>
      <c r="B11" s="19" t="n">
        <f aca="false">分部利润!$F9</f>
        <v>13647</v>
      </c>
      <c r="C11" s="19" t="n">
        <f aca="false">分部利润!$G9</f>
        <v>6661</v>
      </c>
      <c r="D11" s="19" t="n">
        <f aca="false">B11-C11</f>
        <v>6986</v>
      </c>
      <c r="E11" s="19" t="n">
        <f aca="false">分部利润!$H9</f>
        <v>7669</v>
      </c>
      <c r="F11" s="19" t="n">
        <f aca="false">D11*(1+$B$3)</f>
        <v>6986</v>
      </c>
      <c r="G11" s="19" t="n">
        <f aca="false">E11+F11</f>
        <v>14655</v>
      </c>
    </row>
    <row r="12" customFormat="false" ht="21.75" hidden="false" customHeight="true" outlineLevel="0" collapsed="false">
      <c r="A12" s="23" t="s">
        <v>309</v>
      </c>
      <c r="B12" s="24" t="n">
        <f aca="false">SUM(B7:B11)</f>
        <v>42873</v>
      </c>
      <c r="C12" s="24" t="n">
        <f aca="false">SUM(C7:C11)</f>
        <v>20728</v>
      </c>
      <c r="D12" s="24" t="n">
        <f aca="false">SUM(D7:D11)</f>
        <v>22145</v>
      </c>
      <c r="E12" s="24" t="n">
        <f aca="false">SUM(E7:E11)</f>
        <v>21795</v>
      </c>
      <c r="F12" s="24" t="n">
        <f aca="false">SUM(F7:F11)</f>
        <v>22145</v>
      </c>
      <c r="G12" s="24" t="n">
        <f aca="false">SUM(G7:G11)</f>
        <v>43940</v>
      </c>
    </row>
    <row r="14" customFormat="false" ht="21.75" hidden="false" customHeight="true" outlineLevel="0" collapsed="false">
      <c r="A14" s="7" t="s">
        <v>310</v>
      </c>
      <c r="B14" s="7"/>
      <c r="C14" s="7"/>
      <c r="D14" s="7"/>
      <c r="E14" s="7"/>
      <c r="F14" s="7"/>
      <c r="G14" s="7"/>
    </row>
    <row r="15" customFormat="false" ht="21.75" hidden="false" customHeight="true" outlineLevel="0" collapsed="false">
      <c r="A15" s="30" t="s">
        <v>311</v>
      </c>
      <c r="B15" s="19" t="n">
        <f aca="false">资产负债!$G9</f>
        <v>365514</v>
      </c>
    </row>
    <row r="16" customFormat="false" ht="21.75" hidden="false" customHeight="true" outlineLevel="0" collapsed="false">
      <c r="A16" s="30" t="s">
        <v>312</v>
      </c>
      <c r="B16" s="19" t="n">
        <f aca="false">$B$4</f>
        <v>0</v>
      </c>
    </row>
    <row r="17" customFormat="false" ht="21.75" hidden="false" customHeight="true" outlineLevel="0" collapsed="false">
      <c r="A17" s="34" t="s">
        <v>299</v>
      </c>
      <c r="B17" s="24" t="n">
        <f aca="false">B15+B16</f>
        <v>365514</v>
      </c>
    </row>
    <row r="19" customFormat="false" ht="21.75" hidden="false" customHeight="true" outlineLevel="0" collapsed="false">
      <c r="A19" s="13" t="s">
        <v>313</v>
      </c>
      <c r="B19" s="13"/>
      <c r="C19" s="13"/>
      <c r="D19" s="13"/>
      <c r="E19" s="13"/>
      <c r="F19" s="13"/>
      <c r="G19" s="13"/>
    </row>
    <row r="20" customFormat="false" ht="21.75" hidden="false" customHeight="true" outlineLevel="0" collapsed="false">
      <c r="A20" s="13"/>
      <c r="B20" s="13"/>
      <c r="C20" s="13"/>
      <c r="D20" s="13"/>
      <c r="E20" s="13"/>
      <c r="F20" s="13"/>
      <c r="G20" s="13"/>
    </row>
    <row r="21" customFormat="false" ht="21.75" hidden="false" customHeight="true" outlineLevel="0" collapsed="false">
      <c r="A21" s="13"/>
      <c r="B21" s="13"/>
      <c r="C21" s="13"/>
      <c r="D21" s="13"/>
      <c r="E21" s="13"/>
      <c r="F21" s="13"/>
      <c r="G21" s="13"/>
    </row>
  </sheetData>
  <mergeCells count="4">
    <mergeCell ref="A1:G1"/>
    <mergeCell ref="A2:G2"/>
    <mergeCell ref="A14:G14"/>
    <mergeCell ref="A19:G21"/>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B44A"/>
    <pageSetUpPr fitToPage="tru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6.11"/>
    <col collapsed="false" customWidth="true" hidden="false" outlineLevel="0" max="2" min="2" style="0" width="8.83"/>
    <col collapsed="false" customWidth="true" hidden="false" outlineLevel="0" max="3" min="3" style="0" width="27.94"/>
    <col collapsed="false" customWidth="true" hidden="false" outlineLevel="0" max="4" min="4" style="0" width="66.15"/>
    <col collapsed="false" customWidth="true" hidden="false" outlineLevel="0" max="5" min="5" style="0" width="71.61"/>
    <col collapsed="false" customWidth="true" hidden="false" outlineLevel="0" max="7" min="6" style="0" width="66.15"/>
    <col collapsed="false" customWidth="true" hidden="false" outlineLevel="0" max="8" min="8" style="0" width="75.25"/>
    <col collapsed="false" customWidth="true" hidden="false" outlineLevel="0" max="9" min="9" style="0" width="10.66"/>
    <col collapsed="false" customWidth="true" hidden="false" outlineLevel="0" max="10" min="10" style="0" width="53.42"/>
    <col collapsed="false" customWidth="true" hidden="false" outlineLevel="0" max="11" min="11" style="0" width="44.32"/>
  </cols>
  <sheetData>
    <row r="1" customFormat="false" ht="21.75" hidden="false" customHeight="true" outlineLevel="0" collapsed="false">
      <c r="A1" s="1" t="s">
        <v>314</v>
      </c>
      <c r="B1" s="1"/>
      <c r="C1" s="1"/>
      <c r="D1" s="1"/>
      <c r="E1" s="1"/>
      <c r="F1" s="1"/>
      <c r="G1" s="1"/>
      <c r="H1" s="1"/>
      <c r="I1" s="1"/>
      <c r="J1" s="1"/>
      <c r="K1" s="1"/>
    </row>
    <row r="2" customFormat="false" ht="21.75" hidden="false" customHeight="true" outlineLevel="0" collapsed="false">
      <c r="A2" s="2" t="s">
        <v>315</v>
      </c>
      <c r="B2" s="2"/>
      <c r="C2" s="2"/>
      <c r="D2" s="2"/>
      <c r="E2" s="2"/>
      <c r="F2" s="2"/>
      <c r="G2" s="2"/>
      <c r="H2" s="2"/>
      <c r="I2" s="2"/>
      <c r="J2" s="2"/>
      <c r="K2" s="2"/>
    </row>
    <row r="4" customFormat="false" ht="21.75" hidden="false" customHeight="true" outlineLevel="0" collapsed="false">
      <c r="A4" s="22" t="s">
        <v>316</v>
      </c>
      <c r="B4" s="22" t="s">
        <v>317</v>
      </c>
      <c r="C4" s="22" t="s">
        <v>318</v>
      </c>
      <c r="D4" s="22" t="s">
        <v>319</v>
      </c>
      <c r="E4" s="22" t="s">
        <v>320</v>
      </c>
      <c r="F4" s="22" t="s">
        <v>321</v>
      </c>
      <c r="G4" s="22" t="s">
        <v>322</v>
      </c>
      <c r="H4" s="22" t="s">
        <v>323</v>
      </c>
      <c r="I4" s="22" t="s">
        <v>324</v>
      </c>
      <c r="J4" s="22" t="s">
        <v>325</v>
      </c>
      <c r="K4" s="22" t="s">
        <v>326</v>
      </c>
    </row>
    <row r="5" customFormat="false" ht="156" hidden="false" customHeight="true" outlineLevel="0" collapsed="false">
      <c r="A5" s="17" t="n">
        <v>1</v>
      </c>
      <c r="B5" s="17" t="n">
        <v>1972</v>
      </c>
      <c r="C5" s="17" t="s">
        <v>327</v>
      </c>
      <c r="D5" s="16" t="s">
        <v>328</v>
      </c>
      <c r="E5" s="16" t="s">
        <v>329</v>
      </c>
      <c r="F5" s="35" t="s">
        <v>330</v>
      </c>
      <c r="G5" s="35" t="s">
        <v>331</v>
      </c>
      <c r="H5" s="16" t="s">
        <v>332</v>
      </c>
      <c r="I5" s="17" t="n">
        <v>2007</v>
      </c>
      <c r="J5" s="35" t="s">
        <v>333</v>
      </c>
      <c r="K5" s="35" t="s">
        <v>334</v>
      </c>
    </row>
    <row r="6" customFormat="false" ht="156" hidden="false" customHeight="true" outlineLevel="0" collapsed="false">
      <c r="A6" s="17" t="n">
        <v>2</v>
      </c>
      <c r="B6" s="17" t="n">
        <v>1983</v>
      </c>
      <c r="C6" s="17" t="s">
        <v>335</v>
      </c>
      <c r="D6" s="16" t="s">
        <v>336</v>
      </c>
      <c r="E6" s="16" t="s">
        <v>337</v>
      </c>
      <c r="F6" s="35" t="s">
        <v>338</v>
      </c>
      <c r="G6" s="35" t="s">
        <v>339</v>
      </c>
      <c r="H6" s="16" t="s">
        <v>340</v>
      </c>
      <c r="I6" s="17" t="n">
        <v>1983</v>
      </c>
      <c r="J6" s="35" t="s">
        <v>341</v>
      </c>
      <c r="K6" s="35" t="s">
        <v>342</v>
      </c>
    </row>
    <row r="7" customFormat="false" ht="156" hidden="false" customHeight="true" outlineLevel="0" collapsed="false">
      <c r="A7" s="17" t="n">
        <v>3</v>
      </c>
      <c r="B7" s="17" t="n">
        <v>1988</v>
      </c>
      <c r="C7" s="17" t="s">
        <v>343</v>
      </c>
      <c r="D7" s="16" t="s">
        <v>344</v>
      </c>
      <c r="E7" s="16" t="s">
        <v>345</v>
      </c>
      <c r="F7" s="16" t="s">
        <v>346</v>
      </c>
      <c r="G7" s="35" t="s">
        <v>347</v>
      </c>
      <c r="H7" s="16" t="s">
        <v>348</v>
      </c>
      <c r="I7" s="17" t="n">
        <v>1989</v>
      </c>
      <c r="J7" s="35" t="s">
        <v>349</v>
      </c>
      <c r="K7" s="35" t="s">
        <v>350</v>
      </c>
    </row>
    <row r="8" customFormat="false" ht="156" hidden="false" customHeight="true" outlineLevel="0" collapsed="false">
      <c r="A8" s="17" t="n">
        <v>4</v>
      </c>
      <c r="B8" s="17" t="n">
        <v>1993</v>
      </c>
      <c r="C8" s="17" t="s">
        <v>351</v>
      </c>
      <c r="D8" s="16" t="s">
        <v>352</v>
      </c>
      <c r="E8" s="16" t="s">
        <v>353</v>
      </c>
      <c r="F8" s="35" t="s">
        <v>354</v>
      </c>
      <c r="G8" s="35" t="s">
        <v>355</v>
      </c>
      <c r="H8" s="16" t="s">
        <v>356</v>
      </c>
      <c r="I8" s="17" t="n">
        <v>2007</v>
      </c>
      <c r="J8" s="35" t="s">
        <v>357</v>
      </c>
      <c r="K8" s="35" t="s">
        <v>358</v>
      </c>
    </row>
    <row r="9" customFormat="false" ht="156" hidden="false" customHeight="true" outlineLevel="0" collapsed="false">
      <c r="A9" s="17" t="n">
        <v>5</v>
      </c>
      <c r="B9" s="17" t="n">
        <v>1995</v>
      </c>
      <c r="C9" s="17" t="s">
        <v>359</v>
      </c>
      <c r="D9" s="16" t="s">
        <v>360</v>
      </c>
      <c r="E9" s="16" t="s">
        <v>361</v>
      </c>
      <c r="F9" s="35" t="s">
        <v>362</v>
      </c>
      <c r="G9" s="35" t="s">
        <v>363</v>
      </c>
      <c r="H9" s="16" t="s">
        <v>364</v>
      </c>
      <c r="I9" s="17" t="n">
        <v>1996</v>
      </c>
      <c r="J9" s="35" t="s">
        <v>365</v>
      </c>
      <c r="K9" s="35" t="s">
        <v>366</v>
      </c>
    </row>
    <row r="10" customFormat="false" ht="156" hidden="false" customHeight="true" outlineLevel="0" collapsed="false">
      <c r="A10" s="17" t="n">
        <v>6</v>
      </c>
      <c r="B10" s="17" t="n">
        <v>2006</v>
      </c>
      <c r="C10" s="17" t="s">
        <v>367</v>
      </c>
      <c r="D10" s="16" t="s">
        <v>368</v>
      </c>
      <c r="E10" s="16" t="s">
        <v>369</v>
      </c>
      <c r="F10" s="35" t="s">
        <v>370</v>
      </c>
      <c r="G10" s="35" t="s">
        <v>371</v>
      </c>
      <c r="H10" s="16" t="s">
        <v>372</v>
      </c>
      <c r="I10" s="17" t="n">
        <v>2006</v>
      </c>
      <c r="J10" s="35" t="s">
        <v>373</v>
      </c>
      <c r="K10" s="35" t="s">
        <v>374</v>
      </c>
    </row>
    <row r="11" customFormat="false" ht="156" hidden="false" customHeight="true" outlineLevel="0" collapsed="false">
      <c r="A11" s="17" t="n">
        <v>7</v>
      </c>
      <c r="B11" s="17" t="n">
        <v>2008</v>
      </c>
      <c r="C11" s="17" t="s">
        <v>375</v>
      </c>
      <c r="D11" s="16" t="s">
        <v>376</v>
      </c>
      <c r="E11" s="16" t="s">
        <v>377</v>
      </c>
      <c r="F11" s="16" t="s">
        <v>378</v>
      </c>
      <c r="G11" s="35" t="s">
        <v>379</v>
      </c>
      <c r="H11" s="16" t="s">
        <v>380</v>
      </c>
      <c r="I11" s="17" t="n">
        <v>2008</v>
      </c>
      <c r="J11" s="35" t="s">
        <v>381</v>
      </c>
      <c r="K11" s="35" t="s">
        <v>382</v>
      </c>
    </row>
    <row r="12" customFormat="false" ht="156" hidden="false" customHeight="true" outlineLevel="0" collapsed="false">
      <c r="A12" s="17" t="n">
        <v>8</v>
      </c>
      <c r="B12" s="17" t="n">
        <v>2009</v>
      </c>
      <c r="C12" s="17" t="s">
        <v>383</v>
      </c>
      <c r="D12" s="16" t="s">
        <v>384</v>
      </c>
      <c r="E12" s="16" t="s">
        <v>385</v>
      </c>
      <c r="F12" s="35" t="s">
        <v>386</v>
      </c>
      <c r="G12" s="35" t="s">
        <v>387</v>
      </c>
      <c r="H12" s="16" t="s">
        <v>388</v>
      </c>
      <c r="I12" s="17" t="n">
        <v>2009</v>
      </c>
      <c r="J12" s="35" t="s">
        <v>389</v>
      </c>
      <c r="K12" s="35" t="s">
        <v>390</v>
      </c>
    </row>
    <row r="13" customFormat="false" ht="156" hidden="false" customHeight="true" outlineLevel="0" collapsed="false">
      <c r="A13" s="17" t="n">
        <v>9</v>
      </c>
      <c r="B13" s="17" t="n">
        <v>2015</v>
      </c>
      <c r="C13" s="17" t="s">
        <v>391</v>
      </c>
      <c r="D13" s="16" t="s">
        <v>392</v>
      </c>
      <c r="E13" s="16" t="s">
        <v>393</v>
      </c>
      <c r="F13" s="16" t="s">
        <v>394</v>
      </c>
      <c r="G13" s="35" t="s">
        <v>395</v>
      </c>
      <c r="H13" s="16" t="s">
        <v>396</v>
      </c>
      <c r="I13" s="17" t="n">
        <v>2015</v>
      </c>
      <c r="J13" s="35" t="s">
        <v>397</v>
      </c>
      <c r="K13" s="35" t="s">
        <v>398</v>
      </c>
    </row>
    <row r="14" customFormat="false" ht="156" hidden="false" customHeight="true" outlineLevel="0" collapsed="false">
      <c r="A14" s="17" t="n">
        <v>10</v>
      </c>
      <c r="B14" s="17" t="n">
        <v>2020</v>
      </c>
      <c r="C14" s="17" t="s">
        <v>399</v>
      </c>
      <c r="D14" s="16" t="s">
        <v>400</v>
      </c>
      <c r="E14" s="16" t="s">
        <v>401</v>
      </c>
      <c r="F14" s="16" t="s">
        <v>402</v>
      </c>
      <c r="G14" s="35" t="s">
        <v>403</v>
      </c>
      <c r="H14" s="16" t="s">
        <v>404</v>
      </c>
      <c r="I14" s="17" t="n">
        <v>2020</v>
      </c>
      <c r="J14" s="35" t="s">
        <v>405</v>
      </c>
      <c r="K14" s="35" t="s">
        <v>406</v>
      </c>
    </row>
  </sheetData>
  <mergeCells count="2">
    <mergeCell ref="A1:K1"/>
    <mergeCell ref="A2:K2"/>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9BA6"/>
    <pageSetUpPr fitToPage="tru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16.12"/>
    <col collapsed="false" customWidth="true" hidden="false" outlineLevel="0" max="2" min="2" style="0" width="59.79"/>
    <col collapsed="false" customWidth="true" hidden="false" outlineLevel="0" max="3" min="3" style="0" width="61.6"/>
    <col collapsed="false" customWidth="true" hidden="false" outlineLevel="0" max="4" min="4" style="0" width="69.8"/>
    <col collapsed="false" customWidth="true" hidden="false" outlineLevel="0" max="5" min="5" style="0" width="15.2"/>
  </cols>
  <sheetData>
    <row r="1" customFormat="false" ht="21.75" hidden="false" customHeight="true" outlineLevel="0" collapsed="false">
      <c r="A1" s="1" t="s">
        <v>407</v>
      </c>
      <c r="B1" s="1"/>
      <c r="C1" s="1"/>
      <c r="D1" s="1"/>
      <c r="E1" s="1"/>
    </row>
    <row r="2" customFormat="false" ht="21.75" hidden="false" customHeight="true" outlineLevel="0" collapsed="false">
      <c r="A2" s="2" t="s">
        <v>408</v>
      </c>
      <c r="B2" s="2"/>
      <c r="C2" s="2"/>
      <c r="D2" s="2"/>
      <c r="E2" s="2"/>
    </row>
    <row r="4" customFormat="false" ht="21.75" hidden="false" customHeight="true" outlineLevel="0" collapsed="false">
      <c r="A4" s="22" t="s">
        <v>44</v>
      </c>
      <c r="B4" s="22" t="s">
        <v>409</v>
      </c>
      <c r="C4" s="22" t="s">
        <v>410</v>
      </c>
      <c r="D4" s="22" t="s">
        <v>411</v>
      </c>
      <c r="E4" s="22" t="s">
        <v>412</v>
      </c>
    </row>
    <row r="5" customFormat="false" ht="39.75" hidden="false" customHeight="true" outlineLevel="0" collapsed="false">
      <c r="A5" s="15" t="s">
        <v>55</v>
      </c>
      <c r="B5" s="3" t="s">
        <v>413</v>
      </c>
      <c r="C5" s="18" t="s">
        <v>414</v>
      </c>
      <c r="D5" s="3" t="s">
        <v>415</v>
      </c>
      <c r="E5" s="17" t="s">
        <v>416</v>
      </c>
    </row>
    <row r="6" customFormat="false" ht="39.75" hidden="false" customHeight="true" outlineLevel="0" collapsed="false">
      <c r="A6" s="15" t="s">
        <v>95</v>
      </c>
      <c r="B6" s="3" t="s">
        <v>413</v>
      </c>
      <c r="C6" s="18" t="s">
        <v>417</v>
      </c>
      <c r="D6" s="3" t="s">
        <v>415</v>
      </c>
      <c r="E6" s="17" t="s">
        <v>416</v>
      </c>
    </row>
    <row r="7" customFormat="false" ht="39.75" hidden="false" customHeight="true" outlineLevel="0" collapsed="false">
      <c r="A7" s="15" t="s">
        <v>126</v>
      </c>
      <c r="B7" s="3" t="s">
        <v>413</v>
      </c>
      <c r="C7" s="18" t="s">
        <v>418</v>
      </c>
      <c r="D7" s="3" t="s">
        <v>415</v>
      </c>
      <c r="E7" s="17" t="s">
        <v>416</v>
      </c>
    </row>
    <row r="8" customFormat="false" ht="39.75" hidden="false" customHeight="true" outlineLevel="0" collapsed="false">
      <c r="A8" s="15" t="s">
        <v>128</v>
      </c>
      <c r="B8" s="3" t="s">
        <v>413</v>
      </c>
      <c r="C8" s="18" t="s">
        <v>419</v>
      </c>
      <c r="D8" s="3" t="s">
        <v>415</v>
      </c>
      <c r="E8" s="17" t="s">
        <v>416</v>
      </c>
    </row>
    <row r="9" customFormat="false" ht="39.75" hidden="false" customHeight="true" outlineLevel="0" collapsed="false">
      <c r="A9" s="15" t="s">
        <v>117</v>
      </c>
      <c r="B9" s="3" t="s">
        <v>413</v>
      </c>
      <c r="C9" s="18" t="s">
        <v>420</v>
      </c>
      <c r="D9" s="3" t="s">
        <v>415</v>
      </c>
      <c r="E9" s="17" t="s">
        <v>416</v>
      </c>
    </row>
    <row r="10" customFormat="false" ht="39.75" hidden="false" customHeight="true" outlineLevel="0" collapsed="false">
      <c r="A10" s="15" t="s">
        <v>143</v>
      </c>
      <c r="B10" s="3" t="s">
        <v>413</v>
      </c>
      <c r="C10" s="18" t="s">
        <v>421</v>
      </c>
      <c r="D10" s="3" t="s">
        <v>415</v>
      </c>
      <c r="E10" s="17" t="s">
        <v>416</v>
      </c>
    </row>
    <row r="11" customFormat="false" ht="39.75" hidden="false" customHeight="true" outlineLevel="0" collapsed="false">
      <c r="A11" s="15" t="s">
        <v>83</v>
      </c>
      <c r="B11" s="3" t="s">
        <v>413</v>
      </c>
      <c r="C11" s="18" t="s">
        <v>422</v>
      </c>
      <c r="D11" s="3" t="s">
        <v>415</v>
      </c>
      <c r="E11" s="17" t="s">
        <v>416</v>
      </c>
    </row>
    <row r="12" customFormat="false" ht="39.75" hidden="false" customHeight="true" outlineLevel="0" collapsed="false">
      <c r="A12" s="15" t="s">
        <v>182</v>
      </c>
      <c r="B12" s="3" t="s">
        <v>413</v>
      </c>
      <c r="C12" s="18" t="s">
        <v>423</v>
      </c>
      <c r="D12" s="3" t="s">
        <v>415</v>
      </c>
      <c r="E12" s="17" t="s">
        <v>416</v>
      </c>
    </row>
    <row r="13" customFormat="false" ht="39.75" hidden="false" customHeight="true" outlineLevel="0" collapsed="false">
      <c r="A13" s="15" t="s">
        <v>60</v>
      </c>
      <c r="B13" s="3" t="s">
        <v>424</v>
      </c>
      <c r="C13" s="18" t="s">
        <v>425</v>
      </c>
      <c r="D13" s="3" t="s">
        <v>415</v>
      </c>
      <c r="E13" s="17" t="s">
        <v>416</v>
      </c>
    </row>
    <row r="14" customFormat="false" ht="39.75" hidden="false" customHeight="true" outlineLevel="0" collapsed="false">
      <c r="A14" s="15" t="s">
        <v>97</v>
      </c>
      <c r="B14" s="3" t="s">
        <v>424</v>
      </c>
      <c r="C14" s="18" t="s">
        <v>426</v>
      </c>
      <c r="D14" s="3" t="s">
        <v>415</v>
      </c>
      <c r="E14" s="17" t="s">
        <v>416</v>
      </c>
    </row>
    <row r="15" customFormat="false" ht="39.75" hidden="false" customHeight="true" outlineLevel="0" collapsed="false">
      <c r="A15" s="15" t="s">
        <v>130</v>
      </c>
      <c r="B15" s="3" t="s">
        <v>424</v>
      </c>
      <c r="C15" s="18" t="s">
        <v>427</v>
      </c>
      <c r="D15" s="3" t="s">
        <v>415</v>
      </c>
      <c r="E15" s="17" t="s">
        <v>416</v>
      </c>
    </row>
    <row r="16" customFormat="false" ht="39.75" hidden="false" customHeight="true" outlineLevel="0" collapsed="false">
      <c r="A16" s="15" t="s">
        <v>132</v>
      </c>
      <c r="B16" s="3" t="s">
        <v>424</v>
      </c>
      <c r="C16" s="18" t="s">
        <v>428</v>
      </c>
      <c r="D16" s="3" t="s">
        <v>415</v>
      </c>
      <c r="E16" s="17" t="s">
        <v>416</v>
      </c>
    </row>
    <row r="17" customFormat="false" ht="39.75" hidden="false" customHeight="true" outlineLevel="0" collapsed="false">
      <c r="A17" s="15" t="s">
        <v>119</v>
      </c>
      <c r="B17" s="3" t="s">
        <v>424</v>
      </c>
      <c r="C17" s="18" t="s">
        <v>429</v>
      </c>
      <c r="D17" s="3" t="s">
        <v>415</v>
      </c>
      <c r="E17" s="17" t="s">
        <v>416</v>
      </c>
    </row>
    <row r="18" customFormat="false" ht="39.75" hidden="false" customHeight="true" outlineLevel="0" collapsed="false">
      <c r="A18" s="15" t="s">
        <v>145</v>
      </c>
      <c r="B18" s="3" t="s">
        <v>424</v>
      </c>
      <c r="C18" s="18" t="s">
        <v>430</v>
      </c>
      <c r="D18" s="3" t="s">
        <v>415</v>
      </c>
      <c r="E18" s="17" t="s">
        <v>416</v>
      </c>
    </row>
    <row r="19" customFormat="false" ht="39.75" hidden="false" customHeight="true" outlineLevel="0" collapsed="false">
      <c r="A19" s="15" t="s">
        <v>85</v>
      </c>
      <c r="B19" s="3" t="s">
        <v>424</v>
      </c>
      <c r="C19" s="18" t="s">
        <v>431</v>
      </c>
      <c r="D19" s="3" t="s">
        <v>415</v>
      </c>
      <c r="E19" s="17" t="s">
        <v>416</v>
      </c>
    </row>
    <row r="20" customFormat="false" ht="39.75" hidden="false" customHeight="true" outlineLevel="0" collapsed="false">
      <c r="A20" s="15" t="s">
        <v>161</v>
      </c>
      <c r="B20" s="3" t="s">
        <v>424</v>
      </c>
      <c r="C20" s="18" t="s">
        <v>432</v>
      </c>
      <c r="D20" s="3" t="s">
        <v>415</v>
      </c>
      <c r="E20" s="17" t="s">
        <v>416</v>
      </c>
    </row>
    <row r="21" customFormat="false" ht="39.75" hidden="false" customHeight="true" outlineLevel="0" collapsed="false">
      <c r="A21" s="15" t="s">
        <v>51</v>
      </c>
      <c r="B21" s="3" t="s">
        <v>433</v>
      </c>
      <c r="C21" s="18" t="s">
        <v>434</v>
      </c>
      <c r="D21" s="18" t="s">
        <v>435</v>
      </c>
      <c r="E21" s="15" t="s">
        <v>436</v>
      </c>
    </row>
    <row r="22" customFormat="false" ht="39.75" hidden="false" customHeight="true" outlineLevel="0" collapsed="false">
      <c r="A22" s="15" t="s">
        <v>93</v>
      </c>
      <c r="B22" s="3" t="s">
        <v>433</v>
      </c>
      <c r="C22" s="18" t="s">
        <v>417</v>
      </c>
      <c r="D22" s="18" t="s">
        <v>435</v>
      </c>
      <c r="E22" s="15" t="s">
        <v>436</v>
      </c>
    </row>
    <row r="23" customFormat="false" ht="39.75" hidden="false" customHeight="true" outlineLevel="0" collapsed="false">
      <c r="A23" s="15" t="s">
        <v>101</v>
      </c>
      <c r="B23" s="3" t="s">
        <v>433</v>
      </c>
      <c r="C23" s="18" t="s">
        <v>437</v>
      </c>
      <c r="D23" s="18" t="s">
        <v>435</v>
      </c>
      <c r="E23" s="15" t="s">
        <v>436</v>
      </c>
    </row>
    <row r="24" customFormat="false" ht="39.75" hidden="false" customHeight="true" outlineLevel="0" collapsed="false">
      <c r="A24" s="15" t="s">
        <v>115</v>
      </c>
      <c r="B24" s="3" t="s">
        <v>433</v>
      </c>
      <c r="C24" s="18" t="s">
        <v>438</v>
      </c>
      <c r="D24" s="18" t="s">
        <v>435</v>
      </c>
      <c r="E24" s="15" t="s">
        <v>436</v>
      </c>
    </row>
    <row r="25" customFormat="false" ht="39.75" hidden="false" customHeight="true" outlineLevel="0" collapsed="false">
      <c r="A25" s="15" t="s">
        <v>141</v>
      </c>
      <c r="B25" s="3" t="s">
        <v>433</v>
      </c>
      <c r="C25" s="18" t="s">
        <v>439</v>
      </c>
      <c r="D25" s="18" t="s">
        <v>435</v>
      </c>
      <c r="E25" s="15" t="s">
        <v>436</v>
      </c>
    </row>
    <row r="26" customFormat="false" ht="39.75" hidden="false" customHeight="true" outlineLevel="0" collapsed="false">
      <c r="A26" s="15" t="s">
        <v>80</v>
      </c>
      <c r="B26" s="3" t="s">
        <v>433</v>
      </c>
      <c r="C26" s="18" t="s">
        <v>440</v>
      </c>
      <c r="D26" s="18" t="s">
        <v>435</v>
      </c>
      <c r="E26" s="15" t="s">
        <v>436</v>
      </c>
    </row>
    <row r="27" customFormat="false" ht="39.75" hidden="false" customHeight="true" outlineLevel="0" collapsed="false">
      <c r="A27" s="15" t="s">
        <v>88</v>
      </c>
      <c r="B27" s="3" t="s">
        <v>441</v>
      </c>
      <c r="C27" s="18" t="s">
        <v>442</v>
      </c>
      <c r="D27" s="18" t="s">
        <v>443</v>
      </c>
      <c r="E27" s="15" t="s">
        <v>436</v>
      </c>
    </row>
    <row r="28" customFormat="false" ht="39.75" hidden="false" customHeight="true" outlineLevel="0" collapsed="false">
      <c r="A28" s="15" t="s">
        <v>112</v>
      </c>
      <c r="B28" s="3" t="s">
        <v>441</v>
      </c>
      <c r="C28" s="18" t="s">
        <v>438</v>
      </c>
      <c r="D28" s="18" t="s">
        <v>443</v>
      </c>
      <c r="E28" s="15" t="s">
        <v>436</v>
      </c>
    </row>
    <row r="29" customFormat="false" ht="39.75" hidden="false" customHeight="true" outlineLevel="0" collapsed="false">
      <c r="A29" s="15" t="s">
        <v>138</v>
      </c>
      <c r="B29" s="3" t="s">
        <v>441</v>
      </c>
      <c r="C29" s="18" t="s">
        <v>444</v>
      </c>
      <c r="D29" s="18" t="s">
        <v>443</v>
      </c>
      <c r="E29" s="15" t="s">
        <v>436</v>
      </c>
    </row>
    <row r="30" customFormat="false" ht="39.75" hidden="false" customHeight="true" outlineLevel="0" collapsed="false">
      <c r="A30" s="15" t="s">
        <v>445</v>
      </c>
      <c r="B30" s="3" t="s">
        <v>446</v>
      </c>
      <c r="C30" s="18" t="s">
        <v>447</v>
      </c>
      <c r="D30" s="3" t="s">
        <v>415</v>
      </c>
      <c r="E30" s="17" t="s">
        <v>416</v>
      </c>
    </row>
    <row r="31" customFormat="false" ht="39.75" hidden="false" customHeight="true" outlineLevel="0" collapsed="false">
      <c r="A31" s="15" t="s">
        <v>448</v>
      </c>
      <c r="B31" s="3" t="s">
        <v>449</v>
      </c>
      <c r="C31" s="18" t="s">
        <v>450</v>
      </c>
      <c r="D31" s="3" t="s">
        <v>415</v>
      </c>
      <c r="E31" s="17" t="s">
        <v>416</v>
      </c>
    </row>
  </sheetData>
  <mergeCells count="2">
    <mergeCell ref="A1:E1"/>
    <mergeCell ref="A2:E2"/>
  </mergeCells>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9BA6"/>
    <pageSetUpPr fitToPage="tru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7.89453125" defaultRowHeight="21.75" customHeight="true" zeroHeight="false" outlineLevelRow="0" outlineLevelCol="0"/>
  <cols>
    <col collapsed="false" customWidth="true" hidden="false" outlineLevel="0" max="1" min="1" style="0" width="39.77"/>
    <col collapsed="false" customWidth="true" hidden="false" outlineLevel="0" max="3" min="2" style="0" width="17.03"/>
    <col collapsed="false" customWidth="true" hidden="false" outlineLevel="0" max="4" min="4" style="0" width="62.52"/>
  </cols>
  <sheetData>
    <row r="1" customFormat="false" ht="21.75" hidden="false" customHeight="true" outlineLevel="0" collapsed="false">
      <c r="A1" s="1" t="s">
        <v>451</v>
      </c>
      <c r="B1" s="1"/>
      <c r="C1" s="1"/>
      <c r="D1" s="1"/>
    </row>
    <row r="2" customFormat="false" ht="21.75" hidden="false" customHeight="true" outlineLevel="0" collapsed="false">
      <c r="A2" s="21" t="s">
        <v>452</v>
      </c>
      <c r="B2" s="21"/>
      <c r="C2" s="21"/>
      <c r="D2" s="21"/>
    </row>
    <row r="4" customFormat="false" ht="21.75" hidden="false" customHeight="true" outlineLevel="0" collapsed="false">
      <c r="A4" s="22" t="s">
        <v>453</v>
      </c>
      <c r="B4" s="22" t="s">
        <v>454</v>
      </c>
      <c r="C4" s="22" t="s">
        <v>455</v>
      </c>
      <c r="D4" s="22" t="s">
        <v>235</v>
      </c>
    </row>
    <row r="5" customFormat="false" ht="21.75" hidden="false" customHeight="true" outlineLevel="0" collapsed="false">
      <c r="A5" s="9" t="s">
        <v>456</v>
      </c>
      <c r="B5" s="25" t="n">
        <f aca="false">分部利润!$B16</f>
        <v>0</v>
      </c>
      <c r="C5" s="17" t="n">
        <v>0</v>
      </c>
      <c r="D5" s="3" t="s">
        <v>457</v>
      </c>
    </row>
    <row r="6" customFormat="false" ht="21.75" hidden="false" customHeight="true" outlineLevel="0" collapsed="false">
      <c r="A6" s="9" t="s">
        <v>458</v>
      </c>
      <c r="B6" s="25" t="n">
        <f aca="false">分部利润!$C16</f>
        <v>0</v>
      </c>
      <c r="C6" s="17" t="n">
        <v>0</v>
      </c>
      <c r="D6" s="3" t="s">
        <v>457</v>
      </c>
    </row>
    <row r="7" customFormat="false" ht="21.75" hidden="false" customHeight="true" outlineLevel="0" collapsed="false">
      <c r="A7" s="9" t="s">
        <v>459</v>
      </c>
      <c r="B7" s="25" t="n">
        <f aca="false">分部利润!$D16</f>
        <v>0</v>
      </c>
      <c r="C7" s="17" t="n">
        <v>0</v>
      </c>
      <c r="D7" s="3" t="s">
        <v>457</v>
      </c>
    </row>
    <row r="8" customFormat="false" ht="21.75" hidden="false" customHeight="true" outlineLevel="0" collapsed="false">
      <c r="A8" s="9" t="s">
        <v>460</v>
      </c>
      <c r="B8" s="25" t="n">
        <f aca="false">分部利润!$E16</f>
        <v>0</v>
      </c>
      <c r="C8" s="17" t="n">
        <v>0</v>
      </c>
      <c r="D8" s="3" t="s">
        <v>457</v>
      </c>
    </row>
    <row r="9" customFormat="false" ht="21.75" hidden="false" customHeight="true" outlineLevel="0" collapsed="false">
      <c r="A9" s="9" t="s">
        <v>461</v>
      </c>
      <c r="B9" s="25" t="n">
        <f aca="false">分部利润!$F16</f>
        <v>0</v>
      </c>
      <c r="C9" s="17" t="n">
        <v>0</v>
      </c>
      <c r="D9" s="3" t="s">
        <v>457</v>
      </c>
    </row>
    <row r="10" customFormat="false" ht="21.75" hidden="false" customHeight="true" outlineLevel="0" collapsed="false">
      <c r="A10" s="9" t="s">
        <v>462</v>
      </c>
      <c r="B10" s="25" t="n">
        <f aca="false">分部利润!$G16</f>
        <v>0</v>
      </c>
      <c r="C10" s="17" t="n">
        <v>0</v>
      </c>
      <c r="D10" s="3" t="s">
        <v>457</v>
      </c>
    </row>
    <row r="11" customFormat="false" ht="21.75" hidden="false" customHeight="true" outlineLevel="0" collapsed="false">
      <c r="A11" s="9" t="s">
        <v>463</v>
      </c>
      <c r="B11" s="25" t="n">
        <f aca="false">分部利润!$H16</f>
        <v>0</v>
      </c>
      <c r="C11" s="17" t="n">
        <v>0</v>
      </c>
      <c r="D11" s="3" t="s">
        <v>457</v>
      </c>
    </row>
    <row r="12" customFormat="false" ht="21.75" hidden="false" customHeight="true" outlineLevel="0" collapsed="false">
      <c r="A12" s="9" t="s">
        <v>464</v>
      </c>
      <c r="B12" s="25" t="n">
        <f aca="false">股票组合!$B10</f>
        <v>0</v>
      </c>
      <c r="C12" s="17" t="n">
        <v>0</v>
      </c>
      <c r="D12" s="3" t="s">
        <v>465</v>
      </c>
    </row>
    <row r="13" customFormat="false" ht="21.75" hidden="false" customHeight="true" outlineLevel="0" collapsed="false">
      <c r="A13" s="9" t="s">
        <v>466</v>
      </c>
      <c r="B13" s="25" t="n">
        <f aca="false">股票组合!$C10</f>
        <v>0</v>
      </c>
      <c r="C13" s="17" t="n">
        <v>0</v>
      </c>
      <c r="D13" s="3" t="s">
        <v>465</v>
      </c>
    </row>
    <row r="14" customFormat="false" ht="21.75" hidden="false" customHeight="true" outlineLevel="0" collapsed="false">
      <c r="A14" s="9" t="s">
        <v>467</v>
      </c>
      <c r="B14" s="25" t="n">
        <f aca="false">股票组合!$D10</f>
        <v>0</v>
      </c>
      <c r="C14" s="17" t="n">
        <v>0</v>
      </c>
      <c r="D14" s="3" t="s">
        <v>465</v>
      </c>
    </row>
    <row r="15" customFormat="false" ht="21.75" hidden="false" customHeight="true" outlineLevel="0" collapsed="false">
      <c r="A15" s="9" t="s">
        <v>468</v>
      </c>
      <c r="B15" s="25" t="n">
        <f aca="false">股票组合!$E10</f>
        <v>0</v>
      </c>
      <c r="C15" s="17" t="n">
        <v>0</v>
      </c>
      <c r="D15" s="3" t="s">
        <v>465</v>
      </c>
    </row>
    <row r="16" customFormat="false" ht="21.75" hidden="false" customHeight="true" outlineLevel="0" collapsed="false">
      <c r="A16" s="9" t="s">
        <v>469</v>
      </c>
      <c r="B16" s="25" t="n">
        <f aca="false">股票组合!$F10</f>
        <v>0</v>
      </c>
      <c r="C16" s="17" t="n">
        <v>0</v>
      </c>
      <c r="D16" s="3" t="s">
        <v>465</v>
      </c>
    </row>
    <row r="17" customFormat="false" ht="21.75" hidden="false" customHeight="true" outlineLevel="0" collapsed="false">
      <c r="A17" s="9" t="s">
        <v>470</v>
      </c>
      <c r="B17" s="25" t="n">
        <f aca="false">股票组合!$G10</f>
        <v>0</v>
      </c>
      <c r="C17" s="17" t="n">
        <v>0</v>
      </c>
      <c r="D17" s="3" t="s">
        <v>465</v>
      </c>
    </row>
    <row r="18" customFormat="false" ht="21.75" hidden="false" customHeight="true" outlineLevel="0" collapsed="false">
      <c r="A18" s="9" t="s">
        <v>471</v>
      </c>
      <c r="B18" s="25" t="n">
        <f aca="false">SUMPRODUCT((COUNTIFS(数据!$C$2:$C$197,数据!$C$2:$C$197,数据!$D$2:$D$197,数据!$D$2:$D$197)&gt;1)*1)</f>
        <v>0</v>
      </c>
      <c r="C18" s="17" t="n">
        <v>0</v>
      </c>
      <c r="D18" s="3" t="s">
        <v>472</v>
      </c>
    </row>
    <row r="19" customFormat="false" ht="21.75" hidden="false" customHeight="true" outlineLevel="0" collapsed="false">
      <c r="A19" s="9" t="s">
        <v>473</v>
      </c>
      <c r="B19" s="25" t="n">
        <f aca="false">COUNTBLANK(数据!$G$2:$G$197)</f>
        <v>0</v>
      </c>
      <c r="C19" s="17" t="n">
        <v>0</v>
      </c>
      <c r="D19" s="3" t="s">
        <v>474</v>
      </c>
    </row>
    <row r="20" customFormat="false" ht="21.75" hidden="false" customHeight="true" outlineLevel="0" collapsed="false">
      <c r="A20" s="9" t="s">
        <v>475</v>
      </c>
      <c r="B20" s="25" t="n">
        <f aca="false">SUMPRODUCT(--ISERROR(分部利润!B5:H18))</f>
        <v>0</v>
      </c>
      <c r="C20" s="17" t="n">
        <v>0</v>
      </c>
      <c r="D20" s="3" t="s">
        <v>476</v>
      </c>
    </row>
    <row r="21" customFormat="false" ht="21.75" hidden="false" customHeight="true" outlineLevel="0" collapsed="false">
      <c r="A21" s="9" t="s">
        <v>477</v>
      </c>
      <c r="B21" s="25" t="n">
        <f aca="false">SUMPRODUCT(--ISERROR(资产负债!B5:G21))</f>
        <v>0</v>
      </c>
      <c r="C21" s="17" t="n">
        <v>0</v>
      </c>
      <c r="D21" s="3" t="s">
        <v>478</v>
      </c>
    </row>
    <row r="22" customFormat="false" ht="21.75" hidden="false" customHeight="true" outlineLevel="0" collapsed="false">
      <c r="A22" s="9" t="s">
        <v>479</v>
      </c>
      <c r="B22" s="25" t="n">
        <f aca="false">SUMPRODUCT(--ISERROR(变化!B6:H45))</f>
        <v>0</v>
      </c>
      <c r="C22" s="17" t="n">
        <v>0</v>
      </c>
      <c r="D22" s="3" t="s">
        <v>478</v>
      </c>
    </row>
    <row r="23" customFormat="false" ht="21.75" hidden="false" customHeight="true" outlineLevel="0" collapsed="false">
      <c r="A23" s="23" t="s">
        <v>480</v>
      </c>
      <c r="B23" s="36" t="str">
        <f aca="false">IF(SUM(B5:B22)=0,"PASS","CHECK")</f>
        <v>PASS</v>
      </c>
      <c r="C23" s="34" t="s">
        <v>481</v>
      </c>
      <c r="D23" s="34"/>
    </row>
  </sheetData>
  <mergeCells count="3">
    <mergeCell ref="A1:D1"/>
    <mergeCell ref="A2:D2"/>
    <mergeCell ref="C23:D23"/>
  </mergeCells>
  <conditionalFormatting sqref="B5:B22">
    <cfRule type="cellIs" priority="2" operator="notEqual" aboveAverage="0" equalAverage="0" bottom="0" percent="0" rank="0" text="" dxfId="6">
      <formula>0</formula>
    </cfRule>
  </conditionalFormatting>
  <printOptions headings="false" gridLines="false" gridLinesSet="true" horizontalCentered="false" verticalCentered="false"/>
  <pageMargins left="0.25" right="0.25" top="0.4" bottom="0.4" header="0.3" footer="0.3"/>
  <pageSetup paperSize="9" scale="100" fitToWidth="1" fitToHeight="0" pageOrder="downThenOver" orientation="landscape" blackAndWhite="false" draft="false" cellComments="none" horizontalDpi="300" verticalDpi="300" copies="1"/>
  <headerFooter differentFirst="false" differentOddEven="false">
    <oddHeader>&amp;L&amp;"Calibri"伯克希尔账本&amp;R&amp;"Calibri"研究分析｜非投资建议</oddHeader>
    <oddFooter>&amp;L&amp;"Calibri"原始披露与公式联动&amp;C&amp;"Calibri"第 &amp;P 页，共 &amp;N 页&amp;R&amp;"Calibri"2026-10-22</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2026-10-22T20:36:11Z</dcterms:created>
  <dc:creator>研究分析</dc:creator>
  <dc:description>财务数据以原始披露为准；公式联动；非投资建议。</dc:description>
  <dc:language>zh-CN</dc:language>
  <cp:lastModifiedBy>研究分析</cp:lastModifiedBy>
  <dcterms:modified xsi:type="dcterms:W3CDTF">2026-10-22T20:36:11Z</dcterms:modified>
  <cp:revision>0</cp:revision>
  <dc:subject>经营分部、浮存金、流动性、股票组合、回购与每股账面价值</dc:subject>
  <dc:title>伯克希尔账本：2021—2025年及2026年上半年</dc:title>
</cp:coreProperties>
</file>

<file path=docProps/custom.xml><?xml version="1.0" encoding="utf-8"?>
<Properties xmlns="http://schemas.openxmlformats.org/officeDocument/2006/custom-properties" xmlns:vt="http://schemas.openxmlformats.org/officeDocument/2006/docPropsVTypes"/>
</file>